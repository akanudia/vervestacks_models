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SuppXLS\"/>
    </mc:Choice>
  </mc:AlternateContent>
  <xr:revisionPtr revIDLastSave="0" documentId="8_{A8BE8F1E-BE09-4AE0-8626-A2B7FA49801A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8" l="1"/>
  <c r="AB9" i="8"/>
  <c r="X9" i="8"/>
  <c r="A10" i="6"/>
  <c r="S9" i="8"/>
  <c r="N9" i="8"/>
  <c r="I9" i="8"/>
  <c r="A11" i="8"/>
  <c r="C9" i="8" s="1"/>
  <c r="AF9" i="7"/>
  <c r="AB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<sst xmlns="http://schemas.openxmlformats.org/spreadsheetml/2006/main" count="3411" uniqueCount="226">
  <si>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</si>
  <si>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</si>
  <si>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</si>
  <si>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</si>
  <si>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</si>
  <si>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</si>
  <si>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</si>
  <si>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</si>
  <si>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</si>
  <si>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</si>
  <si>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</si>
  <si>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</si>
  <si>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</si>
  <si>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</si>
  <si>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</si>
  <si>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</si>
  <si>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</si>
  <si>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</si>
  <si>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</si>
  <si>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</si>
  <si>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</si>
  <si>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</si>
  <si>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</si>
  <si>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</si>
  <si>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</si>
  <si>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</si>
  <si>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</si>
  <si>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</si>
  <si>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</si>
  <si>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</si>
  <si>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</si>
  <si>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</si>
  <si>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</si>
  <si>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</si>
  <si>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</si>
  <si>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</si>
  <si>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</si>
  <si>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</si>
  <si>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</si>
  <si>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</si>
  <si>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</si>
  <si>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</si>
  <si>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</si>
  <si>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</si>
  <si>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</si>
  <si>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</si>
  <si>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</si>
  <si>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</si>
  <si>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</si>
  <si>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</si>
  <si>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</si>
  <si>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</si>
  <si>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</si>
  <si>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</si>
  <si>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</si>
  <si>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</si>
  <si>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</si>
  <si>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</si>
  <si>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</si>
  <si>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</si>
  <si>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</si>
  <si>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</si>
  <si>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</si>
  <si>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</si>
  <si>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</si>
  <si>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</si>
  <si>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</si>
  <si>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</si>
  <si>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</si>
  <si>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</si>
  <si>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</si>
  <si>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</si>
  <si>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</si>
  <si>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</si>
  <si>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</si>
  <si>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</si>
  <si>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</si>
  <si>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</si>
  <si>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</si>
  <si>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</si>
  <si>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</si>
  <si>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</si>
  <si>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</si>
  <si>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</si>
  <si>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</si>
  <si>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</si>
  <si>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</si>
  <si>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</si>
  <si>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</si>
  <si>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</si>
  <si>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</si>
  <si>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</si>
  <si>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</si>
  <si>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</si>
  <si>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</si>
  <si>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</si>
  <si>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</si>
  <si>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</si>
  <si>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</si>
  <si>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</si>
  <si>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</si>
  <si>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</si>
  <si>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</si>
  <si>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</si>
  <si>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</si>
  <si>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</si>
  <si>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</si>
  <si>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</si>
  <si>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</si>
  <si>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</si>
  <si>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</si>
  <si>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</si>
  <si>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</si>
  <si>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</si>
  <si>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</si>
  <si>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</si>
  <si>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</si>
  <si>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</si>
  <si>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</si>
  <si>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</si>
  <si>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</si>
  <si>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</si>
  <si>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</si>
  <si>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</si>
  <si>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</si>
  <si>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</si>
  <si>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</si>
  <si>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</si>
  <si>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</si>
  <si>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</si>
  <si>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</si>
  <si>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</si>
  <si>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</si>
  <si>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</si>
  <si>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</si>
  <si>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</si>
  <si>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</si>
  <si>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</si>
  <si>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</si>
  <si>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</si>
  <si>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</si>
  <si>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</si>
  <si>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ZWE</t>
  </si>
  <si>
    <t>R10AFRICA</t>
  </si>
  <si>
    <t>Coal resources, agricultural residues</t>
  </si>
  <si>
    <t>1-70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</si>
  <si>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</si>
  <si>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</si>
  <si>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</si>
  <si>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</si>
  <si>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</si>
  <si>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</si>
  <si>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</si>
  <si>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</si>
  <si>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</si>
  <si>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</si>
  <si>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</si>
  <si>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</si>
  <si>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</si>
  <si>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</si>
  <si>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</si>
  <si>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</si>
  <si>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</si>
  <si>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</si>
  <si>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</si>
  <si>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</si>
  <si>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</si>
  <si>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</si>
  <si>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</si>
  <si>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</si>
  <si>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</si>
  <si>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</si>
  <si>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</si>
  <si>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</si>
  <si>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</si>
  <si>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</si>
  <si>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</si>
  <si>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</si>
  <si>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</si>
  <si>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</si>
  <si>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</si>
  <si>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</si>
  <si>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</si>
  <si>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</si>
  <si>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</si>
  <si>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</si>
  <si>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</si>
  <si>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</si>
  <si>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</si>
  <si>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</si>
  <si>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</si>
  <si>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</si>
  <si>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</si>
  <si>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</si>
  <si>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</si>
  <si>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</si>
  <si>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</si>
  <si>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</si>
  <si>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</si>
  <si>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g_yrfr</t>
  </si>
  <si>
    <t>day_night</t>
  </si>
  <si>
    <t>D</t>
  </si>
  <si>
    <t>N</t>
  </si>
  <si>
    <t>com_pkflx</t>
  </si>
  <si>
    <t>ncap_afs</t>
  </si>
  <si>
    <t>pset_ci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</si>
  <si>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</si>
  <si>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</si>
  <si>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</si>
  <si>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</si>
  <si>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</si>
  <si>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</si>
  <si>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</si>
  <si>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</si>
  <si>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</si>
  <si>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</si>
  <si>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</si>
  <si>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</si>
  <si>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</si>
  <si>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</si>
  <si>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</si>
  <si>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</si>
  <si>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</si>
  <si>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</si>
  <si>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FaD,FaP,SaP,SaD,RaP,WaP,RaD,WaD</t>
  </si>
  <si>
    <t>RaP,FaN,FaP,SaP,SaN,WaN,RaN,WaP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</si>
</sst>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10.610000000000001</c:v>
                </c:pt>
                <c:pt idx="1">
                  <c:v>13.474700000000002</c:v>
                </c:pt>
                <c:pt idx="2">
                  <c:v>17.8248</c:v>
                </c:pt>
                <c:pt idx="3">
                  <c:v>23.9786</c:v>
                </c:pt>
                <c:pt idx="4">
                  <c:v>30.981200000000001</c:v>
                </c:pt>
                <c:pt idx="5">
                  <c:v>47.532800000000009</c:v>
                </c:pt>
                <c:pt idx="6">
                  <c:v>63.766100000000002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10.610000000000001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10.610000000000001</v>
      </c>
      <c r="U14" s="8">
        <f t="shared" ref="U14:Z14" si="3">$S$12*J15</f>
        <v>13.474700000000002</v>
      </c>
      <c r="V14" s="8">
        <f t="shared" si="3"/>
        <v>17.8248</v>
      </c>
      <c r="W14" s="8">
        <f t="shared" si="3"/>
        <v>23.9786</v>
      </c>
      <c r="X14" s="8">
        <f t="shared" si="3"/>
        <v>30.981200000000001</v>
      </c>
      <c r="Y14" s="8">
        <f t="shared" si="3"/>
        <v>47.532800000000009</v>
      </c>
      <c r="Z14" s="8">
        <f t="shared" si="3"/>
        <v>63.766100000000002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0.239786</v>
      </c>
      <c r="X18" s="6">
        <f t="shared" si="7"/>
        <v>0.61962400000000006</v>
      </c>
      <c r="Y18" s="6">
        <f t="shared" si="7"/>
        <v>0.95065600000000017</v>
      </c>
      <c r="Z18" s="6">
        <f t="shared" si="7"/>
        <v>1.9129829999999999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5.1989000000000001</v>
      </c>
      <c r="U19" s="6">
        <f t="shared" si="7"/>
        <v>6.0636150000000013</v>
      </c>
      <c r="V19" s="6">
        <f t="shared" si="7"/>
        <v>7.6646640000000001</v>
      </c>
      <c r="W19" s="6">
        <f t="shared" si="7"/>
        <v>10.071012</v>
      </c>
      <c r="X19" s="6">
        <f t="shared" si="7"/>
        <v>12.392480000000001</v>
      </c>
      <c r="Y19" s="6">
        <f t="shared" si="7"/>
        <v>19.488448000000002</v>
      </c>
      <c r="Z19" s="6">
        <f t="shared" si="7"/>
        <v>24.231118000000002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5.1989000000000001</v>
      </c>
      <c r="U20" s="6">
        <f t="shared" si="7"/>
        <v>7.006844000000001</v>
      </c>
      <c r="V20" s="6">
        <f t="shared" si="7"/>
        <v>9.6253919999999997</v>
      </c>
      <c r="W20" s="6">
        <f t="shared" si="7"/>
        <v>12.229086000000001</v>
      </c>
      <c r="X20" s="6">
        <f t="shared" si="7"/>
        <v>15.800412000000001</v>
      </c>
      <c r="Y20" s="6">
        <f t="shared" si="7"/>
        <v>22.815744000000002</v>
      </c>
      <c r="Z20" s="6">
        <f t="shared" si="7"/>
        <v>29.970067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0.10610000000000001</v>
      </c>
      <c r="U21" s="6">
        <f t="shared" ref="U21:Z21" si="8">T21</f>
        <v>0.10610000000000001</v>
      </c>
      <c r="V21" s="6">
        <f t="shared" si="8"/>
        <v>0.10610000000000001</v>
      </c>
      <c r="W21" s="6">
        <f t="shared" si="8"/>
        <v>0.10610000000000001</v>
      </c>
      <c r="X21" s="6">
        <f t="shared" si="8"/>
        <v>0.10610000000000001</v>
      </c>
      <c r="Y21" s="6">
        <f t="shared" si="8"/>
        <v>0.10610000000000001</v>
      </c>
      <c r="Z21" s="6">
        <f t="shared" si="8"/>
        <v>0.10610000000000001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0.10610000000000142</v>
      </c>
      <c r="U22" s="6">
        <f t="shared" si="9"/>
        <v>0.29814099999999932</v>
      </c>
      <c r="V22" s="6">
        <f t="shared" si="9"/>
        <v>0.42864399999999847</v>
      </c>
      <c r="W22" s="6">
        <f t="shared" si="9"/>
        <v>1.5724020000000003</v>
      </c>
      <c r="X22" s="6">
        <f t="shared" si="9"/>
        <v>2.6822079999999993</v>
      </c>
      <c r="Y22" s="6">
        <f t="shared" si="9"/>
        <v>5.1225080000000105</v>
      </c>
      <c r="Z22" s="6">
        <f t="shared" si="9"/>
        <v>9.4588150000000013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2.2999999999999998</v>
      </c>
      <c r="S28" t="s">
        <v>32</v>
      </c>
      <c r="T28" s="3">
        <f>Q28</f>
        <v>2.2999999999999998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-0.4</v>
      </c>
      <c r="S29" t="s">
        <v>35</v>
      </c>
      <c r="T29" s="3">
        <f>-1*Q29</f>
        <v>0.4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25.75</v>
      </c>
      <c r="J45">
        <f t="shared" si="12"/>
        <v>26.78</v>
      </c>
      <c r="K45">
        <f t="shared" si="12"/>
        <v>35.277500000000003</v>
      </c>
      <c r="L45">
        <f t="shared" si="12"/>
        <v>33.475000000000001</v>
      </c>
      <c r="M45">
        <f t="shared" si="12"/>
        <v>39.912500000000001</v>
      </c>
      <c r="N45">
        <f t="shared" si="12"/>
        <v>41.972499999999997</v>
      </c>
      <c r="O45">
        <f t="shared" si="12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10.649999999999999</v>
      </c>
      <c r="J46">
        <f t="shared" si="12"/>
        <v>11.501999999999999</v>
      </c>
      <c r="K46">
        <f t="shared" si="12"/>
        <v>12.779999999999998</v>
      </c>
      <c r="L46">
        <f t="shared" si="12"/>
        <v>14.270999999999999</v>
      </c>
      <c r="M46">
        <f t="shared" si="12"/>
        <v>16.187999999999999</v>
      </c>
      <c r="N46">
        <f t="shared" si="12"/>
        <v>15.548999999999998</v>
      </c>
      <c r="O46">
        <f t="shared" si="12"/>
        <v>16.720499999999998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47</v>
      </c>
      <c r="J47">
        <f t="shared" si="12"/>
        <v>54.05</v>
      </c>
      <c r="K47">
        <f t="shared" si="12"/>
        <v>75.2</v>
      </c>
      <c r="L47">
        <f t="shared" si="12"/>
        <v>62.510000000000005</v>
      </c>
      <c r="M47">
        <f t="shared" si="12"/>
        <v>69.09</v>
      </c>
      <c r="N47">
        <f t="shared" si="12"/>
        <v>75.67</v>
      </c>
      <c r="O47">
        <f t="shared" si="12"/>
        <v>83.19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16</v>
      </c>
      <c r="J48">
        <f t="shared" si="12"/>
        <v>13.44</v>
      </c>
      <c r="K48">
        <f t="shared" si="12"/>
        <v>12.64</v>
      </c>
      <c r="L48">
        <f t="shared" si="12"/>
        <v>13.12</v>
      </c>
      <c r="M48">
        <f t="shared" si="12"/>
        <v>13.76</v>
      </c>
      <c r="N48">
        <f t="shared" si="12"/>
        <v>14.08</v>
      </c>
      <c r="O48">
        <f t="shared" si="12"/>
        <v>14.4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20.6</v>
      </c>
      <c r="C11">
        <v>30.9</v>
      </c>
      <c r="D11">
        <v>9.1</v>
      </c>
      <c r="E11">
        <v>12.2</v>
      </c>
      <c r="F11">
        <v>42</v>
      </c>
      <c r="G11">
        <v>52</v>
      </c>
      <c r="H11">
        <v>12</v>
      </c>
      <c r="I11">
        <v>20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6.91</v>
      </c>
      <c r="D11">
        <v>5.15</v>
      </c>
      <c r="E11">
        <v>0</v>
      </c>
      <c r="F11">
        <v>0</v>
      </c>
      <c r="G11">
        <v>5.0999999999999996</v>
      </c>
      <c r="H11">
        <v>0</v>
      </c>
      <c r="I11">
        <v>7</v>
      </c>
    </row>
    <row r="12" spans="1:9" x14ac:dyDescent="0.45">
      <c r="A12" t="s">
        <v>142</v>
      </c>
      <c r="B12">
        <v>2001</v>
      </c>
      <c r="C12">
        <v>6.73</v>
      </c>
      <c r="D12">
        <v>5.22</v>
      </c>
      <c r="E12">
        <v>0</v>
      </c>
      <c r="F12">
        <v>0</v>
      </c>
      <c r="G12">
        <v>4.07</v>
      </c>
      <c r="H12">
        <v>0</v>
      </c>
      <c r="I12">
        <v>7.91</v>
      </c>
    </row>
    <row r="13" spans="1:9" x14ac:dyDescent="0.45">
      <c r="A13" t="s">
        <v>142</v>
      </c>
      <c r="B13">
        <v>2002</v>
      </c>
      <c r="C13">
        <v>7.27</v>
      </c>
      <c r="D13">
        <v>5.29</v>
      </c>
      <c r="E13">
        <v>0</v>
      </c>
      <c r="F13">
        <v>0</v>
      </c>
      <c r="G13">
        <v>4.01</v>
      </c>
      <c r="H13">
        <v>0</v>
      </c>
      <c r="I13">
        <v>8.59</v>
      </c>
    </row>
    <row r="14" spans="1:9" x14ac:dyDescent="0.45">
      <c r="A14" t="s">
        <v>142</v>
      </c>
      <c r="B14">
        <v>2003</v>
      </c>
      <c r="C14">
        <v>6.49</v>
      </c>
      <c r="D14">
        <v>5.42</v>
      </c>
      <c r="E14">
        <v>0</v>
      </c>
      <c r="F14">
        <v>0</v>
      </c>
      <c r="G14">
        <v>3.18</v>
      </c>
      <c r="H14">
        <v>0</v>
      </c>
      <c r="I14">
        <v>8.8000000000000007</v>
      </c>
    </row>
    <row r="15" spans="1:9" x14ac:dyDescent="0.45">
      <c r="A15" t="s">
        <v>142</v>
      </c>
      <c r="B15">
        <v>2004</v>
      </c>
      <c r="C15">
        <v>6.18</v>
      </c>
      <c r="D15">
        <v>5.51</v>
      </c>
      <c r="E15">
        <v>0</v>
      </c>
      <c r="F15">
        <v>0</v>
      </c>
      <c r="G15">
        <v>2.04</v>
      </c>
      <c r="H15">
        <v>0</v>
      </c>
      <c r="I15">
        <v>9.7200000000000006</v>
      </c>
    </row>
    <row r="16" spans="1:9" x14ac:dyDescent="0.45">
      <c r="A16" t="s">
        <v>142</v>
      </c>
      <c r="B16">
        <v>2005</v>
      </c>
      <c r="C16">
        <v>6.59</v>
      </c>
      <c r="D16">
        <v>5.7</v>
      </c>
      <c r="E16">
        <v>0</v>
      </c>
      <c r="F16">
        <v>0</v>
      </c>
      <c r="G16">
        <v>3.01</v>
      </c>
      <c r="H16">
        <v>-0.04</v>
      </c>
      <c r="I16">
        <v>9.3699999999999992</v>
      </c>
    </row>
    <row r="17" spans="1:9" x14ac:dyDescent="0.45">
      <c r="A17" t="s">
        <v>142</v>
      </c>
      <c r="B17">
        <v>2006</v>
      </c>
      <c r="C17">
        <v>5.92</v>
      </c>
      <c r="D17">
        <v>5.88</v>
      </c>
      <c r="E17">
        <v>0</v>
      </c>
      <c r="F17">
        <v>0</v>
      </c>
      <c r="G17">
        <v>4.25</v>
      </c>
      <c r="H17">
        <v>-0.35</v>
      </c>
      <c r="I17">
        <v>7.97</v>
      </c>
    </row>
    <row r="18" spans="1:9" x14ac:dyDescent="0.45">
      <c r="A18" t="s">
        <v>142</v>
      </c>
      <c r="B18">
        <v>2007</v>
      </c>
      <c r="C18">
        <v>5.24</v>
      </c>
      <c r="D18">
        <v>5.23</v>
      </c>
      <c r="E18">
        <v>0</v>
      </c>
      <c r="F18">
        <v>0</v>
      </c>
      <c r="G18">
        <v>2.96</v>
      </c>
      <c r="H18">
        <v>-0.03</v>
      </c>
      <c r="I18">
        <v>7.61</v>
      </c>
    </row>
    <row r="19" spans="1:9" x14ac:dyDescent="0.45">
      <c r="A19" t="s">
        <v>142</v>
      </c>
      <c r="B19">
        <v>2008</v>
      </c>
      <c r="C19">
        <v>3.67</v>
      </c>
      <c r="D19">
        <v>5.01</v>
      </c>
      <c r="E19">
        <v>0</v>
      </c>
      <c r="F19">
        <v>0</v>
      </c>
      <c r="G19">
        <v>1.69</v>
      </c>
      <c r="H19">
        <v>-0.56999999999999995</v>
      </c>
      <c r="I19">
        <v>7.62</v>
      </c>
    </row>
    <row r="20" spans="1:9" x14ac:dyDescent="0.45">
      <c r="A20" t="s">
        <v>142</v>
      </c>
      <c r="B20">
        <v>2009</v>
      </c>
      <c r="C20">
        <v>3.72</v>
      </c>
      <c r="D20">
        <v>4.78</v>
      </c>
      <c r="E20">
        <v>0</v>
      </c>
      <c r="F20">
        <v>0</v>
      </c>
      <c r="G20">
        <v>2.1800000000000002</v>
      </c>
      <c r="H20">
        <v>-0.9</v>
      </c>
      <c r="I20">
        <v>7.29</v>
      </c>
    </row>
    <row r="21" spans="1:9" x14ac:dyDescent="0.45">
      <c r="A21" t="s">
        <v>142</v>
      </c>
      <c r="B21">
        <v>2010</v>
      </c>
      <c r="C21">
        <v>5.16</v>
      </c>
      <c r="D21">
        <v>4.2</v>
      </c>
      <c r="E21">
        <v>0</v>
      </c>
      <c r="F21">
        <v>0</v>
      </c>
      <c r="G21">
        <v>1.72</v>
      </c>
      <c r="H21">
        <v>-0.99</v>
      </c>
      <c r="I21">
        <v>8.69</v>
      </c>
    </row>
    <row r="22" spans="1:9" x14ac:dyDescent="0.45">
      <c r="A22" t="s">
        <v>142</v>
      </c>
      <c r="B22">
        <v>2011</v>
      </c>
      <c r="C22">
        <v>5.14</v>
      </c>
      <c r="D22">
        <v>4.6399999999999997</v>
      </c>
      <c r="E22">
        <v>0</v>
      </c>
      <c r="F22">
        <v>0</v>
      </c>
      <c r="G22">
        <v>1.58</v>
      </c>
      <c r="H22">
        <v>-0.98</v>
      </c>
      <c r="I22">
        <v>9.24</v>
      </c>
    </row>
    <row r="23" spans="1:9" x14ac:dyDescent="0.45">
      <c r="A23" t="s">
        <v>142</v>
      </c>
      <c r="B23">
        <v>2012</v>
      </c>
      <c r="C23">
        <v>5.01</v>
      </c>
      <c r="D23">
        <v>4.6900000000000004</v>
      </c>
      <c r="E23">
        <v>0</v>
      </c>
      <c r="F23">
        <v>0</v>
      </c>
      <c r="G23">
        <v>1.2</v>
      </c>
      <c r="H23">
        <v>-0.65</v>
      </c>
      <c r="I23">
        <v>9.2100000000000009</v>
      </c>
    </row>
    <row r="24" spans="1:9" x14ac:dyDescent="0.45">
      <c r="A24" t="s">
        <v>142</v>
      </c>
      <c r="B24">
        <v>2013</v>
      </c>
      <c r="C24">
        <v>5</v>
      </c>
      <c r="D24">
        <v>5.1100000000000003</v>
      </c>
      <c r="E24">
        <v>0</v>
      </c>
      <c r="F24">
        <v>0</v>
      </c>
      <c r="G24">
        <v>1.73</v>
      </c>
      <c r="H24">
        <v>-1.2</v>
      </c>
      <c r="I24">
        <v>9.58</v>
      </c>
    </row>
    <row r="25" spans="1:9" x14ac:dyDescent="0.45">
      <c r="A25" t="s">
        <v>142</v>
      </c>
      <c r="B25">
        <v>2014</v>
      </c>
      <c r="C25">
        <v>5.22</v>
      </c>
      <c r="D25">
        <v>4.79</v>
      </c>
      <c r="E25">
        <v>0</v>
      </c>
      <c r="F25">
        <v>0</v>
      </c>
      <c r="G25">
        <v>1.1299999999999999</v>
      </c>
      <c r="H25">
        <v>-1.23</v>
      </c>
      <c r="I25">
        <v>10.029999999999999</v>
      </c>
    </row>
    <row r="26" spans="1:9" x14ac:dyDescent="0.45">
      <c r="A26" t="s">
        <v>142</v>
      </c>
      <c r="B26">
        <v>2015</v>
      </c>
      <c r="C26">
        <v>4.37</v>
      </c>
      <c r="D26">
        <v>4.84</v>
      </c>
      <c r="E26">
        <v>0</v>
      </c>
      <c r="F26">
        <v>0</v>
      </c>
      <c r="G26">
        <v>1.1499999999999999</v>
      </c>
      <c r="H26">
        <v>-1.25</v>
      </c>
      <c r="I26">
        <v>9.7100000000000009</v>
      </c>
    </row>
    <row r="27" spans="1:9" x14ac:dyDescent="0.45">
      <c r="A27" t="s">
        <v>142</v>
      </c>
      <c r="B27">
        <v>2016</v>
      </c>
      <c r="C27">
        <v>4.4400000000000004</v>
      </c>
      <c r="D27">
        <v>4.57</v>
      </c>
      <c r="E27">
        <v>0</v>
      </c>
      <c r="F27">
        <v>0</v>
      </c>
      <c r="G27">
        <v>2.2200000000000002</v>
      </c>
      <c r="H27">
        <v>-0.37</v>
      </c>
      <c r="I27">
        <v>7.25</v>
      </c>
    </row>
    <row r="28" spans="1:9" x14ac:dyDescent="0.45">
      <c r="A28" t="s">
        <v>142</v>
      </c>
      <c r="B28">
        <v>2017</v>
      </c>
      <c r="C28">
        <v>5.23</v>
      </c>
      <c r="D28">
        <v>4.46</v>
      </c>
      <c r="E28">
        <v>0</v>
      </c>
      <c r="F28">
        <v>0</v>
      </c>
      <c r="G28">
        <v>2.57</v>
      </c>
      <c r="H28">
        <v>-0.35</v>
      </c>
      <c r="I28">
        <v>7.55</v>
      </c>
    </row>
    <row r="29" spans="1:9" x14ac:dyDescent="0.45">
      <c r="A29" t="s">
        <v>142</v>
      </c>
      <c r="B29">
        <v>2018</v>
      </c>
      <c r="C29">
        <v>5.82</v>
      </c>
      <c r="D29">
        <v>4.74</v>
      </c>
      <c r="E29">
        <v>0</v>
      </c>
      <c r="F29">
        <v>0</v>
      </c>
      <c r="G29">
        <v>2.57</v>
      </c>
      <c r="H29">
        <v>-0.35</v>
      </c>
      <c r="I29">
        <v>9.3699999999999992</v>
      </c>
    </row>
    <row r="30" spans="1:9" x14ac:dyDescent="0.45">
      <c r="A30" t="s">
        <v>142</v>
      </c>
      <c r="B30">
        <v>2019</v>
      </c>
      <c r="C30">
        <v>5.39</v>
      </c>
      <c r="D30">
        <v>3.92</v>
      </c>
      <c r="E30">
        <v>0</v>
      </c>
      <c r="F30">
        <v>0</v>
      </c>
      <c r="G30">
        <v>1.61</v>
      </c>
      <c r="H30">
        <v>-0.5</v>
      </c>
      <c r="I30">
        <v>8.39</v>
      </c>
    </row>
    <row r="31" spans="1:9" x14ac:dyDescent="0.45">
      <c r="A31" t="s">
        <v>142</v>
      </c>
      <c r="B31">
        <v>2020</v>
      </c>
      <c r="C31">
        <v>4.91</v>
      </c>
      <c r="D31">
        <v>3.57</v>
      </c>
      <c r="E31">
        <v>0</v>
      </c>
      <c r="F31">
        <v>0</v>
      </c>
      <c r="G31">
        <v>2.34</v>
      </c>
      <c r="H31">
        <v>-0.35</v>
      </c>
      <c r="I31">
        <v>6.67</v>
      </c>
    </row>
    <row r="32" spans="1:9" x14ac:dyDescent="0.45">
      <c r="A32" t="s">
        <v>142</v>
      </c>
      <c r="B32">
        <v>2021</v>
      </c>
      <c r="C32">
        <v>5.87</v>
      </c>
      <c r="D32">
        <v>4.25</v>
      </c>
      <c r="E32">
        <v>0</v>
      </c>
      <c r="F32">
        <v>0</v>
      </c>
      <c r="G32">
        <v>2.19</v>
      </c>
      <c r="H32">
        <v>-0.45</v>
      </c>
      <c r="I32">
        <v>8.56</v>
      </c>
    </row>
    <row r="33" spans="1:9" x14ac:dyDescent="0.45">
      <c r="A33" t="s">
        <v>142</v>
      </c>
      <c r="B33">
        <v>2022</v>
      </c>
      <c r="C33">
        <v>6.18</v>
      </c>
      <c r="D33">
        <v>4.38</v>
      </c>
      <c r="E33">
        <v>0</v>
      </c>
      <c r="F33">
        <v>0</v>
      </c>
      <c r="G33">
        <v>2.2999999999999998</v>
      </c>
      <c r="H33">
        <v>-0.4</v>
      </c>
      <c r="I33">
        <v>8.7100000000000009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200</v>
      </c>
      <c r="D10" t="s">
        <v>107</v>
      </c>
      <c r="F10" t="s">
        <v>200</v>
      </c>
      <c r="G10" t="s">
        <v>132</v>
      </c>
    </row>
    <row r="11" spans="1:7" x14ac:dyDescent="0.45">
      <c r="B11" s="15"/>
      <c r="C11" s="15" t="s">
        <v>201</v>
      </c>
      <c r="D11" t="s">
        <v>156</v>
      </c>
      <c r="F11" t="s">
        <v>201</v>
      </c>
      <c r="G11" t="s">
        <v>224</v>
      </c>
    </row>
    <row r="12" spans="1:7" x14ac:dyDescent="0.45">
      <c r="B12" s="15"/>
      <c r="C12" s="15" t="s">
        <v>202</v>
      </c>
      <c r="D12" t="s">
        <v>156</v>
      </c>
      <c r="F12" t="s">
        <v>202</v>
      </c>
      <c r="G12" t="s">
        <v>225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F07A-BAA1-4E09-AEF4-3D23461DFDC7}">
  <dimension ref="A9:AI32"/>
  <sheetViews>
    <sheetView workbookViewId="0"/>
  </sheetViews>
  <sheetFormatPr defaultRowHeight="14.25" x14ac:dyDescent="0.45"/>
  <sheetData>
    <row r="9" spans="1:35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B9" t="str">
        <f>IF(A11="x","DeActivated","~TFM_DINS-AT")</f>
        <v>~TFM_DINS-AT</v>
      </c>
      <c r="AF9" t="str">
        <f>IF(A11="x","DeActivated","~TFM_INS-AT")</f>
        <v>~TFM_INS-AT</v>
      </c>
    </row>
    <row r="10" spans="1:35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154</v>
      </c>
      <c r="L10" t="s">
        <v>30</v>
      </c>
      <c r="N10" t="s">
        <v>13</v>
      </c>
      <c r="O10" t="s">
        <v>122</v>
      </c>
      <c r="P10" t="s">
        <v>154</v>
      </c>
      <c r="Q10" t="s">
        <v>30</v>
      </c>
      <c r="S10" t="s">
        <v>199</v>
      </c>
      <c r="T10" t="s">
        <v>154</v>
      </c>
      <c r="U10" t="s">
        <v>122</v>
      </c>
      <c r="V10" t="s">
        <v>13</v>
      </c>
      <c r="X10" t="s">
        <v>13</v>
      </c>
      <c r="Y10" t="s">
        <v>122</v>
      </c>
      <c r="Z10" t="s">
        <v>154</v>
      </c>
      <c r="AB10" t="s">
        <v>13</v>
      </c>
      <c r="AC10" t="s">
        <v>122</v>
      </c>
      <c r="AD10" t="s">
        <v>203</v>
      </c>
      <c r="AF10" t="s">
        <v>47</v>
      </c>
      <c r="AG10" t="s">
        <v>122</v>
      </c>
      <c r="AH10" t="s">
        <v>204</v>
      </c>
      <c r="AI10" t="s">
        <v>205</v>
      </c>
    </row>
    <row r="11" spans="1:35" x14ac:dyDescent="0.45">
      <c r="A11" t="str">
        <f>IFERROR(IF(Veda!D5=A10,"ok","x"),"")</f>
        <v>ok</v>
      </c>
      <c r="C11" t="s">
        <v>151</v>
      </c>
      <c r="D11" t="s">
        <v>152</v>
      </c>
      <c r="E11" t="s">
        <v>153</v>
      </c>
      <c r="F11" t="s">
        <v>151</v>
      </c>
      <c r="G11" t="s">
        <v>152</v>
      </c>
      <c r="I11" t="s">
        <v>155</v>
      </c>
      <c r="J11" t="s">
        <v>156</v>
      </c>
      <c r="K11">
        <v>0.99999999999999933</v>
      </c>
      <c r="L11" t="s">
        <v>157</v>
      </c>
      <c r="N11" t="s">
        <v>179</v>
      </c>
      <c r="O11" t="s">
        <v>156</v>
      </c>
      <c r="P11">
        <v>1.0000000000000031</v>
      </c>
      <c r="Q11" t="s">
        <v>157</v>
      </c>
      <c r="S11">
        <v>1</v>
      </c>
      <c r="T11">
        <v>1.0000000000000002</v>
      </c>
      <c r="U11" t="s">
        <v>156</v>
      </c>
      <c r="V11" t="s">
        <v>25</v>
      </c>
      <c r="X11" t="s">
        <v>22</v>
      </c>
      <c r="Y11" t="s">
        <v>156</v>
      </c>
      <c r="Z11">
        <v>1</v>
      </c>
      <c r="AB11" t="s">
        <v>97</v>
      </c>
      <c r="AC11" t="s">
        <v>156</v>
      </c>
      <c r="AD11">
        <v>0.25919003258331252</v>
      </c>
    </row>
    <row r="12" spans="1:35" x14ac:dyDescent="0.45">
      <c r="I12" t="s">
        <v>158</v>
      </c>
      <c r="J12" t="s">
        <v>156</v>
      </c>
      <c r="K12">
        <v>0.99999999999999933</v>
      </c>
      <c r="L12" t="s">
        <v>157</v>
      </c>
      <c r="N12" t="s">
        <v>180</v>
      </c>
      <c r="O12" t="s">
        <v>156</v>
      </c>
      <c r="P12">
        <v>0.99999999999999867</v>
      </c>
      <c r="Q12" t="s">
        <v>157</v>
      </c>
      <c r="X12" t="s">
        <v>19</v>
      </c>
      <c r="Y12" t="s">
        <v>156</v>
      </c>
      <c r="Z12">
        <v>1</v>
      </c>
    </row>
    <row r="13" spans="1:35" x14ac:dyDescent="0.45">
      <c r="I13" t="s">
        <v>159</v>
      </c>
      <c r="J13" t="s">
        <v>156</v>
      </c>
      <c r="K13">
        <v>0.99999999999999778</v>
      </c>
      <c r="L13" t="s">
        <v>157</v>
      </c>
      <c r="N13" t="s">
        <v>181</v>
      </c>
      <c r="O13" t="s">
        <v>156</v>
      </c>
      <c r="P13">
        <v>0.99999999999999956</v>
      </c>
      <c r="Q13" t="s">
        <v>157</v>
      </c>
    </row>
    <row r="14" spans="1:35" x14ac:dyDescent="0.45">
      <c r="I14" t="s">
        <v>160</v>
      </c>
      <c r="J14" t="s">
        <v>156</v>
      </c>
      <c r="K14">
        <v>1.0000000000000024</v>
      </c>
      <c r="L14" t="s">
        <v>157</v>
      </c>
      <c r="N14" t="s">
        <v>182</v>
      </c>
      <c r="O14" t="s">
        <v>156</v>
      </c>
      <c r="P14">
        <v>1.0000000000000029</v>
      </c>
      <c r="Q14" t="s">
        <v>157</v>
      </c>
    </row>
    <row r="15" spans="1:35" x14ac:dyDescent="0.45">
      <c r="I15" t="s">
        <v>161</v>
      </c>
      <c r="J15" t="s">
        <v>156</v>
      </c>
      <c r="K15">
        <v>0.99999999999999656</v>
      </c>
      <c r="L15" t="s">
        <v>157</v>
      </c>
      <c r="N15" t="s">
        <v>183</v>
      </c>
      <c r="O15" t="s">
        <v>156</v>
      </c>
      <c r="P15">
        <v>1.0000000000000013</v>
      </c>
      <c r="Q15" t="s">
        <v>157</v>
      </c>
    </row>
    <row r="16" spans="1:35" x14ac:dyDescent="0.45">
      <c r="I16" t="s">
        <v>162</v>
      </c>
      <c r="J16" t="s">
        <v>156</v>
      </c>
      <c r="K16">
        <v>1.0000000000000011</v>
      </c>
      <c r="L16" t="s">
        <v>157</v>
      </c>
      <c r="N16" t="s">
        <v>184</v>
      </c>
      <c r="O16" t="s">
        <v>156</v>
      </c>
      <c r="P16">
        <v>0.99999999999999856</v>
      </c>
      <c r="Q16" t="s">
        <v>157</v>
      </c>
    </row>
    <row r="17" spans="9:17" x14ac:dyDescent="0.45">
      <c r="I17" t="s">
        <v>163</v>
      </c>
      <c r="J17" t="s">
        <v>156</v>
      </c>
      <c r="K17">
        <v>0.99999999999999845</v>
      </c>
      <c r="L17" t="s">
        <v>157</v>
      </c>
      <c r="N17" t="s">
        <v>185</v>
      </c>
      <c r="O17" t="s">
        <v>156</v>
      </c>
      <c r="P17">
        <v>1.0000000000000011</v>
      </c>
      <c r="Q17" t="s">
        <v>157</v>
      </c>
    </row>
    <row r="18" spans="9:17" x14ac:dyDescent="0.45">
      <c r="I18" t="s">
        <v>164</v>
      </c>
      <c r="J18" t="s">
        <v>156</v>
      </c>
      <c r="K18">
        <v>1.0000000000000004</v>
      </c>
      <c r="L18" t="s">
        <v>157</v>
      </c>
      <c r="N18" t="s">
        <v>186</v>
      </c>
      <c r="O18" t="s">
        <v>156</v>
      </c>
      <c r="P18">
        <v>0.99999999999999745</v>
      </c>
      <c r="Q18" t="s">
        <v>157</v>
      </c>
    </row>
    <row r="19" spans="9:17" x14ac:dyDescent="0.45">
      <c r="I19" t="s">
        <v>165</v>
      </c>
      <c r="J19" t="s">
        <v>156</v>
      </c>
      <c r="K19">
        <v>1.0000000000000004</v>
      </c>
      <c r="L19" t="s">
        <v>157</v>
      </c>
      <c r="N19" t="s">
        <v>187</v>
      </c>
      <c r="O19" t="s">
        <v>156</v>
      </c>
      <c r="P19">
        <v>0.99999999999999933</v>
      </c>
      <c r="Q19" t="s">
        <v>157</v>
      </c>
    </row>
    <row r="20" spans="9:17" x14ac:dyDescent="0.45">
      <c r="I20" t="s">
        <v>166</v>
      </c>
      <c r="J20" t="s">
        <v>156</v>
      </c>
      <c r="K20">
        <v>0.99999999999999911</v>
      </c>
      <c r="L20" t="s">
        <v>157</v>
      </c>
      <c r="N20" t="s">
        <v>188</v>
      </c>
      <c r="O20" t="s">
        <v>156</v>
      </c>
      <c r="P20">
        <v>1.0000000000000038</v>
      </c>
      <c r="Q20" t="s">
        <v>157</v>
      </c>
    </row>
    <row r="21" spans="9:17" x14ac:dyDescent="0.45">
      <c r="I21" t="s">
        <v>167</v>
      </c>
      <c r="J21" t="s">
        <v>156</v>
      </c>
      <c r="K21">
        <v>1.0000000000000036</v>
      </c>
      <c r="L21" t="s">
        <v>157</v>
      </c>
      <c r="N21" t="s">
        <v>189</v>
      </c>
      <c r="O21" t="s">
        <v>156</v>
      </c>
      <c r="P21">
        <v>1.0000000000000013</v>
      </c>
      <c r="Q21" t="s">
        <v>157</v>
      </c>
    </row>
    <row r="22" spans="9:17" x14ac:dyDescent="0.45">
      <c r="I22" t="s">
        <v>168</v>
      </c>
      <c r="J22" t="s">
        <v>156</v>
      </c>
      <c r="K22">
        <v>0.99999999999999889</v>
      </c>
      <c r="L22" t="s">
        <v>157</v>
      </c>
      <c r="N22" t="s">
        <v>190</v>
      </c>
      <c r="O22" t="s">
        <v>156</v>
      </c>
      <c r="P22">
        <v>1.0000000000000033</v>
      </c>
      <c r="Q22" t="s">
        <v>157</v>
      </c>
    </row>
    <row r="23" spans="9:17" x14ac:dyDescent="0.45">
      <c r="I23" t="s">
        <v>169</v>
      </c>
      <c r="J23" t="s">
        <v>156</v>
      </c>
      <c r="K23">
        <v>0.99999999999999989</v>
      </c>
      <c r="L23" t="s">
        <v>157</v>
      </c>
      <c r="N23" t="s">
        <v>191</v>
      </c>
      <c r="O23" t="s">
        <v>156</v>
      </c>
      <c r="P23">
        <v>0.99999999999999989</v>
      </c>
      <c r="Q23" t="s">
        <v>157</v>
      </c>
    </row>
    <row r="24" spans="9:17" x14ac:dyDescent="0.45">
      <c r="I24" t="s">
        <v>170</v>
      </c>
      <c r="J24" t="s">
        <v>156</v>
      </c>
      <c r="K24">
        <v>0.99999999999999856</v>
      </c>
      <c r="L24" t="s">
        <v>157</v>
      </c>
      <c r="N24" t="s">
        <v>192</v>
      </c>
      <c r="O24" t="s">
        <v>156</v>
      </c>
      <c r="P24">
        <v>1.000000000000002</v>
      </c>
      <c r="Q24" t="s">
        <v>157</v>
      </c>
    </row>
    <row r="25" spans="9:17" x14ac:dyDescent="0.45">
      <c r="I25" t="s">
        <v>171</v>
      </c>
      <c r="J25" t="s">
        <v>156</v>
      </c>
      <c r="K25">
        <v>0.99999999999999933</v>
      </c>
      <c r="L25" t="s">
        <v>157</v>
      </c>
      <c r="N25" t="s">
        <v>193</v>
      </c>
      <c r="O25" t="s">
        <v>156</v>
      </c>
      <c r="P25">
        <v>0.99999999999999678</v>
      </c>
      <c r="Q25" t="s">
        <v>157</v>
      </c>
    </row>
    <row r="26" spans="9:17" x14ac:dyDescent="0.45">
      <c r="I26" t="s">
        <v>172</v>
      </c>
      <c r="J26" t="s">
        <v>156</v>
      </c>
      <c r="K26">
        <v>1</v>
      </c>
      <c r="L26" t="s">
        <v>157</v>
      </c>
      <c r="N26" t="s">
        <v>194</v>
      </c>
      <c r="O26" t="s">
        <v>156</v>
      </c>
      <c r="P26">
        <v>1.0000000000000009</v>
      </c>
      <c r="Q26" t="s">
        <v>157</v>
      </c>
    </row>
    <row r="27" spans="9:17" x14ac:dyDescent="0.45">
      <c r="I27" t="s">
        <v>173</v>
      </c>
      <c r="J27" t="s">
        <v>156</v>
      </c>
      <c r="K27">
        <v>0.99999999999999956</v>
      </c>
      <c r="L27" t="s">
        <v>157</v>
      </c>
      <c r="N27" t="s">
        <v>195</v>
      </c>
      <c r="O27" t="s">
        <v>156</v>
      </c>
      <c r="P27">
        <v>1.0000000000000042</v>
      </c>
      <c r="Q27" t="s">
        <v>157</v>
      </c>
    </row>
    <row r="28" spans="9:17" x14ac:dyDescent="0.45">
      <c r="I28" t="s">
        <v>174</v>
      </c>
      <c r="J28" t="s">
        <v>156</v>
      </c>
      <c r="K28">
        <v>1.0000000000000024</v>
      </c>
      <c r="L28" t="s">
        <v>157</v>
      </c>
      <c r="N28" t="s">
        <v>196</v>
      </c>
      <c r="O28" t="s">
        <v>156</v>
      </c>
      <c r="P28">
        <v>0.99999999999999978</v>
      </c>
      <c r="Q28" t="s">
        <v>157</v>
      </c>
    </row>
    <row r="29" spans="9:17" x14ac:dyDescent="0.45">
      <c r="I29" t="s">
        <v>175</v>
      </c>
      <c r="J29" t="s">
        <v>156</v>
      </c>
      <c r="K29">
        <v>0.99999999999999811</v>
      </c>
      <c r="L29" t="s">
        <v>157</v>
      </c>
      <c r="N29" t="s">
        <v>197</v>
      </c>
      <c r="O29" t="s">
        <v>156</v>
      </c>
      <c r="P29">
        <v>0.99999999999999867</v>
      </c>
      <c r="Q29" t="s">
        <v>157</v>
      </c>
    </row>
    <row r="30" spans="9:17" x14ac:dyDescent="0.45">
      <c r="I30" t="s">
        <v>176</v>
      </c>
      <c r="J30" t="s">
        <v>156</v>
      </c>
      <c r="K30">
        <v>1.0000000000000004</v>
      </c>
      <c r="L30" t="s">
        <v>157</v>
      </c>
      <c r="N30" t="s">
        <v>198</v>
      </c>
      <c r="O30" t="s">
        <v>156</v>
      </c>
      <c r="P30">
        <v>1.0000000000000044</v>
      </c>
      <c r="Q30" t="s">
        <v>157</v>
      </c>
    </row>
    <row r="31" spans="9:17" x14ac:dyDescent="0.45">
      <c r="I31" t="s">
        <v>177</v>
      </c>
      <c r="J31" t="s">
        <v>156</v>
      </c>
      <c r="K31">
        <v>0.99999999999999978</v>
      </c>
      <c r="L31" t="s">
        <v>157</v>
      </c>
    </row>
    <row r="32" spans="9:17" x14ac:dyDescent="0.45">
      <c r="I32" t="s">
        <v>178</v>
      </c>
      <c r="J32" t="s">
        <v>156</v>
      </c>
      <c r="K32">
        <v>0.99999999999999978</v>
      </c>
      <c r="L32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60FC-E185-4882-933C-AD6145BFB43F}">
  <dimension ref="A9:AI274"/>
  <sheetViews>
    <sheetView tabSelected="1" workbookViewId="0"/>
  </sheetViews>
  <sheetFormatPr defaultRowHeight="14.25" x14ac:dyDescent="0.45"/>
  <sheetData>
    <row r="9" spans="1:35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B9" t="str">
        <f>IF(A11="x","DeActivated","~TFM_DINS-AT")</f>
        <v>DeActivated</v>
      </c>
      <c r="AF9" t="str">
        <f>IF(A11="x","DeActivated","~TFM_INS-AT")</f>
        <v>DeActivated</v>
      </c>
    </row>
    <row r="10" spans="1:35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154</v>
      </c>
      <c r="L10" t="s">
        <v>30</v>
      </c>
      <c r="N10" t="s">
        <v>13</v>
      </c>
      <c r="O10" t="s">
        <v>122</v>
      </c>
      <c r="P10" t="s">
        <v>154</v>
      </c>
      <c r="Q10" t="s">
        <v>30</v>
      </c>
      <c r="S10" t="s">
        <v>199</v>
      </c>
      <c r="T10" t="s">
        <v>154</v>
      </c>
      <c r="U10" t="s">
        <v>122</v>
      </c>
      <c r="V10" t="s">
        <v>13</v>
      </c>
      <c r="X10" t="s">
        <v>13</v>
      </c>
      <c r="Y10" t="s">
        <v>122</v>
      </c>
      <c r="Z10" t="s">
        <v>154</v>
      </c>
      <c r="AB10" t="s">
        <v>13</v>
      </c>
      <c r="AC10" t="s">
        <v>122</v>
      </c>
      <c r="AD10" t="s">
        <v>203</v>
      </c>
      <c r="AF10" t="s">
        <v>47</v>
      </c>
      <c r="AG10" t="s">
        <v>122</v>
      </c>
      <c r="AH10" t="s">
        <v>204</v>
      </c>
      <c r="AI10" t="s">
        <v>205</v>
      </c>
    </row>
    <row r="11" spans="1:35" x14ac:dyDescent="0.45">
      <c r="A11" t="str">
        <f>IFERROR(IF(Veda!D5=A10,"ok","x"),"")</f>
        <v>x</v>
      </c>
      <c r="C11" t="s">
        <v>206</v>
      </c>
      <c r="D11" t="s">
        <v>152</v>
      </c>
      <c r="E11" t="s">
        <v>201</v>
      </c>
      <c r="F11" t="s">
        <v>207</v>
      </c>
      <c r="G11" t="s">
        <v>152</v>
      </c>
      <c r="I11" t="s">
        <v>155</v>
      </c>
      <c r="J11" t="s">
        <v>212</v>
      </c>
      <c r="K11">
        <v>0.25431728481739696</v>
      </c>
      <c r="L11" t="s">
        <v>157</v>
      </c>
      <c r="N11" t="s">
        <v>179</v>
      </c>
      <c r="O11" t="s">
        <v>212</v>
      </c>
      <c r="P11">
        <v>0.10319405531001495</v>
      </c>
      <c r="Q11" t="s">
        <v>157</v>
      </c>
      <c r="S11">
        <v>0.11426940639269406</v>
      </c>
      <c r="T11">
        <v>0.16087081189037786</v>
      </c>
      <c r="U11" t="s">
        <v>212</v>
      </c>
      <c r="V11" t="s">
        <v>25</v>
      </c>
      <c r="X11" t="s">
        <v>22</v>
      </c>
      <c r="Y11" t="s">
        <v>212</v>
      </c>
      <c r="Z11">
        <v>0.13768811235649625</v>
      </c>
      <c r="AB11" t="s">
        <v>97</v>
      </c>
      <c r="AC11" t="s">
        <v>212</v>
      </c>
      <c r="AD11">
        <v>0.12737052587784281</v>
      </c>
    </row>
    <row r="12" spans="1:35" x14ac:dyDescent="0.45">
      <c r="C12" t="s">
        <v>208</v>
      </c>
      <c r="E12" t="s">
        <v>202</v>
      </c>
      <c r="G12" t="s">
        <v>152</v>
      </c>
      <c r="I12" t="s">
        <v>155</v>
      </c>
      <c r="J12" t="s">
        <v>213</v>
      </c>
      <c r="K12">
        <v>0</v>
      </c>
      <c r="L12" t="s">
        <v>157</v>
      </c>
      <c r="N12" t="s">
        <v>179</v>
      </c>
      <c r="O12" t="s">
        <v>213</v>
      </c>
      <c r="P12">
        <v>0.19316495337693917</v>
      </c>
      <c r="Q12" t="s">
        <v>157</v>
      </c>
      <c r="S12">
        <v>0.11426940639269406</v>
      </c>
      <c r="T12">
        <v>5.2547713165767528E-2</v>
      </c>
      <c r="U12" t="s">
        <v>213</v>
      </c>
      <c r="V12" t="s">
        <v>25</v>
      </c>
      <c r="X12" t="s">
        <v>22</v>
      </c>
      <c r="Y12" t="s">
        <v>213</v>
      </c>
      <c r="Z12">
        <v>8.8541671357926052E-2</v>
      </c>
      <c r="AB12" t="s">
        <v>97</v>
      </c>
      <c r="AC12" t="s">
        <v>213</v>
      </c>
      <c r="AD12">
        <v>0.32393064564633933</v>
      </c>
    </row>
    <row r="13" spans="1:35" x14ac:dyDescent="0.45">
      <c r="C13" t="s">
        <v>209</v>
      </c>
      <c r="E13" t="s">
        <v>210</v>
      </c>
      <c r="G13" t="s">
        <v>152</v>
      </c>
      <c r="I13" t="s">
        <v>155</v>
      </c>
      <c r="J13" t="s">
        <v>214</v>
      </c>
      <c r="K13">
        <v>3.0154224056355962E-2</v>
      </c>
      <c r="L13" t="s">
        <v>157</v>
      </c>
      <c r="N13" t="s">
        <v>179</v>
      </c>
      <c r="O13" t="s">
        <v>214</v>
      </c>
      <c r="P13">
        <v>2.9101381204451517E-2</v>
      </c>
      <c r="Q13" t="s">
        <v>157</v>
      </c>
      <c r="S13">
        <v>2.0776255707762557E-2</v>
      </c>
      <c r="T13">
        <v>3.5896543437005365E-2</v>
      </c>
      <c r="U13" t="s">
        <v>214</v>
      </c>
      <c r="V13" t="s">
        <v>25</v>
      </c>
      <c r="X13" t="s">
        <v>22</v>
      </c>
      <c r="Y13" t="s">
        <v>214</v>
      </c>
      <c r="Z13">
        <v>2.8154909996590795E-2</v>
      </c>
      <c r="AB13" t="s">
        <v>97</v>
      </c>
      <c r="AC13" t="s">
        <v>214</v>
      </c>
      <c r="AD13">
        <v>5.909319129428714E-2</v>
      </c>
    </row>
    <row r="14" spans="1:35" x14ac:dyDescent="0.45">
      <c r="C14" t="s">
        <v>211</v>
      </c>
      <c r="I14" t="s">
        <v>155</v>
      </c>
      <c r="J14" t="s">
        <v>215</v>
      </c>
      <c r="K14">
        <v>0.22406936901871932</v>
      </c>
      <c r="L14" t="s">
        <v>157</v>
      </c>
      <c r="N14" t="s">
        <v>179</v>
      </c>
      <c r="O14" t="s">
        <v>215</v>
      </c>
      <c r="P14">
        <v>6.2606481988836615E-2</v>
      </c>
      <c r="Q14" t="s">
        <v>157</v>
      </c>
      <c r="S14">
        <v>0.11552511415525114</v>
      </c>
      <c r="T14">
        <v>0.16263862301005233</v>
      </c>
      <c r="U14" t="s">
        <v>215</v>
      </c>
      <c r="V14" t="s">
        <v>25</v>
      </c>
      <c r="X14" t="s">
        <v>22</v>
      </c>
      <c r="Y14" t="s">
        <v>215</v>
      </c>
      <c r="Z14">
        <v>0.13453819075348911</v>
      </c>
      <c r="AB14" t="s">
        <v>97</v>
      </c>
      <c r="AC14" t="s">
        <v>215</v>
      </c>
      <c r="AD14">
        <v>0.14400311878641081</v>
      </c>
    </row>
    <row r="15" spans="1:35" x14ac:dyDescent="0.45">
      <c r="I15" t="s">
        <v>155</v>
      </c>
      <c r="J15" t="s">
        <v>216</v>
      </c>
      <c r="K15">
        <v>0</v>
      </c>
      <c r="L15" t="s">
        <v>157</v>
      </c>
      <c r="N15" t="s">
        <v>179</v>
      </c>
      <c r="O15" t="s">
        <v>216</v>
      </c>
      <c r="P15">
        <v>0.12462216279732889</v>
      </c>
      <c r="Q15" t="s">
        <v>157</v>
      </c>
      <c r="S15">
        <v>0.11552511415525114</v>
      </c>
      <c r="T15">
        <v>5.3125160563193538E-2</v>
      </c>
      <c r="U15" t="s">
        <v>216</v>
      </c>
      <c r="V15" t="s">
        <v>25</v>
      </c>
      <c r="X15" t="s">
        <v>22</v>
      </c>
      <c r="Y15" t="s">
        <v>216</v>
      </c>
      <c r="Z15">
        <v>8.9218074770665887E-2</v>
      </c>
      <c r="AB15" t="s">
        <v>97</v>
      </c>
      <c r="AC15" t="s">
        <v>216</v>
      </c>
      <c r="AD15">
        <v>0.34943149220453229</v>
      </c>
    </row>
    <row r="16" spans="1:35" x14ac:dyDescent="0.45">
      <c r="I16" t="s">
        <v>155</v>
      </c>
      <c r="J16" t="s">
        <v>217</v>
      </c>
      <c r="K16">
        <v>2.5446512127447588E-2</v>
      </c>
      <c r="L16" t="s">
        <v>157</v>
      </c>
      <c r="N16" t="s">
        <v>179</v>
      </c>
      <c r="O16" t="s">
        <v>217</v>
      </c>
      <c r="P16">
        <v>1.5410827705238057E-2</v>
      </c>
      <c r="Q16" t="s">
        <v>157</v>
      </c>
      <c r="S16">
        <v>2.1004566210045664E-2</v>
      </c>
      <c r="T16">
        <v>3.6291010947302131E-2</v>
      </c>
      <c r="U16" t="s">
        <v>217</v>
      </c>
      <c r="V16" t="s">
        <v>25</v>
      </c>
      <c r="X16" t="s">
        <v>22</v>
      </c>
      <c r="Y16" t="s">
        <v>217</v>
      </c>
      <c r="Z16">
        <v>2.8089772230019492E-2</v>
      </c>
      <c r="AB16" t="s">
        <v>97</v>
      </c>
      <c r="AC16" t="s">
        <v>217</v>
      </c>
      <c r="AD16">
        <v>4.5155677086570201E-2</v>
      </c>
    </row>
    <row r="17" spans="9:30" x14ac:dyDescent="0.45">
      <c r="I17" t="s">
        <v>155</v>
      </c>
      <c r="J17" t="s">
        <v>218</v>
      </c>
      <c r="K17">
        <v>0.1830326581757924</v>
      </c>
      <c r="L17" t="s">
        <v>157</v>
      </c>
      <c r="N17" t="s">
        <v>179</v>
      </c>
      <c r="O17" t="s">
        <v>218</v>
      </c>
      <c r="P17">
        <v>7.4133808650561392E-2</v>
      </c>
      <c r="Q17" t="s">
        <v>157</v>
      </c>
      <c r="S17">
        <v>0.11552511415525114</v>
      </c>
      <c r="T17">
        <v>0.16263862301005233</v>
      </c>
      <c r="U17" t="s">
        <v>218</v>
      </c>
      <c r="V17" t="s">
        <v>25</v>
      </c>
      <c r="X17" t="s">
        <v>22</v>
      </c>
      <c r="Y17" t="s">
        <v>218</v>
      </c>
      <c r="Z17">
        <v>0.12810326093732957</v>
      </c>
      <c r="AB17" t="s">
        <v>97</v>
      </c>
      <c r="AC17" t="s">
        <v>218</v>
      </c>
      <c r="AD17">
        <v>0.18100787492427961</v>
      </c>
    </row>
    <row r="18" spans="9:30" x14ac:dyDescent="0.45">
      <c r="I18" t="s">
        <v>155</v>
      </c>
      <c r="J18" t="s">
        <v>219</v>
      </c>
      <c r="K18">
        <v>0</v>
      </c>
      <c r="L18" t="s">
        <v>157</v>
      </c>
      <c r="N18" t="s">
        <v>179</v>
      </c>
      <c r="O18" t="s">
        <v>219</v>
      </c>
      <c r="P18">
        <v>0.12961311849484114</v>
      </c>
      <c r="Q18" t="s">
        <v>157</v>
      </c>
      <c r="S18">
        <v>0.11552511415525114</v>
      </c>
      <c r="T18">
        <v>5.3125160563193538E-2</v>
      </c>
      <c r="U18" t="s">
        <v>219</v>
      </c>
      <c r="V18" t="s">
        <v>25</v>
      </c>
      <c r="X18" t="s">
        <v>22</v>
      </c>
      <c r="Y18" t="s">
        <v>219</v>
      </c>
      <c r="Z18">
        <v>8.7182678664442126E-2</v>
      </c>
      <c r="AB18" t="s">
        <v>97</v>
      </c>
      <c r="AC18" t="s">
        <v>219</v>
      </c>
      <c r="AD18">
        <v>0.36442242035824979</v>
      </c>
    </row>
    <row r="19" spans="9:30" x14ac:dyDescent="0.45">
      <c r="I19" t="s">
        <v>155</v>
      </c>
      <c r="J19" t="s">
        <v>220</v>
      </c>
      <c r="K19">
        <v>1.6081294101543991E-2</v>
      </c>
      <c r="L19" t="s">
        <v>157</v>
      </c>
      <c r="N19" t="s">
        <v>179</v>
      </c>
      <c r="O19" t="s">
        <v>220</v>
      </c>
      <c r="P19">
        <v>1.3211536786205161E-2</v>
      </c>
      <c r="Q19" t="s">
        <v>157</v>
      </c>
      <c r="S19">
        <v>2.1004566210045664E-2</v>
      </c>
      <c r="T19">
        <v>3.6291010947302131E-2</v>
      </c>
      <c r="U19" t="s">
        <v>220</v>
      </c>
      <c r="V19" t="s">
        <v>25</v>
      </c>
      <c r="X19" t="s">
        <v>22</v>
      </c>
      <c r="Y19" t="s">
        <v>220</v>
      </c>
      <c r="Z19">
        <v>2.8224747440453356E-2</v>
      </c>
      <c r="AB19" t="s">
        <v>97</v>
      </c>
      <c r="AC19" t="s">
        <v>220</v>
      </c>
      <c r="AD19">
        <v>7.0022511991428615E-2</v>
      </c>
    </row>
    <row r="20" spans="9:30" x14ac:dyDescent="0.45">
      <c r="I20" t="s">
        <v>155</v>
      </c>
      <c r="J20" t="s">
        <v>221</v>
      </c>
      <c r="K20">
        <v>0.23211132962241515</v>
      </c>
      <c r="L20" t="s">
        <v>157</v>
      </c>
      <c r="N20" t="s">
        <v>179</v>
      </c>
      <c r="O20" t="s">
        <v>221</v>
      </c>
      <c r="P20">
        <v>9.7896973216979849E-2</v>
      </c>
      <c r="Q20" t="s">
        <v>157</v>
      </c>
      <c r="S20">
        <v>0.11301369863013698</v>
      </c>
      <c r="T20">
        <v>0.15910300077070333</v>
      </c>
      <c r="U20" t="s">
        <v>221</v>
      </c>
      <c r="V20" t="s">
        <v>25</v>
      </c>
      <c r="X20" t="s">
        <v>22</v>
      </c>
      <c r="Y20" t="s">
        <v>221</v>
      </c>
      <c r="Z20">
        <v>0.13496619376634147</v>
      </c>
      <c r="AB20" t="s">
        <v>97</v>
      </c>
      <c r="AC20" t="s">
        <v>221</v>
      </c>
      <c r="AD20">
        <v>0.1273653153630574</v>
      </c>
    </row>
    <row r="21" spans="9:30" x14ac:dyDescent="0.45">
      <c r="I21" t="s">
        <v>155</v>
      </c>
      <c r="J21" t="s">
        <v>222</v>
      </c>
      <c r="K21">
        <v>3.2229797315365375E-3</v>
      </c>
      <c r="L21" t="s">
        <v>157</v>
      </c>
      <c r="N21" t="s">
        <v>179</v>
      </c>
      <c r="O21" t="s">
        <v>222</v>
      </c>
      <c r="P21">
        <v>0.13462239318307609</v>
      </c>
      <c r="Q21" t="s">
        <v>157</v>
      </c>
      <c r="S21">
        <v>0.11301369863013698</v>
      </c>
      <c r="T21">
        <v>5.197026576834151E-2</v>
      </c>
      <c r="U21" t="s">
        <v>222</v>
      </c>
      <c r="V21" t="s">
        <v>25</v>
      </c>
      <c r="X21" t="s">
        <v>22</v>
      </c>
      <c r="Y21" t="s">
        <v>222</v>
      </c>
      <c r="Z21">
        <v>8.7502600201727759E-2</v>
      </c>
      <c r="AB21" t="s">
        <v>97</v>
      </c>
      <c r="AC21" t="s">
        <v>222</v>
      </c>
      <c r="AD21">
        <v>0.30067567567567566</v>
      </c>
    </row>
    <row r="22" spans="9:30" x14ac:dyDescent="0.45">
      <c r="I22" t="s">
        <v>155</v>
      </c>
      <c r="J22" t="s">
        <v>223</v>
      </c>
      <c r="K22">
        <v>3.156434834879137E-2</v>
      </c>
      <c r="L22" t="s">
        <v>157</v>
      </c>
      <c r="N22" t="s">
        <v>179</v>
      </c>
      <c r="O22" t="s">
        <v>223</v>
      </c>
      <c r="P22">
        <v>2.2422307285530164E-2</v>
      </c>
      <c r="Q22" t="s">
        <v>157</v>
      </c>
      <c r="S22">
        <v>2.0547945205479451E-2</v>
      </c>
      <c r="T22">
        <v>3.5502075926708607E-2</v>
      </c>
      <c r="U22" t="s">
        <v>223</v>
      </c>
      <c r="V22" t="s">
        <v>25</v>
      </c>
      <c r="X22" t="s">
        <v>22</v>
      </c>
      <c r="Y22" t="s">
        <v>223</v>
      </c>
      <c r="Z22">
        <v>2.7789787524518141E-2</v>
      </c>
      <c r="AB22" t="s">
        <v>97</v>
      </c>
      <c r="AC22" t="s">
        <v>223</v>
      </c>
      <c r="AD22">
        <v>4.6587605468417115E-2</v>
      </c>
    </row>
    <row r="23" spans="9:30" x14ac:dyDescent="0.45">
      <c r="I23" t="s">
        <v>158</v>
      </c>
      <c r="J23" t="s">
        <v>212</v>
      </c>
      <c r="K23">
        <v>0.25592423838881018</v>
      </c>
      <c r="L23" t="s">
        <v>157</v>
      </c>
      <c r="N23" t="s">
        <v>180</v>
      </c>
      <c r="O23" t="s">
        <v>212</v>
      </c>
      <c r="P23">
        <v>0.11224865771785177</v>
      </c>
      <c r="Q23" t="s">
        <v>157</v>
      </c>
      <c r="X23" t="s">
        <v>19</v>
      </c>
      <c r="Y23" t="s">
        <v>212</v>
      </c>
      <c r="Z23">
        <v>0.11536072195527219</v>
      </c>
    </row>
    <row r="24" spans="9:30" x14ac:dyDescent="0.45">
      <c r="I24" t="s">
        <v>158</v>
      </c>
      <c r="J24" t="s">
        <v>213</v>
      </c>
      <c r="K24">
        <v>0</v>
      </c>
      <c r="L24" t="s">
        <v>157</v>
      </c>
      <c r="N24" t="s">
        <v>180</v>
      </c>
      <c r="O24" t="s">
        <v>213</v>
      </c>
      <c r="P24">
        <v>0.19083788023649298</v>
      </c>
      <c r="Q24" t="s">
        <v>157</v>
      </c>
      <c r="X24" t="s">
        <v>19</v>
      </c>
      <c r="Y24" t="s">
        <v>213</v>
      </c>
      <c r="Z24">
        <v>0.11284465035311773</v>
      </c>
    </row>
    <row r="25" spans="9:30" x14ac:dyDescent="0.45">
      <c r="I25" t="s">
        <v>158</v>
      </c>
      <c r="J25" t="s">
        <v>214</v>
      </c>
      <c r="K25">
        <v>3.0068852167611997E-2</v>
      </c>
      <c r="L25" t="s">
        <v>157</v>
      </c>
      <c r="N25" t="s">
        <v>180</v>
      </c>
      <c r="O25" t="s">
        <v>214</v>
      </c>
      <c r="P25">
        <v>2.8267460207487941E-2</v>
      </c>
      <c r="Q25" t="s">
        <v>157</v>
      </c>
      <c r="X25" t="s">
        <v>19</v>
      </c>
      <c r="Y25" t="s">
        <v>214</v>
      </c>
      <c r="Z25">
        <v>2.1134442594120315E-2</v>
      </c>
    </row>
    <row r="26" spans="9:30" x14ac:dyDescent="0.45">
      <c r="I26" t="s">
        <v>158</v>
      </c>
      <c r="J26" t="s">
        <v>215</v>
      </c>
      <c r="K26">
        <v>0.22442898181457022</v>
      </c>
      <c r="L26" t="s">
        <v>157</v>
      </c>
      <c r="N26" t="s">
        <v>180</v>
      </c>
      <c r="O26" t="s">
        <v>215</v>
      </c>
      <c r="P26">
        <v>6.9804140269923834E-2</v>
      </c>
      <c r="Q26" t="s">
        <v>157</v>
      </c>
      <c r="X26" t="s">
        <v>19</v>
      </c>
      <c r="Y26" t="s">
        <v>215</v>
      </c>
      <c r="Z26">
        <v>0.11650292751748242</v>
      </c>
    </row>
    <row r="27" spans="9:30" x14ac:dyDescent="0.45">
      <c r="I27" t="s">
        <v>158</v>
      </c>
      <c r="J27" t="s">
        <v>216</v>
      </c>
      <c r="K27">
        <v>0</v>
      </c>
      <c r="L27" t="s">
        <v>157</v>
      </c>
      <c r="N27" t="s">
        <v>180</v>
      </c>
      <c r="O27" t="s">
        <v>216</v>
      </c>
      <c r="P27">
        <v>0.12928501995485708</v>
      </c>
      <c r="Q27" t="s">
        <v>157</v>
      </c>
      <c r="X27" t="s">
        <v>19</v>
      </c>
      <c r="Y27" t="s">
        <v>216</v>
      </c>
      <c r="Z27">
        <v>0.11418274614699324</v>
      </c>
    </row>
    <row r="28" spans="9:30" x14ac:dyDescent="0.45">
      <c r="I28" t="s">
        <v>158</v>
      </c>
      <c r="J28" t="s">
        <v>217</v>
      </c>
      <c r="K28">
        <v>2.5482544625634814E-2</v>
      </c>
      <c r="L28" t="s">
        <v>157</v>
      </c>
      <c r="N28" t="s">
        <v>180</v>
      </c>
      <c r="O28" t="s">
        <v>217</v>
      </c>
      <c r="P28">
        <v>1.4614889422917483E-2</v>
      </c>
      <c r="Q28" t="s">
        <v>157</v>
      </c>
      <c r="X28" t="s">
        <v>19</v>
      </c>
      <c r="Y28" t="s">
        <v>217</v>
      </c>
      <c r="Z28">
        <v>2.1368101849700973E-2</v>
      </c>
    </row>
    <row r="29" spans="9:30" x14ac:dyDescent="0.45">
      <c r="I29" t="s">
        <v>158</v>
      </c>
      <c r="J29" t="s">
        <v>218</v>
      </c>
      <c r="K29">
        <v>0.18886715045788935</v>
      </c>
      <c r="L29" t="s">
        <v>157</v>
      </c>
      <c r="N29" t="s">
        <v>180</v>
      </c>
      <c r="O29" t="s">
        <v>218</v>
      </c>
      <c r="P29">
        <v>7.7408326570579208E-2</v>
      </c>
      <c r="Q29" t="s">
        <v>157</v>
      </c>
      <c r="X29" t="s">
        <v>19</v>
      </c>
      <c r="Y29" t="s">
        <v>218</v>
      </c>
      <c r="Z29">
        <v>0.11635042563649838</v>
      </c>
    </row>
    <row r="30" spans="9:30" x14ac:dyDescent="0.45">
      <c r="I30" t="s">
        <v>158</v>
      </c>
      <c r="J30" t="s">
        <v>219</v>
      </c>
      <c r="K30">
        <v>0</v>
      </c>
      <c r="L30" t="s">
        <v>157</v>
      </c>
      <c r="N30" t="s">
        <v>180</v>
      </c>
      <c r="O30" t="s">
        <v>219</v>
      </c>
      <c r="P30">
        <v>0.11617226354602057</v>
      </c>
      <c r="Q30" t="s">
        <v>157</v>
      </c>
      <c r="X30" t="s">
        <v>19</v>
      </c>
      <c r="Y30" t="s">
        <v>219</v>
      </c>
      <c r="Z30">
        <v>0.11425548014485162</v>
      </c>
    </row>
    <row r="31" spans="9:30" x14ac:dyDescent="0.45">
      <c r="I31" t="s">
        <v>158</v>
      </c>
      <c r="J31" t="s">
        <v>220</v>
      </c>
      <c r="K31">
        <v>1.6355335990249367E-2</v>
      </c>
      <c r="L31" t="s">
        <v>157</v>
      </c>
      <c r="N31" t="s">
        <v>180</v>
      </c>
      <c r="O31" t="s">
        <v>220</v>
      </c>
      <c r="P31">
        <v>1.4093999664342648E-2</v>
      </c>
      <c r="Q31" t="s">
        <v>157</v>
      </c>
      <c r="X31" t="s">
        <v>19</v>
      </c>
      <c r="Y31" t="s">
        <v>220</v>
      </c>
      <c r="Z31">
        <v>2.1407182306831755E-2</v>
      </c>
    </row>
    <row r="32" spans="9:30" x14ac:dyDescent="0.45">
      <c r="I32" t="s">
        <v>158</v>
      </c>
      <c r="J32" t="s">
        <v>221</v>
      </c>
      <c r="K32">
        <v>0.23015678983572607</v>
      </c>
      <c r="L32" t="s">
        <v>157</v>
      </c>
      <c r="N32" t="s">
        <v>180</v>
      </c>
      <c r="O32" t="s">
        <v>221</v>
      </c>
      <c r="P32">
        <v>9.4144888903559223E-2</v>
      </c>
      <c r="Q32" t="s">
        <v>157</v>
      </c>
      <c r="X32" t="s">
        <v>19</v>
      </c>
      <c r="Y32" t="s">
        <v>221</v>
      </c>
      <c r="Z32">
        <v>0.11405938016848588</v>
      </c>
    </row>
    <row r="33" spans="9:26" x14ac:dyDescent="0.45">
      <c r="I33" t="s">
        <v>158</v>
      </c>
      <c r="J33" t="s">
        <v>222</v>
      </c>
      <c r="K33">
        <v>5.9556533662527808E-5</v>
      </c>
      <c r="L33" t="s">
        <v>157</v>
      </c>
      <c r="N33" t="s">
        <v>180</v>
      </c>
      <c r="O33" t="s">
        <v>222</v>
      </c>
      <c r="P33">
        <v>0.13128277758999637</v>
      </c>
      <c r="Q33" t="s">
        <v>157</v>
      </c>
      <c r="X33" t="s">
        <v>19</v>
      </c>
      <c r="Y33" t="s">
        <v>222</v>
      </c>
      <c r="Z33">
        <v>0.11162946261031315</v>
      </c>
    </row>
    <row r="34" spans="9:26" x14ac:dyDescent="0.45">
      <c r="I34" t="s">
        <v>158</v>
      </c>
      <c r="J34" t="s">
        <v>223</v>
      </c>
      <c r="K34">
        <v>2.8656550185844863E-2</v>
      </c>
      <c r="L34" t="s">
        <v>157</v>
      </c>
      <c r="N34" t="s">
        <v>180</v>
      </c>
      <c r="O34" t="s">
        <v>223</v>
      </c>
      <c r="P34">
        <v>2.1839695915969563E-2</v>
      </c>
      <c r="Q34" t="s">
        <v>157</v>
      </c>
      <c r="X34" t="s">
        <v>19</v>
      </c>
      <c r="Y34" t="s">
        <v>223</v>
      </c>
      <c r="Z34">
        <v>2.0904478716332341E-2</v>
      </c>
    </row>
    <row r="35" spans="9:26" x14ac:dyDescent="0.45">
      <c r="I35" t="s">
        <v>159</v>
      </c>
      <c r="J35" t="s">
        <v>212</v>
      </c>
      <c r="K35">
        <v>0.25509917110350988</v>
      </c>
      <c r="L35" t="s">
        <v>157</v>
      </c>
      <c r="N35" t="s">
        <v>181</v>
      </c>
      <c r="O35" t="s">
        <v>212</v>
      </c>
      <c r="P35">
        <v>9.8516029345017048E-2</v>
      </c>
      <c r="Q35" t="s">
        <v>157</v>
      </c>
    </row>
    <row r="36" spans="9:26" x14ac:dyDescent="0.45">
      <c r="I36" t="s">
        <v>159</v>
      </c>
      <c r="J36" t="s">
        <v>213</v>
      </c>
      <c r="K36">
        <v>0</v>
      </c>
      <c r="L36" t="s">
        <v>157</v>
      </c>
      <c r="N36" t="s">
        <v>181</v>
      </c>
      <c r="O36" t="s">
        <v>213</v>
      </c>
      <c r="P36">
        <v>0.17971972959320626</v>
      </c>
      <c r="Q36" t="s">
        <v>157</v>
      </c>
    </row>
    <row r="37" spans="9:26" x14ac:dyDescent="0.45">
      <c r="I37" t="s">
        <v>159</v>
      </c>
      <c r="J37" t="s">
        <v>214</v>
      </c>
      <c r="K37">
        <v>3.0180395042404568E-2</v>
      </c>
      <c r="L37" t="s">
        <v>157</v>
      </c>
      <c r="N37" t="s">
        <v>181</v>
      </c>
      <c r="O37" t="s">
        <v>214</v>
      </c>
      <c r="P37">
        <v>2.7877730440534276E-2</v>
      </c>
      <c r="Q37" t="s">
        <v>157</v>
      </c>
    </row>
    <row r="38" spans="9:26" x14ac:dyDescent="0.45">
      <c r="I38" t="s">
        <v>159</v>
      </c>
      <c r="J38" t="s">
        <v>215</v>
      </c>
      <c r="K38">
        <v>0.22324832940625419</v>
      </c>
      <c r="L38" t="s">
        <v>157</v>
      </c>
      <c r="N38" t="s">
        <v>181</v>
      </c>
      <c r="O38" t="s">
        <v>215</v>
      </c>
      <c r="P38">
        <v>7.3480945998378899E-2</v>
      </c>
      <c r="Q38" t="s">
        <v>157</v>
      </c>
    </row>
    <row r="39" spans="9:26" x14ac:dyDescent="0.45">
      <c r="I39" t="s">
        <v>159</v>
      </c>
      <c r="J39" t="s">
        <v>216</v>
      </c>
      <c r="K39">
        <v>0</v>
      </c>
      <c r="L39" t="s">
        <v>157</v>
      </c>
      <c r="N39" t="s">
        <v>181</v>
      </c>
      <c r="O39" t="s">
        <v>216</v>
      </c>
      <c r="P39">
        <v>0.12433727684274477</v>
      </c>
      <c r="Q39" t="s">
        <v>157</v>
      </c>
    </row>
    <row r="40" spans="9:26" x14ac:dyDescent="0.45">
      <c r="I40" t="s">
        <v>159</v>
      </c>
      <c r="J40" t="s">
        <v>217</v>
      </c>
      <c r="K40">
        <v>2.5958317856627441E-2</v>
      </c>
      <c r="L40" t="s">
        <v>157</v>
      </c>
      <c r="N40" t="s">
        <v>181</v>
      </c>
      <c r="O40" t="s">
        <v>217</v>
      </c>
      <c r="P40">
        <v>1.9965603563059597E-2</v>
      </c>
      <c r="Q40" t="s">
        <v>157</v>
      </c>
    </row>
    <row r="41" spans="9:26" x14ac:dyDescent="0.45">
      <c r="I41" t="s">
        <v>159</v>
      </c>
      <c r="J41" t="s">
        <v>218</v>
      </c>
      <c r="K41">
        <v>0.18437525943263708</v>
      </c>
      <c r="L41" t="s">
        <v>157</v>
      </c>
      <c r="N41" t="s">
        <v>181</v>
      </c>
      <c r="O41" t="s">
        <v>218</v>
      </c>
      <c r="P41">
        <v>8.3587093016419631E-2</v>
      </c>
      <c r="Q41" t="s">
        <v>157</v>
      </c>
    </row>
    <row r="42" spans="9:26" x14ac:dyDescent="0.45">
      <c r="I42" t="s">
        <v>159</v>
      </c>
      <c r="J42" t="s">
        <v>219</v>
      </c>
      <c r="K42">
        <v>0</v>
      </c>
      <c r="L42" t="s">
        <v>157</v>
      </c>
      <c r="N42" t="s">
        <v>181</v>
      </c>
      <c r="O42" t="s">
        <v>219</v>
      </c>
      <c r="P42">
        <v>0.13291348691893501</v>
      </c>
      <c r="Q42" t="s">
        <v>157</v>
      </c>
    </row>
    <row r="43" spans="9:26" x14ac:dyDescent="0.45">
      <c r="I43" t="s">
        <v>159</v>
      </c>
      <c r="J43" t="s">
        <v>220</v>
      </c>
      <c r="K43">
        <v>1.7469534391448625E-2</v>
      </c>
      <c r="L43" t="s">
        <v>157</v>
      </c>
      <c r="N43" t="s">
        <v>181</v>
      </c>
      <c r="O43" t="s">
        <v>220</v>
      </c>
      <c r="P43">
        <v>1.9214202975712382E-2</v>
      </c>
      <c r="Q43" t="s">
        <v>157</v>
      </c>
    </row>
    <row r="44" spans="9:26" x14ac:dyDescent="0.45">
      <c r="I44" t="s">
        <v>159</v>
      </c>
      <c r="J44" t="s">
        <v>221</v>
      </c>
      <c r="K44">
        <v>0.23051159871398122</v>
      </c>
      <c r="L44" t="s">
        <v>157</v>
      </c>
      <c r="N44" t="s">
        <v>181</v>
      </c>
      <c r="O44" t="s">
        <v>221</v>
      </c>
      <c r="P44">
        <v>9.6964318294588764E-2</v>
      </c>
      <c r="Q44" t="s">
        <v>157</v>
      </c>
    </row>
    <row r="45" spans="9:26" x14ac:dyDescent="0.45">
      <c r="I45" t="s">
        <v>159</v>
      </c>
      <c r="J45" t="s">
        <v>222</v>
      </c>
      <c r="K45">
        <v>2.7044551527829796E-3</v>
      </c>
      <c r="L45" t="s">
        <v>157</v>
      </c>
      <c r="N45" t="s">
        <v>181</v>
      </c>
      <c r="O45" t="s">
        <v>222</v>
      </c>
      <c r="P45">
        <v>0.11857624116222992</v>
      </c>
      <c r="Q45" t="s">
        <v>157</v>
      </c>
    </row>
    <row r="46" spans="9:26" x14ac:dyDescent="0.45">
      <c r="I46" t="s">
        <v>159</v>
      </c>
      <c r="J46" t="s">
        <v>223</v>
      </c>
      <c r="K46">
        <v>3.0452938900351851E-2</v>
      </c>
      <c r="L46" t="s">
        <v>157</v>
      </c>
      <c r="N46" t="s">
        <v>181</v>
      </c>
      <c r="O46" t="s">
        <v>223</v>
      </c>
      <c r="P46">
        <v>2.4847341849173001E-2</v>
      </c>
      <c r="Q46" t="s">
        <v>157</v>
      </c>
    </row>
    <row r="47" spans="9:26" x14ac:dyDescent="0.45">
      <c r="I47" t="s">
        <v>160</v>
      </c>
      <c r="J47" t="s">
        <v>212</v>
      </c>
      <c r="K47">
        <v>0.2554509245268064</v>
      </c>
      <c r="L47" t="s">
        <v>157</v>
      </c>
      <c r="N47" t="s">
        <v>182</v>
      </c>
      <c r="O47" t="s">
        <v>212</v>
      </c>
      <c r="P47">
        <v>9.782468323967787E-2</v>
      </c>
      <c r="Q47" t="s">
        <v>157</v>
      </c>
    </row>
    <row r="48" spans="9:26" x14ac:dyDescent="0.45">
      <c r="I48" t="s">
        <v>160</v>
      </c>
      <c r="J48" t="s">
        <v>213</v>
      </c>
      <c r="K48">
        <v>1.0004248638603787E-5</v>
      </c>
      <c r="L48" t="s">
        <v>157</v>
      </c>
      <c r="N48" t="s">
        <v>182</v>
      </c>
      <c r="O48" t="s">
        <v>213</v>
      </c>
      <c r="P48">
        <v>0.18474149178259686</v>
      </c>
      <c r="Q48" t="s">
        <v>157</v>
      </c>
    </row>
    <row r="49" spans="9:17" x14ac:dyDescent="0.45">
      <c r="I49" t="s">
        <v>160</v>
      </c>
      <c r="J49" t="s">
        <v>214</v>
      </c>
      <c r="K49">
        <v>3.1539463326446915E-2</v>
      </c>
      <c r="L49" t="s">
        <v>157</v>
      </c>
      <c r="N49" t="s">
        <v>182</v>
      </c>
      <c r="O49" t="s">
        <v>214</v>
      </c>
      <c r="P49">
        <v>3.6918245230328925E-2</v>
      </c>
      <c r="Q49" t="s">
        <v>157</v>
      </c>
    </row>
    <row r="50" spans="9:17" x14ac:dyDescent="0.45">
      <c r="I50" t="s">
        <v>160</v>
      </c>
      <c r="J50" t="s">
        <v>215</v>
      </c>
      <c r="K50">
        <v>0.21724450689774069</v>
      </c>
      <c r="L50" t="s">
        <v>157</v>
      </c>
      <c r="N50" t="s">
        <v>182</v>
      </c>
      <c r="O50" t="s">
        <v>215</v>
      </c>
      <c r="P50">
        <v>6.8416345693537814E-2</v>
      </c>
      <c r="Q50" t="s">
        <v>157</v>
      </c>
    </row>
    <row r="51" spans="9:17" x14ac:dyDescent="0.45">
      <c r="I51" t="s">
        <v>160</v>
      </c>
      <c r="J51" t="s">
        <v>216</v>
      </c>
      <c r="K51">
        <v>4.9372259240769847E-6</v>
      </c>
      <c r="L51" t="s">
        <v>157</v>
      </c>
      <c r="N51" t="s">
        <v>182</v>
      </c>
      <c r="O51" t="s">
        <v>216</v>
      </c>
      <c r="P51">
        <v>0.10440524922949956</v>
      </c>
      <c r="Q51" t="s">
        <v>157</v>
      </c>
    </row>
    <row r="52" spans="9:17" x14ac:dyDescent="0.45">
      <c r="I52" t="s">
        <v>160</v>
      </c>
      <c r="J52" t="s">
        <v>217</v>
      </c>
      <c r="K52">
        <v>3.1942778094995176E-2</v>
      </c>
      <c r="L52" t="s">
        <v>157</v>
      </c>
      <c r="N52" t="s">
        <v>182</v>
      </c>
      <c r="O52" t="s">
        <v>217</v>
      </c>
      <c r="P52">
        <v>2.2498172967766711E-2</v>
      </c>
      <c r="Q52" t="s">
        <v>157</v>
      </c>
    </row>
    <row r="53" spans="9:17" x14ac:dyDescent="0.45">
      <c r="I53" t="s">
        <v>160</v>
      </c>
      <c r="J53" t="s">
        <v>218</v>
      </c>
      <c r="K53">
        <v>0.18027816163666224</v>
      </c>
      <c r="L53" t="s">
        <v>157</v>
      </c>
      <c r="N53" t="s">
        <v>182</v>
      </c>
      <c r="O53" t="s">
        <v>218</v>
      </c>
      <c r="P53">
        <v>7.9099602565936622E-2</v>
      </c>
      <c r="Q53" t="s">
        <v>157</v>
      </c>
    </row>
    <row r="54" spans="9:17" x14ac:dyDescent="0.45">
      <c r="I54" t="s">
        <v>160</v>
      </c>
      <c r="J54" t="s">
        <v>219</v>
      </c>
      <c r="K54">
        <v>0</v>
      </c>
      <c r="L54" t="s">
        <v>157</v>
      </c>
      <c r="N54" t="s">
        <v>182</v>
      </c>
      <c r="O54" t="s">
        <v>219</v>
      </c>
      <c r="P54">
        <v>0.12994958201619564</v>
      </c>
      <c r="Q54" t="s">
        <v>157</v>
      </c>
    </row>
    <row r="55" spans="9:17" x14ac:dyDescent="0.45">
      <c r="I55" t="s">
        <v>160</v>
      </c>
      <c r="J55" t="s">
        <v>220</v>
      </c>
      <c r="K55">
        <v>2.2442311066846621E-2</v>
      </c>
      <c r="L55" t="s">
        <v>157</v>
      </c>
      <c r="N55" t="s">
        <v>182</v>
      </c>
      <c r="O55" t="s">
        <v>220</v>
      </c>
      <c r="P55">
        <v>2.2312972705475227E-2</v>
      </c>
      <c r="Q55" t="s">
        <v>157</v>
      </c>
    </row>
    <row r="56" spans="9:17" x14ac:dyDescent="0.45">
      <c r="I56" t="s">
        <v>160</v>
      </c>
      <c r="J56" t="s">
        <v>221</v>
      </c>
      <c r="K56">
        <v>0.22027529097197743</v>
      </c>
      <c r="L56" t="s">
        <v>157</v>
      </c>
      <c r="N56" t="s">
        <v>182</v>
      </c>
      <c r="O56" t="s">
        <v>221</v>
      </c>
      <c r="P56">
        <v>0.11093141342415785</v>
      </c>
      <c r="Q56" t="s">
        <v>157</v>
      </c>
    </row>
    <row r="57" spans="9:17" x14ac:dyDescent="0.45">
      <c r="I57" t="s">
        <v>160</v>
      </c>
      <c r="J57" t="s">
        <v>222</v>
      </c>
      <c r="K57">
        <v>8.8417779801219388E-3</v>
      </c>
      <c r="L57" t="s">
        <v>157</v>
      </c>
      <c r="N57" t="s">
        <v>182</v>
      </c>
      <c r="O57" t="s">
        <v>222</v>
      </c>
      <c r="P57">
        <v>0.11256422693738274</v>
      </c>
      <c r="Q57" t="s">
        <v>157</v>
      </c>
    </row>
    <row r="58" spans="9:17" x14ac:dyDescent="0.45">
      <c r="I58" t="s">
        <v>160</v>
      </c>
      <c r="J58" t="s">
        <v>223</v>
      </c>
      <c r="K58">
        <v>3.1969844023842231E-2</v>
      </c>
      <c r="L58" t="s">
        <v>157</v>
      </c>
      <c r="N58" t="s">
        <v>182</v>
      </c>
      <c r="O58" t="s">
        <v>223</v>
      </c>
      <c r="P58">
        <v>3.0338014207446952E-2</v>
      </c>
      <c r="Q58" t="s">
        <v>157</v>
      </c>
    </row>
    <row r="59" spans="9:17" x14ac:dyDescent="0.45">
      <c r="I59" t="s">
        <v>161</v>
      </c>
      <c r="J59" t="s">
        <v>212</v>
      </c>
      <c r="K59">
        <v>0.25179244324116257</v>
      </c>
      <c r="L59" t="s">
        <v>157</v>
      </c>
      <c r="N59" t="s">
        <v>183</v>
      </c>
      <c r="O59" t="s">
        <v>212</v>
      </c>
      <c r="P59">
        <v>9.6538412747941421E-2</v>
      </c>
      <c r="Q59" t="s">
        <v>157</v>
      </c>
    </row>
    <row r="60" spans="9:17" x14ac:dyDescent="0.45">
      <c r="I60" t="s">
        <v>161</v>
      </c>
      <c r="J60" t="s">
        <v>213</v>
      </c>
      <c r="K60">
        <v>0</v>
      </c>
      <c r="L60" t="s">
        <v>157</v>
      </c>
      <c r="N60" t="s">
        <v>183</v>
      </c>
      <c r="O60" t="s">
        <v>213</v>
      </c>
      <c r="P60">
        <v>0.18170688767213453</v>
      </c>
      <c r="Q60" t="s">
        <v>157</v>
      </c>
    </row>
    <row r="61" spans="9:17" x14ac:dyDescent="0.45">
      <c r="I61" t="s">
        <v>161</v>
      </c>
      <c r="J61" t="s">
        <v>214</v>
      </c>
      <c r="K61">
        <v>3.1198654641339932E-2</v>
      </c>
      <c r="L61" t="s">
        <v>157</v>
      </c>
      <c r="N61" t="s">
        <v>183</v>
      </c>
      <c r="O61" t="s">
        <v>214</v>
      </c>
      <c r="P61">
        <v>3.1607657144761492E-2</v>
      </c>
      <c r="Q61" t="s">
        <v>157</v>
      </c>
    </row>
    <row r="62" spans="9:17" x14ac:dyDescent="0.45">
      <c r="I62" t="s">
        <v>161</v>
      </c>
      <c r="J62" t="s">
        <v>215</v>
      </c>
      <c r="K62">
        <v>0.22103973328389767</v>
      </c>
      <c r="L62" t="s">
        <v>157</v>
      </c>
      <c r="N62" t="s">
        <v>183</v>
      </c>
      <c r="O62" t="s">
        <v>215</v>
      </c>
      <c r="P62">
        <v>7.0950057083081663E-2</v>
      </c>
      <c r="Q62" t="s">
        <v>157</v>
      </c>
    </row>
    <row r="63" spans="9:17" x14ac:dyDescent="0.45">
      <c r="I63" t="s">
        <v>161</v>
      </c>
      <c r="J63" t="s">
        <v>216</v>
      </c>
      <c r="K63">
        <v>0</v>
      </c>
      <c r="L63" t="s">
        <v>157</v>
      </c>
      <c r="N63" t="s">
        <v>183</v>
      </c>
      <c r="O63" t="s">
        <v>216</v>
      </c>
      <c r="P63">
        <v>0.11873610922627287</v>
      </c>
      <c r="Q63" t="s">
        <v>157</v>
      </c>
    </row>
    <row r="64" spans="9:17" x14ac:dyDescent="0.45">
      <c r="I64" t="s">
        <v>161</v>
      </c>
      <c r="J64" t="s">
        <v>217</v>
      </c>
      <c r="K64">
        <v>2.7955169789827754E-2</v>
      </c>
      <c r="L64" t="s">
        <v>157</v>
      </c>
      <c r="N64" t="s">
        <v>183</v>
      </c>
      <c r="O64" t="s">
        <v>217</v>
      </c>
      <c r="P64">
        <v>2.0185490835480536E-2</v>
      </c>
      <c r="Q64" t="s">
        <v>157</v>
      </c>
    </row>
    <row r="65" spans="9:17" x14ac:dyDescent="0.45">
      <c r="I65" t="s">
        <v>161</v>
      </c>
      <c r="J65" t="s">
        <v>218</v>
      </c>
      <c r="K65">
        <v>0.18090551760798348</v>
      </c>
      <c r="L65" t="s">
        <v>157</v>
      </c>
      <c r="N65" t="s">
        <v>183</v>
      </c>
      <c r="O65" t="s">
        <v>218</v>
      </c>
      <c r="P65">
        <v>8.4448671171321335E-2</v>
      </c>
      <c r="Q65" t="s">
        <v>157</v>
      </c>
    </row>
    <row r="66" spans="9:17" x14ac:dyDescent="0.45">
      <c r="I66" t="s">
        <v>161</v>
      </c>
      <c r="J66" t="s">
        <v>219</v>
      </c>
      <c r="K66">
        <v>0</v>
      </c>
      <c r="L66" t="s">
        <v>157</v>
      </c>
      <c r="N66" t="s">
        <v>183</v>
      </c>
      <c r="O66" t="s">
        <v>219</v>
      </c>
      <c r="P66">
        <v>0.14210015707259457</v>
      </c>
      <c r="Q66" t="s">
        <v>157</v>
      </c>
    </row>
    <row r="67" spans="9:17" x14ac:dyDescent="0.45">
      <c r="I67" t="s">
        <v>161</v>
      </c>
      <c r="J67" t="s">
        <v>220</v>
      </c>
      <c r="K67">
        <v>1.7825201964257891E-2</v>
      </c>
      <c r="L67" t="s">
        <v>157</v>
      </c>
      <c r="N67" t="s">
        <v>183</v>
      </c>
      <c r="O67" t="s">
        <v>220</v>
      </c>
      <c r="P67">
        <v>2.3362899221439332E-2</v>
      </c>
      <c r="Q67" t="s">
        <v>157</v>
      </c>
    </row>
    <row r="68" spans="9:17" x14ac:dyDescent="0.45">
      <c r="I68" t="s">
        <v>161</v>
      </c>
      <c r="J68" t="s">
        <v>221</v>
      </c>
      <c r="K68">
        <v>0.22876288317805585</v>
      </c>
      <c r="L68" t="s">
        <v>157</v>
      </c>
      <c r="N68" t="s">
        <v>183</v>
      </c>
      <c r="O68" t="s">
        <v>221</v>
      </c>
      <c r="P68">
        <v>0.10062740740117679</v>
      </c>
      <c r="Q68" t="s">
        <v>157</v>
      </c>
    </row>
    <row r="69" spans="9:17" x14ac:dyDescent="0.45">
      <c r="I69" t="s">
        <v>161</v>
      </c>
      <c r="J69" t="s">
        <v>222</v>
      </c>
      <c r="K69">
        <v>6.7951049863460549E-3</v>
      </c>
      <c r="L69" t="s">
        <v>157</v>
      </c>
      <c r="N69" t="s">
        <v>183</v>
      </c>
      <c r="O69" t="s">
        <v>222</v>
      </c>
      <c r="P69">
        <v>0.10500079600428225</v>
      </c>
      <c r="Q69" t="s">
        <v>157</v>
      </c>
    </row>
    <row r="70" spans="9:17" x14ac:dyDescent="0.45">
      <c r="I70" t="s">
        <v>161</v>
      </c>
      <c r="J70" t="s">
        <v>223</v>
      </c>
      <c r="K70">
        <v>3.3725291307125385E-2</v>
      </c>
      <c r="L70" t="s">
        <v>157</v>
      </c>
      <c r="N70" t="s">
        <v>183</v>
      </c>
      <c r="O70" t="s">
        <v>223</v>
      </c>
      <c r="P70">
        <v>2.4735454419514462E-2</v>
      </c>
      <c r="Q70" t="s">
        <v>157</v>
      </c>
    </row>
    <row r="71" spans="9:17" x14ac:dyDescent="0.45">
      <c r="I71" t="s">
        <v>162</v>
      </c>
      <c r="J71" t="s">
        <v>212</v>
      </c>
      <c r="K71">
        <v>0.25297555523411169</v>
      </c>
      <c r="L71" t="s">
        <v>157</v>
      </c>
      <c r="N71" t="s">
        <v>184</v>
      </c>
      <c r="O71" t="s">
        <v>212</v>
      </c>
      <c r="P71">
        <v>0.10361690087018866</v>
      </c>
      <c r="Q71" t="s">
        <v>157</v>
      </c>
    </row>
    <row r="72" spans="9:17" x14ac:dyDescent="0.45">
      <c r="I72" t="s">
        <v>162</v>
      </c>
      <c r="J72" t="s">
        <v>213</v>
      </c>
      <c r="K72">
        <v>0</v>
      </c>
      <c r="L72" t="s">
        <v>157</v>
      </c>
      <c r="N72" t="s">
        <v>184</v>
      </c>
      <c r="O72" t="s">
        <v>213</v>
      </c>
      <c r="P72">
        <v>0.18516034395147207</v>
      </c>
      <c r="Q72" t="s">
        <v>157</v>
      </c>
    </row>
    <row r="73" spans="9:17" x14ac:dyDescent="0.45">
      <c r="I73" t="s">
        <v>162</v>
      </c>
      <c r="J73" t="s">
        <v>214</v>
      </c>
      <c r="K73">
        <v>3.2618638709738801E-2</v>
      </c>
      <c r="L73" t="s">
        <v>157</v>
      </c>
      <c r="N73" t="s">
        <v>184</v>
      </c>
      <c r="O73" t="s">
        <v>214</v>
      </c>
      <c r="P73">
        <v>2.056705094095445E-2</v>
      </c>
      <c r="Q73" t="s">
        <v>157</v>
      </c>
    </row>
    <row r="74" spans="9:17" x14ac:dyDescent="0.45">
      <c r="I74" t="s">
        <v>162</v>
      </c>
      <c r="J74" t="s">
        <v>215</v>
      </c>
      <c r="K74">
        <v>0.21741053714327629</v>
      </c>
      <c r="L74" t="s">
        <v>157</v>
      </c>
      <c r="N74" t="s">
        <v>184</v>
      </c>
      <c r="O74" t="s">
        <v>215</v>
      </c>
      <c r="P74">
        <v>7.7874485509694197E-2</v>
      </c>
      <c r="Q74" t="s">
        <v>157</v>
      </c>
    </row>
    <row r="75" spans="9:17" x14ac:dyDescent="0.45">
      <c r="I75" t="s">
        <v>162</v>
      </c>
      <c r="J75" t="s">
        <v>216</v>
      </c>
      <c r="K75">
        <v>0</v>
      </c>
      <c r="L75" t="s">
        <v>157</v>
      </c>
      <c r="N75" t="s">
        <v>184</v>
      </c>
      <c r="O75" t="s">
        <v>216</v>
      </c>
      <c r="P75">
        <v>0.14154021314767137</v>
      </c>
      <c r="Q75" t="s">
        <v>157</v>
      </c>
    </row>
    <row r="76" spans="9:17" x14ac:dyDescent="0.45">
      <c r="I76" t="s">
        <v>162</v>
      </c>
      <c r="J76" t="s">
        <v>217</v>
      </c>
      <c r="K76">
        <v>2.9507934372419092E-2</v>
      </c>
      <c r="L76" t="s">
        <v>157</v>
      </c>
      <c r="N76" t="s">
        <v>184</v>
      </c>
      <c r="O76" t="s">
        <v>217</v>
      </c>
      <c r="P76">
        <v>1.5837605655695159E-2</v>
      </c>
      <c r="Q76" t="s">
        <v>157</v>
      </c>
    </row>
    <row r="77" spans="9:17" x14ac:dyDescent="0.45">
      <c r="I77" t="s">
        <v>162</v>
      </c>
      <c r="J77" t="s">
        <v>218</v>
      </c>
      <c r="K77">
        <v>0.17916746615037965</v>
      </c>
      <c r="L77" t="s">
        <v>157</v>
      </c>
      <c r="N77" t="s">
        <v>184</v>
      </c>
      <c r="O77" t="s">
        <v>218</v>
      </c>
      <c r="P77">
        <v>8.1539151695161988E-2</v>
      </c>
      <c r="Q77" t="s">
        <v>157</v>
      </c>
    </row>
    <row r="78" spans="9:17" x14ac:dyDescent="0.45">
      <c r="I78" t="s">
        <v>162</v>
      </c>
      <c r="J78" t="s">
        <v>219</v>
      </c>
      <c r="K78">
        <v>0</v>
      </c>
      <c r="L78" t="s">
        <v>157</v>
      </c>
      <c r="N78" t="s">
        <v>184</v>
      </c>
      <c r="O78" t="s">
        <v>219</v>
      </c>
      <c r="P78">
        <v>0.12905337325223173</v>
      </c>
      <c r="Q78" t="s">
        <v>157</v>
      </c>
    </row>
    <row r="79" spans="9:17" x14ac:dyDescent="0.45">
      <c r="I79" t="s">
        <v>162</v>
      </c>
      <c r="J79" t="s">
        <v>220</v>
      </c>
      <c r="K79">
        <v>1.9616181101958684E-2</v>
      </c>
      <c r="L79" t="s">
        <v>157</v>
      </c>
      <c r="N79" t="s">
        <v>184</v>
      </c>
      <c r="O79" t="s">
        <v>220</v>
      </c>
      <c r="P79">
        <v>1.4912486302011479E-2</v>
      </c>
      <c r="Q79" t="s">
        <v>157</v>
      </c>
    </row>
    <row r="80" spans="9:17" x14ac:dyDescent="0.45">
      <c r="I80" t="s">
        <v>162</v>
      </c>
      <c r="J80" t="s">
        <v>221</v>
      </c>
      <c r="K80">
        <v>0.22547490901565606</v>
      </c>
      <c r="L80" t="s">
        <v>157</v>
      </c>
      <c r="N80" t="s">
        <v>184</v>
      </c>
      <c r="O80" t="s">
        <v>221</v>
      </c>
      <c r="P80">
        <v>8.5519564895605082E-2</v>
      </c>
      <c r="Q80" t="s">
        <v>157</v>
      </c>
    </row>
    <row r="81" spans="9:17" x14ac:dyDescent="0.45">
      <c r="I81" t="s">
        <v>162</v>
      </c>
      <c r="J81" t="s">
        <v>222</v>
      </c>
      <c r="K81">
        <v>8.7216047541911462E-3</v>
      </c>
      <c r="L81" t="s">
        <v>157</v>
      </c>
      <c r="N81" t="s">
        <v>184</v>
      </c>
      <c r="O81" t="s">
        <v>222</v>
      </c>
      <c r="P81">
        <v>0.12672231029469477</v>
      </c>
      <c r="Q81" t="s">
        <v>157</v>
      </c>
    </row>
    <row r="82" spans="9:17" x14ac:dyDescent="0.45">
      <c r="I82" t="s">
        <v>162</v>
      </c>
      <c r="J82" t="s">
        <v>223</v>
      </c>
      <c r="K82">
        <v>3.4507173518269645E-2</v>
      </c>
      <c r="L82" t="s">
        <v>157</v>
      </c>
      <c r="N82" t="s">
        <v>184</v>
      </c>
      <c r="O82" t="s">
        <v>223</v>
      </c>
      <c r="P82">
        <v>1.7656513484617543E-2</v>
      </c>
      <c r="Q82" t="s">
        <v>157</v>
      </c>
    </row>
    <row r="83" spans="9:17" x14ac:dyDescent="0.45">
      <c r="I83" t="s">
        <v>163</v>
      </c>
      <c r="J83" t="s">
        <v>212</v>
      </c>
      <c r="K83">
        <v>0.25517903244383366</v>
      </c>
      <c r="L83" t="s">
        <v>157</v>
      </c>
      <c r="N83" t="s">
        <v>185</v>
      </c>
      <c r="O83" t="s">
        <v>212</v>
      </c>
      <c r="P83">
        <v>8.4367859321378399E-2</v>
      </c>
      <c r="Q83" t="s">
        <v>157</v>
      </c>
    </row>
    <row r="84" spans="9:17" x14ac:dyDescent="0.45">
      <c r="I84" t="s">
        <v>163</v>
      </c>
      <c r="J84" t="s">
        <v>213</v>
      </c>
      <c r="K84">
        <v>0</v>
      </c>
      <c r="L84" t="s">
        <v>157</v>
      </c>
      <c r="N84" t="s">
        <v>185</v>
      </c>
      <c r="O84" t="s">
        <v>213</v>
      </c>
      <c r="P84">
        <v>0.18358210442540679</v>
      </c>
      <c r="Q84" t="s">
        <v>157</v>
      </c>
    </row>
    <row r="85" spans="9:17" x14ac:dyDescent="0.45">
      <c r="I85" t="s">
        <v>163</v>
      </c>
      <c r="J85" t="s">
        <v>214</v>
      </c>
      <c r="K85">
        <v>3.0559773326661564E-2</v>
      </c>
      <c r="L85" t="s">
        <v>157</v>
      </c>
      <c r="N85" t="s">
        <v>185</v>
      </c>
      <c r="O85" t="s">
        <v>214</v>
      </c>
      <c r="P85">
        <v>1.8417172288518066E-2</v>
      </c>
      <c r="Q85" t="s">
        <v>157</v>
      </c>
    </row>
    <row r="86" spans="9:17" x14ac:dyDescent="0.45">
      <c r="I86" t="s">
        <v>163</v>
      </c>
      <c r="J86" t="s">
        <v>215</v>
      </c>
      <c r="K86">
        <v>0.21938880227753524</v>
      </c>
      <c r="L86" t="s">
        <v>157</v>
      </c>
      <c r="N86" t="s">
        <v>185</v>
      </c>
      <c r="O86" t="s">
        <v>215</v>
      </c>
      <c r="P86">
        <v>7.0981917171416845E-2</v>
      </c>
      <c r="Q86" t="s">
        <v>157</v>
      </c>
    </row>
    <row r="87" spans="9:17" x14ac:dyDescent="0.45">
      <c r="I87" t="s">
        <v>163</v>
      </c>
      <c r="J87" t="s">
        <v>216</v>
      </c>
      <c r="K87">
        <v>0</v>
      </c>
      <c r="L87" t="s">
        <v>157</v>
      </c>
      <c r="N87" t="s">
        <v>185</v>
      </c>
      <c r="O87" t="s">
        <v>216</v>
      </c>
      <c r="P87">
        <v>0.15623160663598148</v>
      </c>
      <c r="Q87" t="s">
        <v>157</v>
      </c>
    </row>
    <row r="88" spans="9:17" x14ac:dyDescent="0.45">
      <c r="I88" t="s">
        <v>163</v>
      </c>
      <c r="J88" t="s">
        <v>217</v>
      </c>
      <c r="K88">
        <v>3.0463103839968766E-2</v>
      </c>
      <c r="L88" t="s">
        <v>157</v>
      </c>
      <c r="N88" t="s">
        <v>185</v>
      </c>
      <c r="O88" t="s">
        <v>217</v>
      </c>
      <c r="P88">
        <v>1.5367524593993639E-2</v>
      </c>
      <c r="Q88" t="s">
        <v>157</v>
      </c>
    </row>
    <row r="89" spans="9:17" x14ac:dyDescent="0.45">
      <c r="I89" t="s">
        <v>163</v>
      </c>
      <c r="J89" t="s">
        <v>218</v>
      </c>
      <c r="K89">
        <v>0.18196412369600726</v>
      </c>
      <c r="L89" t="s">
        <v>157</v>
      </c>
      <c r="N89" t="s">
        <v>185</v>
      </c>
      <c r="O89" t="s">
        <v>218</v>
      </c>
      <c r="P89">
        <v>8.3796404517516535E-2</v>
      </c>
      <c r="Q89" t="s">
        <v>157</v>
      </c>
    </row>
    <row r="90" spans="9:17" x14ac:dyDescent="0.45">
      <c r="I90" t="s">
        <v>163</v>
      </c>
      <c r="J90" t="s">
        <v>219</v>
      </c>
      <c r="K90">
        <v>0</v>
      </c>
      <c r="L90" t="s">
        <v>157</v>
      </c>
      <c r="N90" t="s">
        <v>185</v>
      </c>
      <c r="O90" t="s">
        <v>219</v>
      </c>
      <c r="P90">
        <v>0.16276207459258277</v>
      </c>
      <c r="Q90" t="s">
        <v>157</v>
      </c>
    </row>
    <row r="91" spans="9:17" x14ac:dyDescent="0.45">
      <c r="I91" t="s">
        <v>163</v>
      </c>
      <c r="J91" t="s">
        <v>220</v>
      </c>
      <c r="K91">
        <v>2.0676109613220778E-2</v>
      </c>
      <c r="L91" t="s">
        <v>157</v>
      </c>
      <c r="N91" t="s">
        <v>185</v>
      </c>
      <c r="O91" t="s">
        <v>220</v>
      </c>
      <c r="P91">
        <v>1.5412832265293752E-2</v>
      </c>
      <c r="Q91" t="s">
        <v>157</v>
      </c>
    </row>
    <row r="92" spans="9:17" x14ac:dyDescent="0.45">
      <c r="I92" t="s">
        <v>163</v>
      </c>
      <c r="J92" t="s">
        <v>221</v>
      </c>
      <c r="K92">
        <v>0.22234932435557975</v>
      </c>
      <c r="L92" t="s">
        <v>157</v>
      </c>
      <c r="N92" t="s">
        <v>185</v>
      </c>
      <c r="O92" t="s">
        <v>221</v>
      </c>
      <c r="P92">
        <v>7.4809766210988601E-2</v>
      </c>
      <c r="Q92" t="s">
        <v>157</v>
      </c>
    </row>
    <row r="93" spans="9:17" x14ac:dyDescent="0.45">
      <c r="I93" t="s">
        <v>163</v>
      </c>
      <c r="J93" t="s">
        <v>222</v>
      </c>
      <c r="K93">
        <v>7.3528789835178099E-3</v>
      </c>
      <c r="L93" t="s">
        <v>157</v>
      </c>
      <c r="N93" t="s">
        <v>185</v>
      </c>
      <c r="O93" t="s">
        <v>222</v>
      </c>
      <c r="P93">
        <v>0.11779452151208523</v>
      </c>
      <c r="Q93" t="s">
        <v>157</v>
      </c>
    </row>
    <row r="94" spans="9:17" x14ac:dyDescent="0.45">
      <c r="I94" t="s">
        <v>163</v>
      </c>
      <c r="J94" t="s">
        <v>223</v>
      </c>
      <c r="K94">
        <v>3.2066851463673635E-2</v>
      </c>
      <c r="L94" t="s">
        <v>157</v>
      </c>
      <c r="N94" t="s">
        <v>185</v>
      </c>
      <c r="O94" t="s">
        <v>223</v>
      </c>
      <c r="P94">
        <v>1.647621646483894E-2</v>
      </c>
      <c r="Q94" t="s">
        <v>157</v>
      </c>
    </row>
    <row r="95" spans="9:17" x14ac:dyDescent="0.45">
      <c r="I95" t="s">
        <v>164</v>
      </c>
      <c r="J95" t="s">
        <v>212</v>
      </c>
      <c r="K95">
        <v>0.25467799974692557</v>
      </c>
      <c r="L95" t="s">
        <v>157</v>
      </c>
      <c r="N95" t="s">
        <v>186</v>
      </c>
      <c r="O95" t="s">
        <v>212</v>
      </c>
      <c r="P95">
        <v>0.11645846200724942</v>
      </c>
      <c r="Q95" t="s">
        <v>157</v>
      </c>
    </row>
    <row r="96" spans="9:17" x14ac:dyDescent="0.45">
      <c r="I96" t="s">
        <v>164</v>
      </c>
      <c r="J96" t="s">
        <v>213</v>
      </c>
      <c r="K96">
        <v>0</v>
      </c>
      <c r="L96" t="s">
        <v>157</v>
      </c>
      <c r="N96" t="s">
        <v>186</v>
      </c>
      <c r="O96" t="s">
        <v>213</v>
      </c>
      <c r="P96">
        <v>0.24031794008538021</v>
      </c>
      <c r="Q96" t="s">
        <v>157</v>
      </c>
    </row>
    <row r="97" spans="9:17" x14ac:dyDescent="0.45">
      <c r="I97" t="s">
        <v>164</v>
      </c>
      <c r="J97" t="s">
        <v>214</v>
      </c>
      <c r="K97">
        <v>3.0725815903310732E-2</v>
      </c>
      <c r="L97" t="s">
        <v>157</v>
      </c>
      <c r="N97" t="s">
        <v>186</v>
      </c>
      <c r="O97" t="s">
        <v>214</v>
      </c>
      <c r="P97">
        <v>1.5813302020019092E-2</v>
      </c>
      <c r="Q97" t="s">
        <v>157</v>
      </c>
    </row>
    <row r="98" spans="9:17" x14ac:dyDescent="0.45">
      <c r="I98" t="s">
        <v>164</v>
      </c>
      <c r="J98" t="s">
        <v>215</v>
      </c>
      <c r="K98">
        <v>0.21978781292072969</v>
      </c>
      <c r="L98" t="s">
        <v>157</v>
      </c>
      <c r="N98" t="s">
        <v>186</v>
      </c>
      <c r="O98" t="s">
        <v>215</v>
      </c>
      <c r="P98">
        <v>5.7311297334012773E-2</v>
      </c>
      <c r="Q98" t="s">
        <v>157</v>
      </c>
    </row>
    <row r="99" spans="9:17" x14ac:dyDescent="0.45">
      <c r="I99" t="s">
        <v>164</v>
      </c>
      <c r="J99" t="s">
        <v>216</v>
      </c>
      <c r="K99">
        <v>0</v>
      </c>
      <c r="L99" t="s">
        <v>157</v>
      </c>
      <c r="N99" t="s">
        <v>186</v>
      </c>
      <c r="O99" t="s">
        <v>216</v>
      </c>
      <c r="P99">
        <v>0.1222414628467582</v>
      </c>
      <c r="Q99" t="s">
        <v>157</v>
      </c>
    </row>
    <row r="100" spans="9:17" x14ac:dyDescent="0.45">
      <c r="I100" t="s">
        <v>164</v>
      </c>
      <c r="J100" t="s">
        <v>217</v>
      </c>
      <c r="K100">
        <v>2.8417217544976905E-2</v>
      </c>
      <c r="L100" t="s">
        <v>157</v>
      </c>
      <c r="N100" t="s">
        <v>186</v>
      </c>
      <c r="O100" t="s">
        <v>217</v>
      </c>
      <c r="P100">
        <v>6.0999847578379288E-3</v>
      </c>
      <c r="Q100" t="s">
        <v>157</v>
      </c>
    </row>
    <row r="101" spans="9:17" x14ac:dyDescent="0.45">
      <c r="I101" t="s">
        <v>164</v>
      </c>
      <c r="J101" t="s">
        <v>218</v>
      </c>
      <c r="K101">
        <v>0.18149667389720578</v>
      </c>
      <c r="L101" t="s">
        <v>157</v>
      </c>
      <c r="N101" t="s">
        <v>186</v>
      </c>
      <c r="O101" t="s">
        <v>218</v>
      </c>
      <c r="P101">
        <v>9.6255071382057592E-2</v>
      </c>
      <c r="Q101" t="s">
        <v>157</v>
      </c>
    </row>
    <row r="102" spans="9:17" x14ac:dyDescent="0.45">
      <c r="I102" t="s">
        <v>164</v>
      </c>
      <c r="J102" t="s">
        <v>219</v>
      </c>
      <c r="K102">
        <v>0</v>
      </c>
      <c r="L102" t="s">
        <v>157</v>
      </c>
      <c r="N102" t="s">
        <v>186</v>
      </c>
      <c r="O102" t="s">
        <v>219</v>
      </c>
      <c r="P102">
        <v>0.1787840598910666</v>
      </c>
      <c r="Q102" t="s">
        <v>157</v>
      </c>
    </row>
    <row r="103" spans="9:17" x14ac:dyDescent="0.45">
      <c r="I103" t="s">
        <v>164</v>
      </c>
      <c r="J103" t="s">
        <v>220</v>
      </c>
      <c r="K103">
        <v>1.9066721535886441E-2</v>
      </c>
      <c r="L103" t="s">
        <v>157</v>
      </c>
      <c r="N103" t="s">
        <v>186</v>
      </c>
      <c r="O103" t="s">
        <v>220</v>
      </c>
      <c r="P103">
        <v>1.1921110368611742E-2</v>
      </c>
      <c r="Q103" t="s">
        <v>157</v>
      </c>
    </row>
    <row r="104" spans="9:17" x14ac:dyDescent="0.45">
      <c r="I104" t="s">
        <v>164</v>
      </c>
      <c r="J104" t="s">
        <v>221</v>
      </c>
      <c r="K104">
        <v>0.22757751213877181</v>
      </c>
      <c r="L104" t="s">
        <v>157</v>
      </c>
      <c r="N104" t="s">
        <v>186</v>
      </c>
      <c r="O104" t="s">
        <v>221</v>
      </c>
      <c r="P104">
        <v>5.975725095779396E-2</v>
      </c>
      <c r="Q104" t="s">
        <v>157</v>
      </c>
    </row>
    <row r="105" spans="9:17" x14ac:dyDescent="0.45">
      <c r="I105" t="s">
        <v>164</v>
      </c>
      <c r="J105" t="s">
        <v>222</v>
      </c>
      <c r="K105">
        <v>5.9605945498119135E-3</v>
      </c>
      <c r="L105" t="s">
        <v>157</v>
      </c>
      <c r="N105" t="s">
        <v>186</v>
      </c>
      <c r="O105" t="s">
        <v>222</v>
      </c>
      <c r="P105">
        <v>8.8307479551708437E-2</v>
      </c>
      <c r="Q105" t="s">
        <v>157</v>
      </c>
    </row>
    <row r="106" spans="9:17" x14ac:dyDescent="0.45">
      <c r="I106" t="s">
        <v>164</v>
      </c>
      <c r="J106" t="s">
        <v>223</v>
      </c>
      <c r="K106">
        <v>3.2289651762381591E-2</v>
      </c>
      <c r="L106" t="s">
        <v>157</v>
      </c>
      <c r="N106" t="s">
        <v>186</v>
      </c>
      <c r="O106" t="s">
        <v>223</v>
      </c>
      <c r="P106">
        <v>6.7325787975014689E-3</v>
      </c>
      <c r="Q106" t="s">
        <v>157</v>
      </c>
    </row>
    <row r="107" spans="9:17" x14ac:dyDescent="0.45">
      <c r="I107" t="s">
        <v>165</v>
      </c>
      <c r="J107" t="s">
        <v>212</v>
      </c>
      <c r="K107">
        <v>0.26630757058894311</v>
      </c>
      <c r="L107" t="s">
        <v>157</v>
      </c>
      <c r="N107" t="s">
        <v>187</v>
      </c>
      <c r="O107" t="s">
        <v>212</v>
      </c>
      <c r="P107">
        <v>0.17677268161528292</v>
      </c>
      <c r="Q107" t="s">
        <v>157</v>
      </c>
    </row>
    <row r="108" spans="9:17" x14ac:dyDescent="0.45">
      <c r="I108" t="s">
        <v>165</v>
      </c>
      <c r="J108" t="s">
        <v>213</v>
      </c>
      <c r="K108">
        <v>0</v>
      </c>
      <c r="L108" t="s">
        <v>157</v>
      </c>
      <c r="N108" t="s">
        <v>187</v>
      </c>
      <c r="O108" t="s">
        <v>213</v>
      </c>
      <c r="P108">
        <v>0.20550429322884167</v>
      </c>
      <c r="Q108" t="s">
        <v>157</v>
      </c>
    </row>
    <row r="109" spans="9:17" x14ac:dyDescent="0.45">
      <c r="I109" t="s">
        <v>165</v>
      </c>
      <c r="J109" t="s">
        <v>214</v>
      </c>
      <c r="K109">
        <v>2.9399253237915663E-2</v>
      </c>
      <c r="L109" t="s">
        <v>157</v>
      </c>
      <c r="N109" t="s">
        <v>187</v>
      </c>
      <c r="O109" t="s">
        <v>214</v>
      </c>
      <c r="P109">
        <v>1.8562685259182109E-2</v>
      </c>
      <c r="Q109" t="s">
        <v>157</v>
      </c>
    </row>
    <row r="110" spans="9:17" x14ac:dyDescent="0.45">
      <c r="I110" t="s">
        <v>165</v>
      </c>
      <c r="J110" t="s">
        <v>215</v>
      </c>
      <c r="K110">
        <v>0.2199662257563626</v>
      </c>
      <c r="L110" t="s">
        <v>157</v>
      </c>
      <c r="N110" t="s">
        <v>187</v>
      </c>
      <c r="O110" t="s">
        <v>215</v>
      </c>
      <c r="P110">
        <v>8.6205837636719268E-2</v>
      </c>
      <c r="Q110" t="s">
        <v>157</v>
      </c>
    </row>
    <row r="111" spans="9:17" x14ac:dyDescent="0.45">
      <c r="I111" t="s">
        <v>165</v>
      </c>
      <c r="J111" t="s">
        <v>216</v>
      </c>
      <c r="K111">
        <v>0</v>
      </c>
      <c r="L111" t="s">
        <v>157</v>
      </c>
      <c r="N111" t="s">
        <v>187</v>
      </c>
      <c r="O111" t="s">
        <v>216</v>
      </c>
      <c r="P111">
        <v>8.3879479366283261E-2</v>
      </c>
      <c r="Q111" t="s">
        <v>157</v>
      </c>
    </row>
    <row r="112" spans="9:17" x14ac:dyDescent="0.45">
      <c r="I112" t="s">
        <v>165</v>
      </c>
      <c r="J112" t="s">
        <v>217</v>
      </c>
      <c r="K112">
        <v>2.3980092299237782E-2</v>
      </c>
      <c r="L112" t="s">
        <v>157</v>
      </c>
      <c r="N112" t="s">
        <v>187</v>
      </c>
      <c r="O112" t="s">
        <v>217</v>
      </c>
      <c r="P112">
        <v>6.5698384602247799E-3</v>
      </c>
      <c r="Q112" t="s">
        <v>157</v>
      </c>
    </row>
    <row r="113" spans="9:17" x14ac:dyDescent="0.45">
      <c r="I113" t="s">
        <v>165</v>
      </c>
      <c r="J113" t="s">
        <v>218</v>
      </c>
      <c r="K113">
        <v>0.19532038407408112</v>
      </c>
      <c r="L113" t="s">
        <v>157</v>
      </c>
      <c r="N113" t="s">
        <v>187</v>
      </c>
      <c r="O113" t="s">
        <v>218</v>
      </c>
      <c r="P113">
        <v>0.12271904474684092</v>
      </c>
      <c r="Q113" t="s">
        <v>157</v>
      </c>
    </row>
    <row r="114" spans="9:17" x14ac:dyDescent="0.45">
      <c r="I114" t="s">
        <v>165</v>
      </c>
      <c r="J114" t="s">
        <v>219</v>
      </c>
      <c r="K114">
        <v>0</v>
      </c>
      <c r="L114" t="s">
        <v>157</v>
      </c>
      <c r="N114" t="s">
        <v>187</v>
      </c>
      <c r="O114" t="s">
        <v>219</v>
      </c>
      <c r="P114">
        <v>0.14181665804316634</v>
      </c>
      <c r="Q114" t="s">
        <v>157</v>
      </c>
    </row>
    <row r="115" spans="9:17" x14ac:dyDescent="0.45">
      <c r="I115" t="s">
        <v>165</v>
      </c>
      <c r="J115" t="s">
        <v>220</v>
      </c>
      <c r="K115">
        <v>1.7849771886676628E-2</v>
      </c>
      <c r="L115" t="s">
        <v>157</v>
      </c>
      <c r="N115" t="s">
        <v>187</v>
      </c>
      <c r="O115" t="s">
        <v>220</v>
      </c>
      <c r="P115">
        <v>1.4539769488255619E-2</v>
      </c>
      <c r="Q115" t="s">
        <v>157</v>
      </c>
    </row>
    <row r="116" spans="9:17" x14ac:dyDescent="0.45">
      <c r="I116" t="s">
        <v>165</v>
      </c>
      <c r="J116" t="s">
        <v>221</v>
      </c>
      <c r="K116">
        <v>0.22103350162447841</v>
      </c>
      <c r="L116" t="s">
        <v>157</v>
      </c>
      <c r="N116" t="s">
        <v>187</v>
      </c>
      <c r="O116" t="s">
        <v>221</v>
      </c>
      <c r="P116">
        <v>6.8842206161940686E-2</v>
      </c>
      <c r="Q116" t="s">
        <v>157</v>
      </c>
    </row>
    <row r="117" spans="9:17" x14ac:dyDescent="0.45">
      <c r="I117" t="s">
        <v>165</v>
      </c>
      <c r="J117" t="s">
        <v>222</v>
      </c>
      <c r="K117">
        <v>0</v>
      </c>
      <c r="L117" t="s">
        <v>157</v>
      </c>
      <c r="N117" t="s">
        <v>187</v>
      </c>
      <c r="O117" t="s">
        <v>222</v>
      </c>
      <c r="P117">
        <v>6.9638177441698715E-2</v>
      </c>
      <c r="Q117" t="s">
        <v>157</v>
      </c>
    </row>
    <row r="118" spans="9:17" x14ac:dyDescent="0.45">
      <c r="I118" t="s">
        <v>165</v>
      </c>
      <c r="J118" t="s">
        <v>223</v>
      </c>
      <c r="K118">
        <v>2.6143200532305063E-2</v>
      </c>
      <c r="L118" t="s">
        <v>157</v>
      </c>
      <c r="N118" t="s">
        <v>187</v>
      </c>
      <c r="O118" t="s">
        <v>223</v>
      </c>
      <c r="P118">
        <v>4.9493285515630776E-3</v>
      </c>
      <c r="Q118" t="s">
        <v>157</v>
      </c>
    </row>
    <row r="119" spans="9:17" x14ac:dyDescent="0.45">
      <c r="I119" t="s">
        <v>166</v>
      </c>
      <c r="J119" t="s">
        <v>212</v>
      </c>
      <c r="K119">
        <v>0.2570406955076962</v>
      </c>
      <c r="L119" t="s">
        <v>157</v>
      </c>
      <c r="N119" t="s">
        <v>188</v>
      </c>
      <c r="O119" t="s">
        <v>212</v>
      </c>
      <c r="P119">
        <v>0.16693114440827403</v>
      </c>
      <c r="Q119" t="s">
        <v>157</v>
      </c>
    </row>
    <row r="120" spans="9:17" x14ac:dyDescent="0.45">
      <c r="I120" t="s">
        <v>166</v>
      </c>
      <c r="J120" t="s">
        <v>213</v>
      </c>
      <c r="K120">
        <v>0</v>
      </c>
      <c r="L120" t="s">
        <v>157</v>
      </c>
      <c r="N120" t="s">
        <v>188</v>
      </c>
      <c r="O120" t="s">
        <v>213</v>
      </c>
      <c r="P120">
        <v>0.22581912812010055</v>
      </c>
      <c r="Q120" t="s">
        <v>157</v>
      </c>
    </row>
    <row r="121" spans="9:17" x14ac:dyDescent="0.45">
      <c r="I121" t="s">
        <v>166</v>
      </c>
      <c r="J121" t="s">
        <v>214</v>
      </c>
      <c r="K121">
        <v>2.9088178559967121E-2</v>
      </c>
      <c r="L121" t="s">
        <v>157</v>
      </c>
      <c r="N121" t="s">
        <v>188</v>
      </c>
      <c r="O121" t="s">
        <v>214</v>
      </c>
      <c r="P121">
        <v>2.6230862474958504E-2</v>
      </c>
      <c r="Q121" t="s">
        <v>157</v>
      </c>
    </row>
    <row r="122" spans="9:17" x14ac:dyDescent="0.45">
      <c r="I122" t="s">
        <v>166</v>
      </c>
      <c r="J122" t="s">
        <v>215</v>
      </c>
      <c r="K122">
        <v>0.22285022018237044</v>
      </c>
      <c r="L122" t="s">
        <v>157</v>
      </c>
      <c r="N122" t="s">
        <v>188</v>
      </c>
      <c r="O122" t="s">
        <v>215</v>
      </c>
      <c r="P122">
        <v>7.7950239804179131E-2</v>
      </c>
      <c r="Q122" t="s">
        <v>157</v>
      </c>
    </row>
    <row r="123" spans="9:17" x14ac:dyDescent="0.45">
      <c r="I123" t="s">
        <v>166</v>
      </c>
      <c r="J123" t="s">
        <v>216</v>
      </c>
      <c r="K123">
        <v>0</v>
      </c>
      <c r="L123" t="s">
        <v>157</v>
      </c>
      <c r="N123" t="s">
        <v>188</v>
      </c>
      <c r="O123" t="s">
        <v>216</v>
      </c>
      <c r="P123">
        <v>8.909977915951392E-2</v>
      </c>
      <c r="Q123" t="s">
        <v>157</v>
      </c>
    </row>
    <row r="124" spans="9:17" x14ac:dyDescent="0.45">
      <c r="I124" t="s">
        <v>166</v>
      </c>
      <c r="J124" t="s">
        <v>217</v>
      </c>
      <c r="K124">
        <v>2.5703881865149887E-2</v>
      </c>
      <c r="L124" t="s">
        <v>157</v>
      </c>
      <c r="N124" t="s">
        <v>188</v>
      </c>
      <c r="O124" t="s">
        <v>217</v>
      </c>
      <c r="P124">
        <v>9.6599002754649034E-3</v>
      </c>
      <c r="Q124" t="s">
        <v>157</v>
      </c>
    </row>
    <row r="125" spans="9:17" x14ac:dyDescent="0.45">
      <c r="I125" t="s">
        <v>166</v>
      </c>
      <c r="J125" t="s">
        <v>218</v>
      </c>
      <c r="K125">
        <v>0.18985635529566197</v>
      </c>
      <c r="L125" t="s">
        <v>157</v>
      </c>
      <c r="N125" t="s">
        <v>188</v>
      </c>
      <c r="O125" t="s">
        <v>218</v>
      </c>
      <c r="P125">
        <v>0.10729856371321655</v>
      </c>
      <c r="Q125" t="s">
        <v>157</v>
      </c>
    </row>
    <row r="126" spans="9:17" x14ac:dyDescent="0.45">
      <c r="I126" t="s">
        <v>166</v>
      </c>
      <c r="J126" t="s">
        <v>219</v>
      </c>
      <c r="K126">
        <v>0</v>
      </c>
      <c r="L126" t="s">
        <v>157</v>
      </c>
      <c r="N126" t="s">
        <v>188</v>
      </c>
      <c r="O126" t="s">
        <v>219</v>
      </c>
      <c r="P126">
        <v>0.13675069702699602</v>
      </c>
      <c r="Q126" t="s">
        <v>157</v>
      </c>
    </row>
    <row r="127" spans="9:17" x14ac:dyDescent="0.45">
      <c r="I127" t="s">
        <v>166</v>
      </c>
      <c r="J127" t="s">
        <v>220</v>
      </c>
      <c r="K127">
        <v>1.8958742188578757E-2</v>
      </c>
      <c r="L127" t="s">
        <v>157</v>
      </c>
      <c r="N127" t="s">
        <v>188</v>
      </c>
      <c r="O127" t="s">
        <v>220</v>
      </c>
      <c r="P127">
        <v>1.9923104280849712E-2</v>
      </c>
      <c r="Q127" t="s">
        <v>157</v>
      </c>
    </row>
    <row r="128" spans="9:17" x14ac:dyDescent="0.45">
      <c r="I128" t="s">
        <v>166</v>
      </c>
      <c r="J128" t="s">
        <v>221</v>
      </c>
      <c r="K128">
        <v>0.22519862238323377</v>
      </c>
      <c r="L128" t="s">
        <v>157</v>
      </c>
      <c r="N128" t="s">
        <v>188</v>
      </c>
      <c r="O128" t="s">
        <v>221</v>
      </c>
      <c r="P128">
        <v>5.9579846046777039E-2</v>
      </c>
      <c r="Q128" t="s">
        <v>157</v>
      </c>
    </row>
    <row r="129" spans="9:17" x14ac:dyDescent="0.45">
      <c r="I129" t="s">
        <v>166</v>
      </c>
      <c r="J129" t="s">
        <v>222</v>
      </c>
      <c r="K129">
        <v>2.1403992218857943E-3</v>
      </c>
      <c r="L129" t="s">
        <v>157</v>
      </c>
      <c r="N129" t="s">
        <v>188</v>
      </c>
      <c r="O129" t="s">
        <v>222</v>
      </c>
      <c r="P129">
        <v>7.3410044062935123E-2</v>
      </c>
      <c r="Q129" t="s">
        <v>157</v>
      </c>
    </row>
    <row r="130" spans="9:17" x14ac:dyDescent="0.45">
      <c r="I130" t="s">
        <v>166</v>
      </c>
      <c r="J130" t="s">
        <v>223</v>
      </c>
      <c r="K130">
        <v>2.9162904795455181E-2</v>
      </c>
      <c r="L130" t="s">
        <v>157</v>
      </c>
      <c r="N130" t="s">
        <v>188</v>
      </c>
      <c r="O130" t="s">
        <v>223</v>
      </c>
      <c r="P130">
        <v>7.3466906267383543E-3</v>
      </c>
      <c r="Q130" t="s">
        <v>157</v>
      </c>
    </row>
    <row r="131" spans="9:17" x14ac:dyDescent="0.45">
      <c r="I131" t="s">
        <v>167</v>
      </c>
      <c r="J131" t="s">
        <v>212</v>
      </c>
      <c r="K131">
        <v>0.26068814613962527</v>
      </c>
      <c r="L131" t="s">
        <v>157</v>
      </c>
      <c r="N131" t="s">
        <v>189</v>
      </c>
      <c r="O131" t="s">
        <v>212</v>
      </c>
      <c r="P131">
        <v>0.1089127220801335</v>
      </c>
      <c r="Q131" t="s">
        <v>157</v>
      </c>
    </row>
    <row r="132" spans="9:17" x14ac:dyDescent="0.45">
      <c r="I132" t="s">
        <v>167</v>
      </c>
      <c r="J132" t="s">
        <v>213</v>
      </c>
      <c r="K132">
        <v>0</v>
      </c>
      <c r="L132" t="s">
        <v>157</v>
      </c>
      <c r="N132" t="s">
        <v>189</v>
      </c>
      <c r="O132" t="s">
        <v>213</v>
      </c>
      <c r="P132">
        <v>0.19628706911936622</v>
      </c>
      <c r="Q132" t="s">
        <v>157</v>
      </c>
    </row>
    <row r="133" spans="9:17" x14ac:dyDescent="0.45">
      <c r="I133" t="s">
        <v>167</v>
      </c>
      <c r="J133" t="s">
        <v>214</v>
      </c>
      <c r="K133">
        <v>2.8082425401486144E-2</v>
      </c>
      <c r="L133" t="s">
        <v>157</v>
      </c>
      <c r="N133" t="s">
        <v>189</v>
      </c>
      <c r="O133" t="s">
        <v>214</v>
      </c>
      <c r="P133">
        <v>2.7588454703016334E-2</v>
      </c>
      <c r="Q133" t="s">
        <v>157</v>
      </c>
    </row>
    <row r="134" spans="9:17" x14ac:dyDescent="0.45">
      <c r="I134" t="s">
        <v>167</v>
      </c>
      <c r="J134" t="s">
        <v>215</v>
      </c>
      <c r="K134">
        <v>0.22251834900379119</v>
      </c>
      <c r="L134" t="s">
        <v>157</v>
      </c>
      <c r="N134" t="s">
        <v>189</v>
      </c>
      <c r="O134" t="s">
        <v>215</v>
      </c>
      <c r="P134">
        <v>6.6235771417754052E-2</v>
      </c>
      <c r="Q134" t="s">
        <v>157</v>
      </c>
    </row>
    <row r="135" spans="9:17" x14ac:dyDescent="0.45">
      <c r="I135" t="s">
        <v>167</v>
      </c>
      <c r="J135" t="s">
        <v>216</v>
      </c>
      <c r="K135">
        <v>0</v>
      </c>
      <c r="L135" t="s">
        <v>157</v>
      </c>
      <c r="N135" t="s">
        <v>189</v>
      </c>
      <c r="O135" t="s">
        <v>216</v>
      </c>
      <c r="P135">
        <v>0.12990766078469776</v>
      </c>
      <c r="Q135" t="s">
        <v>157</v>
      </c>
    </row>
    <row r="136" spans="9:17" x14ac:dyDescent="0.45">
      <c r="I136" t="s">
        <v>167</v>
      </c>
      <c r="J136" t="s">
        <v>217</v>
      </c>
      <c r="K136">
        <v>2.5538138860537143E-2</v>
      </c>
      <c r="L136" t="s">
        <v>157</v>
      </c>
      <c r="N136" t="s">
        <v>189</v>
      </c>
      <c r="O136" t="s">
        <v>217</v>
      </c>
      <c r="P136">
        <v>1.6650003465768559E-2</v>
      </c>
      <c r="Q136" t="s">
        <v>157</v>
      </c>
    </row>
    <row r="137" spans="9:17" x14ac:dyDescent="0.45">
      <c r="I137" t="s">
        <v>167</v>
      </c>
      <c r="J137" t="s">
        <v>218</v>
      </c>
      <c r="K137">
        <v>0.19313950157179174</v>
      </c>
      <c r="L137" t="s">
        <v>157</v>
      </c>
      <c r="N137" t="s">
        <v>189</v>
      </c>
      <c r="O137" t="s">
        <v>218</v>
      </c>
      <c r="P137">
        <v>9.0513388574179274E-2</v>
      </c>
      <c r="Q137" t="s">
        <v>157</v>
      </c>
    </row>
    <row r="138" spans="9:17" x14ac:dyDescent="0.45">
      <c r="I138" t="s">
        <v>167</v>
      </c>
      <c r="J138" t="s">
        <v>219</v>
      </c>
      <c r="K138">
        <v>0</v>
      </c>
      <c r="L138" t="s">
        <v>157</v>
      </c>
      <c r="N138" t="s">
        <v>189</v>
      </c>
      <c r="O138" t="s">
        <v>219</v>
      </c>
      <c r="P138">
        <v>0.14417187811286111</v>
      </c>
      <c r="Q138" t="s">
        <v>157</v>
      </c>
    </row>
    <row r="139" spans="9:17" x14ac:dyDescent="0.45">
      <c r="I139" t="s">
        <v>167</v>
      </c>
      <c r="J139" t="s">
        <v>220</v>
      </c>
      <c r="K139">
        <v>2.0007479690943616E-2</v>
      </c>
      <c r="L139" t="s">
        <v>157</v>
      </c>
      <c r="N139" t="s">
        <v>189</v>
      </c>
      <c r="O139" t="s">
        <v>220</v>
      </c>
      <c r="P139">
        <v>2.4109151913008772E-2</v>
      </c>
      <c r="Q139" t="s">
        <v>157</v>
      </c>
    </row>
    <row r="140" spans="9:17" x14ac:dyDescent="0.45">
      <c r="I140" t="s">
        <v>167</v>
      </c>
      <c r="J140" t="s">
        <v>221</v>
      </c>
      <c r="K140">
        <v>0.22055717135243316</v>
      </c>
      <c r="L140" t="s">
        <v>157</v>
      </c>
      <c r="N140" t="s">
        <v>189</v>
      </c>
      <c r="O140" t="s">
        <v>221</v>
      </c>
      <c r="P140">
        <v>8.4189855585243778E-2</v>
      </c>
      <c r="Q140" t="s">
        <v>157</v>
      </c>
    </row>
    <row r="141" spans="9:17" x14ac:dyDescent="0.45">
      <c r="I141" t="s">
        <v>167</v>
      </c>
      <c r="J141" t="s">
        <v>222</v>
      </c>
      <c r="K141">
        <v>2.1698850894351258E-3</v>
      </c>
      <c r="L141" t="s">
        <v>157</v>
      </c>
      <c r="N141" t="s">
        <v>189</v>
      </c>
      <c r="O141" t="s">
        <v>222</v>
      </c>
      <c r="P141">
        <v>9.4207372674835643E-2</v>
      </c>
      <c r="Q141" t="s">
        <v>157</v>
      </c>
    </row>
    <row r="142" spans="9:17" x14ac:dyDescent="0.45">
      <c r="I142" t="s">
        <v>167</v>
      </c>
      <c r="J142" t="s">
        <v>223</v>
      </c>
      <c r="K142">
        <v>2.7298902889960178E-2</v>
      </c>
      <c r="L142" t="s">
        <v>157</v>
      </c>
      <c r="N142" t="s">
        <v>189</v>
      </c>
      <c r="O142" t="s">
        <v>223</v>
      </c>
      <c r="P142">
        <v>1.7226671569136411E-2</v>
      </c>
      <c r="Q142" t="s">
        <v>157</v>
      </c>
    </row>
    <row r="143" spans="9:17" x14ac:dyDescent="0.45">
      <c r="I143" t="s">
        <v>168</v>
      </c>
      <c r="J143" t="s">
        <v>212</v>
      </c>
      <c r="K143">
        <v>0.26881150016459265</v>
      </c>
      <c r="L143" t="s">
        <v>157</v>
      </c>
      <c r="N143" t="s">
        <v>190</v>
      </c>
      <c r="O143" t="s">
        <v>212</v>
      </c>
      <c r="P143">
        <v>0.13376410594363475</v>
      </c>
      <c r="Q143" t="s">
        <v>157</v>
      </c>
    </row>
    <row r="144" spans="9:17" x14ac:dyDescent="0.45">
      <c r="I144" t="s">
        <v>168</v>
      </c>
      <c r="J144" t="s">
        <v>213</v>
      </c>
      <c r="K144">
        <v>0</v>
      </c>
      <c r="L144" t="s">
        <v>157</v>
      </c>
      <c r="N144" t="s">
        <v>190</v>
      </c>
      <c r="O144" t="s">
        <v>213</v>
      </c>
      <c r="P144">
        <v>0.22774350080266015</v>
      </c>
      <c r="Q144" t="s">
        <v>157</v>
      </c>
    </row>
    <row r="145" spans="9:17" x14ac:dyDescent="0.45">
      <c r="I145" t="s">
        <v>168</v>
      </c>
      <c r="J145" t="s">
        <v>214</v>
      </c>
      <c r="K145">
        <v>2.8561235950652266E-2</v>
      </c>
      <c r="L145" t="s">
        <v>157</v>
      </c>
      <c r="N145" t="s">
        <v>190</v>
      </c>
      <c r="O145" t="s">
        <v>214</v>
      </c>
      <c r="P145">
        <v>2.8832483417143229E-2</v>
      </c>
      <c r="Q145" t="s">
        <v>157</v>
      </c>
    </row>
    <row r="146" spans="9:17" x14ac:dyDescent="0.45">
      <c r="I146" t="s">
        <v>168</v>
      </c>
      <c r="J146" t="s">
        <v>215</v>
      </c>
      <c r="K146">
        <v>0.22408314263883372</v>
      </c>
      <c r="L146" t="s">
        <v>157</v>
      </c>
      <c r="N146" t="s">
        <v>190</v>
      </c>
      <c r="O146" t="s">
        <v>215</v>
      </c>
      <c r="P146">
        <v>7.658631525552341E-2</v>
      </c>
      <c r="Q146" t="s">
        <v>157</v>
      </c>
    </row>
    <row r="147" spans="9:17" x14ac:dyDescent="0.45">
      <c r="I147" t="s">
        <v>168</v>
      </c>
      <c r="J147" t="s">
        <v>216</v>
      </c>
      <c r="K147">
        <v>0</v>
      </c>
      <c r="L147" t="s">
        <v>157</v>
      </c>
      <c r="N147" t="s">
        <v>190</v>
      </c>
      <c r="O147" t="s">
        <v>216</v>
      </c>
      <c r="P147">
        <v>0.11475188001051413</v>
      </c>
      <c r="Q147" t="s">
        <v>157</v>
      </c>
    </row>
    <row r="148" spans="9:17" x14ac:dyDescent="0.45">
      <c r="I148" t="s">
        <v>168</v>
      </c>
      <c r="J148" t="s">
        <v>217</v>
      </c>
      <c r="K148">
        <v>2.4242967870280147E-2</v>
      </c>
      <c r="L148" t="s">
        <v>157</v>
      </c>
      <c r="N148" t="s">
        <v>190</v>
      </c>
      <c r="O148" t="s">
        <v>217</v>
      </c>
      <c r="P148">
        <v>1.4659742104588036E-2</v>
      </c>
      <c r="Q148" t="s">
        <v>157</v>
      </c>
    </row>
    <row r="149" spans="9:17" x14ac:dyDescent="0.45">
      <c r="I149" t="s">
        <v>168</v>
      </c>
      <c r="J149" t="s">
        <v>218</v>
      </c>
      <c r="K149">
        <v>0.20104772533973367</v>
      </c>
      <c r="L149" t="s">
        <v>157</v>
      </c>
      <c r="N149" t="s">
        <v>190</v>
      </c>
      <c r="O149" t="s">
        <v>218</v>
      </c>
      <c r="P149">
        <v>9.888071598822562E-2</v>
      </c>
      <c r="Q149" t="s">
        <v>157</v>
      </c>
    </row>
    <row r="150" spans="9:17" x14ac:dyDescent="0.45">
      <c r="I150" t="s">
        <v>168</v>
      </c>
      <c r="J150" t="s">
        <v>219</v>
      </c>
      <c r="K150">
        <v>0</v>
      </c>
      <c r="L150" t="s">
        <v>157</v>
      </c>
      <c r="N150" t="s">
        <v>190</v>
      </c>
      <c r="O150" t="s">
        <v>219</v>
      </c>
      <c r="P150">
        <v>0.13877408465423707</v>
      </c>
      <c r="Q150" t="s">
        <v>157</v>
      </c>
    </row>
    <row r="151" spans="9:17" x14ac:dyDescent="0.45">
      <c r="I151" t="s">
        <v>168</v>
      </c>
      <c r="J151" t="s">
        <v>220</v>
      </c>
      <c r="K151">
        <v>2.0047194416812877E-2</v>
      </c>
      <c r="L151" t="s">
        <v>157</v>
      </c>
      <c r="N151" t="s">
        <v>190</v>
      </c>
      <c r="O151" t="s">
        <v>220</v>
      </c>
      <c r="P151">
        <v>2.1390408497136363E-2</v>
      </c>
      <c r="Q151" t="s">
        <v>157</v>
      </c>
    </row>
    <row r="152" spans="9:17" x14ac:dyDescent="0.45">
      <c r="I152" t="s">
        <v>168</v>
      </c>
      <c r="J152" t="s">
        <v>221</v>
      </c>
      <c r="K152">
        <v>0.20833739748676983</v>
      </c>
      <c r="L152" t="s">
        <v>157</v>
      </c>
      <c r="N152" t="s">
        <v>190</v>
      </c>
      <c r="O152" t="s">
        <v>221</v>
      </c>
      <c r="P152">
        <v>5.2612247683535875E-2</v>
      </c>
      <c r="Q152" t="s">
        <v>157</v>
      </c>
    </row>
    <row r="153" spans="9:17" x14ac:dyDescent="0.45">
      <c r="I153" t="s">
        <v>168</v>
      </c>
      <c r="J153" t="s">
        <v>222</v>
      </c>
      <c r="K153">
        <v>2.4757991544243339E-4</v>
      </c>
      <c r="L153" t="s">
        <v>157</v>
      </c>
      <c r="N153" t="s">
        <v>190</v>
      </c>
      <c r="O153" t="s">
        <v>222</v>
      </c>
      <c r="P153">
        <v>8.0686036470832362E-2</v>
      </c>
      <c r="Q153" t="s">
        <v>157</v>
      </c>
    </row>
    <row r="154" spans="9:17" x14ac:dyDescent="0.45">
      <c r="I154" t="s">
        <v>168</v>
      </c>
      <c r="J154" t="s">
        <v>223</v>
      </c>
      <c r="K154">
        <v>2.4621256216881302E-2</v>
      </c>
      <c r="L154" t="s">
        <v>157</v>
      </c>
      <c r="N154" t="s">
        <v>190</v>
      </c>
      <c r="O154" t="s">
        <v>223</v>
      </c>
      <c r="P154">
        <v>1.1318479171972349E-2</v>
      </c>
      <c r="Q154" t="s">
        <v>157</v>
      </c>
    </row>
    <row r="155" spans="9:17" x14ac:dyDescent="0.45">
      <c r="I155" t="s">
        <v>169</v>
      </c>
      <c r="J155" t="s">
        <v>212</v>
      </c>
      <c r="K155">
        <v>0.27204734423949245</v>
      </c>
      <c r="L155" t="s">
        <v>157</v>
      </c>
      <c r="N155" t="s">
        <v>191</v>
      </c>
      <c r="O155" t="s">
        <v>212</v>
      </c>
      <c r="P155">
        <v>9.0286660696441645E-2</v>
      </c>
      <c r="Q155" t="s">
        <v>157</v>
      </c>
    </row>
    <row r="156" spans="9:17" x14ac:dyDescent="0.45">
      <c r="I156" t="s">
        <v>169</v>
      </c>
      <c r="J156" t="s">
        <v>213</v>
      </c>
      <c r="K156">
        <v>0</v>
      </c>
      <c r="L156" t="s">
        <v>157</v>
      </c>
      <c r="N156" t="s">
        <v>191</v>
      </c>
      <c r="O156" t="s">
        <v>213</v>
      </c>
      <c r="P156">
        <v>0.1904834584082663</v>
      </c>
      <c r="Q156" t="s">
        <v>157</v>
      </c>
    </row>
    <row r="157" spans="9:17" x14ac:dyDescent="0.45">
      <c r="I157" t="s">
        <v>169</v>
      </c>
      <c r="J157" t="s">
        <v>214</v>
      </c>
      <c r="K157">
        <v>3.1327465249520285E-2</v>
      </c>
      <c r="L157" t="s">
        <v>157</v>
      </c>
      <c r="N157" t="s">
        <v>191</v>
      </c>
      <c r="O157" t="s">
        <v>214</v>
      </c>
      <c r="P157">
        <v>1.2502139853590792E-2</v>
      </c>
      <c r="Q157" t="s">
        <v>157</v>
      </c>
    </row>
    <row r="158" spans="9:17" x14ac:dyDescent="0.45">
      <c r="I158" t="s">
        <v>169</v>
      </c>
      <c r="J158" t="s">
        <v>215</v>
      </c>
      <c r="K158">
        <v>0.22019492263513538</v>
      </c>
      <c r="L158" t="s">
        <v>157</v>
      </c>
      <c r="N158" t="s">
        <v>191</v>
      </c>
      <c r="O158" t="s">
        <v>215</v>
      </c>
      <c r="P158">
        <v>7.0258645882853715E-2</v>
      </c>
      <c r="Q158" t="s">
        <v>157</v>
      </c>
    </row>
    <row r="159" spans="9:17" x14ac:dyDescent="0.45">
      <c r="I159" t="s">
        <v>169</v>
      </c>
      <c r="J159" t="s">
        <v>216</v>
      </c>
      <c r="K159">
        <v>0</v>
      </c>
      <c r="L159" t="s">
        <v>157</v>
      </c>
      <c r="N159" t="s">
        <v>191</v>
      </c>
      <c r="O159" t="s">
        <v>216</v>
      </c>
      <c r="P159">
        <v>0.16831298467538267</v>
      </c>
      <c r="Q159" t="s">
        <v>157</v>
      </c>
    </row>
    <row r="160" spans="9:17" x14ac:dyDescent="0.45">
      <c r="I160" t="s">
        <v>169</v>
      </c>
      <c r="J160" t="s">
        <v>217</v>
      </c>
      <c r="K160">
        <v>2.4918322295049682E-2</v>
      </c>
      <c r="L160" t="s">
        <v>157</v>
      </c>
      <c r="N160" t="s">
        <v>191</v>
      </c>
      <c r="O160" t="s">
        <v>217</v>
      </c>
      <c r="P160">
        <v>9.2424924963384301E-3</v>
      </c>
      <c r="Q160" t="s">
        <v>157</v>
      </c>
    </row>
    <row r="161" spans="9:17" x14ac:dyDescent="0.45">
      <c r="I161" t="s">
        <v>169</v>
      </c>
      <c r="J161" t="s">
        <v>218</v>
      </c>
      <c r="K161">
        <v>0.19758670536872472</v>
      </c>
      <c r="L161" t="s">
        <v>157</v>
      </c>
      <c r="N161" t="s">
        <v>191</v>
      </c>
      <c r="O161" t="s">
        <v>218</v>
      </c>
      <c r="P161">
        <v>8.2409613465757509E-2</v>
      </c>
      <c r="Q161" t="s">
        <v>157</v>
      </c>
    </row>
    <row r="162" spans="9:17" x14ac:dyDescent="0.45">
      <c r="I162" t="s">
        <v>169</v>
      </c>
      <c r="J162" t="s">
        <v>219</v>
      </c>
      <c r="K162">
        <v>0</v>
      </c>
      <c r="L162" t="s">
        <v>157</v>
      </c>
      <c r="N162" t="s">
        <v>191</v>
      </c>
      <c r="O162" t="s">
        <v>219</v>
      </c>
      <c r="P162">
        <v>0.17330393428831395</v>
      </c>
      <c r="Q162" t="s">
        <v>157</v>
      </c>
    </row>
    <row r="163" spans="9:17" x14ac:dyDescent="0.45">
      <c r="I163" t="s">
        <v>169</v>
      </c>
      <c r="J163" t="s">
        <v>220</v>
      </c>
      <c r="K163">
        <v>1.8707111826651527E-2</v>
      </c>
      <c r="L163" t="s">
        <v>157</v>
      </c>
      <c r="N163" t="s">
        <v>191</v>
      </c>
      <c r="O163" t="s">
        <v>220</v>
      </c>
      <c r="P163">
        <v>1.0429790799494274E-2</v>
      </c>
      <c r="Q163" t="s">
        <v>157</v>
      </c>
    </row>
    <row r="164" spans="9:17" x14ac:dyDescent="0.45">
      <c r="I164" t="s">
        <v>169</v>
      </c>
      <c r="J164" t="s">
        <v>221</v>
      </c>
      <c r="K164">
        <v>0.2085158753226167</v>
      </c>
      <c r="L164" t="s">
        <v>157</v>
      </c>
      <c r="N164" t="s">
        <v>191</v>
      </c>
      <c r="O164" t="s">
        <v>221</v>
      </c>
      <c r="P164">
        <v>6.644069593479715E-2</v>
      </c>
      <c r="Q164" t="s">
        <v>157</v>
      </c>
    </row>
    <row r="165" spans="9:17" x14ac:dyDescent="0.45">
      <c r="I165" t="s">
        <v>169</v>
      </c>
      <c r="J165" t="s">
        <v>222</v>
      </c>
      <c r="K165">
        <v>0</v>
      </c>
      <c r="L165" t="s">
        <v>157</v>
      </c>
      <c r="N165" t="s">
        <v>191</v>
      </c>
      <c r="O165" t="s">
        <v>222</v>
      </c>
      <c r="P165">
        <v>0.11665357950571806</v>
      </c>
      <c r="Q165" t="s">
        <v>157</v>
      </c>
    </row>
    <row r="166" spans="9:17" x14ac:dyDescent="0.45">
      <c r="I166" t="s">
        <v>169</v>
      </c>
      <c r="J166" t="s">
        <v>223</v>
      </c>
      <c r="K166">
        <v>2.6702253062809097E-2</v>
      </c>
      <c r="L166" t="s">
        <v>157</v>
      </c>
      <c r="N166" t="s">
        <v>191</v>
      </c>
      <c r="O166" t="s">
        <v>223</v>
      </c>
      <c r="P166">
        <v>9.6760039930454192E-3</v>
      </c>
      <c r="Q166" t="s">
        <v>157</v>
      </c>
    </row>
    <row r="167" spans="9:17" x14ac:dyDescent="0.45">
      <c r="I167" t="s">
        <v>170</v>
      </c>
      <c r="J167" t="s">
        <v>212</v>
      </c>
      <c r="K167">
        <v>0.26090748997054425</v>
      </c>
      <c r="L167" t="s">
        <v>157</v>
      </c>
      <c r="N167" t="s">
        <v>192</v>
      </c>
      <c r="O167" t="s">
        <v>212</v>
      </c>
      <c r="P167">
        <v>8.2616522705784776E-2</v>
      </c>
      <c r="Q167" t="s">
        <v>157</v>
      </c>
    </row>
    <row r="168" spans="9:17" x14ac:dyDescent="0.45">
      <c r="I168" t="s">
        <v>170</v>
      </c>
      <c r="J168" t="s">
        <v>213</v>
      </c>
      <c r="K168">
        <v>0</v>
      </c>
      <c r="L168" t="s">
        <v>157</v>
      </c>
      <c r="N168" t="s">
        <v>192</v>
      </c>
      <c r="O168" t="s">
        <v>213</v>
      </c>
      <c r="P168">
        <v>0.20030364979676915</v>
      </c>
      <c r="Q168" t="s">
        <v>157</v>
      </c>
    </row>
    <row r="169" spans="9:17" x14ac:dyDescent="0.45">
      <c r="I169" t="s">
        <v>170</v>
      </c>
      <c r="J169" t="s">
        <v>214</v>
      </c>
      <c r="K169">
        <v>2.9525851704319272E-2</v>
      </c>
      <c r="L169" t="s">
        <v>157</v>
      </c>
      <c r="N169" t="s">
        <v>192</v>
      </c>
      <c r="O169" t="s">
        <v>214</v>
      </c>
      <c r="P169">
        <v>1.3639681289729068E-2</v>
      </c>
      <c r="Q169" t="s">
        <v>157</v>
      </c>
    </row>
    <row r="170" spans="9:17" x14ac:dyDescent="0.45">
      <c r="I170" t="s">
        <v>170</v>
      </c>
      <c r="J170" t="s">
        <v>215</v>
      </c>
      <c r="K170">
        <v>0.22368214056199251</v>
      </c>
      <c r="L170" t="s">
        <v>157</v>
      </c>
      <c r="N170" t="s">
        <v>192</v>
      </c>
      <c r="O170" t="s">
        <v>215</v>
      </c>
      <c r="P170">
        <v>7.0457948774158952E-2</v>
      </c>
      <c r="Q170" t="s">
        <v>157</v>
      </c>
    </row>
    <row r="171" spans="9:17" x14ac:dyDescent="0.45">
      <c r="I171" t="s">
        <v>170</v>
      </c>
      <c r="J171" t="s">
        <v>216</v>
      </c>
      <c r="K171">
        <v>0</v>
      </c>
      <c r="L171" t="s">
        <v>157</v>
      </c>
      <c r="N171" t="s">
        <v>192</v>
      </c>
      <c r="O171" t="s">
        <v>216</v>
      </c>
      <c r="P171">
        <v>0.16606169904343224</v>
      </c>
      <c r="Q171" t="s">
        <v>157</v>
      </c>
    </row>
    <row r="172" spans="9:17" x14ac:dyDescent="0.45">
      <c r="I172" t="s">
        <v>170</v>
      </c>
      <c r="J172" t="s">
        <v>217</v>
      </c>
      <c r="K172">
        <v>2.7791376631177717E-2</v>
      </c>
      <c r="L172" t="s">
        <v>157</v>
      </c>
      <c r="N172" t="s">
        <v>192</v>
      </c>
      <c r="O172" t="s">
        <v>217</v>
      </c>
      <c r="P172">
        <v>9.4632263171445675E-3</v>
      </c>
      <c r="Q172" t="s">
        <v>157</v>
      </c>
    </row>
    <row r="173" spans="9:17" x14ac:dyDescent="0.45">
      <c r="I173" t="s">
        <v>170</v>
      </c>
      <c r="J173" t="s">
        <v>218</v>
      </c>
      <c r="K173">
        <v>0.19645824187133956</v>
      </c>
      <c r="L173" t="s">
        <v>157</v>
      </c>
      <c r="N173" t="s">
        <v>192</v>
      </c>
      <c r="O173" t="s">
        <v>218</v>
      </c>
      <c r="P173">
        <v>8.4729560011031338E-2</v>
      </c>
      <c r="Q173" t="s">
        <v>157</v>
      </c>
    </row>
    <row r="174" spans="9:17" x14ac:dyDescent="0.45">
      <c r="I174" t="s">
        <v>170</v>
      </c>
      <c r="J174" t="s">
        <v>219</v>
      </c>
      <c r="K174">
        <v>0</v>
      </c>
      <c r="L174" t="s">
        <v>157</v>
      </c>
      <c r="N174" t="s">
        <v>192</v>
      </c>
      <c r="O174" t="s">
        <v>219</v>
      </c>
      <c r="P174">
        <v>0.17937477227175633</v>
      </c>
      <c r="Q174" t="s">
        <v>157</v>
      </c>
    </row>
    <row r="175" spans="9:17" x14ac:dyDescent="0.45">
      <c r="I175" t="s">
        <v>170</v>
      </c>
      <c r="J175" t="s">
        <v>220</v>
      </c>
      <c r="K175">
        <v>2.244815638450437E-2</v>
      </c>
      <c r="L175" t="s">
        <v>157</v>
      </c>
      <c r="N175" t="s">
        <v>192</v>
      </c>
      <c r="O175" t="s">
        <v>220</v>
      </c>
      <c r="P175">
        <v>1.1625843467121526E-2</v>
      </c>
      <c r="Q175" t="s">
        <v>157</v>
      </c>
    </row>
    <row r="176" spans="9:17" x14ac:dyDescent="0.45">
      <c r="I176" t="s">
        <v>170</v>
      </c>
      <c r="J176" t="s">
        <v>221</v>
      </c>
      <c r="K176">
        <v>0.208383191320478</v>
      </c>
      <c r="L176" t="s">
        <v>157</v>
      </c>
      <c r="N176" t="s">
        <v>192</v>
      </c>
      <c r="O176" t="s">
        <v>221</v>
      </c>
      <c r="P176">
        <v>6.30170179581514E-2</v>
      </c>
      <c r="Q176" t="s">
        <v>157</v>
      </c>
    </row>
    <row r="177" spans="9:17" x14ac:dyDescent="0.45">
      <c r="I177" t="s">
        <v>170</v>
      </c>
      <c r="J177" t="s">
        <v>222</v>
      </c>
      <c r="K177">
        <v>3.6564121108345424E-3</v>
      </c>
      <c r="L177" t="s">
        <v>157</v>
      </c>
      <c r="N177" t="s">
        <v>192</v>
      </c>
      <c r="O177" t="s">
        <v>222</v>
      </c>
      <c r="P177">
        <v>0.10924547985356732</v>
      </c>
      <c r="Q177" t="s">
        <v>157</v>
      </c>
    </row>
    <row r="178" spans="9:17" x14ac:dyDescent="0.45">
      <c r="I178" t="s">
        <v>170</v>
      </c>
      <c r="J178" t="s">
        <v>223</v>
      </c>
      <c r="K178">
        <v>2.7147139444808299E-2</v>
      </c>
      <c r="L178" t="s">
        <v>157</v>
      </c>
      <c r="N178" t="s">
        <v>192</v>
      </c>
      <c r="O178" t="s">
        <v>223</v>
      </c>
      <c r="P178">
        <v>9.4645985113552406E-3</v>
      </c>
      <c r="Q178" t="s">
        <v>157</v>
      </c>
    </row>
    <row r="179" spans="9:17" x14ac:dyDescent="0.45">
      <c r="I179" t="s">
        <v>171</v>
      </c>
      <c r="J179" t="s">
        <v>212</v>
      </c>
      <c r="K179">
        <v>0.26719772458192698</v>
      </c>
      <c r="L179" t="s">
        <v>157</v>
      </c>
      <c r="N179" t="s">
        <v>193</v>
      </c>
      <c r="O179" t="s">
        <v>212</v>
      </c>
      <c r="P179">
        <v>0.10325225349659821</v>
      </c>
      <c r="Q179" t="s">
        <v>157</v>
      </c>
    </row>
    <row r="180" spans="9:17" x14ac:dyDescent="0.45">
      <c r="I180" t="s">
        <v>171</v>
      </c>
      <c r="J180" t="s">
        <v>213</v>
      </c>
      <c r="K180">
        <v>0</v>
      </c>
      <c r="L180" t="s">
        <v>157</v>
      </c>
      <c r="N180" t="s">
        <v>193</v>
      </c>
      <c r="O180" t="s">
        <v>213</v>
      </c>
      <c r="P180">
        <v>0.20287642047116311</v>
      </c>
      <c r="Q180" t="s">
        <v>157</v>
      </c>
    </row>
    <row r="181" spans="9:17" x14ac:dyDescent="0.45">
      <c r="I181" t="s">
        <v>171</v>
      </c>
      <c r="J181" t="s">
        <v>214</v>
      </c>
      <c r="K181">
        <v>3.2253187659001994E-2</v>
      </c>
      <c r="L181" t="s">
        <v>157</v>
      </c>
      <c r="N181" t="s">
        <v>193</v>
      </c>
      <c r="O181" t="s">
        <v>214</v>
      </c>
      <c r="P181">
        <v>1.0825376162527631E-2</v>
      </c>
      <c r="Q181" t="s">
        <v>157</v>
      </c>
    </row>
    <row r="182" spans="9:17" x14ac:dyDescent="0.45">
      <c r="I182" t="s">
        <v>171</v>
      </c>
      <c r="J182" t="s">
        <v>215</v>
      </c>
      <c r="K182">
        <v>0.22153036992398387</v>
      </c>
      <c r="L182" t="s">
        <v>157</v>
      </c>
      <c r="N182" t="s">
        <v>193</v>
      </c>
      <c r="O182" t="s">
        <v>215</v>
      </c>
      <c r="P182">
        <v>8.0281941554529529E-2</v>
      </c>
      <c r="Q182" t="s">
        <v>157</v>
      </c>
    </row>
    <row r="183" spans="9:17" x14ac:dyDescent="0.45">
      <c r="I183" t="s">
        <v>171</v>
      </c>
      <c r="J183" t="s">
        <v>216</v>
      </c>
      <c r="K183">
        <v>0</v>
      </c>
      <c r="L183" t="s">
        <v>157</v>
      </c>
      <c r="N183" t="s">
        <v>193</v>
      </c>
      <c r="O183" t="s">
        <v>216</v>
      </c>
      <c r="P183">
        <v>0.15566016927841883</v>
      </c>
      <c r="Q183" t="s">
        <v>157</v>
      </c>
    </row>
    <row r="184" spans="9:17" x14ac:dyDescent="0.45">
      <c r="I184" t="s">
        <v>171</v>
      </c>
      <c r="J184" t="s">
        <v>217</v>
      </c>
      <c r="K184">
        <v>2.7585753745600315E-2</v>
      </c>
      <c r="L184" t="s">
        <v>157</v>
      </c>
      <c r="N184" t="s">
        <v>193</v>
      </c>
      <c r="O184" t="s">
        <v>217</v>
      </c>
      <c r="P184">
        <v>5.346920911239888E-3</v>
      </c>
      <c r="Q184" t="s">
        <v>157</v>
      </c>
    </row>
    <row r="185" spans="9:17" x14ac:dyDescent="0.45">
      <c r="I185" t="s">
        <v>171</v>
      </c>
      <c r="J185" t="s">
        <v>218</v>
      </c>
      <c r="K185">
        <v>0.19726893951601407</v>
      </c>
      <c r="L185" t="s">
        <v>157</v>
      </c>
      <c r="N185" t="s">
        <v>193</v>
      </c>
      <c r="O185" t="s">
        <v>218</v>
      </c>
      <c r="P185">
        <v>9.698181483027736E-2</v>
      </c>
      <c r="Q185" t="s">
        <v>157</v>
      </c>
    </row>
    <row r="186" spans="9:17" x14ac:dyDescent="0.45">
      <c r="I186" t="s">
        <v>171</v>
      </c>
      <c r="J186" t="s">
        <v>219</v>
      </c>
      <c r="K186">
        <v>0</v>
      </c>
      <c r="L186" t="s">
        <v>157</v>
      </c>
      <c r="N186" t="s">
        <v>193</v>
      </c>
      <c r="O186" t="s">
        <v>219</v>
      </c>
      <c r="P186">
        <v>0.16967589092718738</v>
      </c>
      <c r="Q186" t="s">
        <v>157</v>
      </c>
    </row>
    <row r="187" spans="9:17" x14ac:dyDescent="0.45">
      <c r="I187" t="s">
        <v>171</v>
      </c>
      <c r="J187" t="s">
        <v>220</v>
      </c>
      <c r="K187">
        <v>2.1985892993776672E-2</v>
      </c>
      <c r="L187" t="s">
        <v>157</v>
      </c>
      <c r="N187" t="s">
        <v>193</v>
      </c>
      <c r="O187" t="s">
        <v>220</v>
      </c>
      <c r="P187">
        <v>8.4294183383380843E-3</v>
      </c>
      <c r="Q187" t="s">
        <v>157</v>
      </c>
    </row>
    <row r="188" spans="9:17" x14ac:dyDescent="0.45">
      <c r="I188" t="s">
        <v>171</v>
      </c>
      <c r="J188" t="s">
        <v>221</v>
      </c>
      <c r="K188">
        <v>0.20426551864463469</v>
      </c>
      <c r="L188" t="s">
        <v>157</v>
      </c>
      <c r="N188" t="s">
        <v>193</v>
      </c>
      <c r="O188" t="s">
        <v>221</v>
      </c>
      <c r="P188">
        <v>6.2749301360634877E-2</v>
      </c>
      <c r="Q188" t="s">
        <v>157</v>
      </c>
    </row>
    <row r="189" spans="9:17" x14ac:dyDescent="0.45">
      <c r="I189" t="s">
        <v>171</v>
      </c>
      <c r="J189" t="s">
        <v>222</v>
      </c>
      <c r="K189">
        <v>3.769783215493757E-4</v>
      </c>
      <c r="L189" t="s">
        <v>157</v>
      </c>
      <c r="N189" t="s">
        <v>193</v>
      </c>
      <c r="O189" t="s">
        <v>222</v>
      </c>
      <c r="P189">
        <v>9.7626419732031802E-2</v>
      </c>
      <c r="Q189" t="s">
        <v>157</v>
      </c>
    </row>
    <row r="190" spans="9:17" x14ac:dyDescent="0.45">
      <c r="I190" t="s">
        <v>171</v>
      </c>
      <c r="J190" t="s">
        <v>223</v>
      </c>
      <c r="K190">
        <v>2.7535634613511439E-2</v>
      </c>
      <c r="L190" t="s">
        <v>157</v>
      </c>
      <c r="N190" t="s">
        <v>193</v>
      </c>
      <c r="O190" t="s">
        <v>223</v>
      </c>
      <c r="P190">
        <v>6.2940729370500933E-3</v>
      </c>
      <c r="Q190" t="s">
        <v>157</v>
      </c>
    </row>
    <row r="191" spans="9:17" x14ac:dyDescent="0.45">
      <c r="I191" t="s">
        <v>172</v>
      </c>
      <c r="J191" t="s">
        <v>212</v>
      </c>
      <c r="K191">
        <v>0.26310924034757865</v>
      </c>
      <c r="L191" t="s">
        <v>157</v>
      </c>
      <c r="N191" t="s">
        <v>194</v>
      </c>
      <c r="O191" t="s">
        <v>212</v>
      </c>
      <c r="P191">
        <v>0.11016612684664941</v>
      </c>
      <c r="Q191" t="s">
        <v>157</v>
      </c>
    </row>
    <row r="192" spans="9:17" x14ac:dyDescent="0.45">
      <c r="I192" t="s">
        <v>172</v>
      </c>
      <c r="J192" t="s">
        <v>213</v>
      </c>
      <c r="K192">
        <v>0</v>
      </c>
      <c r="L192" t="s">
        <v>157</v>
      </c>
      <c r="N192" t="s">
        <v>194</v>
      </c>
      <c r="O192" t="s">
        <v>213</v>
      </c>
      <c r="P192">
        <v>0.18632867490809854</v>
      </c>
      <c r="Q192" t="s">
        <v>157</v>
      </c>
    </row>
    <row r="193" spans="9:17" x14ac:dyDescent="0.45">
      <c r="I193" t="s">
        <v>172</v>
      </c>
      <c r="J193" t="s">
        <v>214</v>
      </c>
      <c r="K193">
        <v>3.317272085797271E-2</v>
      </c>
      <c r="L193" t="s">
        <v>157</v>
      </c>
      <c r="N193" t="s">
        <v>194</v>
      </c>
      <c r="O193" t="s">
        <v>214</v>
      </c>
      <c r="P193">
        <v>1.0972399271659484E-2</v>
      </c>
      <c r="Q193" t="s">
        <v>157</v>
      </c>
    </row>
    <row r="194" spans="9:17" x14ac:dyDescent="0.45">
      <c r="I194" t="s">
        <v>172</v>
      </c>
      <c r="J194" t="s">
        <v>215</v>
      </c>
      <c r="K194">
        <v>0.22059152821812023</v>
      </c>
      <c r="L194" t="s">
        <v>157</v>
      </c>
      <c r="N194" t="s">
        <v>194</v>
      </c>
      <c r="O194" t="s">
        <v>215</v>
      </c>
      <c r="P194">
        <v>7.6897986675722327E-2</v>
      </c>
      <c r="Q194" t="s">
        <v>157</v>
      </c>
    </row>
    <row r="195" spans="9:17" x14ac:dyDescent="0.45">
      <c r="I195" t="s">
        <v>172</v>
      </c>
      <c r="J195" t="s">
        <v>216</v>
      </c>
      <c r="K195">
        <v>0</v>
      </c>
      <c r="L195" t="s">
        <v>157</v>
      </c>
      <c r="N195" t="s">
        <v>194</v>
      </c>
      <c r="O195" t="s">
        <v>216</v>
      </c>
      <c r="P195">
        <v>0.15668002609380977</v>
      </c>
      <c r="Q195" t="s">
        <v>157</v>
      </c>
    </row>
    <row r="196" spans="9:17" x14ac:dyDescent="0.45">
      <c r="I196" t="s">
        <v>172</v>
      </c>
      <c r="J196" t="s">
        <v>217</v>
      </c>
      <c r="K196">
        <v>3.0400966460871544E-2</v>
      </c>
      <c r="L196" t="s">
        <v>157</v>
      </c>
      <c r="N196" t="s">
        <v>194</v>
      </c>
      <c r="O196" t="s">
        <v>217</v>
      </c>
      <c r="P196">
        <v>6.2226913314743513E-3</v>
      </c>
      <c r="Q196" t="s">
        <v>157</v>
      </c>
    </row>
    <row r="197" spans="9:17" x14ac:dyDescent="0.45">
      <c r="I197" t="s">
        <v>172</v>
      </c>
      <c r="J197" t="s">
        <v>218</v>
      </c>
      <c r="K197">
        <v>0.19528283302056998</v>
      </c>
      <c r="L197" t="s">
        <v>157</v>
      </c>
      <c r="N197" t="s">
        <v>194</v>
      </c>
      <c r="O197" t="s">
        <v>218</v>
      </c>
      <c r="P197">
        <v>9.3481360106658723E-2</v>
      </c>
      <c r="Q197" t="s">
        <v>157</v>
      </c>
    </row>
    <row r="198" spans="9:17" x14ac:dyDescent="0.45">
      <c r="I198" t="s">
        <v>172</v>
      </c>
      <c r="J198" t="s">
        <v>219</v>
      </c>
      <c r="K198">
        <v>0</v>
      </c>
      <c r="L198" t="s">
        <v>157</v>
      </c>
      <c r="N198" t="s">
        <v>194</v>
      </c>
      <c r="O198" t="s">
        <v>219</v>
      </c>
      <c r="P198">
        <v>0.1772942683089069</v>
      </c>
      <c r="Q198" t="s">
        <v>157</v>
      </c>
    </row>
    <row r="199" spans="9:17" x14ac:dyDescent="0.45">
      <c r="I199" t="s">
        <v>172</v>
      </c>
      <c r="J199" t="s">
        <v>220</v>
      </c>
      <c r="K199">
        <v>2.5654623977171009E-2</v>
      </c>
      <c r="L199" t="s">
        <v>157</v>
      </c>
      <c r="N199" t="s">
        <v>194</v>
      </c>
      <c r="O199" t="s">
        <v>220</v>
      </c>
      <c r="P199">
        <v>8.933123196802931E-3</v>
      </c>
      <c r="Q199" t="s">
        <v>157</v>
      </c>
    </row>
    <row r="200" spans="9:17" x14ac:dyDescent="0.45">
      <c r="I200" t="s">
        <v>172</v>
      </c>
      <c r="J200" t="s">
        <v>221</v>
      </c>
      <c r="K200">
        <v>0.20077973050203649</v>
      </c>
      <c r="L200" t="s">
        <v>157</v>
      </c>
      <c r="N200" t="s">
        <v>194</v>
      </c>
      <c r="O200" t="s">
        <v>221</v>
      </c>
      <c r="P200">
        <v>6.7550991622795681E-2</v>
      </c>
      <c r="Q200" t="s">
        <v>157</v>
      </c>
    </row>
    <row r="201" spans="9:17" x14ac:dyDescent="0.45">
      <c r="I201" t="s">
        <v>172</v>
      </c>
      <c r="J201" t="s">
        <v>222</v>
      </c>
      <c r="K201">
        <v>3.3074069509973956E-3</v>
      </c>
      <c r="L201" t="s">
        <v>157</v>
      </c>
      <c r="N201" t="s">
        <v>194</v>
      </c>
      <c r="O201" t="s">
        <v>222</v>
      </c>
      <c r="P201">
        <v>9.9357917505601454E-2</v>
      </c>
      <c r="Q201" t="s">
        <v>157</v>
      </c>
    </row>
    <row r="202" spans="9:17" x14ac:dyDescent="0.45">
      <c r="I202" t="s">
        <v>172</v>
      </c>
      <c r="J202" t="s">
        <v>223</v>
      </c>
      <c r="K202">
        <v>2.7700949664682003E-2</v>
      </c>
      <c r="L202" t="s">
        <v>157</v>
      </c>
      <c r="N202" t="s">
        <v>194</v>
      </c>
      <c r="O202" t="s">
        <v>223</v>
      </c>
      <c r="P202">
        <v>6.1144341318212997E-3</v>
      </c>
      <c r="Q202" t="s">
        <v>157</v>
      </c>
    </row>
    <row r="203" spans="9:17" x14ac:dyDescent="0.45">
      <c r="I203" t="s">
        <v>173</v>
      </c>
      <c r="J203" t="s">
        <v>212</v>
      </c>
      <c r="K203">
        <v>0.27408215052182344</v>
      </c>
      <c r="L203" t="s">
        <v>157</v>
      </c>
      <c r="N203" t="s">
        <v>195</v>
      </c>
      <c r="O203" t="s">
        <v>212</v>
      </c>
      <c r="P203">
        <v>0.21815245204564998</v>
      </c>
      <c r="Q203" t="s">
        <v>157</v>
      </c>
    </row>
    <row r="204" spans="9:17" x14ac:dyDescent="0.45">
      <c r="I204" t="s">
        <v>173</v>
      </c>
      <c r="J204" t="s">
        <v>213</v>
      </c>
      <c r="K204">
        <v>0</v>
      </c>
      <c r="L204" t="s">
        <v>157</v>
      </c>
      <c r="N204" t="s">
        <v>195</v>
      </c>
      <c r="O204" t="s">
        <v>213</v>
      </c>
      <c r="P204">
        <v>0.16553952614334502</v>
      </c>
      <c r="Q204" t="s">
        <v>157</v>
      </c>
    </row>
    <row r="205" spans="9:17" x14ac:dyDescent="0.45">
      <c r="I205" t="s">
        <v>173</v>
      </c>
      <c r="J205" t="s">
        <v>214</v>
      </c>
      <c r="K205">
        <v>1.2990085237972352E-2</v>
      </c>
      <c r="L205" t="s">
        <v>157</v>
      </c>
      <c r="N205" t="s">
        <v>195</v>
      </c>
      <c r="O205" t="s">
        <v>214</v>
      </c>
      <c r="P205">
        <v>2.7776604316377112E-2</v>
      </c>
      <c r="Q205" t="s">
        <v>157</v>
      </c>
    </row>
    <row r="206" spans="9:17" x14ac:dyDescent="0.45">
      <c r="I206" t="s">
        <v>173</v>
      </c>
      <c r="J206" t="s">
        <v>215</v>
      </c>
      <c r="K206">
        <v>0.24114049960941239</v>
      </c>
      <c r="L206" t="s">
        <v>157</v>
      </c>
      <c r="N206" t="s">
        <v>195</v>
      </c>
      <c r="O206" t="s">
        <v>215</v>
      </c>
      <c r="P206">
        <v>8.8920295190078588E-2</v>
      </c>
      <c r="Q206" t="s">
        <v>157</v>
      </c>
    </row>
    <row r="207" spans="9:17" x14ac:dyDescent="0.45">
      <c r="I207" t="s">
        <v>173</v>
      </c>
      <c r="J207" t="s">
        <v>216</v>
      </c>
      <c r="K207">
        <v>0</v>
      </c>
      <c r="L207" t="s">
        <v>157</v>
      </c>
      <c r="N207" t="s">
        <v>195</v>
      </c>
      <c r="O207" t="s">
        <v>216</v>
      </c>
      <c r="P207">
        <v>8.2052734225439988E-2</v>
      </c>
      <c r="Q207" t="s">
        <v>157</v>
      </c>
    </row>
    <row r="208" spans="9:17" x14ac:dyDescent="0.45">
      <c r="I208" t="s">
        <v>173</v>
      </c>
      <c r="J208" t="s">
        <v>217</v>
      </c>
      <c r="K208">
        <v>1.6564469677297852E-2</v>
      </c>
      <c r="L208" t="s">
        <v>157</v>
      </c>
      <c r="N208" t="s">
        <v>195</v>
      </c>
      <c r="O208" t="s">
        <v>217</v>
      </c>
      <c r="P208">
        <v>1.4820060467426109E-2</v>
      </c>
      <c r="Q208" t="s">
        <v>157</v>
      </c>
    </row>
    <row r="209" spans="9:17" x14ac:dyDescent="0.45">
      <c r="I209" t="s">
        <v>173</v>
      </c>
      <c r="J209" t="s">
        <v>218</v>
      </c>
      <c r="K209">
        <v>0.20533645134053924</v>
      </c>
      <c r="L209" t="s">
        <v>157</v>
      </c>
      <c r="N209" t="s">
        <v>195</v>
      </c>
      <c r="O209" t="s">
        <v>218</v>
      </c>
      <c r="P209">
        <v>0.12905058158169658</v>
      </c>
      <c r="Q209" t="s">
        <v>157</v>
      </c>
    </row>
    <row r="210" spans="9:17" x14ac:dyDescent="0.45">
      <c r="I210" t="s">
        <v>173</v>
      </c>
      <c r="J210" t="s">
        <v>219</v>
      </c>
      <c r="K210">
        <v>0</v>
      </c>
      <c r="L210" t="s">
        <v>157</v>
      </c>
      <c r="N210" t="s">
        <v>195</v>
      </c>
      <c r="O210" t="s">
        <v>219</v>
      </c>
      <c r="P210">
        <v>0.11341924495994415</v>
      </c>
      <c r="Q210" t="s">
        <v>157</v>
      </c>
    </row>
    <row r="211" spans="9:17" x14ac:dyDescent="0.45">
      <c r="I211" t="s">
        <v>173</v>
      </c>
      <c r="J211" t="s">
        <v>220</v>
      </c>
      <c r="K211">
        <v>1.1278503975784161E-2</v>
      </c>
      <c r="L211" t="s">
        <v>157</v>
      </c>
      <c r="N211" t="s">
        <v>195</v>
      </c>
      <c r="O211" t="s">
        <v>220</v>
      </c>
      <c r="P211">
        <v>2.2973114427514103E-2</v>
      </c>
      <c r="Q211" t="s">
        <v>157</v>
      </c>
    </row>
    <row r="212" spans="9:17" x14ac:dyDescent="0.45">
      <c r="I212" t="s">
        <v>173</v>
      </c>
      <c r="J212" t="s">
        <v>221</v>
      </c>
      <c r="K212">
        <v>0.21972645015622105</v>
      </c>
      <c r="L212" t="s">
        <v>157</v>
      </c>
      <c r="N212" t="s">
        <v>195</v>
      </c>
      <c r="O212" t="s">
        <v>221</v>
      </c>
      <c r="P212">
        <v>7.76054121902017E-2</v>
      </c>
      <c r="Q212" t="s">
        <v>157</v>
      </c>
    </row>
    <row r="213" spans="9:17" x14ac:dyDescent="0.45">
      <c r="I213" t="s">
        <v>173</v>
      </c>
      <c r="J213" t="s">
        <v>222</v>
      </c>
      <c r="K213">
        <v>0</v>
      </c>
      <c r="L213" t="s">
        <v>157</v>
      </c>
      <c r="N213" t="s">
        <v>195</v>
      </c>
      <c r="O213" t="s">
        <v>222</v>
      </c>
      <c r="P213">
        <v>5.3030781936227171E-2</v>
      </c>
      <c r="Q213" t="s">
        <v>157</v>
      </c>
    </row>
    <row r="214" spans="9:17" x14ac:dyDescent="0.45">
      <c r="I214" t="s">
        <v>173</v>
      </c>
      <c r="J214" t="s">
        <v>223</v>
      </c>
      <c r="K214">
        <v>1.8881389480949098E-2</v>
      </c>
      <c r="L214" t="s">
        <v>157</v>
      </c>
      <c r="N214" t="s">
        <v>195</v>
      </c>
      <c r="O214" t="s">
        <v>223</v>
      </c>
      <c r="P214">
        <v>6.659192516103681E-3</v>
      </c>
      <c r="Q214" t="s">
        <v>157</v>
      </c>
    </row>
    <row r="215" spans="9:17" x14ac:dyDescent="0.45">
      <c r="I215" t="s">
        <v>174</v>
      </c>
      <c r="J215" t="s">
        <v>212</v>
      </c>
      <c r="K215">
        <v>0.25814455623409566</v>
      </c>
      <c r="L215" t="s">
        <v>157</v>
      </c>
      <c r="N215" t="s">
        <v>196</v>
      </c>
      <c r="O215" t="s">
        <v>212</v>
      </c>
      <c r="P215">
        <v>0.15457660407651919</v>
      </c>
      <c r="Q215" t="s">
        <v>157</v>
      </c>
    </row>
    <row r="216" spans="9:17" x14ac:dyDescent="0.45">
      <c r="I216" t="s">
        <v>174</v>
      </c>
      <c r="J216" t="s">
        <v>213</v>
      </c>
      <c r="K216">
        <v>0</v>
      </c>
      <c r="L216" t="s">
        <v>157</v>
      </c>
      <c r="N216" t="s">
        <v>196</v>
      </c>
      <c r="O216" t="s">
        <v>213</v>
      </c>
      <c r="P216">
        <v>0.17893265571707023</v>
      </c>
      <c r="Q216" t="s">
        <v>157</v>
      </c>
    </row>
    <row r="217" spans="9:17" x14ac:dyDescent="0.45">
      <c r="I217" t="s">
        <v>174</v>
      </c>
      <c r="J217" t="s">
        <v>214</v>
      </c>
      <c r="K217">
        <v>2.9284225155221003E-2</v>
      </c>
      <c r="L217" t="s">
        <v>157</v>
      </c>
      <c r="N217" t="s">
        <v>196</v>
      </c>
      <c r="O217" t="s">
        <v>214</v>
      </c>
      <c r="P217">
        <v>1.6036674926590902E-2</v>
      </c>
      <c r="Q217" t="s">
        <v>157</v>
      </c>
    </row>
    <row r="218" spans="9:17" x14ac:dyDescent="0.45">
      <c r="I218" t="s">
        <v>174</v>
      </c>
      <c r="J218" t="s">
        <v>215</v>
      </c>
      <c r="K218">
        <v>0.22424053884424885</v>
      </c>
      <c r="L218" t="s">
        <v>157</v>
      </c>
      <c r="N218" t="s">
        <v>196</v>
      </c>
      <c r="O218" t="s">
        <v>215</v>
      </c>
      <c r="P218">
        <v>8.8354855034015287E-2</v>
      </c>
      <c r="Q218" t="s">
        <v>157</v>
      </c>
    </row>
    <row r="219" spans="9:17" x14ac:dyDescent="0.45">
      <c r="I219" t="s">
        <v>174</v>
      </c>
      <c r="J219" t="s">
        <v>216</v>
      </c>
      <c r="K219">
        <v>0</v>
      </c>
      <c r="L219" t="s">
        <v>157</v>
      </c>
      <c r="N219" t="s">
        <v>196</v>
      </c>
      <c r="O219" t="s">
        <v>216</v>
      </c>
      <c r="P219">
        <v>0.12396849364060045</v>
      </c>
      <c r="Q219" t="s">
        <v>157</v>
      </c>
    </row>
    <row r="220" spans="9:17" x14ac:dyDescent="0.45">
      <c r="I220" t="s">
        <v>174</v>
      </c>
      <c r="J220" t="s">
        <v>217</v>
      </c>
      <c r="K220">
        <v>2.8673958597429435E-2</v>
      </c>
      <c r="L220" t="s">
        <v>157</v>
      </c>
      <c r="N220" t="s">
        <v>196</v>
      </c>
      <c r="O220" t="s">
        <v>217</v>
      </c>
      <c r="P220">
        <v>7.5386298172460944E-3</v>
      </c>
      <c r="Q220" t="s">
        <v>157</v>
      </c>
    </row>
    <row r="221" spans="9:17" x14ac:dyDescent="0.45">
      <c r="I221" t="s">
        <v>174</v>
      </c>
      <c r="J221" t="s">
        <v>218</v>
      </c>
      <c r="K221">
        <v>0.19123349620987026</v>
      </c>
      <c r="L221" t="s">
        <v>157</v>
      </c>
      <c r="N221" t="s">
        <v>196</v>
      </c>
      <c r="O221" t="s">
        <v>218</v>
      </c>
      <c r="P221">
        <v>0.11445228382025069</v>
      </c>
      <c r="Q221" t="s">
        <v>157</v>
      </c>
    </row>
    <row r="222" spans="9:17" x14ac:dyDescent="0.45">
      <c r="I222" t="s">
        <v>174</v>
      </c>
      <c r="J222" t="s">
        <v>219</v>
      </c>
      <c r="K222">
        <v>0</v>
      </c>
      <c r="L222" t="s">
        <v>157</v>
      </c>
      <c r="N222" t="s">
        <v>196</v>
      </c>
      <c r="O222" t="s">
        <v>219</v>
      </c>
      <c r="P222">
        <v>0.14674559161675965</v>
      </c>
      <c r="Q222" t="s">
        <v>157</v>
      </c>
    </row>
    <row r="223" spans="9:17" x14ac:dyDescent="0.45">
      <c r="I223" t="s">
        <v>174</v>
      </c>
      <c r="J223" t="s">
        <v>220</v>
      </c>
      <c r="K223">
        <v>2.2191926022820465E-2</v>
      </c>
      <c r="L223" t="s">
        <v>157</v>
      </c>
      <c r="N223" t="s">
        <v>196</v>
      </c>
      <c r="O223" t="s">
        <v>220</v>
      </c>
      <c r="P223">
        <v>1.2662362592538098E-2</v>
      </c>
      <c r="Q223" t="s">
        <v>157</v>
      </c>
    </row>
    <row r="224" spans="9:17" x14ac:dyDescent="0.45">
      <c r="I224" t="s">
        <v>174</v>
      </c>
      <c r="J224" t="s">
        <v>221</v>
      </c>
      <c r="K224">
        <v>0.21390905718152431</v>
      </c>
      <c r="L224" t="s">
        <v>157</v>
      </c>
      <c r="N224" t="s">
        <v>196</v>
      </c>
      <c r="O224" t="s">
        <v>221</v>
      </c>
      <c r="P224">
        <v>7.3922346120252808E-2</v>
      </c>
      <c r="Q224" t="s">
        <v>157</v>
      </c>
    </row>
    <row r="225" spans="9:17" x14ac:dyDescent="0.45">
      <c r="I225" t="s">
        <v>174</v>
      </c>
      <c r="J225" t="s">
        <v>222</v>
      </c>
      <c r="K225">
        <v>5.1992866223529877E-3</v>
      </c>
      <c r="L225" t="s">
        <v>157</v>
      </c>
      <c r="N225" t="s">
        <v>196</v>
      </c>
      <c r="O225" t="s">
        <v>222</v>
      </c>
      <c r="P225">
        <v>7.7457624401256836E-2</v>
      </c>
      <c r="Q225" t="s">
        <v>157</v>
      </c>
    </row>
    <row r="226" spans="9:17" x14ac:dyDescent="0.45">
      <c r="I226" t="s">
        <v>174</v>
      </c>
      <c r="J226" t="s">
        <v>223</v>
      </c>
      <c r="K226">
        <v>2.7122955132439421E-2</v>
      </c>
      <c r="L226" t="s">
        <v>157</v>
      </c>
      <c r="N226" t="s">
        <v>196</v>
      </c>
      <c r="O226" t="s">
        <v>223</v>
      </c>
      <c r="P226">
        <v>5.3518782368995764E-3</v>
      </c>
      <c r="Q226" t="s">
        <v>157</v>
      </c>
    </row>
    <row r="227" spans="9:17" x14ac:dyDescent="0.45">
      <c r="I227" t="s">
        <v>175</v>
      </c>
      <c r="J227" t="s">
        <v>212</v>
      </c>
      <c r="K227">
        <v>0.25654279386731477</v>
      </c>
      <c r="L227" t="s">
        <v>157</v>
      </c>
      <c r="N227" t="s">
        <v>197</v>
      </c>
      <c r="O227" t="s">
        <v>212</v>
      </c>
      <c r="P227">
        <v>0.1097473867057232</v>
      </c>
      <c r="Q227" t="s">
        <v>157</v>
      </c>
    </row>
    <row r="228" spans="9:17" x14ac:dyDescent="0.45">
      <c r="I228" t="s">
        <v>175</v>
      </c>
      <c r="J228" t="s">
        <v>213</v>
      </c>
      <c r="K228">
        <v>0</v>
      </c>
      <c r="L228" t="s">
        <v>157</v>
      </c>
      <c r="N228" t="s">
        <v>197</v>
      </c>
      <c r="O228" t="s">
        <v>213</v>
      </c>
      <c r="P228">
        <v>0.18129511021930067</v>
      </c>
      <c r="Q228" t="s">
        <v>157</v>
      </c>
    </row>
    <row r="229" spans="9:17" x14ac:dyDescent="0.45">
      <c r="I229" t="s">
        <v>175</v>
      </c>
      <c r="J229" t="s">
        <v>214</v>
      </c>
      <c r="K229">
        <v>2.8691680004652182E-2</v>
      </c>
      <c r="L229" t="s">
        <v>157</v>
      </c>
      <c r="N229" t="s">
        <v>197</v>
      </c>
      <c r="O229" t="s">
        <v>214</v>
      </c>
      <c r="P229">
        <v>2.5089801061885221E-2</v>
      </c>
      <c r="Q229" t="s">
        <v>157</v>
      </c>
    </row>
    <row r="230" spans="9:17" x14ac:dyDescent="0.45">
      <c r="I230" t="s">
        <v>175</v>
      </c>
      <c r="J230" t="s">
        <v>215</v>
      </c>
      <c r="K230">
        <v>0.22340237678142633</v>
      </c>
      <c r="L230" t="s">
        <v>157</v>
      </c>
      <c r="N230" t="s">
        <v>197</v>
      </c>
      <c r="O230" t="s">
        <v>215</v>
      </c>
      <c r="P230">
        <v>7.8560924900162296E-2</v>
      </c>
      <c r="Q230" t="s">
        <v>157</v>
      </c>
    </row>
    <row r="231" spans="9:17" x14ac:dyDescent="0.45">
      <c r="I231" t="s">
        <v>175</v>
      </c>
      <c r="J231" t="s">
        <v>216</v>
      </c>
      <c r="K231">
        <v>0</v>
      </c>
      <c r="L231" t="s">
        <v>157</v>
      </c>
      <c r="N231" t="s">
        <v>197</v>
      </c>
      <c r="O231" t="s">
        <v>216</v>
      </c>
      <c r="P231">
        <v>0.13943130420715327</v>
      </c>
      <c r="Q231" t="s">
        <v>157</v>
      </c>
    </row>
    <row r="232" spans="9:17" x14ac:dyDescent="0.45">
      <c r="I232" t="s">
        <v>175</v>
      </c>
      <c r="J232" t="s">
        <v>217</v>
      </c>
      <c r="K232">
        <v>2.9404944701878467E-2</v>
      </c>
      <c r="L232" t="s">
        <v>157</v>
      </c>
      <c r="N232" t="s">
        <v>197</v>
      </c>
      <c r="O232" t="s">
        <v>217</v>
      </c>
      <c r="P232">
        <v>1.8986829745380046E-2</v>
      </c>
      <c r="Q232" t="s">
        <v>157</v>
      </c>
    </row>
    <row r="233" spans="9:17" x14ac:dyDescent="0.45">
      <c r="I233" t="s">
        <v>175</v>
      </c>
      <c r="J233" t="s">
        <v>218</v>
      </c>
      <c r="K233">
        <v>0.18669435266449894</v>
      </c>
      <c r="L233" t="s">
        <v>157</v>
      </c>
      <c r="N233" t="s">
        <v>197</v>
      </c>
      <c r="O233" t="s">
        <v>218</v>
      </c>
      <c r="P233">
        <v>0.10106176086907764</v>
      </c>
      <c r="Q233" t="s">
        <v>157</v>
      </c>
    </row>
    <row r="234" spans="9:17" x14ac:dyDescent="0.45">
      <c r="I234" t="s">
        <v>175</v>
      </c>
      <c r="J234" t="s">
        <v>219</v>
      </c>
      <c r="K234">
        <v>0</v>
      </c>
      <c r="L234" t="s">
        <v>157</v>
      </c>
      <c r="N234" t="s">
        <v>197</v>
      </c>
      <c r="O234" t="s">
        <v>219</v>
      </c>
      <c r="P234">
        <v>0.17359867679966803</v>
      </c>
      <c r="Q234" t="s">
        <v>157</v>
      </c>
    </row>
    <row r="235" spans="9:17" x14ac:dyDescent="0.45">
      <c r="I235" t="s">
        <v>175</v>
      </c>
      <c r="J235" t="s">
        <v>220</v>
      </c>
      <c r="K235">
        <v>2.0826863237009482E-2</v>
      </c>
      <c r="L235" t="s">
        <v>157</v>
      </c>
      <c r="N235" t="s">
        <v>197</v>
      </c>
      <c r="O235" t="s">
        <v>220</v>
      </c>
      <c r="P235">
        <v>2.5224045881090926E-2</v>
      </c>
      <c r="Q235" t="s">
        <v>157</v>
      </c>
    </row>
    <row r="236" spans="9:17" x14ac:dyDescent="0.45">
      <c r="I236" t="s">
        <v>175</v>
      </c>
      <c r="J236" t="s">
        <v>221</v>
      </c>
      <c r="K236">
        <v>0.21914389805523415</v>
      </c>
      <c r="L236" t="s">
        <v>157</v>
      </c>
      <c r="N236" t="s">
        <v>197</v>
      </c>
      <c r="O236" t="s">
        <v>221</v>
      </c>
      <c r="P236">
        <v>6.2028748020062932E-2</v>
      </c>
      <c r="Q236" t="s">
        <v>157</v>
      </c>
    </row>
    <row r="237" spans="9:17" x14ac:dyDescent="0.45">
      <c r="I237" t="s">
        <v>175</v>
      </c>
      <c r="J237" t="s">
        <v>222</v>
      </c>
      <c r="K237">
        <v>5.6027692027818821E-3</v>
      </c>
      <c r="L237" t="s">
        <v>157</v>
      </c>
      <c r="N237" t="s">
        <v>197</v>
      </c>
      <c r="O237" t="s">
        <v>222</v>
      </c>
      <c r="P237">
        <v>7.7142151831595229E-2</v>
      </c>
      <c r="Q237" t="s">
        <v>157</v>
      </c>
    </row>
    <row r="238" spans="9:17" x14ac:dyDescent="0.45">
      <c r="I238" t="s">
        <v>175</v>
      </c>
      <c r="J238" t="s">
        <v>223</v>
      </c>
      <c r="K238">
        <v>2.9690321485201954E-2</v>
      </c>
      <c r="L238" t="s">
        <v>157</v>
      </c>
      <c r="N238" t="s">
        <v>197</v>
      </c>
      <c r="O238" t="s">
        <v>223</v>
      </c>
      <c r="P238">
        <v>7.833259758899206E-3</v>
      </c>
      <c r="Q238" t="s">
        <v>157</v>
      </c>
    </row>
    <row r="239" spans="9:17" x14ac:dyDescent="0.45">
      <c r="I239" t="s">
        <v>176</v>
      </c>
      <c r="J239" t="s">
        <v>212</v>
      </c>
      <c r="K239">
        <v>0.25901474116777806</v>
      </c>
      <c r="L239" t="s">
        <v>157</v>
      </c>
      <c r="N239" t="s">
        <v>198</v>
      </c>
      <c r="O239" t="s">
        <v>212</v>
      </c>
      <c r="P239">
        <v>0.10578115713263141</v>
      </c>
      <c r="Q239" t="s">
        <v>157</v>
      </c>
    </row>
    <row r="240" spans="9:17" x14ac:dyDescent="0.45">
      <c r="I240" t="s">
        <v>176</v>
      </c>
      <c r="J240" t="s">
        <v>213</v>
      </c>
      <c r="K240">
        <v>0</v>
      </c>
      <c r="L240" t="s">
        <v>157</v>
      </c>
      <c r="N240" t="s">
        <v>198</v>
      </c>
      <c r="O240" t="s">
        <v>213</v>
      </c>
      <c r="P240">
        <v>0.18533756813464058</v>
      </c>
      <c r="Q240" t="s">
        <v>157</v>
      </c>
    </row>
    <row r="241" spans="9:17" x14ac:dyDescent="0.45">
      <c r="I241" t="s">
        <v>176</v>
      </c>
      <c r="J241" t="s">
        <v>214</v>
      </c>
      <c r="K241">
        <v>3.3503088537513263E-2</v>
      </c>
      <c r="L241" t="s">
        <v>157</v>
      </c>
      <c r="N241" t="s">
        <v>198</v>
      </c>
      <c r="O241" t="s">
        <v>214</v>
      </c>
      <c r="P241">
        <v>1.356273636237572E-2</v>
      </c>
      <c r="Q241" t="s">
        <v>157</v>
      </c>
    </row>
    <row r="242" spans="9:17" x14ac:dyDescent="0.45">
      <c r="I242" t="s">
        <v>176</v>
      </c>
      <c r="J242" t="s">
        <v>215</v>
      </c>
      <c r="K242">
        <v>0.22057974892511917</v>
      </c>
      <c r="L242" t="s">
        <v>157</v>
      </c>
      <c r="N242" t="s">
        <v>198</v>
      </c>
      <c r="O242" t="s">
        <v>215</v>
      </c>
      <c r="P242">
        <v>7.1975266867071883E-2</v>
      </c>
      <c r="Q242" t="s">
        <v>157</v>
      </c>
    </row>
    <row r="243" spans="9:17" x14ac:dyDescent="0.45">
      <c r="I243" t="s">
        <v>176</v>
      </c>
      <c r="J243" t="s">
        <v>216</v>
      </c>
      <c r="K243">
        <v>7.372427946159572E-6</v>
      </c>
      <c r="L243" t="s">
        <v>157</v>
      </c>
      <c r="N243" t="s">
        <v>198</v>
      </c>
      <c r="O243" t="s">
        <v>216</v>
      </c>
      <c r="P243">
        <v>0.15694648073671516</v>
      </c>
      <c r="Q243" t="s">
        <v>157</v>
      </c>
    </row>
    <row r="244" spans="9:17" x14ac:dyDescent="0.45">
      <c r="I244" t="s">
        <v>176</v>
      </c>
      <c r="J244" t="s">
        <v>217</v>
      </c>
      <c r="K244">
        <v>3.4296149714379422E-2</v>
      </c>
      <c r="L244" t="s">
        <v>157</v>
      </c>
      <c r="N244" t="s">
        <v>198</v>
      </c>
      <c r="O244" t="s">
        <v>217</v>
      </c>
      <c r="P244">
        <v>7.6882259412455042E-3</v>
      </c>
      <c r="Q244" t="s">
        <v>157</v>
      </c>
    </row>
    <row r="245" spans="9:17" x14ac:dyDescent="0.45">
      <c r="I245" t="s">
        <v>176</v>
      </c>
      <c r="J245" t="s">
        <v>218</v>
      </c>
      <c r="K245">
        <v>0.1923178831010835</v>
      </c>
      <c r="L245" t="s">
        <v>157</v>
      </c>
      <c r="N245" t="s">
        <v>198</v>
      </c>
      <c r="O245" t="s">
        <v>218</v>
      </c>
      <c r="P245">
        <v>8.8912205480663822E-2</v>
      </c>
      <c r="Q245" t="s">
        <v>157</v>
      </c>
    </row>
    <row r="246" spans="9:17" x14ac:dyDescent="0.45">
      <c r="I246" t="s">
        <v>176</v>
      </c>
      <c r="J246" t="s">
        <v>219</v>
      </c>
      <c r="K246">
        <v>0</v>
      </c>
      <c r="L246" t="s">
        <v>157</v>
      </c>
      <c r="N246" t="s">
        <v>198</v>
      </c>
      <c r="O246" t="s">
        <v>219</v>
      </c>
      <c r="P246">
        <v>0.17995771336850228</v>
      </c>
      <c r="Q246" t="s">
        <v>157</v>
      </c>
    </row>
    <row r="247" spans="9:17" x14ac:dyDescent="0.45">
      <c r="I247" t="s">
        <v>176</v>
      </c>
      <c r="J247" t="s">
        <v>220</v>
      </c>
      <c r="K247">
        <v>2.7602314046503613E-2</v>
      </c>
      <c r="L247" t="s">
        <v>157</v>
      </c>
      <c r="N247" t="s">
        <v>198</v>
      </c>
      <c r="O247" t="s">
        <v>220</v>
      </c>
      <c r="P247">
        <v>1.1970369638131924E-2</v>
      </c>
      <c r="Q247" t="s">
        <v>157</v>
      </c>
    </row>
    <row r="248" spans="9:17" x14ac:dyDescent="0.45">
      <c r="I248" t="s">
        <v>176</v>
      </c>
      <c r="J248" t="s">
        <v>221</v>
      </c>
      <c r="K248">
        <v>0.19746595741828155</v>
      </c>
      <c r="L248" t="s">
        <v>157</v>
      </c>
      <c r="N248" t="s">
        <v>198</v>
      </c>
      <c r="O248" t="s">
        <v>221</v>
      </c>
      <c r="P248">
        <v>7.0686554955578643E-2</v>
      </c>
      <c r="Q248" t="s">
        <v>157</v>
      </c>
    </row>
    <row r="249" spans="9:17" x14ac:dyDescent="0.45">
      <c r="I249" t="s">
        <v>176</v>
      </c>
      <c r="J249" t="s">
        <v>222</v>
      </c>
      <c r="K249">
        <v>5.9945018773958801E-3</v>
      </c>
      <c r="L249" t="s">
        <v>157</v>
      </c>
      <c r="N249" t="s">
        <v>198</v>
      </c>
      <c r="O249" t="s">
        <v>222</v>
      </c>
      <c r="P249">
        <v>9.9788879734730218E-2</v>
      </c>
      <c r="Q249" t="s">
        <v>157</v>
      </c>
    </row>
    <row r="250" spans="9:17" x14ac:dyDescent="0.45">
      <c r="I250" t="s">
        <v>176</v>
      </c>
      <c r="J250" t="s">
        <v>223</v>
      </c>
      <c r="K250">
        <v>2.9218242783999742E-2</v>
      </c>
      <c r="L250" t="s">
        <v>157</v>
      </c>
      <c r="N250" t="s">
        <v>198</v>
      </c>
      <c r="O250" t="s">
        <v>223</v>
      </c>
      <c r="P250">
        <v>7.3928416477171723E-3</v>
      </c>
      <c r="Q250" t="s">
        <v>157</v>
      </c>
    </row>
    <row r="251" spans="9:17" x14ac:dyDescent="0.45">
      <c r="I251" t="s">
        <v>177</v>
      </c>
      <c r="J251" t="s">
        <v>212</v>
      </c>
      <c r="K251">
        <v>0.25635944291300194</v>
      </c>
      <c r="L251" t="s">
        <v>157</v>
      </c>
    </row>
    <row r="252" spans="9:17" x14ac:dyDescent="0.45">
      <c r="I252" t="s">
        <v>177</v>
      </c>
      <c r="J252" t="s">
        <v>213</v>
      </c>
      <c r="K252">
        <v>1.2655655281329227E-6</v>
      </c>
      <c r="L252" t="s">
        <v>157</v>
      </c>
    </row>
    <row r="253" spans="9:17" x14ac:dyDescent="0.45">
      <c r="I253" t="s">
        <v>177</v>
      </c>
      <c r="J253" t="s">
        <v>214</v>
      </c>
      <c r="K253">
        <v>2.887873771040211E-2</v>
      </c>
      <c r="L253" t="s">
        <v>157</v>
      </c>
    </row>
    <row r="254" spans="9:17" x14ac:dyDescent="0.45">
      <c r="I254" t="s">
        <v>177</v>
      </c>
      <c r="J254" t="s">
        <v>215</v>
      </c>
      <c r="K254">
        <v>0.22386451457553438</v>
      </c>
      <c r="L254" t="s">
        <v>157</v>
      </c>
    </row>
    <row r="255" spans="9:17" x14ac:dyDescent="0.45">
      <c r="I255" t="s">
        <v>177</v>
      </c>
      <c r="J255" t="s">
        <v>216</v>
      </c>
      <c r="K255">
        <v>8.249267481641669E-6</v>
      </c>
      <c r="L255" t="s">
        <v>157</v>
      </c>
    </row>
    <row r="256" spans="9:17" x14ac:dyDescent="0.45">
      <c r="I256" t="s">
        <v>177</v>
      </c>
      <c r="J256" t="s">
        <v>217</v>
      </c>
      <c r="K256">
        <v>3.1889258326147224E-2</v>
      </c>
      <c r="L256" t="s">
        <v>157</v>
      </c>
    </row>
    <row r="257" spans="9:12" x14ac:dyDescent="0.45">
      <c r="I257" t="s">
        <v>177</v>
      </c>
      <c r="J257" t="s">
        <v>218</v>
      </c>
      <c r="K257">
        <v>0.18443509035940245</v>
      </c>
      <c r="L257" t="s">
        <v>157</v>
      </c>
    </row>
    <row r="258" spans="9:12" x14ac:dyDescent="0.45">
      <c r="I258" t="s">
        <v>177</v>
      </c>
      <c r="J258" t="s">
        <v>219</v>
      </c>
      <c r="K258">
        <v>0</v>
      </c>
      <c r="L258" t="s">
        <v>157</v>
      </c>
    </row>
    <row r="259" spans="9:12" x14ac:dyDescent="0.45">
      <c r="I259" t="s">
        <v>177</v>
      </c>
      <c r="J259" t="s">
        <v>220</v>
      </c>
      <c r="K259">
        <v>2.3694452149842511E-2</v>
      </c>
      <c r="L259" t="s">
        <v>157</v>
      </c>
    </row>
    <row r="260" spans="9:12" x14ac:dyDescent="0.45">
      <c r="I260" t="s">
        <v>177</v>
      </c>
      <c r="J260" t="s">
        <v>221</v>
      </c>
      <c r="K260">
        <v>0.21460067112296791</v>
      </c>
      <c r="L260" t="s">
        <v>157</v>
      </c>
    </row>
    <row r="261" spans="9:12" x14ac:dyDescent="0.45">
      <c r="I261" t="s">
        <v>177</v>
      </c>
      <c r="J261" t="s">
        <v>222</v>
      </c>
      <c r="K261">
        <v>7.5800936445591192E-3</v>
      </c>
      <c r="L261" t="s">
        <v>157</v>
      </c>
    </row>
    <row r="262" spans="9:12" x14ac:dyDescent="0.45">
      <c r="I262" t="s">
        <v>177</v>
      </c>
      <c r="J262" t="s">
        <v>223</v>
      </c>
      <c r="K262">
        <v>2.8688224365132416E-2</v>
      </c>
      <c r="L262" t="s">
        <v>157</v>
      </c>
    </row>
    <row r="263" spans="9:12" x14ac:dyDescent="0.45">
      <c r="I263" t="s">
        <v>178</v>
      </c>
      <c r="J263" t="s">
        <v>212</v>
      </c>
      <c r="K263">
        <v>0.25543130973925665</v>
      </c>
      <c r="L263" t="s">
        <v>157</v>
      </c>
    </row>
    <row r="264" spans="9:12" x14ac:dyDescent="0.45">
      <c r="I264" t="s">
        <v>178</v>
      </c>
      <c r="J264" t="s">
        <v>213</v>
      </c>
      <c r="K264">
        <v>5.286512341351773E-5</v>
      </c>
      <c r="L264" t="s">
        <v>157</v>
      </c>
    </row>
    <row r="265" spans="9:12" x14ac:dyDescent="0.45">
      <c r="I265" t="s">
        <v>178</v>
      </c>
      <c r="J265" t="s">
        <v>214</v>
      </c>
      <c r="K265">
        <v>3.0735029721839897E-2</v>
      </c>
      <c r="L265" t="s">
        <v>157</v>
      </c>
    </row>
    <row r="266" spans="9:12" x14ac:dyDescent="0.45">
      <c r="I266" t="s">
        <v>178</v>
      </c>
      <c r="J266" t="s">
        <v>215</v>
      </c>
      <c r="K266">
        <v>0.22214878485386028</v>
      </c>
      <c r="L266" t="s">
        <v>157</v>
      </c>
    </row>
    <row r="267" spans="9:12" x14ac:dyDescent="0.45">
      <c r="I267" t="s">
        <v>178</v>
      </c>
      <c r="J267" t="s">
        <v>216</v>
      </c>
      <c r="K267">
        <v>3.4340850224361157E-4</v>
      </c>
      <c r="L267" t="s">
        <v>157</v>
      </c>
    </row>
    <row r="268" spans="9:12" x14ac:dyDescent="0.45">
      <c r="I268" t="s">
        <v>178</v>
      </c>
      <c r="J268" t="s">
        <v>217</v>
      </c>
      <c r="K268">
        <v>3.3849677259536672E-2</v>
      </c>
      <c r="L268" t="s">
        <v>157</v>
      </c>
    </row>
    <row r="269" spans="9:12" x14ac:dyDescent="0.45">
      <c r="I269" t="s">
        <v>178</v>
      </c>
      <c r="J269" t="s">
        <v>218</v>
      </c>
      <c r="K269">
        <v>0.18532834406860241</v>
      </c>
      <c r="L269" t="s">
        <v>157</v>
      </c>
    </row>
    <row r="270" spans="9:12" x14ac:dyDescent="0.45">
      <c r="I270" t="s">
        <v>178</v>
      </c>
      <c r="J270" t="s">
        <v>219</v>
      </c>
      <c r="K270">
        <v>0</v>
      </c>
      <c r="L270" t="s">
        <v>157</v>
      </c>
    </row>
    <row r="271" spans="9:12" x14ac:dyDescent="0.45">
      <c r="I271" t="s">
        <v>178</v>
      </c>
      <c r="J271" t="s">
        <v>220</v>
      </c>
      <c r="K271">
        <v>2.6659008417126817E-2</v>
      </c>
      <c r="L271" t="s">
        <v>157</v>
      </c>
    </row>
    <row r="272" spans="9:12" x14ac:dyDescent="0.45">
      <c r="I272" t="s">
        <v>178</v>
      </c>
      <c r="J272" t="s">
        <v>221</v>
      </c>
      <c r="K272">
        <v>0.20934581083850903</v>
      </c>
      <c r="L272" t="s">
        <v>157</v>
      </c>
    </row>
    <row r="273" spans="9:12" x14ac:dyDescent="0.45">
      <c r="I273" t="s">
        <v>178</v>
      </c>
      <c r="J273" t="s">
        <v>222</v>
      </c>
      <c r="K273">
        <v>7.6827317226739319E-3</v>
      </c>
      <c r="L273" t="s">
        <v>157</v>
      </c>
    </row>
    <row r="274" spans="9:12" x14ac:dyDescent="0.45">
      <c r="I274" t="s">
        <v>178</v>
      </c>
      <c r="J274" t="s">
        <v>223</v>
      </c>
      <c r="K274">
        <v>2.8423029752936944E-2</v>
      </c>
      <c r="L27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2025-09-16T17:06:03Z</dcterms:modified>
</cp:coreProperties>
</file>