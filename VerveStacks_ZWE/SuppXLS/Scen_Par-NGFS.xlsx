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SuppXLS\"/>
    </mc:Choice>
  </mc:AlternateContent>
  <xr:revisionPtr revIDLastSave="0" documentId="8_{E91DB216-9C27-4FDE-98DE-4308CFB154A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<sst xmlns="http://schemas.openxmlformats.org/spreadsheetml/2006/main" count="58717" uniqueCount="92">
  <si>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</si>
  <si>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</si>
  <si>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</si>
  <si>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</si>
  <si>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</si>
  <si>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</si>
  <si>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</si>
  <si>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</si>
  <si>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</si>
  <si>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</si>
  <si>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</si>
  <si>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</si>
  <si>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</si>
  <si>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</si>
  <si>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</si>
  <si>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</si>
  <si>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</si>
  <si>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</si>
  <si>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</si>
  <si>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</si>
  <si>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</si>
  <si>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</si>
  <si>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</si>
  <si>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</si>
  <si>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</si>
  <si>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</si>
  <si>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</si>
  <si>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</si>
  <si>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</si>
  <si>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</si>
  <si>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</si>
  <si>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</si>
  <si>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</si>
  <si>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</si>
  <si>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</si>
  <si>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</si>
  <si>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</si>
  <si>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</si>
  <si>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</si>
  <si>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</si>
  <si>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</si>
  <si>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</si>
  <si>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</si>
  <si>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</si>
  <si>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</si>
  <si>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</si>
  <si>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</si>
  <si>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</si>
  <si>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</si>
  <si>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</si>
  <si>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</si>
  <si>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</si>
  <si>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</si>
  <si>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</si>
  <si>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</si>
  <si>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</si>
  <si>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</si>
  <si>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</si>
  <si>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</si>
  <si>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</si>
  <si>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</si>
  <si>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</si>
  <si>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</si>
  <si>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</si>
  <si>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</si>
  <si>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</si>
  <si>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</si>
  <si>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</si>
  <si>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</si>
  <si>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</si>
  <si>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</si>
  <si>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</si>
  <si>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</si>
  <si>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</si>
  <si>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</si>
  <si>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</si>
  <si>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</si>
  <si>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</si>
  <si>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</si>
  <si>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</si>
  <si>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</si>
  <si>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</si>
  <si>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</si>
  <si>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</si>
  <si>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ZWE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</si>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</sst>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9.7299999999999969</c:v>
                </c:pt>
                <c:pt idx="1">
                  <c:v>11.474798061389336</c:v>
                </c:pt>
                <c:pt idx="2">
                  <c:v>13.738319870759286</c:v>
                </c:pt>
                <c:pt idx="3">
                  <c:v>16.300500807754439</c:v>
                </c:pt>
                <c:pt idx="4">
                  <c:v>19.255654281098543</c:v>
                </c:pt>
                <c:pt idx="5">
                  <c:v>22.871001615508881</c:v>
                </c:pt>
                <c:pt idx="6">
                  <c:v>28.042520193861062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2.4899999999999998</c:v>
                </c:pt>
                <c:pt idx="1">
                  <c:v>3.4593570767807584</c:v>
                </c:pt>
                <c:pt idx="2">
                  <c:v>4.1881344434165895</c:v>
                </c:pt>
                <c:pt idx="3">
                  <c:v>5.5424190564292326</c:v>
                </c:pt>
                <c:pt idx="4">
                  <c:v>5.9103268578476715</c:v>
                </c:pt>
                <c:pt idx="5">
                  <c:v>7.6706537156953418</c:v>
                </c:pt>
                <c:pt idx="6">
                  <c:v>9.4691150169596039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9.7299999999999986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9.7299999999999969</v>
      </c>
      <c r="S12" s="8">
        <f t="shared" ref="S12:X12" si="0">SUM(S17:S20)</f>
        <v>11.474798061389336</v>
      </c>
      <c r="T12" s="8">
        <f t="shared" si="0"/>
        <v>13.738319870759286</v>
      </c>
      <c r="U12" s="8">
        <f t="shared" si="0"/>
        <v>16.300500807754439</v>
      </c>
      <c r="V12" s="8">
        <f t="shared" si="0"/>
        <v>19.255654281098543</v>
      </c>
      <c r="W12" s="8">
        <f t="shared" si="0"/>
        <v>22.871001615508881</v>
      </c>
      <c r="X12" s="8">
        <f t="shared" si="0"/>
        <v>28.042520193861062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1E-4</v>
      </c>
      <c r="H16" s="10">
        <f>SUMIFS(ngfs_median!$J$2:$J$17119,ngfs_median!$B$2:$B$17119,Veda!$C$5,ngfs_median!$H$2:$H$17119,Veda!$Q16,ngfs_median!$I$2:$I$17119,Veda!H$15)</f>
        <v>6.9999999999999999E-4</v>
      </c>
      <c r="I16" s="10">
        <f>SUMIFS(ngfs_median!$J$2:$J$17119,ngfs_median!$B$2:$B$17119,Veda!$C$5,ngfs_median!$H$2:$H$17119,Veda!$Q16,ngfs_median!$I$2:$I$17119,Veda!I$15)</f>
        <v>2.8999999999999998E-3</v>
      </c>
      <c r="J16" s="10">
        <f>SUMIFS(ngfs_median!$J$2:$J$17119,ngfs_median!$B$2:$B$17119,Veda!$C$5,ngfs_median!$H$2:$H$17119,Veda!$Q16,ngfs_median!$I$2:$I$17119,Veda!J$15)</f>
        <v>8.7500000000000008E-3</v>
      </c>
      <c r="K16" s="10">
        <f>SUMIFS(ngfs_median!$J$2:$J$17119,ngfs_median!$B$2:$B$17119,Veda!$C$5,ngfs_median!$H$2:$H$17119,Veda!$Q16,ngfs_median!$I$2:$I$17119,Veda!K$15)</f>
        <v>1.9599999999999999E-2</v>
      </c>
      <c r="L16" s="10">
        <f>SUMIFS(ngfs_median!$J$2:$J$17119,ngfs_median!$B$2:$B$17119,Veda!$C$5,ngfs_median!$H$2:$H$17119,Veda!$Q16,ngfs_median!$I$2:$I$17119,Veda!L$15)</f>
        <v>3.6000000000000004E-2</v>
      </c>
      <c r="M16" s="10">
        <f>SUMIFS(ngfs_median!$J$2:$J$17119,ngfs_median!$B$2:$B$17119,Veda!$C$5,ngfs_median!$H$2:$H$17119,Veda!$Q16,ngfs_median!$I$2:$I$17119,Veda!M$15)</f>
        <v>5.765E-2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0.61111111111111105</v>
      </c>
      <c r="U16" s="6">
        <f t="shared" si="2"/>
        <v>2.2361111111111116</v>
      </c>
      <c r="V16" s="6">
        <f t="shared" si="2"/>
        <v>5.25</v>
      </c>
      <c r="W16" s="6">
        <f t="shared" si="2"/>
        <v>9.8055555555555571</v>
      </c>
      <c r="X16" s="6">
        <f t="shared" si="2"/>
        <v>15.819444444444445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</v>
      </c>
      <c r="H17" s="10">
        <f>SUMIFS(ngfs_median!$J$2:$J$17119,ngfs_median!$B$2:$B$17119,Veda!$C$5,ngfs_median!$H$2:$H$17119,Veda!$Q17,ngfs_median!$I$2:$I$17119,Veda!H$15)</f>
        <v>0</v>
      </c>
      <c r="I17" s="10">
        <f>SUMIFS(ngfs_median!$J$2:$J$17119,ngfs_median!$B$2:$B$17119,Veda!$C$5,ngfs_median!$H$2:$H$17119,Veda!$Q17,ngfs_median!$I$2:$I$17119,Veda!I$15)</f>
        <v>3.5E-4</v>
      </c>
      <c r="J17" s="10">
        <f>SUMIFS(ngfs_median!$J$2:$J$17119,ngfs_median!$B$2:$B$17119,Veda!$C$5,ngfs_median!$H$2:$H$17119,Veda!$Q17,ngfs_median!$I$2:$I$17119,Veda!J$15)</f>
        <v>1.0999999999999998E-3</v>
      </c>
      <c r="K17" s="10">
        <f>SUMIFS(ngfs_median!$J$2:$J$17119,ngfs_median!$B$2:$B$17119,Veda!$C$5,ngfs_median!$H$2:$H$17119,Veda!$Q17,ngfs_median!$I$2:$I$17119,Veda!K$15)</f>
        <v>2.5000000000000001E-3</v>
      </c>
      <c r="L17" s="10">
        <f>SUMIFS(ngfs_median!$J$2:$J$17119,ngfs_median!$B$2:$B$17119,Veda!$C$5,ngfs_median!$H$2:$H$17119,Veda!$Q17,ngfs_median!$I$2:$I$17119,Veda!L$15)</f>
        <v>4.0499999999999998E-3</v>
      </c>
      <c r="M17" s="10">
        <f>SUMIFS(ngfs_median!$J$2:$J$17119,ngfs_median!$B$2:$B$17119,Veda!$C$5,ngfs_median!$H$2:$H$17119,Veda!$Q17,ngfs_median!$I$2:$I$17119,Veda!M$15)</f>
        <v>6.7499999999999999E-3</v>
      </c>
      <c r="Q17" s="12" t="s">
        <v>10</v>
      </c>
      <c r="R17" s="6">
        <f>$Q$10*G17/SUM($G$17:$G$19)</f>
        <v>0</v>
      </c>
      <c r="S17" s="6">
        <f>R17</f>
        <v>0</v>
      </c>
      <c r="T17" s="6">
        <f t="shared" ref="T17:X17" si="3">S17</f>
        <v>0</v>
      </c>
      <c r="U17" s="6">
        <f t="shared" si="3"/>
        <v>0</v>
      </c>
      <c r="V17" s="6">
        <f t="shared" si="3"/>
        <v>0</v>
      </c>
      <c r="W17" s="6">
        <f t="shared" si="3"/>
        <v>0</v>
      </c>
      <c r="X17" s="6">
        <f t="shared" si="3"/>
        <v>0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1.7649999999999999E-2</v>
      </c>
      <c r="H18" s="10">
        <f>SUMIFS(ngfs_median!$J$2:$J$17119,ngfs_median!$B$2:$B$17119,Veda!$C$5,ngfs_median!$H$2:$H$17119,Veda!$Q18,ngfs_median!$I$2:$I$17119,Veda!H$15)</f>
        <v>2.0549999999999999E-2</v>
      </c>
      <c r="I18" s="10">
        <f>SUMIFS(ngfs_median!$J$2:$J$17119,ngfs_median!$B$2:$B$17119,Veda!$C$5,ngfs_median!$H$2:$H$17119,Veda!$Q18,ngfs_median!$I$2:$I$17119,Veda!I$15)</f>
        <v>2.0549999999999999E-2</v>
      </c>
      <c r="J18" s="10">
        <f>SUMIFS(ngfs_median!$J$2:$J$17119,ngfs_median!$B$2:$B$17119,Veda!$C$5,ngfs_median!$H$2:$H$17119,Veda!$Q18,ngfs_median!$I$2:$I$17119,Veda!J$15)</f>
        <v>2.0299999999999999E-2</v>
      </c>
      <c r="K18" s="10">
        <f>SUMIFS(ngfs_median!$J$2:$J$17119,ngfs_median!$B$2:$B$17119,Veda!$C$5,ngfs_median!$H$2:$H$17119,Veda!$Q18,ngfs_median!$I$2:$I$17119,Veda!K$15)</f>
        <v>1.9200000000000002E-2</v>
      </c>
      <c r="L18" s="10">
        <f>SUMIFS(ngfs_median!$J$2:$J$17119,ngfs_median!$B$2:$B$17119,Veda!$C$5,ngfs_median!$H$2:$H$17119,Veda!$Q18,ngfs_median!$I$2:$I$17119,Veda!L$15)</f>
        <v>2.2950000000000002E-2</v>
      </c>
      <c r="M18" s="10">
        <f>SUMIFS(ngfs_median!$J$2:$J$17119,ngfs_median!$B$2:$B$17119,Veda!$C$5,ngfs_median!$H$2:$H$17119,Veda!$Q18,ngfs_median!$I$2:$I$17119,Veda!M$15)</f>
        <v>2.895E-2</v>
      </c>
      <c r="Q18" s="12" t="s">
        <v>12</v>
      </c>
      <c r="R18" s="6">
        <f>$Q$10*G18/SUM($G$17:$G$19)</f>
        <v>5.5487722132471715</v>
      </c>
      <c r="S18" s="6">
        <f t="shared" ref="S18:X19" si="4">R18*H18/G18</f>
        <v>6.460468497576735</v>
      </c>
      <c r="T18" s="6">
        <f t="shared" si="4"/>
        <v>6.4604684975767341</v>
      </c>
      <c r="U18" s="6">
        <f t="shared" si="4"/>
        <v>6.3818739903069446</v>
      </c>
      <c r="V18" s="6">
        <f t="shared" si="4"/>
        <v>6.0360581583198698</v>
      </c>
      <c r="W18" s="6">
        <f t="shared" si="4"/>
        <v>7.2149757673667185</v>
      </c>
      <c r="X18" s="6">
        <f t="shared" si="4"/>
        <v>9.1012439418416768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1.3299999999999999E-2</v>
      </c>
      <c r="H19" s="10">
        <f>SUMIFS(ngfs_median!$J$2:$J$17119,ngfs_median!$B$2:$B$17119,Veda!$C$5,ngfs_median!$H$2:$H$17119,Veda!$Q19,ngfs_median!$I$2:$I$17119,Veda!H$15)</f>
        <v>1.5949999999999999E-2</v>
      </c>
      <c r="I19" s="10">
        <f>SUMIFS(ngfs_median!$J$2:$J$17119,ngfs_median!$B$2:$B$17119,Veda!$C$5,ngfs_median!$H$2:$H$17119,Veda!$Q19,ngfs_median!$I$2:$I$17119,Veda!I$15)</f>
        <v>2.2800000000000001E-2</v>
      </c>
      <c r="J19" s="10">
        <f>SUMIFS(ngfs_median!$J$2:$J$17119,ngfs_median!$B$2:$B$17119,Veda!$C$5,ngfs_median!$H$2:$H$17119,Veda!$Q19,ngfs_median!$I$2:$I$17119,Veda!J$15)</f>
        <v>3.0450000000000001E-2</v>
      </c>
      <c r="K19" s="10">
        <f>SUMIFS(ngfs_median!$J$2:$J$17119,ngfs_median!$B$2:$B$17119,Veda!$C$5,ngfs_median!$H$2:$H$17119,Veda!$Q19,ngfs_median!$I$2:$I$17119,Veda!K$15)</f>
        <v>3.9550000000000002E-2</v>
      </c>
      <c r="L19" s="10">
        <f>SUMIFS(ngfs_median!$J$2:$J$17119,ngfs_median!$B$2:$B$17119,Veda!$C$5,ngfs_median!$H$2:$H$17119,Veda!$Q19,ngfs_median!$I$2:$I$17119,Veda!L$15)</f>
        <v>4.5749999999999999E-2</v>
      </c>
      <c r="M19" s="10">
        <f>SUMIFS(ngfs_median!$J$2:$J$17119,ngfs_median!$B$2:$B$17119,Veda!$C$5,ngfs_median!$H$2:$H$17119,Veda!$Q19,ngfs_median!$I$2:$I$17119,Veda!M$15)</f>
        <v>5.3499999999999999E-2</v>
      </c>
      <c r="Q19" s="12" t="s">
        <v>13</v>
      </c>
      <c r="R19" s="6">
        <f>$Q$10*G19/SUM($G$17:$G$19)</f>
        <v>4.1812277867528262</v>
      </c>
      <c r="S19" s="6">
        <f t="shared" si="4"/>
        <v>5.0143295638126002</v>
      </c>
      <c r="T19" s="6">
        <f t="shared" si="4"/>
        <v>7.1678190630048464</v>
      </c>
      <c r="U19" s="6">
        <f t="shared" si="4"/>
        <v>9.5728109854604195</v>
      </c>
      <c r="V19" s="6">
        <f t="shared" si="4"/>
        <v>12.433651050080774</v>
      </c>
      <c r="W19" s="6">
        <f t="shared" si="4"/>
        <v>14.382794830371564</v>
      </c>
      <c r="X19" s="6">
        <f t="shared" si="4"/>
        <v>16.819224555735055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</v>
      </c>
      <c r="T20" s="6">
        <f t="shared" si="5"/>
        <v>0.11003231017770597</v>
      </c>
      <c r="U20" s="6">
        <f t="shared" si="5"/>
        <v>0.34581583198707588</v>
      </c>
      <c r="V20" s="6">
        <f t="shared" si="5"/>
        <v>0.7859450726978997</v>
      </c>
      <c r="W20" s="6">
        <f t="shared" si="5"/>
        <v>1.2732310177705974</v>
      </c>
      <c r="X20" s="6">
        <f t="shared" si="5"/>
        <v>2.1220516962843292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2.4899999999999998</v>
      </c>
      <c r="D22" s="12" t="s">
        <v>79</v>
      </c>
      <c r="G22" s="8">
        <f>G35/$G$35*$B22</f>
        <v>2.4899999999999998</v>
      </c>
      <c r="H22" s="8">
        <f t="shared" ref="H22:M22" si="6">H35/$G$35*$B22</f>
        <v>3.4593570767807584</v>
      </c>
      <c r="I22" s="8">
        <f t="shared" si="6"/>
        <v>4.1881344434165895</v>
      </c>
      <c r="J22" s="8">
        <f t="shared" si="6"/>
        <v>5.5424190564292326</v>
      </c>
      <c r="K22" s="8">
        <f t="shared" si="6"/>
        <v>5.9103268578476715</v>
      </c>
      <c r="L22" s="8">
        <f t="shared" si="6"/>
        <v>7.6706537156953418</v>
      </c>
      <c r="M22" s="8">
        <f t="shared" si="6"/>
        <v>9.4691150169596039</v>
      </c>
      <c r="Q22" t="s">
        <v>64</v>
      </c>
      <c r="T22" s="8">
        <f>I35*1000</f>
        <v>3272.8</v>
      </c>
      <c r="U22" s="8">
        <f>J35*1000</f>
        <v>4331.1000000000004</v>
      </c>
      <c r="V22" s="8">
        <f>K35*1000</f>
        <v>4618.5999999999995</v>
      </c>
      <c r="W22" s="8">
        <f>L35*1000</f>
        <v>5994.1999999999989</v>
      </c>
      <c r="X22" s="8">
        <f>M35*1000</f>
        <v>7399.5999999999995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2.2999999999999998</v>
      </c>
      <c r="S26" s="3">
        <f>AVERAGEIFS(historical_data_long!$D$3:$D$9999,historical_data_long!$B$3:$B$9999,"&gt;2017",historical_data_long!$A$3:$A$9999,$O26)</f>
        <v>1.92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0.4</v>
      </c>
      <c r="S27" s="3">
        <f>AVERAGEIFS(historical_data_long!$D$3:$D$9999,historical_data_long!$B$3:$B$9999,"&gt;2017",historical_data_long!$A$3:$A$9999,$O27)</f>
        <v>0.4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1.9458</v>
      </c>
      <c r="H35" s="11">
        <f>SUMIFS(ngfs_median!$J$2:$J$17119,ngfs_median!$B$2:$B$17119,Veda!$C$5,ngfs_median!$D$2:$D$17119,Veda!$D22,ngfs_median!$I$2:$I$17119,Veda!H$15)</f>
        <v>2.7033</v>
      </c>
      <c r="I35" s="11">
        <f>SUMIFS(ngfs_median!$J$2:$J$17119,ngfs_median!$B$2:$B$17119,Veda!$C$5,ngfs_median!$D$2:$D$17119,Veda!$D22,ngfs_median!$I$2:$I$17119,Veda!I$15)</f>
        <v>3.2728000000000002</v>
      </c>
      <c r="J35" s="11">
        <f>SUMIFS(ngfs_median!$J$2:$J$17119,ngfs_median!$B$2:$B$17119,Veda!$C$5,ngfs_median!$D$2:$D$17119,Veda!$D22,ngfs_median!$I$2:$I$17119,Veda!J$15)</f>
        <v>4.3311000000000002</v>
      </c>
      <c r="K35" s="11">
        <f>SUMIFS(ngfs_median!$J$2:$J$17119,ngfs_median!$B$2:$B$17119,Veda!$C$5,ngfs_median!$D$2:$D$17119,Veda!$D22,ngfs_median!$I$2:$I$17119,Veda!K$15)</f>
        <v>4.6185999999999998</v>
      </c>
      <c r="L35" s="11">
        <f>SUMIFS(ngfs_median!$J$2:$J$17119,ngfs_median!$B$2:$B$17119,Veda!$C$5,ngfs_median!$D$2:$D$17119,Veda!$D22,ngfs_median!$I$2:$I$17119,Veda!L$15)</f>
        <v>5.9941999999999993</v>
      </c>
      <c r="M35" s="11">
        <f>SUMIFS(ngfs_median!$J$2:$J$17119,ngfs_median!$B$2:$B$17119,Veda!$C$5,ngfs_median!$D$2:$D$17119,Veda!$D22,ngfs_median!$I$2:$I$17119,Veda!M$15)</f>
        <v>7.3995999999999995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3.73</v>
      </c>
    </row>
    <row r="4" spans="1:4" x14ac:dyDescent="0.45">
      <c r="A4" t="s">
        <v>36</v>
      </c>
      <c r="B4">
        <v>2000</v>
      </c>
      <c r="C4" t="s">
        <v>74</v>
      </c>
      <c r="D4">
        <v>0</v>
      </c>
    </row>
    <row r="5" spans="1:4" x14ac:dyDescent="0.45">
      <c r="A5" t="s">
        <v>56</v>
      </c>
      <c r="B5">
        <v>2000</v>
      </c>
      <c r="C5" t="s">
        <v>74</v>
      </c>
      <c r="D5">
        <v>3.19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7.0000000000000007E-2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</v>
      </c>
    </row>
    <row r="11" spans="1:4" x14ac:dyDescent="0.45">
      <c r="A11" t="s">
        <v>32</v>
      </c>
      <c r="B11">
        <v>2001</v>
      </c>
      <c r="C11" t="s">
        <v>74</v>
      </c>
      <c r="D11">
        <v>0</v>
      </c>
    </row>
    <row r="12" spans="1:4" x14ac:dyDescent="0.45">
      <c r="A12" t="s">
        <v>34</v>
      </c>
      <c r="B12">
        <v>2001</v>
      </c>
      <c r="C12" t="s">
        <v>74</v>
      </c>
      <c r="D12">
        <v>4.91</v>
      </c>
    </row>
    <row r="13" spans="1:4" x14ac:dyDescent="0.45">
      <c r="A13" t="s">
        <v>36</v>
      </c>
      <c r="B13">
        <v>2001</v>
      </c>
      <c r="C13" t="s">
        <v>74</v>
      </c>
      <c r="D13">
        <v>0</v>
      </c>
    </row>
    <row r="14" spans="1:4" x14ac:dyDescent="0.45">
      <c r="A14" t="s">
        <v>56</v>
      </c>
      <c r="B14">
        <v>2001</v>
      </c>
      <c r="C14" t="s">
        <v>74</v>
      </c>
      <c r="D14">
        <v>2.96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0.03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</v>
      </c>
    </row>
    <row r="20" spans="1:4" x14ac:dyDescent="0.45">
      <c r="A20" t="s">
        <v>32</v>
      </c>
      <c r="B20">
        <v>2002</v>
      </c>
      <c r="C20" t="s">
        <v>74</v>
      </c>
      <c r="D20">
        <v>0</v>
      </c>
    </row>
    <row r="21" spans="1:4" x14ac:dyDescent="0.45">
      <c r="A21" t="s">
        <v>34</v>
      </c>
      <c r="B21">
        <v>2002</v>
      </c>
      <c r="C21" t="s">
        <v>74</v>
      </c>
      <c r="D21">
        <v>4.76</v>
      </c>
    </row>
    <row r="22" spans="1:4" x14ac:dyDescent="0.45">
      <c r="A22" t="s">
        <v>36</v>
      </c>
      <c r="B22">
        <v>2002</v>
      </c>
      <c r="C22" t="s">
        <v>74</v>
      </c>
      <c r="D22">
        <v>0</v>
      </c>
    </row>
    <row r="23" spans="1:4" x14ac:dyDescent="0.45">
      <c r="A23" t="s">
        <v>56</v>
      </c>
      <c r="B23">
        <v>2002</v>
      </c>
      <c r="C23" t="s">
        <v>74</v>
      </c>
      <c r="D23">
        <v>3.81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0.01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</v>
      </c>
    </row>
    <row r="29" spans="1:4" x14ac:dyDescent="0.45">
      <c r="A29" t="s">
        <v>32</v>
      </c>
      <c r="B29">
        <v>2003</v>
      </c>
      <c r="C29" t="s">
        <v>74</v>
      </c>
      <c r="D29">
        <v>0</v>
      </c>
    </row>
    <row r="30" spans="1:4" x14ac:dyDescent="0.45">
      <c r="A30" t="s">
        <v>34</v>
      </c>
      <c r="B30">
        <v>2003</v>
      </c>
      <c r="C30" t="s">
        <v>74</v>
      </c>
      <c r="D30">
        <v>3.44</v>
      </c>
    </row>
    <row r="31" spans="1:4" x14ac:dyDescent="0.45">
      <c r="A31" t="s">
        <v>36</v>
      </c>
      <c r="B31">
        <v>2003</v>
      </c>
      <c r="C31" t="s">
        <v>74</v>
      </c>
      <c r="D31">
        <v>0</v>
      </c>
    </row>
    <row r="32" spans="1:4" x14ac:dyDescent="0.45">
      <c r="A32" t="s">
        <v>56</v>
      </c>
      <c r="B32">
        <v>2003</v>
      </c>
      <c r="C32" t="s">
        <v>74</v>
      </c>
      <c r="D32">
        <v>5.34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0.01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</v>
      </c>
    </row>
    <row r="38" spans="1:4" x14ac:dyDescent="0.45">
      <c r="A38" t="s">
        <v>32</v>
      </c>
      <c r="B38">
        <v>2004</v>
      </c>
      <c r="C38" t="s">
        <v>74</v>
      </c>
      <c r="D38">
        <v>0</v>
      </c>
    </row>
    <row r="39" spans="1:4" x14ac:dyDescent="0.45">
      <c r="A39" t="s">
        <v>34</v>
      </c>
      <c r="B39">
        <v>2004</v>
      </c>
      <c r="C39" t="s">
        <v>74</v>
      </c>
      <c r="D39">
        <v>4.2</v>
      </c>
    </row>
    <row r="40" spans="1:4" x14ac:dyDescent="0.45">
      <c r="A40" t="s">
        <v>36</v>
      </c>
      <c r="B40">
        <v>2004</v>
      </c>
      <c r="C40" t="s">
        <v>74</v>
      </c>
      <c r="D40">
        <v>0</v>
      </c>
    </row>
    <row r="41" spans="1:4" x14ac:dyDescent="0.45">
      <c r="A41" t="s">
        <v>56</v>
      </c>
      <c r="B41">
        <v>2004</v>
      </c>
      <c r="C41" t="s">
        <v>74</v>
      </c>
      <c r="D41">
        <v>5.5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0.02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</v>
      </c>
    </row>
    <row r="47" spans="1:4" x14ac:dyDescent="0.45">
      <c r="A47" t="s">
        <v>32</v>
      </c>
      <c r="B47">
        <v>2005</v>
      </c>
      <c r="C47" t="s">
        <v>74</v>
      </c>
      <c r="D47">
        <v>0</v>
      </c>
    </row>
    <row r="48" spans="1:4" x14ac:dyDescent="0.45">
      <c r="A48" t="s">
        <v>34</v>
      </c>
      <c r="B48">
        <v>2005</v>
      </c>
      <c r="C48" t="s">
        <v>74</v>
      </c>
      <c r="D48">
        <v>4.43</v>
      </c>
    </row>
    <row r="49" spans="1:4" x14ac:dyDescent="0.45">
      <c r="A49" t="s">
        <v>36</v>
      </c>
      <c r="B49">
        <v>2005</v>
      </c>
      <c r="C49" t="s">
        <v>74</v>
      </c>
      <c r="D49">
        <v>0</v>
      </c>
    </row>
    <row r="50" spans="1:4" x14ac:dyDescent="0.45">
      <c r="A50" t="s">
        <v>56</v>
      </c>
      <c r="B50">
        <v>2005</v>
      </c>
      <c r="C50" t="s">
        <v>74</v>
      </c>
      <c r="D50">
        <v>4.91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0.02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</v>
      </c>
    </row>
    <row r="56" spans="1:4" x14ac:dyDescent="0.45">
      <c r="A56" t="s">
        <v>32</v>
      </c>
      <c r="B56">
        <v>2006</v>
      </c>
      <c r="C56" t="s">
        <v>74</v>
      </c>
      <c r="D56">
        <v>0.1</v>
      </c>
    </row>
    <row r="57" spans="1:4" x14ac:dyDescent="0.45">
      <c r="A57" t="s">
        <v>34</v>
      </c>
      <c r="B57">
        <v>2006</v>
      </c>
      <c r="C57" t="s">
        <v>74</v>
      </c>
      <c r="D57">
        <v>2.5299999999999998</v>
      </c>
    </row>
    <row r="58" spans="1:4" x14ac:dyDescent="0.45">
      <c r="A58" t="s">
        <v>36</v>
      </c>
      <c r="B58">
        <v>2006</v>
      </c>
      <c r="C58" t="s">
        <v>74</v>
      </c>
      <c r="D58">
        <v>0</v>
      </c>
    </row>
    <row r="59" spans="1:4" x14ac:dyDescent="0.45">
      <c r="A59" t="s">
        <v>56</v>
      </c>
      <c r="B59">
        <v>2006</v>
      </c>
      <c r="C59" t="s">
        <v>74</v>
      </c>
      <c r="D59">
        <v>5.31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0.04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</v>
      </c>
    </row>
    <row r="65" spans="1:4" x14ac:dyDescent="0.45">
      <c r="A65" t="s">
        <v>32</v>
      </c>
      <c r="B65">
        <v>2007</v>
      </c>
      <c r="C65" t="s">
        <v>74</v>
      </c>
      <c r="D65">
        <v>0.06</v>
      </c>
    </row>
    <row r="66" spans="1:4" x14ac:dyDescent="0.45">
      <c r="A66" t="s">
        <v>34</v>
      </c>
      <c r="B66">
        <v>2007</v>
      </c>
      <c r="C66" t="s">
        <v>74</v>
      </c>
      <c r="D66">
        <v>2.13</v>
      </c>
    </row>
    <row r="67" spans="1:4" x14ac:dyDescent="0.45">
      <c r="A67" t="s">
        <v>36</v>
      </c>
      <c r="B67">
        <v>2007</v>
      </c>
      <c r="C67" t="s">
        <v>74</v>
      </c>
      <c r="D67">
        <v>0</v>
      </c>
    </row>
    <row r="68" spans="1:4" x14ac:dyDescent="0.45">
      <c r="A68" t="s">
        <v>56</v>
      </c>
      <c r="B68">
        <v>2007</v>
      </c>
      <c r="C68" t="s">
        <v>74</v>
      </c>
      <c r="D68">
        <v>5.38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0.03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</v>
      </c>
    </row>
    <row r="74" spans="1:4" x14ac:dyDescent="0.45">
      <c r="A74" t="s">
        <v>32</v>
      </c>
      <c r="B74">
        <v>2008</v>
      </c>
      <c r="C74" t="s">
        <v>74</v>
      </c>
      <c r="D74">
        <v>0.08</v>
      </c>
    </row>
    <row r="75" spans="1:4" x14ac:dyDescent="0.45">
      <c r="A75" t="s">
        <v>34</v>
      </c>
      <c r="B75">
        <v>2008</v>
      </c>
      <c r="C75" t="s">
        <v>74</v>
      </c>
      <c r="D75">
        <v>1.81</v>
      </c>
    </row>
    <row r="76" spans="1:4" x14ac:dyDescent="0.45">
      <c r="A76" t="s">
        <v>36</v>
      </c>
      <c r="B76">
        <v>2008</v>
      </c>
      <c r="C76" t="s">
        <v>74</v>
      </c>
      <c r="D76">
        <v>0</v>
      </c>
    </row>
    <row r="77" spans="1:4" x14ac:dyDescent="0.45">
      <c r="A77" t="s">
        <v>56</v>
      </c>
      <c r="B77">
        <v>2008</v>
      </c>
      <c r="C77" t="s">
        <v>74</v>
      </c>
      <c r="D77">
        <v>5.71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0.03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0</v>
      </c>
    </row>
    <row r="83" spans="1:4" x14ac:dyDescent="0.45">
      <c r="A83" t="s">
        <v>32</v>
      </c>
      <c r="B83">
        <v>2009</v>
      </c>
      <c r="C83" t="s">
        <v>74</v>
      </c>
      <c r="D83">
        <v>0.06</v>
      </c>
    </row>
    <row r="84" spans="1:4" x14ac:dyDescent="0.45">
      <c r="A84" t="s">
        <v>34</v>
      </c>
      <c r="B84">
        <v>2009</v>
      </c>
      <c r="C84" t="s">
        <v>74</v>
      </c>
      <c r="D84">
        <v>1.75</v>
      </c>
    </row>
    <row r="85" spans="1:4" x14ac:dyDescent="0.45">
      <c r="A85" t="s">
        <v>36</v>
      </c>
      <c r="B85">
        <v>2009</v>
      </c>
      <c r="C85" t="s">
        <v>74</v>
      </c>
      <c r="D85">
        <v>0</v>
      </c>
    </row>
    <row r="86" spans="1:4" x14ac:dyDescent="0.45">
      <c r="A86" t="s">
        <v>56</v>
      </c>
      <c r="B86">
        <v>2009</v>
      </c>
      <c r="C86" t="s">
        <v>74</v>
      </c>
      <c r="D86">
        <v>5.46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0.02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0</v>
      </c>
    </row>
    <row r="92" spans="1:4" x14ac:dyDescent="0.45">
      <c r="A92" t="s">
        <v>32</v>
      </c>
      <c r="B92">
        <v>2010</v>
      </c>
      <c r="C92" t="s">
        <v>74</v>
      </c>
      <c r="D92">
        <v>7.0000000000000007E-2</v>
      </c>
    </row>
    <row r="93" spans="1:4" x14ac:dyDescent="0.45">
      <c r="A93" t="s">
        <v>34</v>
      </c>
      <c r="B93">
        <v>2010</v>
      </c>
      <c r="C93" t="s">
        <v>74</v>
      </c>
      <c r="D93">
        <v>2.75</v>
      </c>
    </row>
    <row r="94" spans="1:4" x14ac:dyDescent="0.45">
      <c r="A94" t="s">
        <v>36</v>
      </c>
      <c r="B94">
        <v>2010</v>
      </c>
      <c r="C94" t="s">
        <v>74</v>
      </c>
      <c r="D94">
        <v>0</v>
      </c>
    </row>
    <row r="95" spans="1:4" x14ac:dyDescent="0.45">
      <c r="A95" t="s">
        <v>56</v>
      </c>
      <c r="B95">
        <v>2010</v>
      </c>
      <c r="C95" t="s">
        <v>74</v>
      </c>
      <c r="D95">
        <v>5.8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0.02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0</v>
      </c>
    </row>
    <row r="101" spans="1:4" x14ac:dyDescent="0.45">
      <c r="A101" t="s">
        <v>32</v>
      </c>
      <c r="B101">
        <v>2011</v>
      </c>
      <c r="C101" t="s">
        <v>74</v>
      </c>
      <c r="D101">
        <v>0.09</v>
      </c>
    </row>
    <row r="102" spans="1:4" x14ac:dyDescent="0.45">
      <c r="A102" t="s">
        <v>34</v>
      </c>
      <c r="B102">
        <v>2011</v>
      </c>
      <c r="C102" t="s">
        <v>74</v>
      </c>
      <c r="D102">
        <v>3.84</v>
      </c>
    </row>
    <row r="103" spans="1:4" x14ac:dyDescent="0.45">
      <c r="A103" t="s">
        <v>36</v>
      </c>
      <c r="B103">
        <v>2011</v>
      </c>
      <c r="C103" t="s">
        <v>74</v>
      </c>
      <c r="D103">
        <v>0</v>
      </c>
    </row>
    <row r="104" spans="1:4" x14ac:dyDescent="0.45">
      <c r="A104" t="s">
        <v>56</v>
      </c>
      <c r="B104">
        <v>2011</v>
      </c>
      <c r="C104" t="s">
        <v>74</v>
      </c>
      <c r="D104">
        <v>5.2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0.04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0</v>
      </c>
    </row>
    <row r="110" spans="1:4" x14ac:dyDescent="0.45">
      <c r="A110" t="s">
        <v>32</v>
      </c>
      <c r="B110">
        <v>2012</v>
      </c>
      <c r="C110" t="s">
        <v>74</v>
      </c>
      <c r="D110">
        <v>0.12</v>
      </c>
    </row>
    <row r="111" spans="1:4" x14ac:dyDescent="0.45">
      <c r="A111" t="s">
        <v>34</v>
      </c>
      <c r="B111">
        <v>2012</v>
      </c>
      <c r="C111" t="s">
        <v>74</v>
      </c>
      <c r="D111">
        <v>3.59</v>
      </c>
    </row>
    <row r="112" spans="1:4" x14ac:dyDescent="0.45">
      <c r="A112" t="s">
        <v>36</v>
      </c>
      <c r="B112">
        <v>2012</v>
      </c>
      <c r="C112" t="s">
        <v>74</v>
      </c>
      <c r="D112">
        <v>0</v>
      </c>
    </row>
    <row r="113" spans="1:4" x14ac:dyDescent="0.45">
      <c r="A113" t="s">
        <v>56</v>
      </c>
      <c r="B113">
        <v>2012</v>
      </c>
      <c r="C113" t="s">
        <v>74</v>
      </c>
      <c r="D113">
        <v>5.39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0.05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0</v>
      </c>
    </row>
    <row r="119" spans="1:4" x14ac:dyDescent="0.45">
      <c r="A119" t="s">
        <v>32</v>
      </c>
      <c r="B119">
        <v>2013</v>
      </c>
      <c r="C119" t="s">
        <v>74</v>
      </c>
      <c r="D119">
        <v>0.13</v>
      </c>
    </row>
    <row r="120" spans="1:4" x14ac:dyDescent="0.45">
      <c r="A120" t="s">
        <v>34</v>
      </c>
      <c r="B120">
        <v>2013</v>
      </c>
      <c r="C120" t="s">
        <v>74</v>
      </c>
      <c r="D120">
        <v>4.3499999999999996</v>
      </c>
    </row>
    <row r="121" spans="1:4" x14ac:dyDescent="0.45">
      <c r="A121" t="s">
        <v>36</v>
      </c>
      <c r="B121">
        <v>2013</v>
      </c>
      <c r="C121" t="s">
        <v>74</v>
      </c>
      <c r="D121">
        <v>0</v>
      </c>
    </row>
    <row r="122" spans="1:4" x14ac:dyDescent="0.45">
      <c r="A122" t="s">
        <v>56</v>
      </c>
      <c r="B122">
        <v>2013</v>
      </c>
      <c r="C122" t="s">
        <v>74</v>
      </c>
      <c r="D122">
        <v>5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0.06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0</v>
      </c>
    </row>
    <row r="127" spans="1:4" x14ac:dyDescent="0.45">
      <c r="A127" t="s">
        <v>91</v>
      </c>
      <c r="B127">
        <v>2013</v>
      </c>
      <c r="C127" t="s">
        <v>74</v>
      </c>
      <c r="D127">
        <v>0</v>
      </c>
    </row>
    <row r="128" spans="1:4" x14ac:dyDescent="0.45">
      <c r="A128" t="s">
        <v>32</v>
      </c>
      <c r="B128">
        <v>2014</v>
      </c>
      <c r="C128" t="s">
        <v>74</v>
      </c>
      <c r="D128">
        <v>0.01</v>
      </c>
    </row>
    <row r="129" spans="1:4" x14ac:dyDescent="0.45">
      <c r="A129" t="s">
        <v>34</v>
      </c>
      <c r="B129">
        <v>2014</v>
      </c>
      <c r="C129" t="s">
        <v>74</v>
      </c>
      <c r="D129">
        <v>4.4000000000000004</v>
      </c>
    </row>
    <row r="130" spans="1:4" x14ac:dyDescent="0.45">
      <c r="A130" t="s">
        <v>36</v>
      </c>
      <c r="B130">
        <v>2014</v>
      </c>
      <c r="C130" t="s">
        <v>74</v>
      </c>
      <c r="D130">
        <v>0</v>
      </c>
    </row>
    <row r="131" spans="1:4" x14ac:dyDescent="0.45">
      <c r="A131" t="s">
        <v>56</v>
      </c>
      <c r="B131">
        <v>2014</v>
      </c>
      <c r="C131" t="s">
        <v>74</v>
      </c>
      <c r="D131">
        <v>5.43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0.02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0</v>
      </c>
    </row>
    <row r="136" spans="1:4" x14ac:dyDescent="0.45">
      <c r="A136" t="s">
        <v>91</v>
      </c>
      <c r="B136">
        <v>2014</v>
      </c>
      <c r="C136" t="s">
        <v>74</v>
      </c>
      <c r="D136">
        <v>0</v>
      </c>
    </row>
    <row r="137" spans="1:4" x14ac:dyDescent="0.45">
      <c r="A137" t="s">
        <v>32</v>
      </c>
      <c r="B137">
        <v>2015</v>
      </c>
      <c r="C137" t="s">
        <v>74</v>
      </c>
      <c r="D137">
        <v>0.04</v>
      </c>
    </row>
    <row r="138" spans="1:4" x14ac:dyDescent="0.45">
      <c r="A138" t="s">
        <v>34</v>
      </c>
      <c r="B138">
        <v>2015</v>
      </c>
      <c r="C138" t="s">
        <v>74</v>
      </c>
      <c r="D138">
        <v>4.54</v>
      </c>
    </row>
    <row r="139" spans="1:4" x14ac:dyDescent="0.45">
      <c r="A139" t="s">
        <v>36</v>
      </c>
      <c r="B139">
        <v>2015</v>
      </c>
      <c r="C139" t="s">
        <v>74</v>
      </c>
      <c r="D139">
        <v>0</v>
      </c>
    </row>
    <row r="140" spans="1:4" x14ac:dyDescent="0.45">
      <c r="A140" t="s">
        <v>56</v>
      </c>
      <c r="B140">
        <v>2015</v>
      </c>
      <c r="C140" t="s">
        <v>74</v>
      </c>
      <c r="D140">
        <v>4.99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0.01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0.01</v>
      </c>
    </row>
    <row r="145" spans="1:4" x14ac:dyDescent="0.45">
      <c r="A145" t="s">
        <v>91</v>
      </c>
      <c r="B145">
        <v>2015</v>
      </c>
      <c r="C145" t="s">
        <v>74</v>
      </c>
      <c r="D145">
        <v>0</v>
      </c>
    </row>
    <row r="146" spans="1:4" x14ac:dyDescent="0.45">
      <c r="A146" t="s">
        <v>32</v>
      </c>
      <c r="B146">
        <v>2016</v>
      </c>
      <c r="C146" t="s">
        <v>74</v>
      </c>
      <c r="D146">
        <v>0.23</v>
      </c>
    </row>
    <row r="147" spans="1:4" x14ac:dyDescent="0.45">
      <c r="A147" t="s">
        <v>34</v>
      </c>
      <c r="B147">
        <v>2016</v>
      </c>
      <c r="C147" t="s">
        <v>74</v>
      </c>
      <c r="D147">
        <v>3.91</v>
      </c>
    </row>
    <row r="148" spans="1:4" x14ac:dyDescent="0.45">
      <c r="A148" t="s">
        <v>36</v>
      </c>
      <c r="B148">
        <v>2016</v>
      </c>
      <c r="C148" t="s">
        <v>74</v>
      </c>
      <c r="D148">
        <v>0</v>
      </c>
    </row>
    <row r="149" spans="1:4" x14ac:dyDescent="0.45">
      <c r="A149" t="s">
        <v>56</v>
      </c>
      <c r="B149">
        <v>2016</v>
      </c>
      <c r="C149" t="s">
        <v>74</v>
      </c>
      <c r="D149">
        <v>2.98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0.04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0.01</v>
      </c>
    </row>
    <row r="154" spans="1:4" x14ac:dyDescent="0.45">
      <c r="A154" t="s">
        <v>91</v>
      </c>
      <c r="B154">
        <v>2016</v>
      </c>
      <c r="C154" t="s">
        <v>74</v>
      </c>
      <c r="D154">
        <v>0</v>
      </c>
    </row>
    <row r="155" spans="1:4" x14ac:dyDescent="0.45">
      <c r="A155" t="s">
        <v>32</v>
      </c>
      <c r="B155">
        <v>2017</v>
      </c>
      <c r="C155" t="s">
        <v>74</v>
      </c>
      <c r="D155">
        <v>0.15</v>
      </c>
    </row>
    <row r="156" spans="1:4" x14ac:dyDescent="0.45">
      <c r="A156" t="s">
        <v>34</v>
      </c>
      <c r="B156">
        <v>2017</v>
      </c>
      <c r="C156" t="s">
        <v>74</v>
      </c>
      <c r="D156">
        <v>3.38</v>
      </c>
    </row>
    <row r="157" spans="1:4" x14ac:dyDescent="0.45">
      <c r="A157" t="s">
        <v>36</v>
      </c>
      <c r="B157">
        <v>2017</v>
      </c>
      <c r="C157" t="s">
        <v>74</v>
      </c>
      <c r="D157">
        <v>0</v>
      </c>
    </row>
    <row r="158" spans="1:4" x14ac:dyDescent="0.45">
      <c r="A158" t="s">
        <v>56</v>
      </c>
      <c r="B158">
        <v>2017</v>
      </c>
      <c r="C158" t="s">
        <v>74</v>
      </c>
      <c r="D158">
        <v>3.97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0.04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0.01</v>
      </c>
    </row>
    <row r="163" spans="1:4" x14ac:dyDescent="0.45">
      <c r="A163" t="s">
        <v>91</v>
      </c>
      <c r="B163">
        <v>2017</v>
      </c>
      <c r="C163" t="s">
        <v>74</v>
      </c>
      <c r="D163">
        <v>0</v>
      </c>
    </row>
    <row r="164" spans="1:4" x14ac:dyDescent="0.45">
      <c r="A164" t="s">
        <v>32</v>
      </c>
      <c r="B164">
        <v>2018</v>
      </c>
      <c r="C164" t="s">
        <v>74</v>
      </c>
      <c r="D164">
        <v>0.19</v>
      </c>
    </row>
    <row r="165" spans="1:4" x14ac:dyDescent="0.45">
      <c r="A165" t="s">
        <v>34</v>
      </c>
      <c r="B165">
        <v>2018</v>
      </c>
      <c r="C165" t="s">
        <v>74</v>
      </c>
      <c r="D165">
        <v>4.13</v>
      </c>
    </row>
    <row r="166" spans="1:4" x14ac:dyDescent="0.45">
      <c r="A166" t="s">
        <v>36</v>
      </c>
      <c r="B166">
        <v>2018</v>
      </c>
      <c r="C166" t="s">
        <v>74</v>
      </c>
      <c r="D166">
        <v>0</v>
      </c>
    </row>
    <row r="167" spans="1:4" x14ac:dyDescent="0.45">
      <c r="A167" t="s">
        <v>56</v>
      </c>
      <c r="B167">
        <v>2018</v>
      </c>
      <c r="C167" t="s">
        <v>74</v>
      </c>
      <c r="D167">
        <v>5.05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0.05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0.02</v>
      </c>
    </row>
    <row r="172" spans="1:4" x14ac:dyDescent="0.45">
      <c r="A172" t="s">
        <v>91</v>
      </c>
      <c r="B172">
        <v>2018</v>
      </c>
      <c r="C172" t="s">
        <v>74</v>
      </c>
      <c r="D172">
        <v>0</v>
      </c>
    </row>
    <row r="173" spans="1:4" x14ac:dyDescent="0.45">
      <c r="A173" t="s">
        <v>32</v>
      </c>
      <c r="B173">
        <v>2019</v>
      </c>
      <c r="C173" t="s">
        <v>74</v>
      </c>
      <c r="D173">
        <v>0.19</v>
      </c>
    </row>
    <row r="174" spans="1:4" x14ac:dyDescent="0.45">
      <c r="A174" t="s">
        <v>34</v>
      </c>
      <c r="B174">
        <v>2019</v>
      </c>
      <c r="C174" t="s">
        <v>74</v>
      </c>
      <c r="D174">
        <v>4.05</v>
      </c>
    </row>
    <row r="175" spans="1:4" x14ac:dyDescent="0.45">
      <c r="A175" t="s">
        <v>36</v>
      </c>
      <c r="B175">
        <v>2019</v>
      </c>
      <c r="C175" t="s">
        <v>74</v>
      </c>
      <c r="D175">
        <v>0</v>
      </c>
    </row>
    <row r="176" spans="1:4" x14ac:dyDescent="0.45">
      <c r="A176" t="s">
        <v>56</v>
      </c>
      <c r="B176">
        <v>2019</v>
      </c>
      <c r="C176" t="s">
        <v>74</v>
      </c>
      <c r="D176">
        <v>4.17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0.05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0.03</v>
      </c>
    </row>
    <row r="181" spans="1:4" x14ac:dyDescent="0.45">
      <c r="A181" t="s">
        <v>91</v>
      </c>
      <c r="B181">
        <v>2019</v>
      </c>
      <c r="C181" t="s">
        <v>74</v>
      </c>
      <c r="D181">
        <v>0</v>
      </c>
    </row>
    <row r="182" spans="1:4" x14ac:dyDescent="0.45">
      <c r="A182" t="s">
        <v>32</v>
      </c>
      <c r="B182">
        <v>2020</v>
      </c>
      <c r="C182" t="s">
        <v>74</v>
      </c>
      <c r="D182">
        <v>0.1</v>
      </c>
    </row>
    <row r="183" spans="1:4" x14ac:dyDescent="0.45">
      <c r="A183" t="s">
        <v>34</v>
      </c>
      <c r="B183">
        <v>2020</v>
      </c>
      <c r="C183" t="s">
        <v>74</v>
      </c>
      <c r="D183">
        <v>2.74</v>
      </c>
    </row>
    <row r="184" spans="1:4" x14ac:dyDescent="0.45">
      <c r="A184" t="s">
        <v>36</v>
      </c>
      <c r="B184">
        <v>2020</v>
      </c>
      <c r="C184" t="s">
        <v>74</v>
      </c>
      <c r="D184">
        <v>0</v>
      </c>
    </row>
    <row r="185" spans="1:4" x14ac:dyDescent="0.45">
      <c r="A185" t="s">
        <v>56</v>
      </c>
      <c r="B185">
        <v>2020</v>
      </c>
      <c r="C185" t="s">
        <v>74</v>
      </c>
      <c r="D185">
        <v>3.81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0.04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0.02</v>
      </c>
    </row>
    <row r="190" spans="1:4" x14ac:dyDescent="0.45">
      <c r="A190" t="s">
        <v>91</v>
      </c>
      <c r="B190">
        <v>2020</v>
      </c>
      <c r="C190" t="s">
        <v>74</v>
      </c>
      <c r="D190">
        <v>0</v>
      </c>
    </row>
    <row r="191" spans="1:4" x14ac:dyDescent="0.45">
      <c r="A191" t="s">
        <v>32</v>
      </c>
      <c r="B191">
        <v>2021</v>
      </c>
      <c r="C191" t="s">
        <v>74</v>
      </c>
      <c r="D191">
        <v>0</v>
      </c>
    </row>
    <row r="192" spans="1:4" x14ac:dyDescent="0.45">
      <c r="A192" t="s">
        <v>34</v>
      </c>
      <c r="B192">
        <v>2021</v>
      </c>
      <c r="C192" t="s">
        <v>74</v>
      </c>
      <c r="D192">
        <v>2.5099999999999998</v>
      </c>
    </row>
    <row r="193" spans="1:4" x14ac:dyDescent="0.45">
      <c r="A193" t="s">
        <v>36</v>
      </c>
      <c r="B193">
        <v>2021</v>
      </c>
      <c r="C193" t="s">
        <v>74</v>
      </c>
      <c r="D193">
        <v>0</v>
      </c>
    </row>
    <row r="194" spans="1:4" x14ac:dyDescent="0.45">
      <c r="A194" t="s">
        <v>56</v>
      </c>
      <c r="B194">
        <v>2021</v>
      </c>
      <c r="C194" t="s">
        <v>74</v>
      </c>
      <c r="D194">
        <v>5.93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0.02</v>
      </c>
    </row>
    <row r="199" spans="1:4" x14ac:dyDescent="0.45">
      <c r="A199" t="s">
        <v>91</v>
      </c>
      <c r="B199">
        <v>2021</v>
      </c>
      <c r="C199" t="s">
        <v>74</v>
      </c>
      <c r="D199">
        <v>0</v>
      </c>
    </row>
    <row r="200" spans="1:4" x14ac:dyDescent="0.45">
      <c r="A200" t="s">
        <v>32</v>
      </c>
      <c r="B200">
        <v>2022</v>
      </c>
      <c r="C200" t="s">
        <v>74</v>
      </c>
      <c r="D200">
        <v>0.1</v>
      </c>
    </row>
    <row r="201" spans="1:4" x14ac:dyDescent="0.45">
      <c r="A201" t="s">
        <v>34</v>
      </c>
      <c r="B201">
        <v>2022</v>
      </c>
      <c r="C201" t="s">
        <v>74</v>
      </c>
      <c r="D201">
        <v>2.92</v>
      </c>
    </row>
    <row r="202" spans="1:4" x14ac:dyDescent="0.45">
      <c r="A202" t="s">
        <v>36</v>
      </c>
      <c r="B202">
        <v>2022</v>
      </c>
      <c r="C202" t="s">
        <v>74</v>
      </c>
      <c r="D202">
        <v>0</v>
      </c>
    </row>
    <row r="203" spans="1:4" x14ac:dyDescent="0.45">
      <c r="A203" t="s">
        <v>56</v>
      </c>
      <c r="B203">
        <v>2022</v>
      </c>
      <c r="C203" t="s">
        <v>74</v>
      </c>
      <c r="D203">
        <v>5.88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0.03</v>
      </c>
    </row>
    <row r="208" spans="1:4" x14ac:dyDescent="0.45">
      <c r="A208" t="s">
        <v>91</v>
      </c>
      <c r="B208">
        <v>2022</v>
      </c>
      <c r="C208" t="s">
        <v>74</v>
      </c>
      <c r="D208">
        <v>0</v>
      </c>
    </row>
    <row r="209" spans="1:4" x14ac:dyDescent="0.45">
      <c r="A209" t="s">
        <v>32</v>
      </c>
      <c r="B209">
        <v>2000</v>
      </c>
      <c r="C209" t="s">
        <v>75</v>
      </c>
      <c r="D209">
        <v>0.06</v>
      </c>
    </row>
    <row r="210" spans="1:4" x14ac:dyDescent="0.45">
      <c r="A210" t="s">
        <v>34</v>
      </c>
      <c r="B210">
        <v>2000</v>
      </c>
      <c r="C210" t="s">
        <v>75</v>
      </c>
      <c r="D210">
        <v>0.95</v>
      </c>
    </row>
    <row r="211" spans="1:4" x14ac:dyDescent="0.45">
      <c r="A211" t="s">
        <v>36</v>
      </c>
      <c r="B211">
        <v>2000</v>
      </c>
      <c r="C211" t="s">
        <v>75</v>
      </c>
    </row>
    <row r="212" spans="1:4" x14ac:dyDescent="0.45">
      <c r="A212" t="s">
        <v>56</v>
      </c>
      <c r="B212">
        <v>2000</v>
      </c>
      <c r="C212" t="s">
        <v>75</v>
      </c>
      <c r="D212">
        <v>0.67</v>
      </c>
    </row>
    <row r="213" spans="1:4" x14ac:dyDescent="0.45">
      <c r="A213" t="s">
        <v>57</v>
      </c>
      <c r="B213">
        <v>2000</v>
      </c>
      <c r="C213" t="s">
        <v>75</v>
      </c>
    </row>
    <row r="214" spans="1:4" x14ac:dyDescent="0.45">
      <c r="A214" t="s">
        <v>38</v>
      </c>
      <c r="B214">
        <v>2000</v>
      </c>
      <c r="C214" t="s">
        <v>75</v>
      </c>
      <c r="D214">
        <v>0</v>
      </c>
    </row>
    <row r="215" spans="1:4" x14ac:dyDescent="0.45">
      <c r="A215" t="s">
        <v>32</v>
      </c>
      <c r="B215">
        <v>2000</v>
      </c>
      <c r="C215" t="s">
        <v>75</v>
      </c>
    </row>
    <row r="216" spans="1:4" x14ac:dyDescent="0.45">
      <c r="A216" t="s">
        <v>58</v>
      </c>
      <c r="B216">
        <v>2000</v>
      </c>
      <c r="C216" t="s">
        <v>75</v>
      </c>
      <c r="D216">
        <v>0</v>
      </c>
    </row>
    <row r="217" spans="1:4" x14ac:dyDescent="0.45">
      <c r="A217" t="s">
        <v>91</v>
      </c>
      <c r="B217">
        <v>2000</v>
      </c>
      <c r="C217" t="s">
        <v>75</v>
      </c>
    </row>
    <row r="218" spans="1:4" x14ac:dyDescent="0.45">
      <c r="A218" t="s">
        <v>32</v>
      </c>
      <c r="B218">
        <v>2001</v>
      </c>
      <c r="C218" t="s">
        <v>75</v>
      </c>
      <c r="D218">
        <v>0.06</v>
      </c>
    </row>
    <row r="219" spans="1:4" x14ac:dyDescent="0.45">
      <c r="A219" t="s">
        <v>34</v>
      </c>
      <c r="B219">
        <v>2001</v>
      </c>
      <c r="C219" t="s">
        <v>75</v>
      </c>
      <c r="D219">
        <v>0.95</v>
      </c>
    </row>
    <row r="220" spans="1:4" x14ac:dyDescent="0.45">
      <c r="A220" t="s">
        <v>36</v>
      </c>
      <c r="B220">
        <v>2001</v>
      </c>
      <c r="C220" t="s">
        <v>75</v>
      </c>
    </row>
    <row r="221" spans="1:4" x14ac:dyDescent="0.45">
      <c r="A221" t="s">
        <v>56</v>
      </c>
      <c r="B221">
        <v>2001</v>
      </c>
      <c r="C221" t="s">
        <v>75</v>
      </c>
      <c r="D221">
        <v>0.67</v>
      </c>
    </row>
    <row r="222" spans="1:4" x14ac:dyDescent="0.45">
      <c r="A222" t="s">
        <v>57</v>
      </c>
      <c r="B222">
        <v>2001</v>
      </c>
      <c r="C222" t="s">
        <v>75</v>
      </c>
    </row>
    <row r="223" spans="1:4" x14ac:dyDescent="0.45">
      <c r="A223" t="s">
        <v>38</v>
      </c>
      <c r="B223">
        <v>2001</v>
      </c>
      <c r="C223" t="s">
        <v>75</v>
      </c>
      <c r="D223">
        <v>0</v>
      </c>
    </row>
    <row r="224" spans="1:4" x14ac:dyDescent="0.45">
      <c r="A224" t="s">
        <v>32</v>
      </c>
      <c r="B224">
        <v>2001</v>
      </c>
      <c r="C224" t="s">
        <v>75</v>
      </c>
    </row>
    <row r="225" spans="1:4" x14ac:dyDescent="0.45">
      <c r="A225" t="s">
        <v>58</v>
      </c>
      <c r="B225">
        <v>2001</v>
      </c>
      <c r="C225" t="s">
        <v>75</v>
      </c>
      <c r="D225">
        <v>0</v>
      </c>
    </row>
    <row r="226" spans="1:4" x14ac:dyDescent="0.45">
      <c r="A226" t="s">
        <v>91</v>
      </c>
      <c r="B226">
        <v>2001</v>
      </c>
      <c r="C226" t="s">
        <v>75</v>
      </c>
    </row>
    <row r="227" spans="1:4" x14ac:dyDescent="0.45">
      <c r="A227" t="s">
        <v>32</v>
      </c>
      <c r="B227">
        <v>2002</v>
      </c>
      <c r="C227" t="s">
        <v>75</v>
      </c>
      <c r="D227">
        <v>0.08</v>
      </c>
    </row>
    <row r="228" spans="1:4" x14ac:dyDescent="0.45">
      <c r="A228" t="s">
        <v>34</v>
      </c>
      <c r="B228">
        <v>2002</v>
      </c>
      <c r="C228" t="s">
        <v>75</v>
      </c>
      <c r="D228">
        <v>0.95</v>
      </c>
    </row>
    <row r="229" spans="1:4" x14ac:dyDescent="0.45">
      <c r="A229" t="s">
        <v>36</v>
      </c>
      <c r="B229">
        <v>2002</v>
      </c>
      <c r="C229" t="s">
        <v>75</v>
      </c>
    </row>
    <row r="230" spans="1:4" x14ac:dyDescent="0.45">
      <c r="A230" t="s">
        <v>56</v>
      </c>
      <c r="B230">
        <v>2002</v>
      </c>
      <c r="C230" t="s">
        <v>75</v>
      </c>
      <c r="D230">
        <v>0.67</v>
      </c>
    </row>
    <row r="231" spans="1:4" x14ac:dyDescent="0.45">
      <c r="A231" t="s">
        <v>57</v>
      </c>
      <c r="B231">
        <v>2002</v>
      </c>
      <c r="C231" t="s">
        <v>75</v>
      </c>
    </row>
    <row r="232" spans="1:4" x14ac:dyDescent="0.45">
      <c r="A232" t="s">
        <v>38</v>
      </c>
      <c r="B232">
        <v>2002</v>
      </c>
      <c r="C232" t="s">
        <v>75</v>
      </c>
      <c r="D232">
        <v>0</v>
      </c>
    </row>
    <row r="233" spans="1:4" x14ac:dyDescent="0.45">
      <c r="A233" t="s">
        <v>32</v>
      </c>
      <c r="B233">
        <v>2002</v>
      </c>
      <c r="C233" t="s">
        <v>75</v>
      </c>
    </row>
    <row r="234" spans="1:4" x14ac:dyDescent="0.45">
      <c r="A234" t="s">
        <v>58</v>
      </c>
      <c r="B234">
        <v>2002</v>
      </c>
      <c r="C234" t="s">
        <v>75</v>
      </c>
      <c r="D234">
        <v>0</v>
      </c>
    </row>
    <row r="235" spans="1:4" x14ac:dyDescent="0.45">
      <c r="A235" t="s">
        <v>91</v>
      </c>
      <c r="B235">
        <v>2002</v>
      </c>
      <c r="C235" t="s">
        <v>75</v>
      </c>
    </row>
    <row r="236" spans="1:4" x14ac:dyDescent="0.45">
      <c r="A236" t="s">
        <v>32</v>
      </c>
      <c r="B236">
        <v>2003</v>
      </c>
      <c r="C236" t="s">
        <v>75</v>
      </c>
      <c r="D236">
        <v>0.08</v>
      </c>
    </row>
    <row r="237" spans="1:4" x14ac:dyDescent="0.45">
      <c r="A237" t="s">
        <v>34</v>
      </c>
      <c r="B237">
        <v>2003</v>
      </c>
      <c r="C237" t="s">
        <v>75</v>
      </c>
      <c r="D237">
        <v>0.95</v>
      </c>
    </row>
    <row r="238" spans="1:4" x14ac:dyDescent="0.45">
      <c r="A238" t="s">
        <v>36</v>
      </c>
      <c r="B238">
        <v>2003</v>
      </c>
      <c r="C238" t="s">
        <v>75</v>
      </c>
    </row>
    <row r="239" spans="1:4" x14ac:dyDescent="0.45">
      <c r="A239" t="s">
        <v>56</v>
      </c>
      <c r="B239">
        <v>2003</v>
      </c>
      <c r="C239" t="s">
        <v>75</v>
      </c>
      <c r="D239">
        <v>0.67</v>
      </c>
    </row>
    <row r="240" spans="1:4" x14ac:dyDescent="0.45">
      <c r="A240" t="s">
        <v>57</v>
      </c>
      <c r="B240">
        <v>2003</v>
      </c>
      <c r="C240" t="s">
        <v>75</v>
      </c>
    </row>
    <row r="241" spans="1:4" x14ac:dyDescent="0.45">
      <c r="A241" t="s">
        <v>38</v>
      </c>
      <c r="B241">
        <v>2003</v>
      </c>
      <c r="C241" t="s">
        <v>75</v>
      </c>
      <c r="D241">
        <v>0</v>
      </c>
    </row>
    <row r="242" spans="1:4" x14ac:dyDescent="0.45">
      <c r="A242" t="s">
        <v>32</v>
      </c>
      <c r="B242">
        <v>2003</v>
      </c>
      <c r="C242" t="s">
        <v>75</v>
      </c>
    </row>
    <row r="243" spans="1:4" x14ac:dyDescent="0.45">
      <c r="A243" t="s">
        <v>58</v>
      </c>
      <c r="B243">
        <v>2003</v>
      </c>
      <c r="C243" t="s">
        <v>75</v>
      </c>
      <c r="D243">
        <v>0</v>
      </c>
    </row>
    <row r="244" spans="1:4" x14ac:dyDescent="0.45">
      <c r="A244" t="s">
        <v>91</v>
      </c>
      <c r="B244">
        <v>2003</v>
      </c>
      <c r="C244" t="s">
        <v>75</v>
      </c>
    </row>
    <row r="245" spans="1:4" x14ac:dyDescent="0.45">
      <c r="A245" t="s">
        <v>32</v>
      </c>
      <c r="B245">
        <v>2004</v>
      </c>
      <c r="C245" t="s">
        <v>75</v>
      </c>
      <c r="D245">
        <v>0.08</v>
      </c>
    </row>
    <row r="246" spans="1:4" x14ac:dyDescent="0.45">
      <c r="A246" t="s">
        <v>34</v>
      </c>
      <c r="B246">
        <v>2004</v>
      </c>
      <c r="C246" t="s">
        <v>75</v>
      </c>
      <c r="D246">
        <v>0.95</v>
      </c>
    </row>
    <row r="247" spans="1:4" x14ac:dyDescent="0.45">
      <c r="A247" t="s">
        <v>36</v>
      </c>
      <c r="B247">
        <v>2004</v>
      </c>
      <c r="C247" t="s">
        <v>75</v>
      </c>
    </row>
    <row r="248" spans="1:4" x14ac:dyDescent="0.45">
      <c r="A248" t="s">
        <v>56</v>
      </c>
      <c r="B248">
        <v>2004</v>
      </c>
      <c r="C248" t="s">
        <v>75</v>
      </c>
      <c r="D248">
        <v>0.67</v>
      </c>
    </row>
    <row r="249" spans="1:4" x14ac:dyDescent="0.45">
      <c r="A249" t="s">
        <v>57</v>
      </c>
      <c r="B249">
        <v>2004</v>
      </c>
      <c r="C249" t="s">
        <v>75</v>
      </c>
    </row>
    <row r="250" spans="1:4" x14ac:dyDescent="0.45">
      <c r="A250" t="s">
        <v>38</v>
      </c>
      <c r="B250">
        <v>2004</v>
      </c>
      <c r="C250" t="s">
        <v>75</v>
      </c>
      <c r="D250">
        <v>0</v>
      </c>
    </row>
    <row r="251" spans="1:4" x14ac:dyDescent="0.45">
      <c r="A251" t="s">
        <v>32</v>
      </c>
      <c r="B251">
        <v>2004</v>
      </c>
      <c r="C251" t="s">
        <v>75</v>
      </c>
    </row>
    <row r="252" spans="1:4" x14ac:dyDescent="0.45">
      <c r="A252" t="s">
        <v>58</v>
      </c>
      <c r="B252">
        <v>2004</v>
      </c>
      <c r="C252" t="s">
        <v>75</v>
      </c>
      <c r="D252">
        <v>0</v>
      </c>
    </row>
    <row r="253" spans="1:4" x14ac:dyDescent="0.45">
      <c r="A253" t="s">
        <v>91</v>
      </c>
      <c r="B253">
        <v>2004</v>
      </c>
      <c r="C253" t="s">
        <v>75</v>
      </c>
    </row>
    <row r="254" spans="1:4" x14ac:dyDescent="0.45">
      <c r="A254" t="s">
        <v>32</v>
      </c>
      <c r="B254">
        <v>2005</v>
      </c>
      <c r="C254" t="s">
        <v>75</v>
      </c>
      <c r="D254">
        <v>0.08</v>
      </c>
    </row>
    <row r="255" spans="1:4" x14ac:dyDescent="0.45">
      <c r="A255" t="s">
        <v>34</v>
      </c>
      <c r="B255">
        <v>2005</v>
      </c>
      <c r="C255" t="s">
        <v>75</v>
      </c>
      <c r="D255">
        <v>0.95</v>
      </c>
    </row>
    <row r="256" spans="1:4" x14ac:dyDescent="0.45">
      <c r="A256" t="s">
        <v>36</v>
      </c>
      <c r="B256">
        <v>2005</v>
      </c>
      <c r="C256" t="s">
        <v>75</v>
      </c>
    </row>
    <row r="257" spans="1:4" x14ac:dyDescent="0.45">
      <c r="A257" t="s">
        <v>56</v>
      </c>
      <c r="B257">
        <v>2005</v>
      </c>
      <c r="C257" t="s">
        <v>75</v>
      </c>
      <c r="D257">
        <v>0.67</v>
      </c>
    </row>
    <row r="258" spans="1:4" x14ac:dyDescent="0.45">
      <c r="A258" t="s">
        <v>57</v>
      </c>
      <c r="B258">
        <v>2005</v>
      </c>
      <c r="C258" t="s">
        <v>75</v>
      </c>
    </row>
    <row r="259" spans="1:4" x14ac:dyDescent="0.45">
      <c r="A259" t="s">
        <v>38</v>
      </c>
      <c r="B259">
        <v>2005</v>
      </c>
      <c r="C259" t="s">
        <v>75</v>
      </c>
      <c r="D259">
        <v>0</v>
      </c>
    </row>
    <row r="260" spans="1:4" x14ac:dyDescent="0.45">
      <c r="A260" t="s">
        <v>32</v>
      </c>
      <c r="B260">
        <v>2005</v>
      </c>
      <c r="C260" t="s">
        <v>75</v>
      </c>
    </row>
    <row r="261" spans="1:4" x14ac:dyDescent="0.45">
      <c r="A261" t="s">
        <v>58</v>
      </c>
      <c r="B261">
        <v>2005</v>
      </c>
      <c r="C261" t="s">
        <v>75</v>
      </c>
      <c r="D261">
        <v>0</v>
      </c>
    </row>
    <row r="262" spans="1:4" x14ac:dyDescent="0.45">
      <c r="A262" t="s">
        <v>91</v>
      </c>
      <c r="B262">
        <v>2005</v>
      </c>
      <c r="C262" t="s">
        <v>75</v>
      </c>
    </row>
    <row r="263" spans="1:4" x14ac:dyDescent="0.45">
      <c r="A263" t="s">
        <v>32</v>
      </c>
      <c r="B263">
        <v>2006</v>
      </c>
      <c r="C263" t="s">
        <v>75</v>
      </c>
      <c r="D263">
        <v>0.08</v>
      </c>
    </row>
    <row r="264" spans="1:4" x14ac:dyDescent="0.45">
      <c r="A264" t="s">
        <v>34</v>
      </c>
      <c r="B264">
        <v>2006</v>
      </c>
      <c r="C264" t="s">
        <v>75</v>
      </c>
      <c r="D264">
        <v>0.95</v>
      </c>
    </row>
    <row r="265" spans="1:4" x14ac:dyDescent="0.45">
      <c r="A265" t="s">
        <v>36</v>
      </c>
      <c r="B265">
        <v>2006</v>
      </c>
      <c r="C265" t="s">
        <v>75</v>
      </c>
    </row>
    <row r="266" spans="1:4" x14ac:dyDescent="0.45">
      <c r="A266" t="s">
        <v>56</v>
      </c>
      <c r="B266">
        <v>2006</v>
      </c>
      <c r="C266" t="s">
        <v>75</v>
      </c>
      <c r="D266">
        <v>0.67</v>
      </c>
    </row>
    <row r="267" spans="1:4" x14ac:dyDescent="0.45">
      <c r="A267" t="s">
        <v>57</v>
      </c>
      <c r="B267">
        <v>2006</v>
      </c>
      <c r="C267" t="s">
        <v>75</v>
      </c>
    </row>
    <row r="268" spans="1:4" x14ac:dyDescent="0.45">
      <c r="A268" t="s">
        <v>38</v>
      </c>
      <c r="B268">
        <v>2006</v>
      </c>
      <c r="C268" t="s">
        <v>75</v>
      </c>
      <c r="D268">
        <v>0</v>
      </c>
    </row>
    <row r="269" spans="1:4" x14ac:dyDescent="0.45">
      <c r="A269" t="s">
        <v>32</v>
      </c>
      <c r="B269">
        <v>2006</v>
      </c>
      <c r="C269" t="s">
        <v>75</v>
      </c>
    </row>
    <row r="270" spans="1:4" x14ac:dyDescent="0.45">
      <c r="A270" t="s">
        <v>58</v>
      </c>
      <c r="B270">
        <v>2006</v>
      </c>
      <c r="C270" t="s">
        <v>75</v>
      </c>
      <c r="D270">
        <v>0</v>
      </c>
    </row>
    <row r="271" spans="1:4" x14ac:dyDescent="0.45">
      <c r="A271" t="s">
        <v>91</v>
      </c>
      <c r="B271">
        <v>2006</v>
      </c>
      <c r="C271" t="s">
        <v>75</v>
      </c>
    </row>
    <row r="272" spans="1:4" x14ac:dyDescent="0.45">
      <c r="A272" t="s">
        <v>32</v>
      </c>
      <c r="B272">
        <v>2007</v>
      </c>
      <c r="C272" t="s">
        <v>75</v>
      </c>
      <c r="D272">
        <v>0.08</v>
      </c>
    </row>
    <row r="273" spans="1:4" x14ac:dyDescent="0.45">
      <c r="A273" t="s">
        <v>34</v>
      </c>
      <c r="B273">
        <v>2007</v>
      </c>
      <c r="C273" t="s">
        <v>75</v>
      </c>
      <c r="D273">
        <v>0.95</v>
      </c>
    </row>
    <row r="274" spans="1:4" x14ac:dyDescent="0.45">
      <c r="A274" t="s">
        <v>36</v>
      </c>
      <c r="B274">
        <v>2007</v>
      </c>
      <c r="C274" t="s">
        <v>75</v>
      </c>
    </row>
    <row r="275" spans="1:4" x14ac:dyDescent="0.45">
      <c r="A275" t="s">
        <v>56</v>
      </c>
      <c r="B275">
        <v>2007</v>
      </c>
      <c r="C275" t="s">
        <v>75</v>
      </c>
      <c r="D275">
        <v>0.67</v>
      </c>
    </row>
    <row r="276" spans="1:4" x14ac:dyDescent="0.45">
      <c r="A276" t="s">
        <v>57</v>
      </c>
      <c r="B276">
        <v>2007</v>
      </c>
      <c r="C276" t="s">
        <v>75</v>
      </c>
    </row>
    <row r="277" spans="1:4" x14ac:dyDescent="0.45">
      <c r="A277" t="s">
        <v>38</v>
      </c>
      <c r="B277">
        <v>2007</v>
      </c>
      <c r="C277" t="s">
        <v>75</v>
      </c>
      <c r="D277">
        <v>0</v>
      </c>
    </row>
    <row r="278" spans="1:4" x14ac:dyDescent="0.45">
      <c r="A278" t="s">
        <v>32</v>
      </c>
      <c r="B278">
        <v>2007</v>
      </c>
      <c r="C278" t="s">
        <v>75</v>
      </c>
    </row>
    <row r="279" spans="1:4" x14ac:dyDescent="0.45">
      <c r="A279" t="s">
        <v>58</v>
      </c>
      <c r="B279">
        <v>2007</v>
      </c>
      <c r="C279" t="s">
        <v>75</v>
      </c>
      <c r="D279">
        <v>0</v>
      </c>
    </row>
    <row r="280" spans="1:4" x14ac:dyDescent="0.45">
      <c r="A280" t="s">
        <v>91</v>
      </c>
      <c r="B280">
        <v>2007</v>
      </c>
      <c r="C280" t="s">
        <v>75</v>
      </c>
    </row>
    <row r="281" spans="1:4" x14ac:dyDescent="0.45">
      <c r="A281" t="s">
        <v>32</v>
      </c>
      <c r="B281">
        <v>2008</v>
      </c>
      <c r="C281" t="s">
        <v>75</v>
      </c>
      <c r="D281">
        <v>0.08</v>
      </c>
    </row>
    <row r="282" spans="1:4" x14ac:dyDescent="0.45">
      <c r="A282" t="s">
        <v>34</v>
      </c>
      <c r="B282">
        <v>2008</v>
      </c>
      <c r="C282" t="s">
        <v>75</v>
      </c>
      <c r="D282">
        <v>0.95</v>
      </c>
    </row>
    <row r="283" spans="1:4" x14ac:dyDescent="0.45">
      <c r="A283" t="s">
        <v>36</v>
      </c>
      <c r="B283">
        <v>2008</v>
      </c>
      <c r="C283" t="s">
        <v>75</v>
      </c>
    </row>
    <row r="284" spans="1:4" x14ac:dyDescent="0.45">
      <c r="A284" t="s">
        <v>56</v>
      </c>
      <c r="B284">
        <v>2008</v>
      </c>
      <c r="C284" t="s">
        <v>75</v>
      </c>
      <c r="D284">
        <v>0.75</v>
      </c>
    </row>
    <row r="285" spans="1:4" x14ac:dyDescent="0.45">
      <c r="A285" t="s">
        <v>57</v>
      </c>
      <c r="B285">
        <v>2008</v>
      </c>
      <c r="C285" t="s">
        <v>75</v>
      </c>
    </row>
    <row r="286" spans="1:4" x14ac:dyDescent="0.45">
      <c r="A286" t="s">
        <v>38</v>
      </c>
      <c r="B286">
        <v>2008</v>
      </c>
      <c r="C286" t="s">
        <v>75</v>
      </c>
      <c r="D286">
        <v>0</v>
      </c>
    </row>
    <row r="287" spans="1:4" x14ac:dyDescent="0.45">
      <c r="A287" t="s">
        <v>32</v>
      </c>
      <c r="B287">
        <v>2008</v>
      </c>
      <c r="C287" t="s">
        <v>75</v>
      </c>
    </row>
    <row r="288" spans="1:4" x14ac:dyDescent="0.45">
      <c r="A288" t="s">
        <v>58</v>
      </c>
      <c r="B288">
        <v>2008</v>
      </c>
      <c r="C288" t="s">
        <v>75</v>
      </c>
      <c r="D288">
        <v>0</v>
      </c>
    </row>
    <row r="289" spans="1:4" x14ac:dyDescent="0.45">
      <c r="A289" t="s">
        <v>91</v>
      </c>
      <c r="B289">
        <v>2008</v>
      </c>
      <c r="C289" t="s">
        <v>75</v>
      </c>
    </row>
    <row r="290" spans="1:4" x14ac:dyDescent="0.45">
      <c r="A290" t="s">
        <v>32</v>
      </c>
      <c r="B290">
        <v>2009</v>
      </c>
      <c r="C290" t="s">
        <v>75</v>
      </c>
      <c r="D290">
        <v>0.08</v>
      </c>
    </row>
    <row r="291" spans="1:4" x14ac:dyDescent="0.45">
      <c r="A291" t="s">
        <v>34</v>
      </c>
      <c r="B291">
        <v>2009</v>
      </c>
      <c r="C291" t="s">
        <v>75</v>
      </c>
      <c r="D291">
        <v>0.95</v>
      </c>
    </row>
    <row r="292" spans="1:4" x14ac:dyDescent="0.45">
      <c r="A292" t="s">
        <v>36</v>
      </c>
      <c r="B292">
        <v>2009</v>
      </c>
      <c r="C292" t="s">
        <v>75</v>
      </c>
    </row>
    <row r="293" spans="1:4" x14ac:dyDescent="0.45">
      <c r="A293" t="s">
        <v>56</v>
      </c>
      <c r="B293">
        <v>2009</v>
      </c>
      <c r="C293" t="s">
        <v>75</v>
      </c>
      <c r="D293">
        <v>0.75</v>
      </c>
    </row>
    <row r="294" spans="1:4" x14ac:dyDescent="0.45">
      <c r="A294" t="s">
        <v>57</v>
      </c>
      <c r="B294">
        <v>2009</v>
      </c>
      <c r="C294" t="s">
        <v>75</v>
      </c>
    </row>
    <row r="295" spans="1:4" x14ac:dyDescent="0.45">
      <c r="A295" t="s">
        <v>38</v>
      </c>
      <c r="B295">
        <v>2009</v>
      </c>
      <c r="C295" t="s">
        <v>75</v>
      </c>
      <c r="D295">
        <v>0</v>
      </c>
    </row>
    <row r="296" spans="1:4" x14ac:dyDescent="0.45">
      <c r="A296" t="s">
        <v>32</v>
      </c>
      <c r="B296">
        <v>2009</v>
      </c>
      <c r="C296" t="s">
        <v>75</v>
      </c>
    </row>
    <row r="297" spans="1:4" x14ac:dyDescent="0.45">
      <c r="A297" t="s">
        <v>58</v>
      </c>
      <c r="B297">
        <v>2009</v>
      </c>
      <c r="C297" t="s">
        <v>75</v>
      </c>
      <c r="D297">
        <v>0</v>
      </c>
    </row>
    <row r="298" spans="1:4" x14ac:dyDescent="0.45">
      <c r="A298" t="s">
        <v>91</v>
      </c>
      <c r="B298">
        <v>2009</v>
      </c>
      <c r="C298" t="s">
        <v>75</v>
      </c>
    </row>
    <row r="299" spans="1:4" x14ac:dyDescent="0.45">
      <c r="A299" t="s">
        <v>32</v>
      </c>
      <c r="B299">
        <v>2010</v>
      </c>
      <c r="C299" t="s">
        <v>75</v>
      </c>
      <c r="D299">
        <v>0.08</v>
      </c>
    </row>
    <row r="300" spans="1:4" x14ac:dyDescent="0.45">
      <c r="A300" t="s">
        <v>34</v>
      </c>
      <c r="B300">
        <v>2010</v>
      </c>
      <c r="C300" t="s">
        <v>75</v>
      </c>
      <c r="D300">
        <v>0.95</v>
      </c>
    </row>
    <row r="301" spans="1:4" x14ac:dyDescent="0.45">
      <c r="A301" t="s">
        <v>36</v>
      </c>
      <c r="B301">
        <v>2010</v>
      </c>
      <c r="C301" t="s">
        <v>75</v>
      </c>
    </row>
    <row r="302" spans="1:4" x14ac:dyDescent="0.45">
      <c r="A302" t="s">
        <v>56</v>
      </c>
      <c r="B302">
        <v>2010</v>
      </c>
      <c r="C302" t="s">
        <v>75</v>
      </c>
      <c r="D302">
        <v>0.75</v>
      </c>
    </row>
    <row r="303" spans="1:4" x14ac:dyDescent="0.45">
      <c r="A303" t="s">
        <v>57</v>
      </c>
      <c r="B303">
        <v>2010</v>
      </c>
      <c r="C303" t="s">
        <v>75</v>
      </c>
    </row>
    <row r="304" spans="1:4" x14ac:dyDescent="0.45">
      <c r="A304" t="s">
        <v>38</v>
      </c>
      <c r="B304">
        <v>2010</v>
      </c>
      <c r="C304" t="s">
        <v>75</v>
      </c>
      <c r="D304">
        <v>0</v>
      </c>
    </row>
    <row r="305" spans="1:4" x14ac:dyDescent="0.45">
      <c r="A305" t="s">
        <v>32</v>
      </c>
      <c r="B305">
        <v>2010</v>
      </c>
      <c r="C305" t="s">
        <v>75</v>
      </c>
    </row>
    <row r="306" spans="1:4" x14ac:dyDescent="0.45">
      <c r="A306" t="s">
        <v>58</v>
      </c>
      <c r="B306">
        <v>2010</v>
      </c>
      <c r="C306" t="s">
        <v>75</v>
      </c>
      <c r="D306">
        <v>0</v>
      </c>
    </row>
    <row r="307" spans="1:4" x14ac:dyDescent="0.45">
      <c r="A307" t="s">
        <v>91</v>
      </c>
      <c r="B307">
        <v>2010</v>
      </c>
      <c r="C307" t="s">
        <v>75</v>
      </c>
    </row>
    <row r="308" spans="1:4" x14ac:dyDescent="0.45">
      <c r="A308" t="s">
        <v>32</v>
      </c>
      <c r="B308">
        <v>2011</v>
      </c>
      <c r="C308" t="s">
        <v>75</v>
      </c>
      <c r="D308">
        <v>0.1</v>
      </c>
    </row>
    <row r="309" spans="1:4" x14ac:dyDescent="0.45">
      <c r="A309" t="s">
        <v>34</v>
      </c>
      <c r="B309">
        <v>2011</v>
      </c>
      <c r="C309" t="s">
        <v>75</v>
      </c>
      <c r="D309">
        <v>0.95</v>
      </c>
    </row>
    <row r="310" spans="1:4" x14ac:dyDescent="0.45">
      <c r="A310" t="s">
        <v>36</v>
      </c>
      <c r="B310">
        <v>2011</v>
      </c>
      <c r="C310" t="s">
        <v>75</v>
      </c>
    </row>
    <row r="311" spans="1:4" x14ac:dyDescent="0.45">
      <c r="A311" t="s">
        <v>56</v>
      </c>
      <c r="B311">
        <v>2011</v>
      </c>
      <c r="C311" t="s">
        <v>75</v>
      </c>
      <c r="D311">
        <v>0.75</v>
      </c>
    </row>
    <row r="312" spans="1:4" x14ac:dyDescent="0.45">
      <c r="A312" t="s">
        <v>57</v>
      </c>
      <c r="B312">
        <v>2011</v>
      </c>
      <c r="C312" t="s">
        <v>75</v>
      </c>
    </row>
    <row r="313" spans="1:4" x14ac:dyDescent="0.45">
      <c r="A313" t="s">
        <v>38</v>
      </c>
      <c r="B313">
        <v>2011</v>
      </c>
      <c r="C313" t="s">
        <v>75</v>
      </c>
      <c r="D313">
        <v>0.01</v>
      </c>
    </row>
    <row r="314" spans="1:4" x14ac:dyDescent="0.45">
      <c r="A314" t="s">
        <v>32</v>
      </c>
      <c r="B314">
        <v>2011</v>
      </c>
      <c r="C314" t="s">
        <v>75</v>
      </c>
    </row>
    <row r="315" spans="1:4" x14ac:dyDescent="0.45">
      <c r="A315" t="s">
        <v>58</v>
      </c>
      <c r="B315">
        <v>2011</v>
      </c>
      <c r="C315" t="s">
        <v>75</v>
      </c>
      <c r="D315">
        <v>0</v>
      </c>
    </row>
    <row r="316" spans="1:4" x14ac:dyDescent="0.45">
      <c r="A316" t="s">
        <v>91</v>
      </c>
      <c r="B316">
        <v>2011</v>
      </c>
      <c r="C316" t="s">
        <v>75</v>
      </c>
    </row>
    <row r="317" spans="1:4" x14ac:dyDescent="0.45">
      <c r="A317" t="s">
        <v>32</v>
      </c>
      <c r="B317">
        <v>2012</v>
      </c>
      <c r="C317" t="s">
        <v>75</v>
      </c>
      <c r="D317">
        <v>0.1</v>
      </c>
    </row>
    <row r="318" spans="1:4" x14ac:dyDescent="0.45">
      <c r="A318" t="s">
        <v>34</v>
      </c>
      <c r="B318">
        <v>2012</v>
      </c>
      <c r="C318" t="s">
        <v>75</v>
      </c>
      <c r="D318">
        <v>0.95</v>
      </c>
    </row>
    <row r="319" spans="1:4" x14ac:dyDescent="0.45">
      <c r="A319" t="s">
        <v>36</v>
      </c>
      <c r="B319">
        <v>2012</v>
      </c>
      <c r="C319" t="s">
        <v>75</v>
      </c>
    </row>
    <row r="320" spans="1:4" x14ac:dyDescent="0.45">
      <c r="A320" t="s">
        <v>56</v>
      </c>
      <c r="B320">
        <v>2012</v>
      </c>
      <c r="C320" t="s">
        <v>75</v>
      </c>
      <c r="D320">
        <v>0.75</v>
      </c>
    </row>
    <row r="321" spans="1:4" x14ac:dyDescent="0.45">
      <c r="A321" t="s">
        <v>57</v>
      </c>
      <c r="B321">
        <v>2012</v>
      </c>
      <c r="C321" t="s">
        <v>75</v>
      </c>
    </row>
    <row r="322" spans="1:4" x14ac:dyDescent="0.45">
      <c r="A322" t="s">
        <v>38</v>
      </c>
      <c r="B322">
        <v>2012</v>
      </c>
      <c r="C322" t="s">
        <v>75</v>
      </c>
      <c r="D322">
        <v>0.01</v>
      </c>
    </row>
    <row r="323" spans="1:4" x14ac:dyDescent="0.45">
      <c r="A323" t="s">
        <v>32</v>
      </c>
      <c r="B323">
        <v>2012</v>
      </c>
      <c r="C323" t="s">
        <v>75</v>
      </c>
    </row>
    <row r="324" spans="1:4" x14ac:dyDescent="0.45">
      <c r="A324" t="s">
        <v>58</v>
      </c>
      <c r="B324">
        <v>2012</v>
      </c>
      <c r="C324" t="s">
        <v>75</v>
      </c>
      <c r="D324">
        <v>0</v>
      </c>
    </row>
    <row r="325" spans="1:4" x14ac:dyDescent="0.45">
      <c r="A325" t="s">
        <v>91</v>
      </c>
      <c r="B325">
        <v>2012</v>
      </c>
      <c r="C325" t="s">
        <v>75</v>
      </c>
    </row>
    <row r="326" spans="1:4" x14ac:dyDescent="0.45">
      <c r="A326" t="s">
        <v>32</v>
      </c>
      <c r="B326">
        <v>2013</v>
      </c>
      <c r="C326" t="s">
        <v>75</v>
      </c>
      <c r="D326">
        <v>0.1</v>
      </c>
    </row>
    <row r="327" spans="1:4" x14ac:dyDescent="0.45">
      <c r="A327" t="s">
        <v>34</v>
      </c>
      <c r="B327">
        <v>2013</v>
      </c>
      <c r="C327" t="s">
        <v>75</v>
      </c>
      <c r="D327">
        <v>0.95</v>
      </c>
    </row>
    <row r="328" spans="1:4" x14ac:dyDescent="0.45">
      <c r="A328" t="s">
        <v>36</v>
      </c>
      <c r="B328">
        <v>2013</v>
      </c>
      <c r="C328" t="s">
        <v>75</v>
      </c>
    </row>
    <row r="329" spans="1:4" x14ac:dyDescent="0.45">
      <c r="A329" t="s">
        <v>56</v>
      </c>
      <c r="B329">
        <v>2013</v>
      </c>
      <c r="C329" t="s">
        <v>75</v>
      </c>
      <c r="D329">
        <v>0.76</v>
      </c>
    </row>
    <row r="330" spans="1:4" x14ac:dyDescent="0.45">
      <c r="A330" t="s">
        <v>57</v>
      </c>
      <c r="B330">
        <v>2013</v>
      </c>
      <c r="C330" t="s">
        <v>75</v>
      </c>
    </row>
    <row r="331" spans="1:4" x14ac:dyDescent="0.45">
      <c r="A331" t="s">
        <v>38</v>
      </c>
      <c r="B331">
        <v>2013</v>
      </c>
      <c r="C331" t="s">
        <v>75</v>
      </c>
      <c r="D331">
        <v>0.01</v>
      </c>
    </row>
    <row r="332" spans="1:4" x14ac:dyDescent="0.45">
      <c r="A332" t="s">
        <v>32</v>
      </c>
      <c r="B332">
        <v>2013</v>
      </c>
      <c r="C332" t="s">
        <v>75</v>
      </c>
    </row>
    <row r="333" spans="1:4" x14ac:dyDescent="0.45">
      <c r="A333" t="s">
        <v>58</v>
      </c>
      <c r="B333">
        <v>2013</v>
      </c>
      <c r="C333" t="s">
        <v>75</v>
      </c>
      <c r="D333">
        <v>0</v>
      </c>
    </row>
    <row r="334" spans="1:4" x14ac:dyDescent="0.45">
      <c r="A334" t="s">
        <v>91</v>
      </c>
      <c r="B334">
        <v>2013</v>
      </c>
      <c r="C334" t="s">
        <v>75</v>
      </c>
    </row>
    <row r="335" spans="1:4" x14ac:dyDescent="0.45">
      <c r="A335" t="s">
        <v>32</v>
      </c>
      <c r="B335">
        <v>2014</v>
      </c>
      <c r="C335" t="s">
        <v>75</v>
      </c>
      <c r="D335">
        <v>0.1</v>
      </c>
    </row>
    <row r="336" spans="1:4" x14ac:dyDescent="0.45">
      <c r="A336" t="s">
        <v>34</v>
      </c>
      <c r="B336">
        <v>2014</v>
      </c>
      <c r="C336" t="s">
        <v>75</v>
      </c>
      <c r="D336">
        <v>0.95</v>
      </c>
    </row>
    <row r="337" spans="1:4" x14ac:dyDescent="0.45">
      <c r="A337" t="s">
        <v>36</v>
      </c>
      <c r="B337">
        <v>2014</v>
      </c>
      <c r="C337" t="s">
        <v>75</v>
      </c>
    </row>
    <row r="338" spans="1:4" x14ac:dyDescent="0.45">
      <c r="A338" t="s">
        <v>56</v>
      </c>
      <c r="B338">
        <v>2014</v>
      </c>
      <c r="C338" t="s">
        <v>75</v>
      </c>
      <c r="D338">
        <v>0.76</v>
      </c>
    </row>
    <row r="339" spans="1:4" x14ac:dyDescent="0.45">
      <c r="A339" t="s">
        <v>57</v>
      </c>
      <c r="B339">
        <v>2014</v>
      </c>
      <c r="C339" t="s">
        <v>75</v>
      </c>
    </row>
    <row r="340" spans="1:4" x14ac:dyDescent="0.45">
      <c r="A340" t="s">
        <v>38</v>
      </c>
      <c r="B340">
        <v>2014</v>
      </c>
      <c r="C340" t="s">
        <v>75</v>
      </c>
      <c r="D340">
        <v>0.01</v>
      </c>
    </row>
    <row r="341" spans="1:4" x14ac:dyDescent="0.45">
      <c r="A341" t="s">
        <v>32</v>
      </c>
      <c r="B341">
        <v>2014</v>
      </c>
      <c r="C341" t="s">
        <v>75</v>
      </c>
    </row>
    <row r="342" spans="1:4" x14ac:dyDescent="0.45">
      <c r="A342" t="s">
        <v>58</v>
      </c>
      <c r="B342">
        <v>2014</v>
      </c>
      <c r="C342" t="s">
        <v>75</v>
      </c>
      <c r="D342">
        <v>0</v>
      </c>
    </row>
    <row r="343" spans="1:4" x14ac:dyDescent="0.45">
      <c r="A343" t="s">
        <v>91</v>
      </c>
      <c r="B343">
        <v>2014</v>
      </c>
      <c r="C343" t="s">
        <v>75</v>
      </c>
    </row>
    <row r="344" spans="1:4" x14ac:dyDescent="0.45">
      <c r="A344" t="s">
        <v>32</v>
      </c>
      <c r="B344">
        <v>2015</v>
      </c>
      <c r="C344" t="s">
        <v>75</v>
      </c>
      <c r="D344">
        <v>0.1</v>
      </c>
    </row>
    <row r="345" spans="1:4" x14ac:dyDescent="0.45">
      <c r="A345" t="s">
        <v>34</v>
      </c>
      <c r="B345">
        <v>2015</v>
      </c>
      <c r="C345" t="s">
        <v>75</v>
      </c>
      <c r="D345">
        <v>0.95</v>
      </c>
    </row>
    <row r="346" spans="1:4" x14ac:dyDescent="0.45">
      <c r="A346" t="s">
        <v>36</v>
      </c>
      <c r="B346">
        <v>2015</v>
      </c>
      <c r="C346" t="s">
        <v>75</v>
      </c>
    </row>
    <row r="347" spans="1:4" x14ac:dyDescent="0.45">
      <c r="A347" t="s">
        <v>56</v>
      </c>
      <c r="B347">
        <v>2015</v>
      </c>
      <c r="C347" t="s">
        <v>75</v>
      </c>
      <c r="D347">
        <v>0.77</v>
      </c>
    </row>
    <row r="348" spans="1:4" x14ac:dyDescent="0.45">
      <c r="A348" t="s">
        <v>57</v>
      </c>
      <c r="B348">
        <v>2015</v>
      </c>
      <c r="C348" t="s">
        <v>75</v>
      </c>
    </row>
    <row r="349" spans="1:4" x14ac:dyDescent="0.45">
      <c r="A349" t="s">
        <v>38</v>
      </c>
      <c r="B349">
        <v>2015</v>
      </c>
      <c r="C349" t="s">
        <v>75</v>
      </c>
      <c r="D349">
        <v>0.01</v>
      </c>
    </row>
    <row r="350" spans="1:4" x14ac:dyDescent="0.45">
      <c r="A350" t="s">
        <v>32</v>
      </c>
      <c r="B350">
        <v>2015</v>
      </c>
      <c r="C350" t="s">
        <v>75</v>
      </c>
    </row>
    <row r="351" spans="1:4" x14ac:dyDescent="0.45">
      <c r="A351" t="s">
        <v>58</v>
      </c>
      <c r="B351">
        <v>2015</v>
      </c>
      <c r="C351" t="s">
        <v>75</v>
      </c>
      <c r="D351">
        <v>0</v>
      </c>
    </row>
    <row r="352" spans="1:4" x14ac:dyDescent="0.45">
      <c r="A352" t="s">
        <v>91</v>
      </c>
      <c r="B352">
        <v>2015</v>
      </c>
      <c r="C352" t="s">
        <v>75</v>
      </c>
    </row>
    <row r="353" spans="1:4" x14ac:dyDescent="0.45">
      <c r="A353" t="s">
        <v>32</v>
      </c>
      <c r="B353">
        <v>2016</v>
      </c>
      <c r="C353" t="s">
        <v>75</v>
      </c>
      <c r="D353">
        <v>0.1</v>
      </c>
    </row>
    <row r="354" spans="1:4" x14ac:dyDescent="0.45">
      <c r="A354" t="s">
        <v>34</v>
      </c>
      <c r="B354">
        <v>2016</v>
      </c>
      <c r="C354" t="s">
        <v>75</v>
      </c>
      <c r="D354">
        <v>0.95</v>
      </c>
    </row>
    <row r="355" spans="1:4" x14ac:dyDescent="0.45">
      <c r="A355" t="s">
        <v>36</v>
      </c>
      <c r="B355">
        <v>2016</v>
      </c>
      <c r="C355" t="s">
        <v>75</v>
      </c>
    </row>
    <row r="356" spans="1:4" x14ac:dyDescent="0.45">
      <c r="A356" t="s">
        <v>56</v>
      </c>
      <c r="B356">
        <v>2016</v>
      </c>
      <c r="C356" t="s">
        <v>75</v>
      </c>
      <c r="D356">
        <v>0.78</v>
      </c>
    </row>
    <row r="357" spans="1:4" x14ac:dyDescent="0.45">
      <c r="A357" t="s">
        <v>57</v>
      </c>
      <c r="B357">
        <v>2016</v>
      </c>
      <c r="C357" t="s">
        <v>75</v>
      </c>
    </row>
    <row r="358" spans="1:4" x14ac:dyDescent="0.45">
      <c r="A358" t="s">
        <v>38</v>
      </c>
      <c r="B358">
        <v>2016</v>
      </c>
      <c r="C358" t="s">
        <v>75</v>
      </c>
      <c r="D358">
        <v>0.01</v>
      </c>
    </row>
    <row r="359" spans="1:4" x14ac:dyDescent="0.45">
      <c r="A359" t="s">
        <v>32</v>
      </c>
      <c r="B359">
        <v>2016</v>
      </c>
      <c r="C359" t="s">
        <v>75</v>
      </c>
    </row>
    <row r="360" spans="1:4" x14ac:dyDescent="0.45">
      <c r="A360" t="s">
        <v>58</v>
      </c>
      <c r="B360">
        <v>2016</v>
      </c>
      <c r="C360" t="s">
        <v>75</v>
      </c>
      <c r="D360">
        <v>0</v>
      </c>
    </row>
    <row r="361" spans="1:4" x14ac:dyDescent="0.45">
      <c r="A361" t="s">
        <v>91</v>
      </c>
      <c r="B361">
        <v>2016</v>
      </c>
      <c r="C361" t="s">
        <v>75</v>
      </c>
    </row>
    <row r="362" spans="1:4" x14ac:dyDescent="0.45">
      <c r="A362" t="s">
        <v>32</v>
      </c>
      <c r="B362">
        <v>2017</v>
      </c>
      <c r="C362" t="s">
        <v>75</v>
      </c>
      <c r="D362">
        <v>0.1</v>
      </c>
    </row>
    <row r="363" spans="1:4" x14ac:dyDescent="0.45">
      <c r="A363" t="s">
        <v>34</v>
      </c>
      <c r="B363">
        <v>2017</v>
      </c>
      <c r="C363" t="s">
        <v>75</v>
      </c>
      <c r="D363">
        <v>0.95</v>
      </c>
    </row>
    <row r="364" spans="1:4" x14ac:dyDescent="0.45">
      <c r="A364" t="s">
        <v>36</v>
      </c>
      <c r="B364">
        <v>2017</v>
      </c>
      <c r="C364" t="s">
        <v>75</v>
      </c>
    </row>
    <row r="365" spans="1:4" x14ac:dyDescent="0.45">
      <c r="A365" t="s">
        <v>56</v>
      </c>
      <c r="B365">
        <v>2017</v>
      </c>
      <c r="C365" t="s">
        <v>75</v>
      </c>
      <c r="D365">
        <v>0.78</v>
      </c>
    </row>
    <row r="366" spans="1:4" x14ac:dyDescent="0.45">
      <c r="A366" t="s">
        <v>57</v>
      </c>
      <c r="B366">
        <v>2017</v>
      </c>
      <c r="C366" t="s">
        <v>75</v>
      </c>
    </row>
    <row r="367" spans="1:4" x14ac:dyDescent="0.45">
      <c r="A367" t="s">
        <v>38</v>
      </c>
      <c r="B367">
        <v>2017</v>
      </c>
      <c r="C367" t="s">
        <v>75</v>
      </c>
      <c r="D367">
        <v>0.01</v>
      </c>
    </row>
    <row r="368" spans="1:4" x14ac:dyDescent="0.45">
      <c r="A368" t="s">
        <v>32</v>
      </c>
      <c r="B368">
        <v>2017</v>
      </c>
      <c r="C368" t="s">
        <v>75</v>
      </c>
    </row>
    <row r="369" spans="1:4" x14ac:dyDescent="0.45">
      <c r="A369" t="s">
        <v>58</v>
      </c>
      <c r="B369">
        <v>2017</v>
      </c>
      <c r="C369" t="s">
        <v>75</v>
      </c>
      <c r="D369">
        <v>0.01</v>
      </c>
    </row>
    <row r="370" spans="1:4" x14ac:dyDescent="0.45">
      <c r="A370" t="s">
        <v>91</v>
      </c>
      <c r="B370">
        <v>2017</v>
      </c>
      <c r="C370" t="s">
        <v>75</v>
      </c>
    </row>
    <row r="371" spans="1:4" x14ac:dyDescent="0.45">
      <c r="A371" t="s">
        <v>32</v>
      </c>
      <c r="B371">
        <v>2018</v>
      </c>
      <c r="C371" t="s">
        <v>75</v>
      </c>
      <c r="D371">
        <v>0.1</v>
      </c>
    </row>
    <row r="372" spans="1:4" x14ac:dyDescent="0.45">
      <c r="A372" t="s">
        <v>34</v>
      </c>
      <c r="B372">
        <v>2018</v>
      </c>
      <c r="C372" t="s">
        <v>75</v>
      </c>
      <c r="D372">
        <v>0.95</v>
      </c>
    </row>
    <row r="373" spans="1:4" x14ac:dyDescent="0.45">
      <c r="A373" t="s">
        <v>36</v>
      </c>
      <c r="B373">
        <v>2018</v>
      </c>
      <c r="C373" t="s">
        <v>75</v>
      </c>
    </row>
    <row r="374" spans="1:4" x14ac:dyDescent="0.45">
      <c r="A374" t="s">
        <v>56</v>
      </c>
      <c r="B374">
        <v>2018</v>
      </c>
      <c r="C374" t="s">
        <v>75</v>
      </c>
      <c r="D374">
        <v>1.08</v>
      </c>
    </row>
    <row r="375" spans="1:4" x14ac:dyDescent="0.45">
      <c r="A375" t="s">
        <v>57</v>
      </c>
      <c r="B375">
        <v>2018</v>
      </c>
      <c r="C375" t="s">
        <v>75</v>
      </c>
    </row>
    <row r="376" spans="1:4" x14ac:dyDescent="0.45">
      <c r="A376" t="s">
        <v>38</v>
      </c>
      <c r="B376">
        <v>2018</v>
      </c>
      <c r="C376" t="s">
        <v>75</v>
      </c>
      <c r="D376">
        <v>0.01</v>
      </c>
    </row>
    <row r="377" spans="1:4" x14ac:dyDescent="0.45">
      <c r="A377" t="s">
        <v>32</v>
      </c>
      <c r="B377">
        <v>2018</v>
      </c>
      <c r="C377" t="s">
        <v>75</v>
      </c>
    </row>
    <row r="378" spans="1:4" x14ac:dyDescent="0.45">
      <c r="A378" t="s">
        <v>58</v>
      </c>
      <c r="B378">
        <v>2018</v>
      </c>
      <c r="C378" t="s">
        <v>75</v>
      </c>
      <c r="D378">
        <v>0.01</v>
      </c>
    </row>
    <row r="379" spans="1:4" x14ac:dyDescent="0.45">
      <c r="A379" t="s">
        <v>91</v>
      </c>
      <c r="B379">
        <v>2018</v>
      </c>
      <c r="C379" t="s">
        <v>75</v>
      </c>
    </row>
    <row r="380" spans="1:4" x14ac:dyDescent="0.45">
      <c r="A380" t="s">
        <v>32</v>
      </c>
      <c r="B380">
        <v>2019</v>
      </c>
      <c r="C380" t="s">
        <v>75</v>
      </c>
      <c r="D380">
        <v>0.1</v>
      </c>
    </row>
    <row r="381" spans="1:4" x14ac:dyDescent="0.45">
      <c r="A381" t="s">
        <v>34</v>
      </c>
      <c r="B381">
        <v>2019</v>
      </c>
      <c r="C381" t="s">
        <v>75</v>
      </c>
      <c r="D381">
        <v>0.95</v>
      </c>
    </row>
    <row r="382" spans="1:4" x14ac:dyDescent="0.45">
      <c r="A382" t="s">
        <v>36</v>
      </c>
      <c r="B382">
        <v>2019</v>
      </c>
      <c r="C382" t="s">
        <v>75</v>
      </c>
    </row>
    <row r="383" spans="1:4" x14ac:dyDescent="0.45">
      <c r="A383" t="s">
        <v>56</v>
      </c>
      <c r="B383">
        <v>2019</v>
      </c>
      <c r="C383" t="s">
        <v>75</v>
      </c>
      <c r="D383">
        <v>1.08</v>
      </c>
    </row>
    <row r="384" spans="1:4" x14ac:dyDescent="0.45">
      <c r="A384" t="s">
        <v>57</v>
      </c>
      <c r="B384">
        <v>2019</v>
      </c>
      <c r="C384" t="s">
        <v>75</v>
      </c>
    </row>
    <row r="385" spans="1:4" x14ac:dyDescent="0.45">
      <c r="A385" t="s">
        <v>38</v>
      </c>
      <c r="B385">
        <v>2019</v>
      </c>
      <c r="C385" t="s">
        <v>75</v>
      </c>
      <c r="D385">
        <v>0.01</v>
      </c>
    </row>
    <row r="386" spans="1:4" x14ac:dyDescent="0.45">
      <c r="A386" t="s">
        <v>32</v>
      </c>
      <c r="B386">
        <v>2019</v>
      </c>
      <c r="C386" t="s">
        <v>75</v>
      </c>
    </row>
    <row r="387" spans="1:4" x14ac:dyDescent="0.45">
      <c r="A387" t="s">
        <v>58</v>
      </c>
      <c r="B387">
        <v>2019</v>
      </c>
      <c r="C387" t="s">
        <v>75</v>
      </c>
      <c r="D387">
        <v>0.01</v>
      </c>
    </row>
    <row r="388" spans="1:4" x14ac:dyDescent="0.45">
      <c r="A388" t="s">
        <v>91</v>
      </c>
      <c r="B388">
        <v>2019</v>
      </c>
      <c r="C388" t="s">
        <v>75</v>
      </c>
    </row>
    <row r="389" spans="1:4" x14ac:dyDescent="0.45">
      <c r="A389" t="s">
        <v>32</v>
      </c>
      <c r="B389">
        <v>2020</v>
      </c>
      <c r="C389" t="s">
        <v>75</v>
      </c>
      <c r="D389">
        <v>0.1</v>
      </c>
    </row>
    <row r="390" spans="1:4" x14ac:dyDescent="0.45">
      <c r="A390" t="s">
        <v>34</v>
      </c>
      <c r="B390">
        <v>2020</v>
      </c>
      <c r="C390" t="s">
        <v>75</v>
      </c>
      <c r="D390">
        <v>0.95</v>
      </c>
    </row>
    <row r="391" spans="1:4" x14ac:dyDescent="0.45">
      <c r="A391" t="s">
        <v>36</v>
      </c>
      <c r="B391">
        <v>2020</v>
      </c>
      <c r="C391" t="s">
        <v>75</v>
      </c>
    </row>
    <row r="392" spans="1:4" x14ac:dyDescent="0.45">
      <c r="A392" t="s">
        <v>56</v>
      </c>
      <c r="B392">
        <v>2020</v>
      </c>
      <c r="C392" t="s">
        <v>75</v>
      </c>
      <c r="D392">
        <v>1.08</v>
      </c>
    </row>
    <row r="393" spans="1:4" x14ac:dyDescent="0.45">
      <c r="A393" t="s">
        <v>57</v>
      </c>
      <c r="B393">
        <v>2020</v>
      </c>
      <c r="C393" t="s">
        <v>75</v>
      </c>
    </row>
    <row r="394" spans="1:4" x14ac:dyDescent="0.45">
      <c r="A394" t="s">
        <v>38</v>
      </c>
      <c r="B394">
        <v>2020</v>
      </c>
      <c r="C394" t="s">
        <v>75</v>
      </c>
      <c r="D394">
        <v>0.01</v>
      </c>
    </row>
    <row r="395" spans="1:4" x14ac:dyDescent="0.45">
      <c r="A395" t="s">
        <v>32</v>
      </c>
      <c r="B395">
        <v>2020</v>
      </c>
      <c r="C395" t="s">
        <v>75</v>
      </c>
    </row>
    <row r="396" spans="1:4" x14ac:dyDescent="0.45">
      <c r="A396" t="s">
        <v>58</v>
      </c>
      <c r="B396">
        <v>2020</v>
      </c>
      <c r="C396" t="s">
        <v>75</v>
      </c>
      <c r="D396">
        <v>0.01</v>
      </c>
    </row>
    <row r="397" spans="1:4" x14ac:dyDescent="0.45">
      <c r="A397" t="s">
        <v>91</v>
      </c>
      <c r="B397">
        <v>2020</v>
      </c>
      <c r="C397" t="s">
        <v>75</v>
      </c>
    </row>
    <row r="398" spans="1:4" x14ac:dyDescent="0.45">
      <c r="A398" t="s">
        <v>32</v>
      </c>
      <c r="B398">
        <v>2021</v>
      </c>
      <c r="C398" t="s">
        <v>75</v>
      </c>
      <c r="D398">
        <v>0.1</v>
      </c>
    </row>
    <row r="399" spans="1:4" x14ac:dyDescent="0.45">
      <c r="A399" t="s">
        <v>34</v>
      </c>
      <c r="B399">
        <v>2021</v>
      </c>
      <c r="C399" t="s">
        <v>75</v>
      </c>
      <c r="D399">
        <v>0.95</v>
      </c>
    </row>
    <row r="400" spans="1:4" x14ac:dyDescent="0.45">
      <c r="A400" t="s">
        <v>36</v>
      </c>
      <c r="B400">
        <v>2021</v>
      </c>
      <c r="C400" t="s">
        <v>75</v>
      </c>
    </row>
    <row r="401" spans="1:4" x14ac:dyDescent="0.45">
      <c r="A401" t="s">
        <v>56</v>
      </c>
      <c r="B401">
        <v>2021</v>
      </c>
      <c r="C401" t="s">
        <v>75</v>
      </c>
      <c r="D401">
        <v>1.08</v>
      </c>
    </row>
    <row r="402" spans="1:4" x14ac:dyDescent="0.45">
      <c r="A402" t="s">
        <v>57</v>
      </c>
      <c r="B402">
        <v>2021</v>
      </c>
      <c r="C402" t="s">
        <v>75</v>
      </c>
    </row>
    <row r="403" spans="1:4" x14ac:dyDescent="0.45">
      <c r="A403" t="s">
        <v>38</v>
      </c>
      <c r="B403">
        <v>2021</v>
      </c>
      <c r="C403" t="s">
        <v>75</v>
      </c>
      <c r="D403">
        <v>0.01</v>
      </c>
    </row>
    <row r="404" spans="1:4" x14ac:dyDescent="0.45">
      <c r="A404" t="s">
        <v>32</v>
      </c>
      <c r="B404">
        <v>2021</v>
      </c>
      <c r="C404" t="s">
        <v>75</v>
      </c>
    </row>
    <row r="405" spans="1:4" x14ac:dyDescent="0.45">
      <c r="A405" t="s">
        <v>58</v>
      </c>
      <c r="B405">
        <v>2021</v>
      </c>
      <c r="C405" t="s">
        <v>75</v>
      </c>
      <c r="D405">
        <v>0.03</v>
      </c>
    </row>
    <row r="406" spans="1:4" x14ac:dyDescent="0.45">
      <c r="A406" t="s">
        <v>91</v>
      </c>
      <c r="B406">
        <v>2021</v>
      </c>
      <c r="C406" t="s">
        <v>75</v>
      </c>
    </row>
    <row r="407" spans="1:4" x14ac:dyDescent="0.45">
      <c r="A407" t="s">
        <v>32</v>
      </c>
      <c r="B407">
        <v>2022</v>
      </c>
      <c r="C407" t="s">
        <v>75</v>
      </c>
      <c r="D407">
        <v>0.1</v>
      </c>
    </row>
    <row r="408" spans="1:4" x14ac:dyDescent="0.45">
      <c r="A408" t="s">
        <v>34</v>
      </c>
      <c r="B408">
        <v>2022</v>
      </c>
      <c r="C408" t="s">
        <v>75</v>
      </c>
      <c r="D408">
        <v>1</v>
      </c>
    </row>
    <row r="409" spans="1:4" x14ac:dyDescent="0.45">
      <c r="A409" t="s">
        <v>36</v>
      </c>
      <c r="B409">
        <v>2022</v>
      </c>
      <c r="C409" t="s">
        <v>75</v>
      </c>
    </row>
    <row r="410" spans="1:4" x14ac:dyDescent="0.45">
      <c r="A410" t="s">
        <v>56</v>
      </c>
      <c r="B410">
        <v>2022</v>
      </c>
      <c r="C410" t="s">
        <v>75</v>
      </c>
      <c r="D410">
        <v>1.08</v>
      </c>
    </row>
    <row r="411" spans="1:4" x14ac:dyDescent="0.45">
      <c r="A411" t="s">
        <v>57</v>
      </c>
      <c r="B411">
        <v>2022</v>
      </c>
      <c r="C411" t="s">
        <v>75</v>
      </c>
    </row>
    <row r="412" spans="1:4" x14ac:dyDescent="0.45">
      <c r="A412" t="s">
        <v>38</v>
      </c>
      <c r="B412">
        <v>2022</v>
      </c>
      <c r="C412" t="s">
        <v>75</v>
      </c>
      <c r="D412">
        <v>0.01</v>
      </c>
    </row>
    <row r="413" spans="1:4" x14ac:dyDescent="0.45">
      <c r="A413" t="s">
        <v>32</v>
      </c>
      <c r="B413">
        <v>2022</v>
      </c>
      <c r="C413" t="s">
        <v>75</v>
      </c>
    </row>
    <row r="414" spans="1:4" x14ac:dyDescent="0.45">
      <c r="A414" t="s">
        <v>58</v>
      </c>
      <c r="B414">
        <v>2022</v>
      </c>
      <c r="C414" t="s">
        <v>75</v>
      </c>
      <c r="D414">
        <v>0.04</v>
      </c>
    </row>
    <row r="415" spans="1:4" x14ac:dyDescent="0.45">
      <c r="A415" t="s">
        <v>91</v>
      </c>
      <c r="B415">
        <v>2022</v>
      </c>
      <c r="C415" t="s">
        <v>75</v>
      </c>
    </row>
    <row r="416" spans="1:4" x14ac:dyDescent="0.45">
      <c r="A416" t="s">
        <v>32</v>
      </c>
      <c r="B416">
        <v>2000</v>
      </c>
      <c r="C416" t="s">
        <v>76</v>
      </c>
      <c r="D416">
        <v>0</v>
      </c>
    </row>
    <row r="417" spans="1:4" x14ac:dyDescent="0.45">
      <c r="A417" t="s">
        <v>34</v>
      </c>
      <c r="B417">
        <v>2000</v>
      </c>
      <c r="C417" t="s">
        <v>76</v>
      </c>
      <c r="D417">
        <v>3.2</v>
      </c>
    </row>
    <row r="418" spans="1:4" x14ac:dyDescent="0.45">
      <c r="A418" t="s">
        <v>36</v>
      </c>
      <c r="B418">
        <v>2000</v>
      </c>
      <c r="C418" t="s">
        <v>76</v>
      </c>
      <c r="D418">
        <v>0</v>
      </c>
    </row>
    <row r="419" spans="1:4" x14ac:dyDescent="0.45">
      <c r="A419" t="s">
        <v>56</v>
      </c>
      <c r="B419">
        <v>2000</v>
      </c>
      <c r="C419" t="s">
        <v>76</v>
      </c>
      <c r="D419">
        <v>0.08</v>
      </c>
    </row>
    <row r="420" spans="1:4" x14ac:dyDescent="0.45">
      <c r="A420" t="s">
        <v>57</v>
      </c>
      <c r="B420">
        <v>2000</v>
      </c>
      <c r="C420" t="s">
        <v>76</v>
      </c>
      <c r="D420">
        <v>0</v>
      </c>
    </row>
    <row r="421" spans="1:4" x14ac:dyDescent="0.45">
      <c r="A421" t="s">
        <v>38</v>
      </c>
      <c r="B421">
        <v>2000</v>
      </c>
      <c r="C421" t="s">
        <v>76</v>
      </c>
      <c r="D421">
        <v>0.05</v>
      </c>
    </row>
    <row r="422" spans="1:4" x14ac:dyDescent="0.45">
      <c r="A422" t="s">
        <v>32</v>
      </c>
      <c r="B422">
        <v>2000</v>
      </c>
      <c r="C422" t="s">
        <v>76</v>
      </c>
      <c r="D422">
        <v>0</v>
      </c>
    </row>
    <row r="423" spans="1:4" x14ac:dyDescent="0.45">
      <c r="A423" t="s">
        <v>58</v>
      </c>
      <c r="B423">
        <v>2000</v>
      </c>
      <c r="C423" t="s">
        <v>76</v>
      </c>
      <c r="D423">
        <v>0</v>
      </c>
    </row>
    <row r="424" spans="1:4" x14ac:dyDescent="0.45">
      <c r="A424" t="s">
        <v>91</v>
      </c>
      <c r="B424">
        <v>2000</v>
      </c>
      <c r="C424" t="s">
        <v>76</v>
      </c>
      <c r="D424">
        <v>0</v>
      </c>
    </row>
    <row r="425" spans="1:4" x14ac:dyDescent="0.45">
      <c r="A425" t="s">
        <v>32</v>
      </c>
      <c r="B425">
        <v>2001</v>
      </c>
      <c r="C425" t="s">
        <v>76</v>
      </c>
      <c r="D425">
        <v>0</v>
      </c>
    </row>
    <row r="426" spans="1:4" x14ac:dyDescent="0.45">
      <c r="A426" t="s">
        <v>34</v>
      </c>
      <c r="B426">
        <v>2001</v>
      </c>
      <c r="C426" t="s">
        <v>76</v>
      </c>
      <c r="D426">
        <v>4.21</v>
      </c>
    </row>
    <row r="427" spans="1:4" x14ac:dyDescent="0.45">
      <c r="A427" t="s">
        <v>36</v>
      </c>
      <c r="B427">
        <v>2001</v>
      </c>
      <c r="C427" t="s">
        <v>76</v>
      </c>
      <c r="D427">
        <v>0</v>
      </c>
    </row>
    <row r="428" spans="1:4" x14ac:dyDescent="0.45">
      <c r="A428" t="s">
        <v>56</v>
      </c>
      <c r="B428">
        <v>2001</v>
      </c>
      <c r="C428" t="s">
        <v>76</v>
      </c>
      <c r="D428">
        <v>7.0000000000000007E-2</v>
      </c>
    </row>
    <row r="429" spans="1:4" x14ac:dyDescent="0.45">
      <c r="A429" t="s">
        <v>57</v>
      </c>
      <c r="B429">
        <v>2001</v>
      </c>
      <c r="C429" t="s">
        <v>76</v>
      </c>
      <c r="D429">
        <v>0</v>
      </c>
    </row>
    <row r="430" spans="1:4" x14ac:dyDescent="0.45">
      <c r="A430" t="s">
        <v>38</v>
      </c>
      <c r="B430">
        <v>2001</v>
      </c>
      <c r="C430" t="s">
        <v>76</v>
      </c>
      <c r="D430">
        <v>0.02</v>
      </c>
    </row>
    <row r="431" spans="1:4" x14ac:dyDescent="0.45">
      <c r="A431" t="s">
        <v>32</v>
      </c>
      <c r="B431">
        <v>2001</v>
      </c>
      <c r="C431" t="s">
        <v>76</v>
      </c>
      <c r="D431">
        <v>0</v>
      </c>
    </row>
    <row r="432" spans="1:4" x14ac:dyDescent="0.45">
      <c r="A432" t="s">
        <v>58</v>
      </c>
      <c r="B432">
        <v>2001</v>
      </c>
      <c r="C432" t="s">
        <v>76</v>
      </c>
      <c r="D432">
        <v>0</v>
      </c>
    </row>
    <row r="433" spans="1:4" x14ac:dyDescent="0.45">
      <c r="A433" t="s">
        <v>91</v>
      </c>
      <c r="B433">
        <v>2001</v>
      </c>
      <c r="C433" t="s">
        <v>76</v>
      </c>
      <c r="D433">
        <v>0</v>
      </c>
    </row>
    <row r="434" spans="1:4" x14ac:dyDescent="0.45">
      <c r="A434" t="s">
        <v>32</v>
      </c>
      <c r="B434">
        <v>2002</v>
      </c>
      <c r="C434" t="s">
        <v>76</v>
      </c>
      <c r="D434">
        <v>0</v>
      </c>
    </row>
    <row r="435" spans="1:4" x14ac:dyDescent="0.45">
      <c r="A435" t="s">
        <v>34</v>
      </c>
      <c r="B435">
        <v>2002</v>
      </c>
      <c r="C435" t="s">
        <v>76</v>
      </c>
      <c r="D435">
        <v>4.08</v>
      </c>
    </row>
    <row r="436" spans="1:4" x14ac:dyDescent="0.45">
      <c r="A436" t="s">
        <v>36</v>
      </c>
      <c r="B436">
        <v>2002</v>
      </c>
      <c r="C436" t="s">
        <v>76</v>
      </c>
      <c r="D436">
        <v>0</v>
      </c>
    </row>
    <row r="437" spans="1:4" x14ac:dyDescent="0.45">
      <c r="A437" t="s">
        <v>56</v>
      </c>
      <c r="B437">
        <v>2002</v>
      </c>
      <c r="C437" t="s">
        <v>76</v>
      </c>
      <c r="D437">
        <v>0.09</v>
      </c>
    </row>
    <row r="438" spans="1:4" x14ac:dyDescent="0.45">
      <c r="A438" t="s">
        <v>57</v>
      </c>
      <c r="B438">
        <v>2002</v>
      </c>
      <c r="C438" t="s">
        <v>76</v>
      </c>
      <c r="D438">
        <v>0</v>
      </c>
    </row>
    <row r="439" spans="1:4" x14ac:dyDescent="0.45">
      <c r="A439" t="s">
        <v>38</v>
      </c>
      <c r="B439">
        <v>2002</v>
      </c>
      <c r="C439" t="s">
        <v>76</v>
      </c>
      <c r="D439">
        <v>0.01</v>
      </c>
    </row>
    <row r="440" spans="1:4" x14ac:dyDescent="0.45">
      <c r="A440" t="s">
        <v>32</v>
      </c>
      <c r="B440">
        <v>2002</v>
      </c>
      <c r="C440" t="s">
        <v>76</v>
      </c>
      <c r="D440">
        <v>0</v>
      </c>
    </row>
    <row r="441" spans="1:4" x14ac:dyDescent="0.45">
      <c r="A441" t="s">
        <v>58</v>
      </c>
      <c r="B441">
        <v>2002</v>
      </c>
      <c r="C441" t="s">
        <v>76</v>
      </c>
      <c r="D441">
        <v>0</v>
      </c>
    </row>
    <row r="442" spans="1:4" x14ac:dyDescent="0.45">
      <c r="A442" t="s">
        <v>91</v>
      </c>
      <c r="B442">
        <v>2002</v>
      </c>
      <c r="C442" t="s">
        <v>76</v>
      </c>
      <c r="D442">
        <v>0</v>
      </c>
    </row>
    <row r="443" spans="1:4" x14ac:dyDescent="0.45">
      <c r="A443" t="s">
        <v>32</v>
      </c>
      <c r="B443">
        <v>2003</v>
      </c>
      <c r="C443" t="s">
        <v>76</v>
      </c>
      <c r="D443">
        <v>0</v>
      </c>
    </row>
    <row r="444" spans="1:4" x14ac:dyDescent="0.45">
      <c r="A444" t="s">
        <v>34</v>
      </c>
      <c r="B444">
        <v>2003</v>
      </c>
      <c r="C444" t="s">
        <v>76</v>
      </c>
      <c r="D444">
        <v>2.95</v>
      </c>
    </row>
    <row r="445" spans="1:4" x14ac:dyDescent="0.45">
      <c r="A445" t="s">
        <v>36</v>
      </c>
      <c r="B445">
        <v>2003</v>
      </c>
      <c r="C445" t="s">
        <v>76</v>
      </c>
      <c r="D445">
        <v>0</v>
      </c>
    </row>
    <row r="446" spans="1:4" x14ac:dyDescent="0.45">
      <c r="A446" t="s">
        <v>56</v>
      </c>
      <c r="B446">
        <v>2003</v>
      </c>
      <c r="C446" t="s">
        <v>76</v>
      </c>
      <c r="D446">
        <v>0.13</v>
      </c>
    </row>
    <row r="447" spans="1:4" x14ac:dyDescent="0.45">
      <c r="A447" t="s">
        <v>57</v>
      </c>
      <c r="B447">
        <v>2003</v>
      </c>
      <c r="C447" t="s">
        <v>76</v>
      </c>
      <c r="D447">
        <v>0</v>
      </c>
    </row>
    <row r="448" spans="1:4" x14ac:dyDescent="0.45">
      <c r="A448" t="s">
        <v>38</v>
      </c>
      <c r="B448">
        <v>2003</v>
      </c>
      <c r="C448" t="s">
        <v>76</v>
      </c>
      <c r="D448">
        <v>0.01</v>
      </c>
    </row>
    <row r="449" spans="1:4" x14ac:dyDescent="0.45">
      <c r="A449" t="s">
        <v>32</v>
      </c>
      <c r="B449">
        <v>2003</v>
      </c>
      <c r="C449" t="s">
        <v>76</v>
      </c>
      <c r="D449">
        <v>0</v>
      </c>
    </row>
    <row r="450" spans="1:4" x14ac:dyDescent="0.45">
      <c r="A450" t="s">
        <v>58</v>
      </c>
      <c r="B450">
        <v>2003</v>
      </c>
      <c r="C450" t="s">
        <v>76</v>
      </c>
      <c r="D450">
        <v>0</v>
      </c>
    </row>
    <row r="451" spans="1:4" x14ac:dyDescent="0.45">
      <c r="A451" t="s">
        <v>91</v>
      </c>
      <c r="B451">
        <v>2003</v>
      </c>
      <c r="C451" t="s">
        <v>76</v>
      </c>
      <c r="D451">
        <v>0</v>
      </c>
    </row>
    <row r="452" spans="1:4" x14ac:dyDescent="0.45">
      <c r="A452" t="s">
        <v>32</v>
      </c>
      <c r="B452">
        <v>2004</v>
      </c>
      <c r="C452" t="s">
        <v>76</v>
      </c>
      <c r="D452">
        <v>0</v>
      </c>
    </row>
    <row r="453" spans="1:4" x14ac:dyDescent="0.45">
      <c r="A453" t="s">
        <v>34</v>
      </c>
      <c r="B453">
        <v>2004</v>
      </c>
      <c r="C453" t="s">
        <v>76</v>
      </c>
      <c r="D453">
        <v>3.6</v>
      </c>
    </row>
    <row r="454" spans="1:4" x14ac:dyDescent="0.45">
      <c r="A454" t="s">
        <v>36</v>
      </c>
      <c r="B454">
        <v>2004</v>
      </c>
      <c r="C454" t="s">
        <v>76</v>
      </c>
      <c r="D454">
        <v>0</v>
      </c>
    </row>
    <row r="455" spans="1:4" x14ac:dyDescent="0.45">
      <c r="A455" t="s">
        <v>56</v>
      </c>
      <c r="B455">
        <v>2004</v>
      </c>
      <c r="C455" t="s">
        <v>76</v>
      </c>
      <c r="D455">
        <v>0.13</v>
      </c>
    </row>
    <row r="456" spans="1:4" x14ac:dyDescent="0.45">
      <c r="A456" t="s">
        <v>57</v>
      </c>
      <c r="B456">
        <v>2004</v>
      </c>
      <c r="C456" t="s">
        <v>76</v>
      </c>
      <c r="D456">
        <v>0</v>
      </c>
    </row>
    <row r="457" spans="1:4" x14ac:dyDescent="0.45">
      <c r="A457" t="s">
        <v>38</v>
      </c>
      <c r="B457">
        <v>2004</v>
      </c>
      <c r="C457" t="s">
        <v>76</v>
      </c>
      <c r="D457">
        <v>0.01</v>
      </c>
    </row>
    <row r="458" spans="1:4" x14ac:dyDescent="0.45">
      <c r="A458" t="s">
        <v>32</v>
      </c>
      <c r="B458">
        <v>2004</v>
      </c>
      <c r="C458" t="s">
        <v>76</v>
      </c>
      <c r="D458">
        <v>0</v>
      </c>
    </row>
    <row r="459" spans="1:4" x14ac:dyDescent="0.45">
      <c r="A459" t="s">
        <v>58</v>
      </c>
      <c r="B459">
        <v>2004</v>
      </c>
      <c r="C459" t="s">
        <v>76</v>
      </c>
      <c r="D459">
        <v>0</v>
      </c>
    </row>
    <row r="460" spans="1:4" x14ac:dyDescent="0.45">
      <c r="A460" t="s">
        <v>91</v>
      </c>
      <c r="B460">
        <v>2004</v>
      </c>
      <c r="C460" t="s">
        <v>76</v>
      </c>
      <c r="D460">
        <v>0</v>
      </c>
    </row>
    <row r="461" spans="1:4" x14ac:dyDescent="0.45">
      <c r="A461" t="s">
        <v>32</v>
      </c>
      <c r="B461">
        <v>2005</v>
      </c>
      <c r="C461" t="s">
        <v>76</v>
      </c>
      <c r="D461">
        <v>0</v>
      </c>
    </row>
    <row r="462" spans="1:4" x14ac:dyDescent="0.45">
      <c r="A462" t="s">
        <v>34</v>
      </c>
      <c r="B462">
        <v>2005</v>
      </c>
      <c r="C462" t="s">
        <v>76</v>
      </c>
      <c r="D462">
        <v>3.8</v>
      </c>
    </row>
    <row r="463" spans="1:4" x14ac:dyDescent="0.45">
      <c r="A463" t="s">
        <v>36</v>
      </c>
      <c r="B463">
        <v>2005</v>
      </c>
      <c r="C463" t="s">
        <v>76</v>
      </c>
      <c r="D463">
        <v>0</v>
      </c>
    </row>
    <row r="464" spans="1:4" x14ac:dyDescent="0.45">
      <c r="A464" t="s">
        <v>56</v>
      </c>
      <c r="B464">
        <v>2005</v>
      </c>
      <c r="C464" t="s">
        <v>76</v>
      </c>
      <c r="D464">
        <v>0.12</v>
      </c>
    </row>
    <row r="465" spans="1:4" x14ac:dyDescent="0.45">
      <c r="A465" t="s">
        <v>57</v>
      </c>
      <c r="B465">
        <v>2005</v>
      </c>
      <c r="C465" t="s">
        <v>76</v>
      </c>
      <c r="D465">
        <v>0</v>
      </c>
    </row>
    <row r="466" spans="1:4" x14ac:dyDescent="0.45">
      <c r="A466" t="s">
        <v>38</v>
      </c>
      <c r="B466">
        <v>2005</v>
      </c>
      <c r="C466" t="s">
        <v>76</v>
      </c>
      <c r="D466">
        <v>0.01</v>
      </c>
    </row>
    <row r="467" spans="1:4" x14ac:dyDescent="0.45">
      <c r="A467" t="s">
        <v>32</v>
      </c>
      <c r="B467">
        <v>2005</v>
      </c>
      <c r="C467" t="s">
        <v>76</v>
      </c>
      <c r="D467">
        <v>0</v>
      </c>
    </row>
    <row r="468" spans="1:4" x14ac:dyDescent="0.45">
      <c r="A468" t="s">
        <v>58</v>
      </c>
      <c r="B468">
        <v>2005</v>
      </c>
      <c r="C468" t="s">
        <v>76</v>
      </c>
      <c r="D468">
        <v>0</v>
      </c>
    </row>
    <row r="469" spans="1:4" x14ac:dyDescent="0.45">
      <c r="A469" t="s">
        <v>91</v>
      </c>
      <c r="B469">
        <v>2005</v>
      </c>
      <c r="C469" t="s">
        <v>76</v>
      </c>
      <c r="D469">
        <v>0</v>
      </c>
    </row>
    <row r="470" spans="1:4" x14ac:dyDescent="0.45">
      <c r="A470" t="s">
        <v>32</v>
      </c>
      <c r="B470">
        <v>2006</v>
      </c>
      <c r="C470" t="s">
        <v>76</v>
      </c>
      <c r="D470">
        <v>0.02</v>
      </c>
    </row>
    <row r="471" spans="1:4" x14ac:dyDescent="0.45">
      <c r="A471" t="s">
        <v>34</v>
      </c>
      <c r="B471">
        <v>2006</v>
      </c>
      <c r="C471" t="s">
        <v>76</v>
      </c>
      <c r="D471">
        <v>2.17</v>
      </c>
    </row>
    <row r="472" spans="1:4" x14ac:dyDescent="0.45">
      <c r="A472" t="s">
        <v>36</v>
      </c>
      <c r="B472">
        <v>2006</v>
      </c>
      <c r="C472" t="s">
        <v>76</v>
      </c>
      <c r="D472">
        <v>0</v>
      </c>
    </row>
    <row r="473" spans="1:4" x14ac:dyDescent="0.45">
      <c r="A473" t="s">
        <v>56</v>
      </c>
      <c r="B473">
        <v>2006</v>
      </c>
      <c r="C473" t="s">
        <v>76</v>
      </c>
      <c r="D473">
        <v>0.13</v>
      </c>
    </row>
    <row r="474" spans="1:4" x14ac:dyDescent="0.45">
      <c r="A474" t="s">
        <v>57</v>
      </c>
      <c r="B474">
        <v>2006</v>
      </c>
      <c r="C474" t="s">
        <v>76</v>
      </c>
      <c r="D474">
        <v>0</v>
      </c>
    </row>
    <row r="475" spans="1:4" x14ac:dyDescent="0.45">
      <c r="A475" t="s">
        <v>38</v>
      </c>
      <c r="B475">
        <v>2006</v>
      </c>
      <c r="C475" t="s">
        <v>76</v>
      </c>
      <c r="D475">
        <v>0.03</v>
      </c>
    </row>
    <row r="476" spans="1:4" x14ac:dyDescent="0.45">
      <c r="A476" t="s">
        <v>32</v>
      </c>
      <c r="B476">
        <v>2006</v>
      </c>
      <c r="C476" t="s">
        <v>76</v>
      </c>
      <c r="D476">
        <v>0</v>
      </c>
    </row>
    <row r="477" spans="1:4" x14ac:dyDescent="0.45">
      <c r="A477" t="s">
        <v>58</v>
      </c>
      <c r="B477">
        <v>2006</v>
      </c>
      <c r="C477" t="s">
        <v>76</v>
      </c>
      <c r="D477">
        <v>0</v>
      </c>
    </row>
    <row r="478" spans="1:4" x14ac:dyDescent="0.45">
      <c r="A478" t="s">
        <v>91</v>
      </c>
      <c r="B478">
        <v>2006</v>
      </c>
      <c r="C478" t="s">
        <v>76</v>
      </c>
      <c r="D478">
        <v>0</v>
      </c>
    </row>
    <row r="479" spans="1:4" x14ac:dyDescent="0.45">
      <c r="A479" t="s">
        <v>32</v>
      </c>
      <c r="B479">
        <v>2007</v>
      </c>
      <c r="C479" t="s">
        <v>76</v>
      </c>
      <c r="D479">
        <v>0.01</v>
      </c>
    </row>
    <row r="480" spans="1:4" x14ac:dyDescent="0.45">
      <c r="A480" t="s">
        <v>34</v>
      </c>
      <c r="B480">
        <v>2007</v>
      </c>
      <c r="C480" t="s">
        <v>76</v>
      </c>
      <c r="D480">
        <v>1.83</v>
      </c>
    </row>
    <row r="481" spans="1:4" x14ac:dyDescent="0.45">
      <c r="A481" t="s">
        <v>36</v>
      </c>
      <c r="B481">
        <v>2007</v>
      </c>
      <c r="C481" t="s">
        <v>76</v>
      </c>
      <c r="D481">
        <v>0</v>
      </c>
    </row>
    <row r="482" spans="1:4" x14ac:dyDescent="0.45">
      <c r="A482" t="s">
        <v>56</v>
      </c>
      <c r="B482">
        <v>2007</v>
      </c>
      <c r="C482" t="s">
        <v>76</v>
      </c>
      <c r="D482">
        <v>0.13</v>
      </c>
    </row>
    <row r="483" spans="1:4" x14ac:dyDescent="0.45">
      <c r="A483" t="s">
        <v>57</v>
      </c>
      <c r="B483">
        <v>2007</v>
      </c>
      <c r="C483" t="s">
        <v>76</v>
      </c>
      <c r="D483">
        <v>0</v>
      </c>
    </row>
    <row r="484" spans="1:4" x14ac:dyDescent="0.45">
      <c r="A484" t="s">
        <v>38</v>
      </c>
      <c r="B484">
        <v>2007</v>
      </c>
      <c r="C484" t="s">
        <v>76</v>
      </c>
      <c r="D484">
        <v>0.02</v>
      </c>
    </row>
    <row r="485" spans="1:4" x14ac:dyDescent="0.45">
      <c r="A485" t="s">
        <v>32</v>
      </c>
      <c r="B485">
        <v>2007</v>
      </c>
      <c r="C485" t="s">
        <v>76</v>
      </c>
      <c r="D485">
        <v>0</v>
      </c>
    </row>
    <row r="486" spans="1:4" x14ac:dyDescent="0.45">
      <c r="A486" t="s">
        <v>58</v>
      </c>
      <c r="B486">
        <v>2007</v>
      </c>
      <c r="C486" t="s">
        <v>76</v>
      </c>
      <c r="D486">
        <v>0</v>
      </c>
    </row>
    <row r="487" spans="1:4" x14ac:dyDescent="0.45">
      <c r="A487" t="s">
        <v>91</v>
      </c>
      <c r="B487">
        <v>2007</v>
      </c>
      <c r="C487" t="s">
        <v>76</v>
      </c>
      <c r="D487">
        <v>0</v>
      </c>
    </row>
    <row r="488" spans="1:4" x14ac:dyDescent="0.45">
      <c r="A488" t="s">
        <v>32</v>
      </c>
      <c r="B488">
        <v>2008</v>
      </c>
      <c r="C488" t="s">
        <v>76</v>
      </c>
      <c r="D488">
        <v>0.02</v>
      </c>
    </row>
    <row r="489" spans="1:4" x14ac:dyDescent="0.45">
      <c r="A489" t="s">
        <v>34</v>
      </c>
      <c r="B489">
        <v>2008</v>
      </c>
      <c r="C489" t="s">
        <v>76</v>
      </c>
      <c r="D489">
        <v>1.55</v>
      </c>
    </row>
    <row r="490" spans="1:4" x14ac:dyDescent="0.45">
      <c r="A490" t="s">
        <v>36</v>
      </c>
      <c r="B490">
        <v>2008</v>
      </c>
      <c r="C490" t="s">
        <v>76</v>
      </c>
      <c r="D490">
        <v>0</v>
      </c>
    </row>
    <row r="491" spans="1:4" x14ac:dyDescent="0.45">
      <c r="A491" t="s">
        <v>56</v>
      </c>
      <c r="B491">
        <v>2008</v>
      </c>
      <c r="C491" t="s">
        <v>76</v>
      </c>
      <c r="D491">
        <v>0.14000000000000001</v>
      </c>
    </row>
    <row r="492" spans="1:4" x14ac:dyDescent="0.45">
      <c r="A492" t="s">
        <v>57</v>
      </c>
      <c r="B492">
        <v>2008</v>
      </c>
      <c r="C492" t="s">
        <v>76</v>
      </c>
      <c r="D492">
        <v>0</v>
      </c>
    </row>
    <row r="493" spans="1:4" x14ac:dyDescent="0.45">
      <c r="A493" t="s">
        <v>38</v>
      </c>
      <c r="B493">
        <v>2008</v>
      </c>
      <c r="C493" t="s">
        <v>76</v>
      </c>
      <c r="D493">
        <v>0.02</v>
      </c>
    </row>
    <row r="494" spans="1:4" x14ac:dyDescent="0.45">
      <c r="A494" t="s">
        <v>32</v>
      </c>
      <c r="B494">
        <v>2008</v>
      </c>
      <c r="C494" t="s">
        <v>76</v>
      </c>
      <c r="D494">
        <v>0</v>
      </c>
    </row>
    <row r="495" spans="1:4" x14ac:dyDescent="0.45">
      <c r="A495" t="s">
        <v>58</v>
      </c>
      <c r="B495">
        <v>2008</v>
      </c>
      <c r="C495" t="s">
        <v>76</v>
      </c>
      <c r="D495">
        <v>0</v>
      </c>
    </row>
    <row r="496" spans="1:4" x14ac:dyDescent="0.45">
      <c r="A496" t="s">
        <v>91</v>
      </c>
      <c r="B496">
        <v>2008</v>
      </c>
      <c r="C496" t="s">
        <v>76</v>
      </c>
      <c r="D496">
        <v>0</v>
      </c>
    </row>
    <row r="497" spans="1:4" x14ac:dyDescent="0.45">
      <c r="A497" t="s">
        <v>32</v>
      </c>
      <c r="B497">
        <v>2009</v>
      </c>
      <c r="C497" t="s">
        <v>76</v>
      </c>
      <c r="D497">
        <v>0.01</v>
      </c>
    </row>
    <row r="498" spans="1:4" x14ac:dyDescent="0.45">
      <c r="A498" t="s">
        <v>34</v>
      </c>
      <c r="B498">
        <v>2009</v>
      </c>
      <c r="C498" t="s">
        <v>76</v>
      </c>
      <c r="D498">
        <v>1.5</v>
      </c>
    </row>
    <row r="499" spans="1:4" x14ac:dyDescent="0.45">
      <c r="A499" t="s">
        <v>36</v>
      </c>
      <c r="B499">
        <v>2009</v>
      </c>
      <c r="C499" t="s">
        <v>76</v>
      </c>
      <c r="D499">
        <v>0</v>
      </c>
    </row>
    <row r="500" spans="1:4" x14ac:dyDescent="0.45">
      <c r="A500" t="s">
        <v>56</v>
      </c>
      <c r="B500">
        <v>2009</v>
      </c>
      <c r="C500" t="s">
        <v>76</v>
      </c>
      <c r="D500">
        <v>0.13</v>
      </c>
    </row>
    <row r="501" spans="1:4" x14ac:dyDescent="0.45">
      <c r="A501" t="s">
        <v>57</v>
      </c>
      <c r="B501">
        <v>2009</v>
      </c>
      <c r="C501" t="s">
        <v>76</v>
      </c>
      <c r="D501">
        <v>0</v>
      </c>
    </row>
    <row r="502" spans="1:4" x14ac:dyDescent="0.45">
      <c r="A502" t="s">
        <v>38</v>
      </c>
      <c r="B502">
        <v>2009</v>
      </c>
      <c r="C502" t="s">
        <v>76</v>
      </c>
      <c r="D502">
        <v>0.01</v>
      </c>
    </row>
    <row r="503" spans="1:4" x14ac:dyDescent="0.45">
      <c r="A503" t="s">
        <v>32</v>
      </c>
      <c r="B503">
        <v>2009</v>
      </c>
      <c r="C503" t="s">
        <v>76</v>
      </c>
      <c r="D503">
        <v>0</v>
      </c>
    </row>
    <row r="504" spans="1:4" x14ac:dyDescent="0.45">
      <c r="A504" t="s">
        <v>58</v>
      </c>
      <c r="B504">
        <v>2009</v>
      </c>
      <c r="C504" t="s">
        <v>76</v>
      </c>
      <c r="D504">
        <v>0</v>
      </c>
    </row>
    <row r="505" spans="1:4" x14ac:dyDescent="0.45">
      <c r="A505" t="s">
        <v>91</v>
      </c>
      <c r="B505">
        <v>2009</v>
      </c>
      <c r="C505" t="s">
        <v>76</v>
      </c>
      <c r="D505">
        <v>0</v>
      </c>
    </row>
    <row r="506" spans="1:4" x14ac:dyDescent="0.45">
      <c r="A506" t="s">
        <v>32</v>
      </c>
      <c r="B506">
        <v>2010</v>
      </c>
      <c r="C506" t="s">
        <v>76</v>
      </c>
      <c r="D506">
        <v>0.02</v>
      </c>
    </row>
    <row r="507" spans="1:4" x14ac:dyDescent="0.45">
      <c r="A507" t="s">
        <v>34</v>
      </c>
      <c r="B507">
        <v>2010</v>
      </c>
      <c r="C507" t="s">
        <v>76</v>
      </c>
      <c r="D507">
        <v>2.36</v>
      </c>
    </row>
    <row r="508" spans="1:4" x14ac:dyDescent="0.45">
      <c r="A508" t="s">
        <v>36</v>
      </c>
      <c r="B508">
        <v>2010</v>
      </c>
      <c r="C508" t="s">
        <v>76</v>
      </c>
      <c r="D508">
        <v>0</v>
      </c>
    </row>
    <row r="509" spans="1:4" x14ac:dyDescent="0.45">
      <c r="A509" t="s">
        <v>56</v>
      </c>
      <c r="B509">
        <v>2010</v>
      </c>
      <c r="C509" t="s">
        <v>76</v>
      </c>
      <c r="D509">
        <v>0.14000000000000001</v>
      </c>
    </row>
    <row r="510" spans="1:4" x14ac:dyDescent="0.45">
      <c r="A510" t="s">
        <v>57</v>
      </c>
      <c r="B510">
        <v>2010</v>
      </c>
      <c r="C510" t="s">
        <v>76</v>
      </c>
      <c r="D510">
        <v>0</v>
      </c>
    </row>
    <row r="511" spans="1:4" x14ac:dyDescent="0.45">
      <c r="A511" t="s">
        <v>38</v>
      </c>
      <c r="B511">
        <v>2010</v>
      </c>
      <c r="C511" t="s">
        <v>76</v>
      </c>
      <c r="D511">
        <v>0.01</v>
      </c>
    </row>
    <row r="512" spans="1:4" x14ac:dyDescent="0.45">
      <c r="A512" t="s">
        <v>32</v>
      </c>
      <c r="B512">
        <v>2010</v>
      </c>
      <c r="C512" t="s">
        <v>76</v>
      </c>
      <c r="D512">
        <v>0</v>
      </c>
    </row>
    <row r="513" spans="1:4" x14ac:dyDescent="0.45">
      <c r="A513" t="s">
        <v>58</v>
      </c>
      <c r="B513">
        <v>2010</v>
      </c>
      <c r="C513" t="s">
        <v>76</v>
      </c>
      <c r="D513">
        <v>0</v>
      </c>
    </row>
    <row r="514" spans="1:4" x14ac:dyDescent="0.45">
      <c r="A514" t="s">
        <v>91</v>
      </c>
      <c r="B514">
        <v>2010</v>
      </c>
      <c r="C514" t="s">
        <v>76</v>
      </c>
      <c r="D514">
        <v>0</v>
      </c>
    </row>
    <row r="515" spans="1:4" x14ac:dyDescent="0.45">
      <c r="A515" t="s">
        <v>32</v>
      </c>
      <c r="B515">
        <v>2011</v>
      </c>
      <c r="C515" t="s">
        <v>76</v>
      </c>
      <c r="D515">
        <v>0.02</v>
      </c>
    </row>
    <row r="516" spans="1:4" x14ac:dyDescent="0.45">
      <c r="A516" t="s">
        <v>34</v>
      </c>
      <c r="B516">
        <v>2011</v>
      </c>
      <c r="C516" t="s">
        <v>76</v>
      </c>
      <c r="D516">
        <v>3.29</v>
      </c>
    </row>
    <row r="517" spans="1:4" x14ac:dyDescent="0.45">
      <c r="A517" t="s">
        <v>36</v>
      </c>
      <c r="B517">
        <v>2011</v>
      </c>
      <c r="C517" t="s">
        <v>76</v>
      </c>
      <c r="D517">
        <v>0</v>
      </c>
    </row>
    <row r="518" spans="1:4" x14ac:dyDescent="0.45">
      <c r="A518" t="s">
        <v>56</v>
      </c>
      <c r="B518">
        <v>2011</v>
      </c>
      <c r="C518" t="s">
        <v>76</v>
      </c>
      <c r="D518">
        <v>0.12</v>
      </c>
    </row>
    <row r="519" spans="1:4" x14ac:dyDescent="0.45">
      <c r="A519" t="s">
        <v>57</v>
      </c>
      <c r="B519">
        <v>2011</v>
      </c>
      <c r="C519" t="s">
        <v>76</v>
      </c>
      <c r="D519">
        <v>0</v>
      </c>
    </row>
    <row r="520" spans="1:4" x14ac:dyDescent="0.45">
      <c r="A520" t="s">
        <v>38</v>
      </c>
      <c r="B520">
        <v>2011</v>
      </c>
      <c r="C520" t="s">
        <v>76</v>
      </c>
      <c r="D520">
        <v>0.03</v>
      </c>
    </row>
    <row r="521" spans="1:4" x14ac:dyDescent="0.45">
      <c r="A521" t="s">
        <v>32</v>
      </c>
      <c r="B521">
        <v>2011</v>
      </c>
      <c r="C521" t="s">
        <v>76</v>
      </c>
      <c r="D521">
        <v>0</v>
      </c>
    </row>
    <row r="522" spans="1:4" x14ac:dyDescent="0.45">
      <c r="A522" t="s">
        <v>58</v>
      </c>
      <c r="B522">
        <v>2011</v>
      </c>
      <c r="C522" t="s">
        <v>76</v>
      </c>
      <c r="D522">
        <v>0</v>
      </c>
    </row>
    <row r="523" spans="1:4" x14ac:dyDescent="0.45">
      <c r="A523" t="s">
        <v>91</v>
      </c>
      <c r="B523">
        <v>2011</v>
      </c>
      <c r="C523" t="s">
        <v>76</v>
      </c>
      <c r="D523">
        <v>0</v>
      </c>
    </row>
    <row r="524" spans="1:4" x14ac:dyDescent="0.45">
      <c r="A524" t="s">
        <v>32</v>
      </c>
      <c r="B524">
        <v>2012</v>
      </c>
      <c r="C524" t="s">
        <v>76</v>
      </c>
      <c r="D524">
        <v>0.03</v>
      </c>
    </row>
    <row r="525" spans="1:4" x14ac:dyDescent="0.45">
      <c r="A525" t="s">
        <v>34</v>
      </c>
      <c r="B525">
        <v>2012</v>
      </c>
      <c r="C525" t="s">
        <v>76</v>
      </c>
      <c r="D525">
        <v>3.08</v>
      </c>
    </row>
    <row r="526" spans="1:4" x14ac:dyDescent="0.45">
      <c r="A526" t="s">
        <v>36</v>
      </c>
      <c r="B526">
        <v>2012</v>
      </c>
      <c r="C526" t="s">
        <v>76</v>
      </c>
      <c r="D526">
        <v>0</v>
      </c>
    </row>
    <row r="527" spans="1:4" x14ac:dyDescent="0.45">
      <c r="A527" t="s">
        <v>56</v>
      </c>
      <c r="B527">
        <v>2012</v>
      </c>
      <c r="C527" t="s">
        <v>76</v>
      </c>
      <c r="D527">
        <v>0.13</v>
      </c>
    </row>
    <row r="528" spans="1:4" x14ac:dyDescent="0.45">
      <c r="A528" t="s">
        <v>57</v>
      </c>
      <c r="B528">
        <v>2012</v>
      </c>
      <c r="C528" t="s">
        <v>76</v>
      </c>
      <c r="D528">
        <v>0</v>
      </c>
    </row>
    <row r="529" spans="1:4" x14ac:dyDescent="0.45">
      <c r="A529" t="s">
        <v>38</v>
      </c>
      <c r="B529">
        <v>2012</v>
      </c>
      <c r="C529" t="s">
        <v>76</v>
      </c>
      <c r="D529">
        <v>0.03</v>
      </c>
    </row>
    <row r="530" spans="1:4" x14ac:dyDescent="0.45">
      <c r="A530" t="s">
        <v>32</v>
      </c>
      <c r="B530">
        <v>2012</v>
      </c>
      <c r="C530" t="s">
        <v>76</v>
      </c>
      <c r="D530">
        <v>0</v>
      </c>
    </row>
    <row r="531" spans="1:4" x14ac:dyDescent="0.45">
      <c r="A531" t="s">
        <v>58</v>
      </c>
      <c r="B531">
        <v>2012</v>
      </c>
      <c r="C531" t="s">
        <v>76</v>
      </c>
      <c r="D531">
        <v>0</v>
      </c>
    </row>
    <row r="532" spans="1:4" x14ac:dyDescent="0.45">
      <c r="A532" t="s">
        <v>91</v>
      </c>
      <c r="B532">
        <v>2012</v>
      </c>
      <c r="C532" t="s">
        <v>76</v>
      </c>
      <c r="D532">
        <v>0</v>
      </c>
    </row>
    <row r="533" spans="1:4" x14ac:dyDescent="0.45">
      <c r="A533" t="s">
        <v>32</v>
      </c>
      <c r="B533">
        <v>2013</v>
      </c>
      <c r="C533" t="s">
        <v>76</v>
      </c>
      <c r="D533">
        <v>0.03</v>
      </c>
    </row>
    <row r="534" spans="1:4" x14ac:dyDescent="0.45">
      <c r="A534" t="s">
        <v>34</v>
      </c>
      <c r="B534">
        <v>2013</v>
      </c>
      <c r="C534" t="s">
        <v>76</v>
      </c>
      <c r="D534">
        <v>3.73</v>
      </c>
    </row>
    <row r="535" spans="1:4" x14ac:dyDescent="0.45">
      <c r="A535" t="s">
        <v>36</v>
      </c>
      <c r="B535">
        <v>2013</v>
      </c>
      <c r="C535" t="s">
        <v>76</v>
      </c>
      <c r="D535">
        <v>0</v>
      </c>
    </row>
    <row r="536" spans="1:4" x14ac:dyDescent="0.45">
      <c r="A536" t="s">
        <v>56</v>
      </c>
      <c r="B536">
        <v>2013</v>
      </c>
      <c r="C536" t="s">
        <v>76</v>
      </c>
      <c r="D536">
        <v>0.12</v>
      </c>
    </row>
    <row r="537" spans="1:4" x14ac:dyDescent="0.45">
      <c r="A537" t="s">
        <v>57</v>
      </c>
      <c r="B537">
        <v>2013</v>
      </c>
      <c r="C537" t="s">
        <v>76</v>
      </c>
      <c r="D537">
        <v>0</v>
      </c>
    </row>
    <row r="538" spans="1:4" x14ac:dyDescent="0.45">
      <c r="A538" t="s">
        <v>38</v>
      </c>
      <c r="B538">
        <v>2013</v>
      </c>
      <c r="C538" t="s">
        <v>76</v>
      </c>
      <c r="D538">
        <v>0.04</v>
      </c>
    </row>
    <row r="539" spans="1:4" x14ac:dyDescent="0.45">
      <c r="A539" t="s">
        <v>32</v>
      </c>
      <c r="B539">
        <v>2013</v>
      </c>
      <c r="C539" t="s">
        <v>76</v>
      </c>
      <c r="D539">
        <v>0</v>
      </c>
    </row>
    <row r="540" spans="1:4" x14ac:dyDescent="0.45">
      <c r="A540" t="s">
        <v>58</v>
      </c>
      <c r="B540">
        <v>2013</v>
      </c>
      <c r="C540" t="s">
        <v>76</v>
      </c>
      <c r="D540">
        <v>0</v>
      </c>
    </row>
    <row r="541" spans="1:4" x14ac:dyDescent="0.45">
      <c r="A541" t="s">
        <v>91</v>
      </c>
      <c r="B541">
        <v>2013</v>
      </c>
      <c r="C541" t="s">
        <v>76</v>
      </c>
      <c r="D541">
        <v>0</v>
      </c>
    </row>
    <row r="542" spans="1:4" x14ac:dyDescent="0.45">
      <c r="A542" t="s">
        <v>32</v>
      </c>
      <c r="B542">
        <v>2014</v>
      </c>
      <c r="C542" t="s">
        <v>76</v>
      </c>
      <c r="D542">
        <v>0</v>
      </c>
    </row>
    <row r="543" spans="1:4" x14ac:dyDescent="0.45">
      <c r="A543" t="s">
        <v>34</v>
      </c>
      <c r="B543">
        <v>2014</v>
      </c>
      <c r="C543" t="s">
        <v>76</v>
      </c>
      <c r="D543">
        <v>3.77</v>
      </c>
    </row>
    <row r="544" spans="1:4" x14ac:dyDescent="0.45">
      <c r="A544" t="s">
        <v>36</v>
      </c>
      <c r="B544">
        <v>2014</v>
      </c>
      <c r="C544" t="s">
        <v>76</v>
      </c>
      <c r="D544">
        <v>0</v>
      </c>
    </row>
    <row r="545" spans="1:4" x14ac:dyDescent="0.45">
      <c r="A545" t="s">
        <v>56</v>
      </c>
      <c r="B545">
        <v>2014</v>
      </c>
      <c r="C545" t="s">
        <v>76</v>
      </c>
      <c r="D545">
        <v>0.13</v>
      </c>
    </row>
    <row r="546" spans="1:4" x14ac:dyDescent="0.45">
      <c r="A546" t="s">
        <v>57</v>
      </c>
      <c r="B546">
        <v>2014</v>
      </c>
      <c r="C546" t="s">
        <v>76</v>
      </c>
      <c r="D546">
        <v>0</v>
      </c>
    </row>
    <row r="547" spans="1:4" x14ac:dyDescent="0.45">
      <c r="A547" t="s">
        <v>38</v>
      </c>
      <c r="B547">
        <v>2014</v>
      </c>
      <c r="C547" t="s">
        <v>76</v>
      </c>
      <c r="D547">
        <v>0.01</v>
      </c>
    </row>
    <row r="548" spans="1:4" x14ac:dyDescent="0.45">
      <c r="A548" t="s">
        <v>32</v>
      </c>
      <c r="B548">
        <v>2014</v>
      </c>
      <c r="C548" t="s">
        <v>76</v>
      </c>
      <c r="D548">
        <v>0</v>
      </c>
    </row>
    <row r="549" spans="1:4" x14ac:dyDescent="0.45">
      <c r="A549" t="s">
        <v>58</v>
      </c>
      <c r="B549">
        <v>2014</v>
      </c>
      <c r="C549" t="s">
        <v>76</v>
      </c>
      <c r="D549">
        <v>0</v>
      </c>
    </row>
    <row r="550" spans="1:4" x14ac:dyDescent="0.45">
      <c r="A550" t="s">
        <v>91</v>
      </c>
      <c r="B550">
        <v>2014</v>
      </c>
      <c r="C550" t="s">
        <v>76</v>
      </c>
      <c r="D550">
        <v>0</v>
      </c>
    </row>
    <row r="551" spans="1:4" x14ac:dyDescent="0.45">
      <c r="A551" t="s">
        <v>32</v>
      </c>
      <c r="B551">
        <v>2015</v>
      </c>
      <c r="C551" t="s">
        <v>76</v>
      </c>
      <c r="D551">
        <v>0.01</v>
      </c>
    </row>
    <row r="552" spans="1:4" x14ac:dyDescent="0.45">
      <c r="A552" t="s">
        <v>34</v>
      </c>
      <c r="B552">
        <v>2015</v>
      </c>
      <c r="C552" t="s">
        <v>76</v>
      </c>
      <c r="D552">
        <v>3.89</v>
      </c>
    </row>
    <row r="553" spans="1:4" x14ac:dyDescent="0.45">
      <c r="A553" t="s">
        <v>36</v>
      </c>
      <c r="B553">
        <v>2015</v>
      </c>
      <c r="C553" t="s">
        <v>76</v>
      </c>
      <c r="D553">
        <v>0</v>
      </c>
    </row>
    <row r="554" spans="1:4" x14ac:dyDescent="0.45">
      <c r="A554" t="s">
        <v>56</v>
      </c>
      <c r="B554">
        <v>2015</v>
      </c>
      <c r="C554" t="s">
        <v>76</v>
      </c>
      <c r="D554">
        <v>0.12</v>
      </c>
    </row>
    <row r="555" spans="1:4" x14ac:dyDescent="0.45">
      <c r="A555" t="s">
        <v>57</v>
      </c>
      <c r="B555">
        <v>2015</v>
      </c>
      <c r="C555" t="s">
        <v>76</v>
      </c>
      <c r="D555">
        <v>0</v>
      </c>
    </row>
    <row r="556" spans="1:4" x14ac:dyDescent="0.45">
      <c r="A556" t="s">
        <v>38</v>
      </c>
      <c r="B556">
        <v>2015</v>
      </c>
      <c r="C556" t="s">
        <v>76</v>
      </c>
      <c r="D556">
        <v>0.01</v>
      </c>
    </row>
    <row r="557" spans="1:4" x14ac:dyDescent="0.45">
      <c r="A557" t="s">
        <v>32</v>
      </c>
      <c r="B557">
        <v>2015</v>
      </c>
      <c r="C557" t="s">
        <v>76</v>
      </c>
      <c r="D557">
        <v>0</v>
      </c>
    </row>
    <row r="558" spans="1:4" x14ac:dyDescent="0.45">
      <c r="A558" t="s">
        <v>58</v>
      </c>
      <c r="B558">
        <v>2015</v>
      </c>
      <c r="C558" t="s">
        <v>76</v>
      </c>
      <c r="D558">
        <v>0</v>
      </c>
    </row>
    <row r="559" spans="1:4" x14ac:dyDescent="0.45">
      <c r="A559" t="s">
        <v>91</v>
      </c>
      <c r="B559">
        <v>2015</v>
      </c>
      <c r="C559" t="s">
        <v>76</v>
      </c>
      <c r="D559">
        <v>0</v>
      </c>
    </row>
    <row r="560" spans="1:4" x14ac:dyDescent="0.45">
      <c r="A560" t="s">
        <v>32</v>
      </c>
      <c r="B560">
        <v>2016</v>
      </c>
      <c r="C560" t="s">
        <v>76</v>
      </c>
      <c r="D560">
        <v>0.05</v>
      </c>
    </row>
    <row r="561" spans="1:4" x14ac:dyDescent="0.45">
      <c r="A561" t="s">
        <v>34</v>
      </c>
      <c r="B561">
        <v>2016</v>
      </c>
      <c r="C561" t="s">
        <v>76</v>
      </c>
      <c r="D561">
        <v>3.35</v>
      </c>
    </row>
    <row r="562" spans="1:4" x14ac:dyDescent="0.45">
      <c r="A562" t="s">
        <v>36</v>
      </c>
      <c r="B562">
        <v>2016</v>
      </c>
      <c r="C562" t="s">
        <v>76</v>
      </c>
      <c r="D562">
        <v>0</v>
      </c>
    </row>
    <row r="563" spans="1:4" x14ac:dyDescent="0.45">
      <c r="A563" t="s">
        <v>56</v>
      </c>
      <c r="B563">
        <v>2016</v>
      </c>
      <c r="C563" t="s">
        <v>76</v>
      </c>
      <c r="D563">
        <v>7.0000000000000007E-2</v>
      </c>
    </row>
    <row r="564" spans="1:4" x14ac:dyDescent="0.45">
      <c r="A564" t="s">
        <v>57</v>
      </c>
      <c r="B564">
        <v>2016</v>
      </c>
      <c r="C564" t="s">
        <v>76</v>
      </c>
      <c r="D564">
        <v>0</v>
      </c>
    </row>
    <row r="565" spans="1:4" x14ac:dyDescent="0.45">
      <c r="A565" t="s">
        <v>38</v>
      </c>
      <c r="B565">
        <v>2016</v>
      </c>
      <c r="C565" t="s">
        <v>76</v>
      </c>
      <c r="D565">
        <v>0.03</v>
      </c>
    </row>
    <row r="566" spans="1:4" x14ac:dyDescent="0.45">
      <c r="A566" t="s">
        <v>32</v>
      </c>
      <c r="B566">
        <v>2016</v>
      </c>
      <c r="C566" t="s">
        <v>76</v>
      </c>
      <c r="D566">
        <v>0</v>
      </c>
    </row>
    <row r="567" spans="1:4" x14ac:dyDescent="0.45">
      <c r="A567" t="s">
        <v>58</v>
      </c>
      <c r="B567">
        <v>2016</v>
      </c>
      <c r="C567" t="s">
        <v>76</v>
      </c>
      <c r="D567">
        <v>0</v>
      </c>
    </row>
    <row r="568" spans="1:4" x14ac:dyDescent="0.45">
      <c r="A568" t="s">
        <v>91</v>
      </c>
      <c r="B568">
        <v>2016</v>
      </c>
      <c r="C568" t="s">
        <v>76</v>
      </c>
      <c r="D568">
        <v>0</v>
      </c>
    </row>
    <row r="569" spans="1:4" x14ac:dyDescent="0.45">
      <c r="A569" t="s">
        <v>32</v>
      </c>
      <c r="B569">
        <v>2017</v>
      </c>
      <c r="C569" t="s">
        <v>76</v>
      </c>
      <c r="D569">
        <v>0.03</v>
      </c>
    </row>
    <row r="570" spans="1:4" x14ac:dyDescent="0.45">
      <c r="A570" t="s">
        <v>34</v>
      </c>
      <c r="B570">
        <v>2017</v>
      </c>
      <c r="C570" t="s">
        <v>76</v>
      </c>
      <c r="D570">
        <v>2.9</v>
      </c>
    </row>
    <row r="571" spans="1:4" x14ac:dyDescent="0.45">
      <c r="A571" t="s">
        <v>36</v>
      </c>
      <c r="B571">
        <v>2017</v>
      </c>
      <c r="C571" t="s">
        <v>76</v>
      </c>
      <c r="D571">
        <v>0</v>
      </c>
    </row>
    <row r="572" spans="1:4" x14ac:dyDescent="0.45">
      <c r="A572" t="s">
        <v>56</v>
      </c>
      <c r="B572">
        <v>2017</v>
      </c>
      <c r="C572" t="s">
        <v>76</v>
      </c>
      <c r="D572">
        <v>0.09</v>
      </c>
    </row>
    <row r="573" spans="1:4" x14ac:dyDescent="0.45">
      <c r="A573" t="s">
        <v>57</v>
      </c>
      <c r="B573">
        <v>2017</v>
      </c>
      <c r="C573" t="s">
        <v>76</v>
      </c>
      <c r="D573">
        <v>0</v>
      </c>
    </row>
    <row r="574" spans="1:4" x14ac:dyDescent="0.45">
      <c r="A574" t="s">
        <v>38</v>
      </c>
      <c r="B574">
        <v>2017</v>
      </c>
      <c r="C574" t="s">
        <v>76</v>
      </c>
      <c r="D574">
        <v>0.03</v>
      </c>
    </row>
    <row r="575" spans="1:4" x14ac:dyDescent="0.45">
      <c r="A575" t="s">
        <v>32</v>
      </c>
      <c r="B575">
        <v>2017</v>
      </c>
      <c r="C575" t="s">
        <v>76</v>
      </c>
      <c r="D575">
        <v>0</v>
      </c>
    </row>
    <row r="576" spans="1:4" x14ac:dyDescent="0.45">
      <c r="A576" t="s">
        <v>58</v>
      </c>
      <c r="B576">
        <v>2017</v>
      </c>
      <c r="C576" t="s">
        <v>76</v>
      </c>
      <c r="D576">
        <v>0</v>
      </c>
    </row>
    <row r="577" spans="1:4" x14ac:dyDescent="0.45">
      <c r="A577" t="s">
        <v>91</v>
      </c>
      <c r="B577">
        <v>2017</v>
      </c>
      <c r="C577" t="s">
        <v>76</v>
      </c>
      <c r="D577">
        <v>0</v>
      </c>
    </row>
    <row r="578" spans="1:4" x14ac:dyDescent="0.45">
      <c r="A578" t="s">
        <v>32</v>
      </c>
      <c r="B578">
        <v>2018</v>
      </c>
      <c r="C578" t="s">
        <v>76</v>
      </c>
      <c r="D578">
        <v>0.04</v>
      </c>
    </row>
    <row r="579" spans="1:4" x14ac:dyDescent="0.45">
      <c r="A579" t="s">
        <v>34</v>
      </c>
      <c r="B579">
        <v>2018</v>
      </c>
      <c r="C579" t="s">
        <v>76</v>
      </c>
      <c r="D579">
        <v>3.54</v>
      </c>
    </row>
    <row r="580" spans="1:4" x14ac:dyDescent="0.45">
      <c r="A580" t="s">
        <v>36</v>
      </c>
      <c r="B580">
        <v>2018</v>
      </c>
      <c r="C580" t="s">
        <v>76</v>
      </c>
      <c r="D580">
        <v>0</v>
      </c>
    </row>
    <row r="581" spans="1:4" x14ac:dyDescent="0.45">
      <c r="A581" t="s">
        <v>56</v>
      </c>
      <c r="B581">
        <v>2018</v>
      </c>
      <c r="C581" t="s">
        <v>76</v>
      </c>
      <c r="D581">
        <v>0.12</v>
      </c>
    </row>
    <row r="582" spans="1:4" x14ac:dyDescent="0.45">
      <c r="A582" t="s">
        <v>57</v>
      </c>
      <c r="B582">
        <v>2018</v>
      </c>
      <c r="C582" t="s">
        <v>76</v>
      </c>
      <c r="D582">
        <v>0</v>
      </c>
    </row>
    <row r="583" spans="1:4" x14ac:dyDescent="0.45">
      <c r="A583" t="s">
        <v>38</v>
      </c>
      <c r="B583">
        <v>2018</v>
      </c>
      <c r="C583" t="s">
        <v>76</v>
      </c>
      <c r="D583">
        <v>0.03</v>
      </c>
    </row>
    <row r="584" spans="1:4" x14ac:dyDescent="0.45">
      <c r="A584" t="s">
        <v>32</v>
      </c>
      <c r="B584">
        <v>2018</v>
      </c>
      <c r="C584" t="s">
        <v>76</v>
      </c>
      <c r="D584">
        <v>0</v>
      </c>
    </row>
    <row r="585" spans="1:4" x14ac:dyDescent="0.45">
      <c r="A585" t="s">
        <v>58</v>
      </c>
      <c r="B585">
        <v>2018</v>
      </c>
      <c r="C585" t="s">
        <v>76</v>
      </c>
      <c r="D585">
        <v>0</v>
      </c>
    </row>
    <row r="586" spans="1:4" x14ac:dyDescent="0.45">
      <c r="A586" t="s">
        <v>91</v>
      </c>
      <c r="B586">
        <v>2018</v>
      </c>
      <c r="C586" t="s">
        <v>76</v>
      </c>
      <c r="D586">
        <v>0</v>
      </c>
    </row>
    <row r="587" spans="1:4" x14ac:dyDescent="0.45">
      <c r="A587" t="s">
        <v>32</v>
      </c>
      <c r="B587">
        <v>2019</v>
      </c>
      <c r="C587" t="s">
        <v>76</v>
      </c>
      <c r="D587">
        <v>0.04</v>
      </c>
    </row>
    <row r="588" spans="1:4" x14ac:dyDescent="0.45">
      <c r="A588" t="s">
        <v>34</v>
      </c>
      <c r="B588">
        <v>2019</v>
      </c>
      <c r="C588" t="s">
        <v>76</v>
      </c>
      <c r="D588">
        <v>3.47</v>
      </c>
    </row>
    <row r="589" spans="1:4" x14ac:dyDescent="0.45">
      <c r="A589" t="s">
        <v>36</v>
      </c>
      <c r="B589">
        <v>2019</v>
      </c>
      <c r="C589" t="s">
        <v>76</v>
      </c>
      <c r="D589">
        <v>0</v>
      </c>
    </row>
    <row r="590" spans="1:4" x14ac:dyDescent="0.45">
      <c r="A590" t="s">
        <v>56</v>
      </c>
      <c r="B590">
        <v>2019</v>
      </c>
      <c r="C590" t="s">
        <v>76</v>
      </c>
      <c r="D590">
        <v>0.1</v>
      </c>
    </row>
    <row r="591" spans="1:4" x14ac:dyDescent="0.45">
      <c r="A591" t="s">
        <v>57</v>
      </c>
      <c r="B591">
        <v>2019</v>
      </c>
      <c r="C591" t="s">
        <v>76</v>
      </c>
      <c r="D591">
        <v>0</v>
      </c>
    </row>
    <row r="592" spans="1:4" x14ac:dyDescent="0.45">
      <c r="A592" t="s">
        <v>38</v>
      </c>
      <c r="B592">
        <v>2019</v>
      </c>
      <c r="C592" t="s">
        <v>76</v>
      </c>
      <c r="D592">
        <v>0.03</v>
      </c>
    </row>
    <row r="593" spans="1:4" x14ac:dyDescent="0.45">
      <c r="A593" t="s">
        <v>32</v>
      </c>
      <c r="B593">
        <v>2019</v>
      </c>
      <c r="C593" t="s">
        <v>76</v>
      </c>
      <c r="D593">
        <v>0</v>
      </c>
    </row>
    <row r="594" spans="1:4" x14ac:dyDescent="0.45">
      <c r="A594" t="s">
        <v>58</v>
      </c>
      <c r="B594">
        <v>2019</v>
      </c>
      <c r="C594" t="s">
        <v>76</v>
      </c>
      <c r="D594">
        <v>0</v>
      </c>
    </row>
    <row r="595" spans="1:4" x14ac:dyDescent="0.45">
      <c r="A595" t="s">
        <v>91</v>
      </c>
      <c r="B595">
        <v>2019</v>
      </c>
      <c r="C595" t="s">
        <v>76</v>
      </c>
      <c r="D595">
        <v>0</v>
      </c>
    </row>
    <row r="596" spans="1:4" x14ac:dyDescent="0.45">
      <c r="A596" t="s">
        <v>32</v>
      </c>
      <c r="B596">
        <v>2020</v>
      </c>
      <c r="C596" t="s">
        <v>76</v>
      </c>
      <c r="D596">
        <v>0.02</v>
      </c>
    </row>
    <row r="597" spans="1:4" x14ac:dyDescent="0.45">
      <c r="A597" t="s">
        <v>34</v>
      </c>
      <c r="B597">
        <v>2020</v>
      </c>
      <c r="C597" t="s">
        <v>76</v>
      </c>
      <c r="D597">
        <v>2.35</v>
      </c>
    </row>
    <row r="598" spans="1:4" x14ac:dyDescent="0.45">
      <c r="A598" t="s">
        <v>36</v>
      </c>
      <c r="B598">
        <v>2020</v>
      </c>
      <c r="C598" t="s">
        <v>76</v>
      </c>
      <c r="D598">
        <v>0</v>
      </c>
    </row>
    <row r="599" spans="1:4" x14ac:dyDescent="0.45">
      <c r="A599" t="s">
        <v>56</v>
      </c>
      <c r="B599">
        <v>2020</v>
      </c>
      <c r="C599" t="s">
        <v>76</v>
      </c>
      <c r="D599">
        <v>0.09</v>
      </c>
    </row>
    <row r="600" spans="1:4" x14ac:dyDescent="0.45">
      <c r="A600" t="s">
        <v>57</v>
      </c>
      <c r="B600">
        <v>2020</v>
      </c>
      <c r="C600" t="s">
        <v>76</v>
      </c>
      <c r="D600">
        <v>0</v>
      </c>
    </row>
    <row r="601" spans="1:4" x14ac:dyDescent="0.45">
      <c r="A601" t="s">
        <v>38</v>
      </c>
      <c r="B601">
        <v>2020</v>
      </c>
      <c r="C601" t="s">
        <v>76</v>
      </c>
      <c r="D601">
        <v>0.03</v>
      </c>
    </row>
    <row r="602" spans="1:4" x14ac:dyDescent="0.45">
      <c r="A602" t="s">
        <v>32</v>
      </c>
      <c r="B602">
        <v>2020</v>
      </c>
      <c r="C602" t="s">
        <v>76</v>
      </c>
      <c r="D602">
        <v>0</v>
      </c>
    </row>
    <row r="603" spans="1:4" x14ac:dyDescent="0.45">
      <c r="A603" t="s">
        <v>58</v>
      </c>
      <c r="B603">
        <v>2020</v>
      </c>
      <c r="C603" t="s">
        <v>76</v>
      </c>
      <c r="D603">
        <v>0</v>
      </c>
    </row>
    <row r="604" spans="1:4" x14ac:dyDescent="0.45">
      <c r="A604" t="s">
        <v>91</v>
      </c>
      <c r="B604">
        <v>2020</v>
      </c>
      <c r="C604" t="s">
        <v>76</v>
      </c>
      <c r="D604">
        <v>0</v>
      </c>
    </row>
    <row r="605" spans="1:4" x14ac:dyDescent="0.45">
      <c r="A605" t="s">
        <v>32</v>
      </c>
      <c r="B605">
        <v>2021</v>
      </c>
      <c r="C605" t="s">
        <v>76</v>
      </c>
      <c r="D605">
        <v>0</v>
      </c>
    </row>
    <row r="606" spans="1:4" x14ac:dyDescent="0.45">
      <c r="A606" t="s">
        <v>34</v>
      </c>
      <c r="B606">
        <v>2021</v>
      </c>
      <c r="C606" t="s">
        <v>76</v>
      </c>
      <c r="D606">
        <v>2.15</v>
      </c>
    </row>
    <row r="607" spans="1:4" x14ac:dyDescent="0.45">
      <c r="A607" t="s">
        <v>36</v>
      </c>
      <c r="B607">
        <v>2021</v>
      </c>
      <c r="C607" t="s">
        <v>76</v>
      </c>
      <c r="D607">
        <v>0</v>
      </c>
    </row>
    <row r="608" spans="1:4" x14ac:dyDescent="0.45">
      <c r="A608" t="s">
        <v>56</v>
      </c>
      <c r="B608">
        <v>2021</v>
      </c>
      <c r="C608" t="s">
        <v>76</v>
      </c>
      <c r="D608">
        <v>0.14000000000000001</v>
      </c>
    </row>
    <row r="609" spans="1:4" x14ac:dyDescent="0.45">
      <c r="A609" t="s">
        <v>57</v>
      </c>
      <c r="B609">
        <v>2021</v>
      </c>
      <c r="C609" t="s">
        <v>76</v>
      </c>
      <c r="D609">
        <v>0</v>
      </c>
    </row>
    <row r="610" spans="1:4" x14ac:dyDescent="0.45">
      <c r="A610" t="s">
        <v>38</v>
      </c>
      <c r="B610">
        <v>2021</v>
      </c>
      <c r="C610" t="s">
        <v>76</v>
      </c>
      <c r="D610">
        <v>0</v>
      </c>
    </row>
    <row r="611" spans="1:4" x14ac:dyDescent="0.45">
      <c r="A611" t="s">
        <v>32</v>
      </c>
      <c r="B611">
        <v>2021</v>
      </c>
      <c r="C611" t="s">
        <v>76</v>
      </c>
      <c r="D611">
        <v>0</v>
      </c>
    </row>
    <row r="612" spans="1:4" x14ac:dyDescent="0.45">
      <c r="A612" t="s">
        <v>58</v>
      </c>
      <c r="B612">
        <v>2021</v>
      </c>
      <c r="C612" t="s">
        <v>76</v>
      </c>
      <c r="D612">
        <v>0</v>
      </c>
    </row>
    <row r="613" spans="1:4" x14ac:dyDescent="0.45">
      <c r="A613" t="s">
        <v>91</v>
      </c>
      <c r="B613">
        <v>2021</v>
      </c>
      <c r="C613" t="s">
        <v>76</v>
      </c>
      <c r="D613">
        <v>0</v>
      </c>
    </row>
    <row r="614" spans="1:4" x14ac:dyDescent="0.45">
      <c r="A614" t="s">
        <v>32</v>
      </c>
      <c r="B614">
        <v>2022</v>
      </c>
      <c r="C614" t="s">
        <v>76</v>
      </c>
      <c r="D614">
        <v>0.02</v>
      </c>
    </row>
    <row r="615" spans="1:4" x14ac:dyDescent="0.45">
      <c r="A615" t="s">
        <v>34</v>
      </c>
      <c r="B615">
        <v>2022</v>
      </c>
      <c r="C615" t="s">
        <v>76</v>
      </c>
      <c r="D615">
        <v>2.5</v>
      </c>
    </row>
    <row r="616" spans="1:4" x14ac:dyDescent="0.45">
      <c r="A616" t="s">
        <v>36</v>
      </c>
      <c r="B616">
        <v>2022</v>
      </c>
      <c r="C616" t="s">
        <v>76</v>
      </c>
      <c r="D616">
        <v>0</v>
      </c>
    </row>
    <row r="617" spans="1:4" x14ac:dyDescent="0.45">
      <c r="A617" t="s">
        <v>56</v>
      </c>
      <c r="B617">
        <v>2022</v>
      </c>
      <c r="C617" t="s">
        <v>76</v>
      </c>
      <c r="D617">
        <v>0.14000000000000001</v>
      </c>
    </row>
    <row r="618" spans="1:4" x14ac:dyDescent="0.45">
      <c r="A618" t="s">
        <v>57</v>
      </c>
      <c r="B618">
        <v>2022</v>
      </c>
      <c r="C618" t="s">
        <v>76</v>
      </c>
      <c r="D618">
        <v>0</v>
      </c>
    </row>
    <row r="619" spans="1:4" x14ac:dyDescent="0.45">
      <c r="A619" t="s">
        <v>38</v>
      </c>
      <c r="B619">
        <v>2022</v>
      </c>
      <c r="C619" t="s">
        <v>76</v>
      </c>
      <c r="D619">
        <v>0</v>
      </c>
    </row>
    <row r="620" spans="1:4" x14ac:dyDescent="0.45">
      <c r="A620" t="s">
        <v>32</v>
      </c>
      <c r="B620">
        <v>2022</v>
      </c>
      <c r="C620" t="s">
        <v>76</v>
      </c>
      <c r="D620">
        <v>0</v>
      </c>
    </row>
    <row r="621" spans="1:4" x14ac:dyDescent="0.45">
      <c r="A621" t="s">
        <v>58</v>
      </c>
      <c r="B621">
        <v>2022</v>
      </c>
      <c r="C621" t="s">
        <v>76</v>
      </c>
      <c r="D621">
        <v>0</v>
      </c>
    </row>
    <row r="622" spans="1:4" x14ac:dyDescent="0.45">
      <c r="A622" t="s">
        <v>91</v>
      </c>
      <c r="B622">
        <v>2022</v>
      </c>
      <c r="C622" t="s">
        <v>76</v>
      </c>
      <c r="D622">
        <v>0</v>
      </c>
    </row>
    <row r="623" spans="1:4" x14ac:dyDescent="0.45">
      <c r="A623" t="s">
        <v>59</v>
      </c>
      <c r="B623">
        <v>2000</v>
      </c>
      <c r="C623" t="s">
        <v>74</v>
      </c>
    </row>
    <row r="624" spans="1:4" x14ac:dyDescent="0.45">
      <c r="A624" t="s">
        <v>60</v>
      </c>
      <c r="B624">
        <v>2000</v>
      </c>
      <c r="C624" t="s">
        <v>74</v>
      </c>
      <c r="D624">
        <v>5.0999999999999996</v>
      </c>
    </row>
    <row r="625" spans="1:4" x14ac:dyDescent="0.45">
      <c r="A625" t="s">
        <v>59</v>
      </c>
      <c r="B625">
        <v>2001</v>
      </c>
      <c r="C625" t="s">
        <v>74</v>
      </c>
    </row>
    <row r="626" spans="1:4" x14ac:dyDescent="0.45">
      <c r="A626" t="s">
        <v>60</v>
      </c>
      <c r="B626">
        <v>2001</v>
      </c>
      <c r="C626" t="s">
        <v>74</v>
      </c>
      <c r="D626">
        <v>4.0999999999999996</v>
      </c>
    </row>
    <row r="627" spans="1:4" x14ac:dyDescent="0.45">
      <c r="A627" t="s">
        <v>59</v>
      </c>
      <c r="B627">
        <v>2002</v>
      </c>
      <c r="C627" t="s">
        <v>74</v>
      </c>
    </row>
    <row r="628" spans="1:4" x14ac:dyDescent="0.45">
      <c r="A628" t="s">
        <v>60</v>
      </c>
      <c r="B628">
        <v>2002</v>
      </c>
      <c r="C628" t="s">
        <v>74</v>
      </c>
      <c r="D628">
        <v>4</v>
      </c>
    </row>
    <row r="629" spans="1:4" x14ac:dyDescent="0.45">
      <c r="A629" t="s">
        <v>59</v>
      </c>
      <c r="B629">
        <v>2003</v>
      </c>
      <c r="C629" t="s">
        <v>74</v>
      </c>
    </row>
    <row r="630" spans="1:4" x14ac:dyDescent="0.45">
      <c r="A630" t="s">
        <v>60</v>
      </c>
      <c r="B630">
        <v>2003</v>
      </c>
      <c r="C630" t="s">
        <v>74</v>
      </c>
      <c r="D630">
        <v>3.2</v>
      </c>
    </row>
    <row r="631" spans="1:4" x14ac:dyDescent="0.45">
      <c r="A631" t="s">
        <v>59</v>
      </c>
      <c r="B631">
        <v>2004</v>
      </c>
      <c r="C631" t="s">
        <v>74</v>
      </c>
    </row>
    <row r="632" spans="1:4" x14ac:dyDescent="0.45">
      <c r="A632" t="s">
        <v>60</v>
      </c>
      <c r="B632">
        <v>2004</v>
      </c>
      <c r="C632" t="s">
        <v>74</v>
      </c>
      <c r="D632">
        <v>2</v>
      </c>
    </row>
    <row r="633" spans="1:4" x14ac:dyDescent="0.45">
      <c r="A633" t="s">
        <v>59</v>
      </c>
      <c r="B633">
        <v>2005</v>
      </c>
      <c r="C633" t="s">
        <v>74</v>
      </c>
      <c r="D633">
        <v>0</v>
      </c>
    </row>
    <row r="634" spans="1:4" x14ac:dyDescent="0.45">
      <c r="A634" t="s">
        <v>60</v>
      </c>
      <c r="B634">
        <v>2005</v>
      </c>
      <c r="C634" t="s">
        <v>74</v>
      </c>
      <c r="D634">
        <v>3</v>
      </c>
    </row>
    <row r="635" spans="1:4" x14ac:dyDescent="0.45">
      <c r="A635" t="s">
        <v>59</v>
      </c>
      <c r="B635">
        <v>2006</v>
      </c>
      <c r="C635" t="s">
        <v>74</v>
      </c>
      <c r="D635">
        <v>0.3</v>
      </c>
    </row>
    <row r="636" spans="1:4" x14ac:dyDescent="0.45">
      <c r="A636" t="s">
        <v>60</v>
      </c>
      <c r="B636">
        <v>2006</v>
      </c>
      <c r="C636" t="s">
        <v>74</v>
      </c>
      <c r="D636">
        <v>4.2</v>
      </c>
    </row>
    <row r="637" spans="1:4" x14ac:dyDescent="0.45">
      <c r="A637" t="s">
        <v>59</v>
      </c>
      <c r="B637">
        <v>2007</v>
      </c>
      <c r="C637" t="s">
        <v>74</v>
      </c>
      <c r="D637">
        <v>0</v>
      </c>
    </row>
    <row r="638" spans="1:4" x14ac:dyDescent="0.45">
      <c r="A638" t="s">
        <v>60</v>
      </c>
      <c r="B638">
        <v>2007</v>
      </c>
      <c r="C638" t="s">
        <v>74</v>
      </c>
      <c r="D638">
        <v>3</v>
      </c>
    </row>
    <row r="639" spans="1:4" x14ac:dyDescent="0.45">
      <c r="A639" t="s">
        <v>59</v>
      </c>
      <c r="B639">
        <v>2008</v>
      </c>
      <c r="C639" t="s">
        <v>74</v>
      </c>
      <c r="D639">
        <v>0.6</v>
      </c>
    </row>
    <row r="640" spans="1:4" x14ac:dyDescent="0.45">
      <c r="A640" t="s">
        <v>60</v>
      </c>
      <c r="B640">
        <v>2008</v>
      </c>
      <c r="C640" t="s">
        <v>74</v>
      </c>
      <c r="D640">
        <v>1.7</v>
      </c>
    </row>
    <row r="641" spans="1:4" x14ac:dyDescent="0.45">
      <c r="A641" t="s">
        <v>59</v>
      </c>
      <c r="B641">
        <v>2009</v>
      </c>
      <c r="C641" t="s">
        <v>74</v>
      </c>
      <c r="D641">
        <v>0.9</v>
      </c>
    </row>
    <row r="642" spans="1:4" x14ac:dyDescent="0.45">
      <c r="A642" t="s">
        <v>60</v>
      </c>
      <c r="B642">
        <v>2009</v>
      </c>
      <c r="C642" t="s">
        <v>74</v>
      </c>
      <c r="D642">
        <v>2.2000000000000002</v>
      </c>
    </row>
    <row r="643" spans="1:4" x14ac:dyDescent="0.45">
      <c r="A643" t="s">
        <v>59</v>
      </c>
      <c r="B643">
        <v>2010</v>
      </c>
      <c r="C643" t="s">
        <v>74</v>
      </c>
      <c r="D643">
        <v>1</v>
      </c>
    </row>
    <row r="644" spans="1:4" x14ac:dyDescent="0.45">
      <c r="A644" t="s">
        <v>60</v>
      </c>
      <c r="B644">
        <v>2010</v>
      </c>
      <c r="C644" t="s">
        <v>74</v>
      </c>
      <c r="D644">
        <v>1.7</v>
      </c>
    </row>
    <row r="645" spans="1:4" x14ac:dyDescent="0.45">
      <c r="A645" t="s">
        <v>59</v>
      </c>
      <c r="B645">
        <v>2011</v>
      </c>
      <c r="C645" t="s">
        <v>74</v>
      </c>
      <c r="D645">
        <v>1</v>
      </c>
    </row>
    <row r="646" spans="1:4" x14ac:dyDescent="0.45">
      <c r="A646" t="s">
        <v>60</v>
      </c>
      <c r="B646">
        <v>2011</v>
      </c>
      <c r="C646" t="s">
        <v>74</v>
      </c>
      <c r="D646">
        <v>1.6</v>
      </c>
    </row>
    <row r="647" spans="1:4" x14ac:dyDescent="0.45">
      <c r="A647" t="s">
        <v>59</v>
      </c>
      <c r="B647">
        <v>2012</v>
      </c>
      <c r="C647" t="s">
        <v>74</v>
      </c>
      <c r="D647">
        <v>0.7</v>
      </c>
    </row>
    <row r="648" spans="1:4" x14ac:dyDescent="0.45">
      <c r="A648" t="s">
        <v>60</v>
      </c>
      <c r="B648">
        <v>2012</v>
      </c>
      <c r="C648" t="s">
        <v>74</v>
      </c>
      <c r="D648">
        <v>1.1000000000000001</v>
      </c>
    </row>
    <row r="649" spans="1:4" x14ac:dyDescent="0.45">
      <c r="A649" t="s">
        <v>59</v>
      </c>
      <c r="B649">
        <v>2013</v>
      </c>
      <c r="C649" t="s">
        <v>74</v>
      </c>
      <c r="D649">
        <v>1.2</v>
      </c>
    </row>
    <row r="650" spans="1:4" x14ac:dyDescent="0.45">
      <c r="A650" t="s">
        <v>60</v>
      </c>
      <c r="B650">
        <v>2013</v>
      </c>
      <c r="C650" t="s">
        <v>74</v>
      </c>
      <c r="D650">
        <v>1.7</v>
      </c>
    </row>
    <row r="651" spans="1:4" x14ac:dyDescent="0.45">
      <c r="A651" t="s">
        <v>59</v>
      </c>
      <c r="B651">
        <v>2014</v>
      </c>
      <c r="C651" t="s">
        <v>74</v>
      </c>
      <c r="D651">
        <v>1.2</v>
      </c>
    </row>
    <row r="652" spans="1:4" x14ac:dyDescent="0.45">
      <c r="A652" t="s">
        <v>60</v>
      </c>
      <c r="B652">
        <v>2014</v>
      </c>
      <c r="C652" t="s">
        <v>74</v>
      </c>
      <c r="D652">
        <v>1.1000000000000001</v>
      </c>
    </row>
    <row r="653" spans="1:4" x14ac:dyDescent="0.45">
      <c r="A653" t="s">
        <v>59</v>
      </c>
      <c r="B653">
        <v>2015</v>
      </c>
      <c r="C653" t="s">
        <v>74</v>
      </c>
      <c r="D653">
        <v>1.2</v>
      </c>
    </row>
    <row r="654" spans="1:4" x14ac:dyDescent="0.45">
      <c r="A654" t="s">
        <v>60</v>
      </c>
      <c r="B654">
        <v>2015</v>
      </c>
      <c r="C654" t="s">
        <v>74</v>
      </c>
      <c r="D654">
        <v>1.1000000000000001</v>
      </c>
    </row>
    <row r="655" spans="1:4" x14ac:dyDescent="0.45">
      <c r="A655" t="s">
        <v>59</v>
      </c>
      <c r="B655">
        <v>2016</v>
      </c>
      <c r="C655" t="s">
        <v>74</v>
      </c>
      <c r="D655">
        <v>0.4</v>
      </c>
    </row>
    <row r="656" spans="1:4" x14ac:dyDescent="0.45">
      <c r="A656" t="s">
        <v>60</v>
      </c>
      <c r="B656">
        <v>2016</v>
      </c>
      <c r="C656" t="s">
        <v>74</v>
      </c>
      <c r="D656">
        <v>2.2000000000000002</v>
      </c>
    </row>
    <row r="657" spans="1:4" x14ac:dyDescent="0.45">
      <c r="A657" t="s">
        <v>59</v>
      </c>
      <c r="B657">
        <v>2017</v>
      </c>
      <c r="C657" t="s">
        <v>74</v>
      </c>
      <c r="D657">
        <v>0.4</v>
      </c>
    </row>
    <row r="658" spans="1:4" x14ac:dyDescent="0.45">
      <c r="A658" t="s">
        <v>60</v>
      </c>
      <c r="B658">
        <v>2017</v>
      </c>
      <c r="C658" t="s">
        <v>74</v>
      </c>
      <c r="D658">
        <v>2.6</v>
      </c>
    </row>
    <row r="659" spans="1:4" x14ac:dyDescent="0.45">
      <c r="A659" t="s">
        <v>59</v>
      </c>
      <c r="B659">
        <v>2018</v>
      </c>
      <c r="C659" t="s">
        <v>74</v>
      </c>
      <c r="D659">
        <v>0.2</v>
      </c>
    </row>
    <row r="660" spans="1:4" x14ac:dyDescent="0.45">
      <c r="A660" t="s">
        <v>60</v>
      </c>
      <c r="B660">
        <v>2018</v>
      </c>
      <c r="C660" t="s">
        <v>74</v>
      </c>
      <c r="D660">
        <v>1.2</v>
      </c>
    </row>
    <row r="661" spans="1:4" x14ac:dyDescent="0.45">
      <c r="A661" t="s">
        <v>59</v>
      </c>
      <c r="B661">
        <v>2019</v>
      </c>
      <c r="C661" t="s">
        <v>74</v>
      </c>
      <c r="D661">
        <v>0.5</v>
      </c>
    </row>
    <row r="662" spans="1:4" x14ac:dyDescent="0.45">
      <c r="A662" t="s">
        <v>60</v>
      </c>
      <c r="B662">
        <v>2019</v>
      </c>
      <c r="C662" t="s">
        <v>74</v>
      </c>
      <c r="D662">
        <v>1.6</v>
      </c>
    </row>
    <row r="663" spans="1:4" x14ac:dyDescent="0.45">
      <c r="A663" t="s">
        <v>59</v>
      </c>
      <c r="B663">
        <v>2020</v>
      </c>
      <c r="C663" t="s">
        <v>74</v>
      </c>
      <c r="D663">
        <v>0.4</v>
      </c>
    </row>
    <row r="664" spans="1:4" x14ac:dyDescent="0.45">
      <c r="A664" t="s">
        <v>60</v>
      </c>
      <c r="B664">
        <v>2020</v>
      </c>
      <c r="C664" t="s">
        <v>74</v>
      </c>
      <c r="D664">
        <v>2.2999999999999998</v>
      </c>
    </row>
    <row r="665" spans="1:4" x14ac:dyDescent="0.45">
      <c r="A665" t="s">
        <v>59</v>
      </c>
      <c r="B665">
        <v>2021</v>
      </c>
      <c r="C665" t="s">
        <v>74</v>
      </c>
      <c r="D665">
        <v>0.5</v>
      </c>
    </row>
    <row r="666" spans="1:4" x14ac:dyDescent="0.45">
      <c r="A666" t="s">
        <v>60</v>
      </c>
      <c r="B666">
        <v>2021</v>
      </c>
      <c r="C666" t="s">
        <v>74</v>
      </c>
      <c r="D666">
        <v>2.2000000000000002</v>
      </c>
    </row>
    <row r="667" spans="1:4" x14ac:dyDescent="0.45">
      <c r="A667" t="s">
        <v>59</v>
      </c>
      <c r="B667">
        <v>2022</v>
      </c>
      <c r="C667" t="s">
        <v>74</v>
      </c>
      <c r="D667">
        <v>0.4</v>
      </c>
    </row>
    <row r="668" spans="1:4" x14ac:dyDescent="0.45">
      <c r="A668" t="s">
        <v>60</v>
      </c>
      <c r="B668">
        <v>2022</v>
      </c>
      <c r="C668" t="s">
        <v>74</v>
      </c>
      <c r="D668">
        <v>2.2999999999999998</v>
      </c>
    </row>
    <row r="669" spans="1:4" x14ac:dyDescent="0.45">
      <c r="A669" t="s">
        <v>59</v>
      </c>
      <c r="B669">
        <v>2023</v>
      </c>
      <c r="C669" t="s">
        <v>74</v>
      </c>
    </row>
    <row r="670" spans="1:4" x14ac:dyDescent="0.45">
      <c r="A670" t="s">
        <v>60</v>
      </c>
      <c r="B670">
        <v>2023</v>
      </c>
      <c r="C670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1.8987999999999998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1.9458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1.9645999999999999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1.9176000000000002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2.0116000000000001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1.9176000000000002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1.8894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0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0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0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5.5000000000000005E-3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0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0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2.8576000000000001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2.6978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2.7165999999999997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2.7729999999999997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2.9327999999999999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2.867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2.8388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0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5.5000000000000005E-3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5.5000000000000005E-3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0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1.6499999999999997E-2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5.5000000000000005E-3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5.5000000000000005E-3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3.2618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3.2993999999999999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3.2523999999999997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3.2430000000000003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5.5000000000000005E-3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1.1000000000000001E-2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5.5000000000000005E-3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5.5000000000000005E-3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3.2999999999999995E-2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5.5000000000000005E-3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5.5000000000000005E-3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4.3146000000000004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0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1.5416000000000001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5.5000000000000005E-3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1.6499999999999997E-2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5.5000000000000005E-3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5.5000000000000005E-3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2.75E-2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5.5000000000000005E-3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5.5000000000000005E-3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4.5965999999999996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0.16919999999999999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5.5000000000000005E-3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2.2000000000000002E-2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5.5000000000000005E-3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5.5000000000000005E-3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3.85E-2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1.6499999999999997E-2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5.5000000000000005E-3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5.9501999999999997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0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9.4000000000000004E-3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1.6499999999999997E-2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4.4000000000000004E-2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1.6499999999999997E-2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1.6499999999999997E-2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7.1499999999999994E-2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3.2999999999999995E-2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5.5000000000000005E-3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7.3225999999999996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9.4000000000000004E-3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3.85E-2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7.6999999999999999E-2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2.75E-2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3.85E-2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0.1265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6.0500000000000005E-2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5.5000000000000005E-3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2020</v>
      </c>
      <c r="J156">
        <v>1.315E-2</v>
      </c>
      <c r="K156" t="s">
        <v>24</v>
      </c>
    </row>
    <row r="157" spans="1:12" x14ac:dyDescent="0.45">
      <c r="A157" t="s">
        <v>90</v>
      </c>
      <c r="B157" t="s">
        <v>4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2020</v>
      </c>
      <c r="J157">
        <v>1.3299999999999999E-2</v>
      </c>
      <c r="K157" t="s">
        <v>24</v>
      </c>
    </row>
    <row r="158" spans="1:12" x14ac:dyDescent="0.45">
      <c r="A158" t="s">
        <v>90</v>
      </c>
      <c r="B158" t="s">
        <v>0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2020</v>
      </c>
      <c r="J158">
        <v>1.345E-2</v>
      </c>
      <c r="K158" t="s">
        <v>24</v>
      </c>
    </row>
    <row r="159" spans="1:12" x14ac:dyDescent="0.45">
      <c r="A159" t="s">
        <v>90</v>
      </c>
      <c r="B159" t="s">
        <v>6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2020</v>
      </c>
      <c r="J159">
        <v>1.3250000000000001E-2</v>
      </c>
      <c r="K159" t="s">
        <v>24</v>
      </c>
    </row>
    <row r="160" spans="1:12" x14ac:dyDescent="0.45">
      <c r="A160" t="s">
        <v>90</v>
      </c>
      <c r="B160" t="s">
        <v>5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2020</v>
      </c>
      <c r="J160">
        <v>1.225E-2</v>
      </c>
      <c r="K160" t="s">
        <v>24</v>
      </c>
    </row>
    <row r="161" spans="1:11" x14ac:dyDescent="0.45">
      <c r="A161" t="s">
        <v>90</v>
      </c>
      <c r="B161" t="s">
        <v>2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2020</v>
      </c>
      <c r="J161">
        <v>1.32E-2</v>
      </c>
      <c r="K161" t="s">
        <v>24</v>
      </c>
    </row>
    <row r="162" spans="1:11" x14ac:dyDescent="0.45">
      <c r="A162" t="s">
        <v>90</v>
      </c>
      <c r="B162" t="s">
        <v>1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2020</v>
      </c>
      <c r="J162">
        <v>1.2799999999999999E-2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28</v>
      </c>
      <c r="E163" t="s">
        <v>25</v>
      </c>
      <c r="F163" t="s">
        <v>28</v>
      </c>
      <c r="G163" t="s">
        <v>26</v>
      </c>
      <c r="H163" t="s">
        <v>12</v>
      </c>
      <c r="I163">
        <v>2020</v>
      </c>
      <c r="J163">
        <v>1.7000000000000001E-2</v>
      </c>
      <c r="K163" t="s">
        <v>28</v>
      </c>
    </row>
    <row r="164" spans="1:11" x14ac:dyDescent="0.45">
      <c r="A164" t="s">
        <v>90</v>
      </c>
      <c r="B164" t="s">
        <v>4</v>
      </c>
      <c r="C164" t="s">
        <v>84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2020</v>
      </c>
      <c r="J164">
        <v>1.7649999999999999E-2</v>
      </c>
      <c r="K164" t="s">
        <v>28</v>
      </c>
    </row>
    <row r="165" spans="1:11" x14ac:dyDescent="0.45">
      <c r="A165" t="s">
        <v>90</v>
      </c>
      <c r="B165" t="s">
        <v>0</v>
      </c>
      <c r="C165" t="s">
        <v>84</v>
      </c>
      <c r="D165" t="s">
        <v>28</v>
      </c>
      <c r="E165" t="s">
        <v>25</v>
      </c>
      <c r="F165" t="s">
        <v>28</v>
      </c>
      <c r="G165" t="s">
        <v>26</v>
      </c>
      <c r="H165" t="s">
        <v>12</v>
      </c>
      <c r="I165">
        <v>2020</v>
      </c>
      <c r="J165">
        <v>1.745E-2</v>
      </c>
      <c r="K165" t="s">
        <v>28</v>
      </c>
    </row>
    <row r="166" spans="1:11" x14ac:dyDescent="0.45">
      <c r="A166" t="s">
        <v>90</v>
      </c>
      <c r="B166" t="s">
        <v>6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1.7000000000000001E-2</v>
      </c>
      <c r="K166" t="s">
        <v>28</v>
      </c>
    </row>
    <row r="167" spans="1:11" x14ac:dyDescent="0.45">
      <c r="A167" t="s">
        <v>90</v>
      </c>
      <c r="B167" t="s">
        <v>5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2020</v>
      </c>
      <c r="J167">
        <v>1.6750000000000001E-2</v>
      </c>
      <c r="K167" t="s">
        <v>28</v>
      </c>
    </row>
    <row r="168" spans="1:11" x14ac:dyDescent="0.45">
      <c r="A168" t="s">
        <v>90</v>
      </c>
      <c r="B168" t="s">
        <v>2</v>
      </c>
      <c r="C168" t="s">
        <v>84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2020</v>
      </c>
      <c r="J168">
        <v>1.6899999999999998E-2</v>
      </c>
      <c r="K168" t="s">
        <v>28</v>
      </c>
    </row>
    <row r="169" spans="1:11" x14ac:dyDescent="0.45">
      <c r="A169" t="s">
        <v>90</v>
      </c>
      <c r="B169" t="s">
        <v>1</v>
      </c>
      <c r="C169" t="s">
        <v>84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2020</v>
      </c>
      <c r="J169">
        <v>1.6449999999999999E-2</v>
      </c>
      <c r="K169" t="s">
        <v>28</v>
      </c>
    </row>
    <row r="170" spans="1:11" x14ac:dyDescent="0.45">
      <c r="A170" t="s">
        <v>90</v>
      </c>
      <c r="B170" t="s">
        <v>3</v>
      </c>
      <c r="C170" t="s">
        <v>84</v>
      </c>
      <c r="D170" t="s">
        <v>27</v>
      </c>
      <c r="E170" t="s">
        <v>25</v>
      </c>
      <c r="F170" t="s">
        <v>27</v>
      </c>
      <c r="G170" t="s">
        <v>26</v>
      </c>
      <c r="H170" t="s">
        <v>10</v>
      </c>
      <c r="I170">
        <v>2020</v>
      </c>
      <c r="J170">
        <v>0</v>
      </c>
      <c r="K170" t="s">
        <v>27</v>
      </c>
    </row>
    <row r="171" spans="1:11" x14ac:dyDescent="0.45">
      <c r="A171" t="s">
        <v>90</v>
      </c>
      <c r="B171" t="s">
        <v>4</v>
      </c>
      <c r="C171" t="s">
        <v>84</v>
      </c>
      <c r="D171" t="s">
        <v>27</v>
      </c>
      <c r="E171" t="s">
        <v>25</v>
      </c>
      <c r="F171" t="s">
        <v>27</v>
      </c>
      <c r="G171" t="s">
        <v>26</v>
      </c>
      <c r="H171" t="s">
        <v>10</v>
      </c>
      <c r="I171">
        <v>2020</v>
      </c>
      <c r="J171">
        <v>0</v>
      </c>
      <c r="K171" t="s">
        <v>27</v>
      </c>
    </row>
    <row r="172" spans="1:11" x14ac:dyDescent="0.45">
      <c r="A172" t="s">
        <v>90</v>
      </c>
      <c r="B172" t="s">
        <v>0</v>
      </c>
      <c r="C172" t="s">
        <v>84</v>
      </c>
      <c r="D172" t="s">
        <v>27</v>
      </c>
      <c r="E172" t="s">
        <v>25</v>
      </c>
      <c r="F172" t="s">
        <v>27</v>
      </c>
      <c r="G172" t="s">
        <v>26</v>
      </c>
      <c r="H172" t="s">
        <v>10</v>
      </c>
      <c r="I172">
        <v>2020</v>
      </c>
      <c r="J172">
        <v>0</v>
      </c>
      <c r="K172" t="s">
        <v>27</v>
      </c>
    </row>
    <row r="173" spans="1:11" x14ac:dyDescent="0.45">
      <c r="A173" t="s">
        <v>90</v>
      </c>
      <c r="B173" t="s">
        <v>6</v>
      </c>
      <c r="C173" t="s">
        <v>84</v>
      </c>
      <c r="D173" t="s">
        <v>27</v>
      </c>
      <c r="E173" t="s">
        <v>25</v>
      </c>
      <c r="F173" t="s">
        <v>27</v>
      </c>
      <c r="G173" t="s">
        <v>26</v>
      </c>
      <c r="H173" t="s">
        <v>10</v>
      </c>
      <c r="I173">
        <v>2020</v>
      </c>
      <c r="J173">
        <v>0</v>
      </c>
      <c r="K173" t="s">
        <v>27</v>
      </c>
    </row>
    <row r="174" spans="1:11" x14ac:dyDescent="0.45">
      <c r="A174" t="s">
        <v>90</v>
      </c>
      <c r="B174" t="s">
        <v>5</v>
      </c>
      <c r="C174" t="s">
        <v>84</v>
      </c>
      <c r="D174" t="s">
        <v>27</v>
      </c>
      <c r="E174" t="s">
        <v>25</v>
      </c>
      <c r="F174" t="s">
        <v>27</v>
      </c>
      <c r="G174" t="s">
        <v>26</v>
      </c>
      <c r="H174" t="s">
        <v>10</v>
      </c>
      <c r="I174">
        <v>2020</v>
      </c>
      <c r="J174">
        <v>0</v>
      </c>
      <c r="K174" t="s">
        <v>27</v>
      </c>
    </row>
    <row r="175" spans="1:11" x14ac:dyDescent="0.45">
      <c r="A175" t="s">
        <v>90</v>
      </c>
      <c r="B175" t="s">
        <v>2</v>
      </c>
      <c r="C175" t="s">
        <v>84</v>
      </c>
      <c r="D175" t="s">
        <v>27</v>
      </c>
      <c r="E175" t="s">
        <v>25</v>
      </c>
      <c r="F175" t="s">
        <v>27</v>
      </c>
      <c r="G175" t="s">
        <v>26</v>
      </c>
      <c r="H175" t="s">
        <v>10</v>
      </c>
      <c r="I175">
        <v>2020</v>
      </c>
      <c r="J175">
        <v>0</v>
      </c>
      <c r="K175" t="s">
        <v>27</v>
      </c>
    </row>
    <row r="176" spans="1:11" x14ac:dyDescent="0.45">
      <c r="A176" t="s">
        <v>90</v>
      </c>
      <c r="B176" t="s">
        <v>1</v>
      </c>
      <c r="C176" t="s">
        <v>84</v>
      </c>
      <c r="D176" t="s">
        <v>27</v>
      </c>
      <c r="E176" t="s">
        <v>25</v>
      </c>
      <c r="F176" t="s">
        <v>27</v>
      </c>
      <c r="G176" t="s">
        <v>26</v>
      </c>
      <c r="H176" t="s">
        <v>10</v>
      </c>
      <c r="I176">
        <v>2020</v>
      </c>
      <c r="J176">
        <v>0</v>
      </c>
      <c r="K176" t="s">
        <v>27</v>
      </c>
    </row>
    <row r="177" spans="1:12" x14ac:dyDescent="0.45">
      <c r="A177" t="s">
        <v>90</v>
      </c>
      <c r="B177" t="s">
        <v>3</v>
      </c>
      <c r="C177" t="s">
        <v>84</v>
      </c>
      <c r="D177" t="s">
        <v>85</v>
      </c>
      <c r="E177" t="s">
        <v>25</v>
      </c>
      <c r="F177" t="s">
        <v>85</v>
      </c>
      <c r="G177" t="s">
        <v>26</v>
      </c>
      <c r="H177" t="s">
        <v>82</v>
      </c>
      <c r="I177">
        <v>2020</v>
      </c>
      <c r="J177">
        <v>1E-4</v>
      </c>
      <c r="K177" t="s">
        <v>85</v>
      </c>
    </row>
    <row r="178" spans="1:12" x14ac:dyDescent="0.45">
      <c r="A178" t="s">
        <v>90</v>
      </c>
      <c r="B178" t="s">
        <v>4</v>
      </c>
      <c r="C178" t="s">
        <v>84</v>
      </c>
      <c r="D178" t="s">
        <v>85</v>
      </c>
      <c r="E178" t="s">
        <v>25</v>
      </c>
      <c r="F178" t="s">
        <v>85</v>
      </c>
      <c r="G178" t="s">
        <v>26</v>
      </c>
      <c r="H178" t="s">
        <v>82</v>
      </c>
      <c r="I178">
        <v>2020</v>
      </c>
      <c r="J178">
        <v>1E-4</v>
      </c>
      <c r="K178" t="s">
        <v>85</v>
      </c>
    </row>
    <row r="179" spans="1:12" x14ac:dyDescent="0.45">
      <c r="A179" t="s">
        <v>90</v>
      </c>
      <c r="B179" t="s">
        <v>0</v>
      </c>
      <c r="C179" t="s">
        <v>84</v>
      </c>
      <c r="D179" t="s">
        <v>85</v>
      </c>
      <c r="E179" t="s">
        <v>25</v>
      </c>
      <c r="F179" t="s">
        <v>85</v>
      </c>
      <c r="G179" t="s">
        <v>26</v>
      </c>
      <c r="H179" t="s">
        <v>82</v>
      </c>
      <c r="I179">
        <v>2020</v>
      </c>
      <c r="J179">
        <v>1E-4</v>
      </c>
      <c r="K179" t="s">
        <v>85</v>
      </c>
    </row>
    <row r="180" spans="1:12" x14ac:dyDescent="0.45">
      <c r="A180" t="s">
        <v>90</v>
      </c>
      <c r="B180" t="s">
        <v>6</v>
      </c>
      <c r="C180" t="s">
        <v>84</v>
      </c>
      <c r="D180" t="s">
        <v>85</v>
      </c>
      <c r="E180" t="s">
        <v>25</v>
      </c>
      <c r="F180" t="s">
        <v>85</v>
      </c>
      <c r="G180" t="s">
        <v>26</v>
      </c>
      <c r="H180" t="s">
        <v>82</v>
      </c>
      <c r="I180">
        <v>2020</v>
      </c>
      <c r="J180">
        <v>1E-4</v>
      </c>
      <c r="K180" t="s">
        <v>85</v>
      </c>
    </row>
    <row r="181" spans="1:12" x14ac:dyDescent="0.45">
      <c r="A181" t="s">
        <v>90</v>
      </c>
      <c r="B181" t="s">
        <v>5</v>
      </c>
      <c r="C181" t="s">
        <v>84</v>
      </c>
      <c r="D181" t="s">
        <v>85</v>
      </c>
      <c r="E181" t="s">
        <v>25</v>
      </c>
      <c r="F181" t="s">
        <v>85</v>
      </c>
      <c r="G181" t="s">
        <v>26</v>
      </c>
      <c r="H181" t="s">
        <v>82</v>
      </c>
      <c r="I181">
        <v>2020</v>
      </c>
      <c r="J181">
        <v>1E-4</v>
      </c>
      <c r="K181" t="s">
        <v>85</v>
      </c>
    </row>
    <row r="182" spans="1:12" x14ac:dyDescent="0.45">
      <c r="A182" t="s">
        <v>90</v>
      </c>
      <c r="B182" t="s">
        <v>2</v>
      </c>
      <c r="C182" t="s">
        <v>84</v>
      </c>
      <c r="D182" t="s">
        <v>85</v>
      </c>
      <c r="E182" t="s">
        <v>25</v>
      </c>
      <c r="F182" t="s">
        <v>85</v>
      </c>
      <c r="G182" t="s">
        <v>26</v>
      </c>
      <c r="H182" t="s">
        <v>82</v>
      </c>
      <c r="I182">
        <v>2020</v>
      </c>
      <c r="J182">
        <v>1E-4</v>
      </c>
      <c r="K182" t="s">
        <v>85</v>
      </c>
    </row>
    <row r="183" spans="1:12" x14ac:dyDescent="0.45">
      <c r="A183" t="s">
        <v>90</v>
      </c>
      <c r="B183" t="s">
        <v>1</v>
      </c>
      <c r="C183" t="s">
        <v>84</v>
      </c>
      <c r="D183" t="s">
        <v>85</v>
      </c>
      <c r="E183" t="s">
        <v>25</v>
      </c>
      <c r="F183" t="s">
        <v>85</v>
      </c>
      <c r="G183" t="s">
        <v>26</v>
      </c>
      <c r="H183" t="s">
        <v>82</v>
      </c>
      <c r="I183">
        <v>2020</v>
      </c>
      <c r="J183">
        <v>1E-4</v>
      </c>
      <c r="K183" t="s">
        <v>85</v>
      </c>
    </row>
    <row r="184" spans="1:12" x14ac:dyDescent="0.45">
      <c r="A184" t="s">
        <v>90</v>
      </c>
      <c r="B184" t="s">
        <v>3</v>
      </c>
      <c r="C184" t="s">
        <v>84</v>
      </c>
      <c r="D184" t="s">
        <v>52</v>
      </c>
      <c r="E184" t="s">
        <v>25</v>
      </c>
      <c r="F184" t="s">
        <v>52</v>
      </c>
      <c r="G184" t="s">
        <v>71</v>
      </c>
      <c r="H184" t="s">
        <v>89</v>
      </c>
      <c r="I184">
        <v>2020</v>
      </c>
      <c r="J184">
        <v>7.1000000000000004E-3</v>
      </c>
      <c r="K184" t="s">
        <v>52</v>
      </c>
      <c r="L184">
        <v>94</v>
      </c>
    </row>
    <row r="185" spans="1:12" x14ac:dyDescent="0.45">
      <c r="A185" t="s">
        <v>90</v>
      </c>
      <c r="B185" t="s">
        <v>4</v>
      </c>
      <c r="C185" t="s">
        <v>84</v>
      </c>
      <c r="D185" t="s">
        <v>52</v>
      </c>
      <c r="E185" t="s">
        <v>25</v>
      </c>
      <c r="F185" t="s">
        <v>52</v>
      </c>
      <c r="G185" t="s">
        <v>71</v>
      </c>
      <c r="H185" t="s">
        <v>89</v>
      </c>
      <c r="I185">
        <v>2020</v>
      </c>
      <c r="J185">
        <v>7.1000000000000004E-3</v>
      </c>
      <c r="K185" t="s">
        <v>52</v>
      </c>
      <c r="L185">
        <v>94</v>
      </c>
    </row>
    <row r="186" spans="1:12" x14ac:dyDescent="0.45">
      <c r="A186" t="s">
        <v>90</v>
      </c>
      <c r="B186" t="s">
        <v>0</v>
      </c>
      <c r="C186" t="s">
        <v>84</v>
      </c>
      <c r="D186" t="s">
        <v>52</v>
      </c>
      <c r="E186" t="s">
        <v>25</v>
      </c>
      <c r="F186" t="s">
        <v>52</v>
      </c>
      <c r="G186" t="s">
        <v>71</v>
      </c>
      <c r="H186" t="s">
        <v>89</v>
      </c>
      <c r="I186">
        <v>2020</v>
      </c>
      <c r="J186">
        <v>7.0000000000000001E-3</v>
      </c>
      <c r="K186" t="s">
        <v>52</v>
      </c>
      <c r="L186">
        <v>94</v>
      </c>
    </row>
    <row r="187" spans="1:12" x14ac:dyDescent="0.45">
      <c r="A187" t="s">
        <v>90</v>
      </c>
      <c r="B187" t="s">
        <v>6</v>
      </c>
      <c r="C187" t="s">
        <v>84</v>
      </c>
      <c r="D187" t="s">
        <v>52</v>
      </c>
      <c r="E187" t="s">
        <v>25</v>
      </c>
      <c r="F187" t="s">
        <v>52</v>
      </c>
      <c r="G187" t="s">
        <v>71</v>
      </c>
      <c r="H187" t="s">
        <v>89</v>
      </c>
      <c r="I187">
        <v>2020</v>
      </c>
      <c r="J187">
        <v>7.1000000000000004E-3</v>
      </c>
      <c r="K187" t="s">
        <v>52</v>
      </c>
      <c r="L187">
        <v>94</v>
      </c>
    </row>
    <row r="188" spans="1:12" x14ac:dyDescent="0.45">
      <c r="A188" t="s">
        <v>90</v>
      </c>
      <c r="B188" t="s">
        <v>5</v>
      </c>
      <c r="C188" t="s">
        <v>84</v>
      </c>
      <c r="D188" t="s">
        <v>52</v>
      </c>
      <c r="E188" t="s">
        <v>25</v>
      </c>
      <c r="F188" t="s">
        <v>52</v>
      </c>
      <c r="G188" t="s">
        <v>71</v>
      </c>
      <c r="H188" t="s">
        <v>89</v>
      </c>
      <c r="I188">
        <v>2020</v>
      </c>
      <c r="J188">
        <v>6.7000000000000002E-3</v>
      </c>
      <c r="K188" t="s">
        <v>52</v>
      </c>
      <c r="L188">
        <v>94</v>
      </c>
    </row>
    <row r="189" spans="1:12" x14ac:dyDescent="0.45">
      <c r="A189" t="s">
        <v>90</v>
      </c>
      <c r="B189" t="s">
        <v>2</v>
      </c>
      <c r="C189" t="s">
        <v>84</v>
      </c>
      <c r="D189" t="s">
        <v>52</v>
      </c>
      <c r="E189" t="s">
        <v>25</v>
      </c>
      <c r="F189" t="s">
        <v>52</v>
      </c>
      <c r="G189" t="s">
        <v>71</v>
      </c>
      <c r="H189" t="s">
        <v>89</v>
      </c>
      <c r="I189">
        <v>2020</v>
      </c>
      <c r="J189">
        <v>7.1000000000000004E-3</v>
      </c>
      <c r="K189" t="s">
        <v>52</v>
      </c>
      <c r="L189">
        <v>94</v>
      </c>
    </row>
    <row r="190" spans="1:12" x14ac:dyDescent="0.45">
      <c r="A190" t="s">
        <v>90</v>
      </c>
      <c r="B190" t="s">
        <v>1</v>
      </c>
      <c r="C190" t="s">
        <v>84</v>
      </c>
      <c r="D190" t="s">
        <v>52</v>
      </c>
      <c r="E190" t="s">
        <v>25</v>
      </c>
      <c r="F190" t="s">
        <v>52</v>
      </c>
      <c r="G190" t="s">
        <v>71</v>
      </c>
      <c r="H190" t="s">
        <v>89</v>
      </c>
      <c r="I190">
        <v>2020</v>
      </c>
      <c r="J190">
        <v>7.0000000000000001E-3</v>
      </c>
      <c r="K190" t="s">
        <v>52</v>
      </c>
      <c r="L190">
        <v>94</v>
      </c>
    </row>
    <row r="191" spans="1:12" x14ac:dyDescent="0.45">
      <c r="A191" t="s">
        <v>90</v>
      </c>
      <c r="B191" t="s">
        <v>3</v>
      </c>
      <c r="C191" t="s">
        <v>84</v>
      </c>
      <c r="D191" t="s">
        <v>53</v>
      </c>
      <c r="E191" t="s">
        <v>25</v>
      </c>
      <c r="F191" t="s">
        <v>53</v>
      </c>
      <c r="G191" t="s">
        <v>71</v>
      </c>
      <c r="H191" t="s">
        <v>89</v>
      </c>
      <c r="I191">
        <v>2020</v>
      </c>
      <c r="J191">
        <v>0</v>
      </c>
      <c r="K191" t="s">
        <v>53</v>
      </c>
      <c r="L191">
        <v>55</v>
      </c>
    </row>
    <row r="192" spans="1:12" x14ac:dyDescent="0.45">
      <c r="A192" t="s">
        <v>90</v>
      </c>
      <c r="B192" t="s">
        <v>4</v>
      </c>
      <c r="C192" t="s">
        <v>84</v>
      </c>
      <c r="D192" t="s">
        <v>53</v>
      </c>
      <c r="E192" t="s">
        <v>25</v>
      </c>
      <c r="F192" t="s">
        <v>53</v>
      </c>
      <c r="G192" t="s">
        <v>71</v>
      </c>
      <c r="H192" t="s">
        <v>89</v>
      </c>
      <c r="I192">
        <v>2020</v>
      </c>
      <c r="J192">
        <v>0</v>
      </c>
      <c r="K192" t="s">
        <v>53</v>
      </c>
      <c r="L192">
        <v>55</v>
      </c>
    </row>
    <row r="193" spans="1:12" x14ac:dyDescent="0.45">
      <c r="A193" t="s">
        <v>90</v>
      </c>
      <c r="B193" t="s">
        <v>0</v>
      </c>
      <c r="C193" t="s">
        <v>84</v>
      </c>
      <c r="D193" t="s">
        <v>53</v>
      </c>
      <c r="E193" t="s">
        <v>25</v>
      </c>
      <c r="F193" t="s">
        <v>53</v>
      </c>
      <c r="G193" t="s">
        <v>71</v>
      </c>
      <c r="H193" t="s">
        <v>89</v>
      </c>
      <c r="I193">
        <v>2020</v>
      </c>
      <c r="J193">
        <v>0</v>
      </c>
      <c r="K193" t="s">
        <v>53</v>
      </c>
      <c r="L193">
        <v>55</v>
      </c>
    </row>
    <row r="194" spans="1:12" x14ac:dyDescent="0.45">
      <c r="A194" t="s">
        <v>90</v>
      </c>
      <c r="B194" t="s">
        <v>6</v>
      </c>
      <c r="C194" t="s">
        <v>84</v>
      </c>
      <c r="D194" t="s">
        <v>53</v>
      </c>
      <c r="E194" t="s">
        <v>25</v>
      </c>
      <c r="F194" t="s">
        <v>53</v>
      </c>
      <c r="G194" t="s">
        <v>71</v>
      </c>
      <c r="H194" t="s">
        <v>89</v>
      </c>
      <c r="I194">
        <v>2020</v>
      </c>
      <c r="J194">
        <v>0</v>
      </c>
      <c r="K194" t="s">
        <v>53</v>
      </c>
      <c r="L194">
        <v>55</v>
      </c>
    </row>
    <row r="195" spans="1:12" x14ac:dyDescent="0.45">
      <c r="A195" t="s">
        <v>90</v>
      </c>
      <c r="B195" t="s">
        <v>5</v>
      </c>
      <c r="C195" t="s">
        <v>84</v>
      </c>
      <c r="D195" t="s">
        <v>53</v>
      </c>
      <c r="E195" t="s">
        <v>25</v>
      </c>
      <c r="F195" t="s">
        <v>53</v>
      </c>
      <c r="G195" t="s">
        <v>71</v>
      </c>
      <c r="H195" t="s">
        <v>89</v>
      </c>
      <c r="I195">
        <v>2020</v>
      </c>
      <c r="J195">
        <v>1E-4</v>
      </c>
      <c r="K195" t="s">
        <v>53</v>
      </c>
      <c r="L195">
        <v>55</v>
      </c>
    </row>
    <row r="196" spans="1:12" x14ac:dyDescent="0.45">
      <c r="A196" t="s">
        <v>90</v>
      </c>
      <c r="B196" t="s">
        <v>2</v>
      </c>
      <c r="C196" t="s">
        <v>84</v>
      </c>
      <c r="D196" t="s">
        <v>53</v>
      </c>
      <c r="E196" t="s">
        <v>25</v>
      </c>
      <c r="F196" t="s">
        <v>53</v>
      </c>
      <c r="G196" t="s">
        <v>71</v>
      </c>
      <c r="H196" t="s">
        <v>89</v>
      </c>
      <c r="I196">
        <v>2020</v>
      </c>
      <c r="J196">
        <v>0</v>
      </c>
      <c r="K196" t="s">
        <v>53</v>
      </c>
      <c r="L196">
        <v>55</v>
      </c>
    </row>
    <row r="197" spans="1:12" x14ac:dyDescent="0.45">
      <c r="A197" t="s">
        <v>90</v>
      </c>
      <c r="B197" t="s">
        <v>1</v>
      </c>
      <c r="C197" t="s">
        <v>84</v>
      </c>
      <c r="D197" t="s">
        <v>53</v>
      </c>
      <c r="E197" t="s">
        <v>25</v>
      </c>
      <c r="F197" t="s">
        <v>53</v>
      </c>
      <c r="G197" t="s">
        <v>71</v>
      </c>
      <c r="H197" t="s">
        <v>89</v>
      </c>
      <c r="I197">
        <v>2020</v>
      </c>
      <c r="J197">
        <v>0</v>
      </c>
      <c r="K197" t="s">
        <v>53</v>
      </c>
      <c r="L197">
        <v>55</v>
      </c>
    </row>
    <row r="198" spans="1:12" x14ac:dyDescent="0.45">
      <c r="A198" t="s">
        <v>90</v>
      </c>
      <c r="B198" t="s">
        <v>3</v>
      </c>
      <c r="C198" t="s">
        <v>84</v>
      </c>
      <c r="D198" t="s">
        <v>54</v>
      </c>
      <c r="E198" t="s">
        <v>25</v>
      </c>
      <c r="F198" t="s">
        <v>54</v>
      </c>
      <c r="G198" t="s">
        <v>71</v>
      </c>
      <c r="H198" t="s">
        <v>89</v>
      </c>
      <c r="I198">
        <v>2020</v>
      </c>
      <c r="J198">
        <v>0</v>
      </c>
      <c r="K198" t="s">
        <v>54</v>
      </c>
      <c r="L198">
        <v>70</v>
      </c>
    </row>
    <row r="199" spans="1:12" x14ac:dyDescent="0.45">
      <c r="A199" t="s">
        <v>90</v>
      </c>
      <c r="B199" t="s">
        <v>4</v>
      </c>
      <c r="C199" t="s">
        <v>84</v>
      </c>
      <c r="D199" t="s">
        <v>54</v>
      </c>
      <c r="E199" t="s">
        <v>25</v>
      </c>
      <c r="F199" t="s">
        <v>54</v>
      </c>
      <c r="G199" t="s">
        <v>71</v>
      </c>
      <c r="H199" t="s">
        <v>89</v>
      </c>
      <c r="I199">
        <v>2020</v>
      </c>
      <c r="J199">
        <v>0</v>
      </c>
      <c r="K199" t="s">
        <v>54</v>
      </c>
      <c r="L199">
        <v>70</v>
      </c>
    </row>
    <row r="200" spans="1:12" x14ac:dyDescent="0.45">
      <c r="A200" t="s">
        <v>90</v>
      </c>
      <c r="B200" t="s">
        <v>0</v>
      </c>
      <c r="C200" t="s">
        <v>84</v>
      </c>
      <c r="D200" t="s">
        <v>54</v>
      </c>
      <c r="E200" t="s">
        <v>25</v>
      </c>
      <c r="F200" t="s">
        <v>54</v>
      </c>
      <c r="G200" t="s">
        <v>71</v>
      </c>
      <c r="H200" t="s">
        <v>89</v>
      </c>
      <c r="I200">
        <v>2020</v>
      </c>
      <c r="J200">
        <v>0</v>
      </c>
      <c r="K200" t="s">
        <v>54</v>
      </c>
      <c r="L200">
        <v>70</v>
      </c>
    </row>
    <row r="201" spans="1:12" x14ac:dyDescent="0.45">
      <c r="A201" t="s">
        <v>90</v>
      </c>
      <c r="B201" t="s">
        <v>6</v>
      </c>
      <c r="C201" t="s">
        <v>84</v>
      </c>
      <c r="D201" t="s">
        <v>54</v>
      </c>
      <c r="E201" t="s">
        <v>25</v>
      </c>
      <c r="F201" t="s">
        <v>54</v>
      </c>
      <c r="G201" t="s">
        <v>71</v>
      </c>
      <c r="H201" t="s">
        <v>89</v>
      </c>
      <c r="I201">
        <v>2020</v>
      </c>
      <c r="J201">
        <v>0</v>
      </c>
      <c r="K201" t="s">
        <v>54</v>
      </c>
      <c r="L201">
        <v>70</v>
      </c>
    </row>
    <row r="202" spans="1:12" x14ac:dyDescent="0.45">
      <c r="A202" t="s">
        <v>90</v>
      </c>
      <c r="B202" t="s">
        <v>5</v>
      </c>
      <c r="C202" t="s">
        <v>84</v>
      </c>
      <c r="D202" t="s">
        <v>54</v>
      </c>
      <c r="E202" t="s">
        <v>25</v>
      </c>
      <c r="F202" t="s">
        <v>54</v>
      </c>
      <c r="G202" t="s">
        <v>71</v>
      </c>
      <c r="H202" t="s">
        <v>89</v>
      </c>
      <c r="I202">
        <v>2020</v>
      </c>
      <c r="J202">
        <v>0</v>
      </c>
      <c r="K202" t="s">
        <v>54</v>
      </c>
      <c r="L202">
        <v>70</v>
      </c>
    </row>
    <row r="203" spans="1:12" x14ac:dyDescent="0.45">
      <c r="A203" t="s">
        <v>90</v>
      </c>
      <c r="B203" t="s">
        <v>2</v>
      </c>
      <c r="C203" t="s">
        <v>84</v>
      </c>
      <c r="D203" t="s">
        <v>54</v>
      </c>
      <c r="E203" t="s">
        <v>25</v>
      </c>
      <c r="F203" t="s">
        <v>54</v>
      </c>
      <c r="G203" t="s">
        <v>71</v>
      </c>
      <c r="H203" t="s">
        <v>89</v>
      </c>
      <c r="I203">
        <v>2020</v>
      </c>
      <c r="J203">
        <v>0</v>
      </c>
      <c r="K203" t="s">
        <v>54</v>
      </c>
      <c r="L203">
        <v>70</v>
      </c>
    </row>
    <row r="204" spans="1:12" x14ac:dyDescent="0.45">
      <c r="A204" t="s">
        <v>90</v>
      </c>
      <c r="B204" t="s">
        <v>1</v>
      </c>
      <c r="C204" t="s">
        <v>84</v>
      </c>
      <c r="D204" t="s">
        <v>54</v>
      </c>
      <c r="E204" t="s">
        <v>25</v>
      </c>
      <c r="F204" t="s">
        <v>54</v>
      </c>
      <c r="G204" t="s">
        <v>71</v>
      </c>
      <c r="H204" t="s">
        <v>89</v>
      </c>
      <c r="I204">
        <v>2020</v>
      </c>
      <c r="J204">
        <v>0</v>
      </c>
      <c r="K204" t="s">
        <v>54</v>
      </c>
      <c r="L204">
        <v>70</v>
      </c>
    </row>
    <row r="205" spans="1:12" x14ac:dyDescent="0.45">
      <c r="A205" t="s">
        <v>90</v>
      </c>
      <c r="B205" t="s">
        <v>3</v>
      </c>
      <c r="C205" t="s">
        <v>84</v>
      </c>
      <c r="D205" t="s">
        <v>29</v>
      </c>
      <c r="E205" t="s">
        <v>30</v>
      </c>
      <c r="F205" t="s">
        <v>29</v>
      </c>
      <c r="G205" t="s">
        <v>31</v>
      </c>
      <c r="H205" t="s">
        <v>32</v>
      </c>
      <c r="I205">
        <v>2020</v>
      </c>
      <c r="J205">
        <v>5.3799000000000001</v>
      </c>
      <c r="K205" t="s">
        <v>29</v>
      </c>
    </row>
    <row r="206" spans="1:12" x14ac:dyDescent="0.45">
      <c r="A206" t="s">
        <v>90</v>
      </c>
      <c r="B206" t="s">
        <v>4</v>
      </c>
      <c r="C206" t="s">
        <v>84</v>
      </c>
      <c r="D206" t="s">
        <v>29</v>
      </c>
      <c r="E206" t="s">
        <v>30</v>
      </c>
      <c r="F206" t="s">
        <v>29</v>
      </c>
      <c r="G206" t="s">
        <v>31</v>
      </c>
      <c r="H206" t="s">
        <v>32</v>
      </c>
      <c r="I206">
        <v>2020</v>
      </c>
      <c r="J206">
        <v>5.3799000000000001</v>
      </c>
      <c r="K206" t="s">
        <v>29</v>
      </c>
    </row>
    <row r="207" spans="1:12" x14ac:dyDescent="0.45">
      <c r="A207" t="s">
        <v>90</v>
      </c>
      <c r="B207" t="s">
        <v>0</v>
      </c>
      <c r="C207" t="s">
        <v>84</v>
      </c>
      <c r="D207" t="s">
        <v>29</v>
      </c>
      <c r="E207" t="s">
        <v>30</v>
      </c>
      <c r="F207" t="s">
        <v>29</v>
      </c>
      <c r="G207" t="s">
        <v>31</v>
      </c>
      <c r="H207" t="s">
        <v>32</v>
      </c>
      <c r="I207">
        <v>2020</v>
      </c>
      <c r="J207">
        <v>5.3799000000000001</v>
      </c>
      <c r="K207" t="s">
        <v>29</v>
      </c>
    </row>
    <row r="208" spans="1:12" x14ac:dyDescent="0.45">
      <c r="A208" t="s">
        <v>90</v>
      </c>
      <c r="B208" t="s">
        <v>6</v>
      </c>
      <c r="C208" t="s">
        <v>84</v>
      </c>
      <c r="D208" t="s">
        <v>29</v>
      </c>
      <c r="E208" t="s">
        <v>30</v>
      </c>
      <c r="F208" t="s">
        <v>29</v>
      </c>
      <c r="G208" t="s">
        <v>31</v>
      </c>
      <c r="H208" t="s">
        <v>32</v>
      </c>
      <c r="I208">
        <v>2020</v>
      </c>
      <c r="J208">
        <v>5.3799000000000001</v>
      </c>
      <c r="K208" t="s">
        <v>29</v>
      </c>
    </row>
    <row r="209" spans="1:11" x14ac:dyDescent="0.45">
      <c r="A209" t="s">
        <v>90</v>
      </c>
      <c r="B209" t="s">
        <v>5</v>
      </c>
      <c r="C209" t="s">
        <v>84</v>
      </c>
      <c r="D209" t="s">
        <v>29</v>
      </c>
      <c r="E209" t="s">
        <v>30</v>
      </c>
      <c r="F209" t="s">
        <v>29</v>
      </c>
      <c r="G209" t="s">
        <v>31</v>
      </c>
      <c r="H209" t="s">
        <v>32</v>
      </c>
      <c r="I209">
        <v>2020</v>
      </c>
      <c r="J209">
        <v>5.3799000000000001</v>
      </c>
      <c r="K209" t="s">
        <v>29</v>
      </c>
    </row>
    <row r="210" spans="1:11" x14ac:dyDescent="0.45">
      <c r="A210" t="s">
        <v>90</v>
      </c>
      <c r="B210" t="s">
        <v>2</v>
      </c>
      <c r="C210" t="s">
        <v>84</v>
      </c>
      <c r="D210" t="s">
        <v>29</v>
      </c>
      <c r="E210" t="s">
        <v>30</v>
      </c>
      <c r="F210" t="s">
        <v>29</v>
      </c>
      <c r="G210" t="s">
        <v>31</v>
      </c>
      <c r="H210" t="s">
        <v>32</v>
      </c>
      <c r="I210">
        <v>2020</v>
      </c>
      <c r="J210">
        <v>5.3799000000000001</v>
      </c>
      <c r="K210" t="s">
        <v>29</v>
      </c>
    </row>
    <row r="211" spans="1:11" x14ac:dyDescent="0.45">
      <c r="A211" t="s">
        <v>90</v>
      </c>
      <c r="B211" t="s">
        <v>1</v>
      </c>
      <c r="C211" t="s">
        <v>84</v>
      </c>
      <c r="D211" t="s">
        <v>29</v>
      </c>
      <c r="E211" t="s">
        <v>30</v>
      </c>
      <c r="F211" t="s">
        <v>29</v>
      </c>
      <c r="G211" t="s">
        <v>31</v>
      </c>
      <c r="H211" t="s">
        <v>32</v>
      </c>
      <c r="I211">
        <v>2020</v>
      </c>
      <c r="J211">
        <v>5.3799000000000001</v>
      </c>
      <c r="K211" t="s">
        <v>29</v>
      </c>
    </row>
    <row r="212" spans="1:11" x14ac:dyDescent="0.45">
      <c r="A212" t="s">
        <v>90</v>
      </c>
      <c r="B212" t="s">
        <v>3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2020</v>
      </c>
      <c r="J212">
        <v>2.0344000000000002</v>
      </c>
      <c r="K212" t="s">
        <v>33</v>
      </c>
    </row>
    <row r="213" spans="1:11" x14ac:dyDescent="0.45">
      <c r="A213" t="s">
        <v>90</v>
      </c>
      <c r="B213" t="s">
        <v>4</v>
      </c>
      <c r="C213" t="s">
        <v>84</v>
      </c>
      <c r="D213" t="s">
        <v>33</v>
      </c>
      <c r="E213" t="s">
        <v>30</v>
      </c>
      <c r="F213" t="s">
        <v>33</v>
      </c>
      <c r="G213" t="s">
        <v>31</v>
      </c>
      <c r="H213" t="s">
        <v>34</v>
      </c>
      <c r="I213">
        <v>2020</v>
      </c>
      <c r="J213">
        <v>2.0344000000000002</v>
      </c>
      <c r="K213" t="s">
        <v>33</v>
      </c>
    </row>
    <row r="214" spans="1:11" x14ac:dyDescent="0.45">
      <c r="A214" t="s">
        <v>90</v>
      </c>
      <c r="B214" t="s">
        <v>0</v>
      </c>
      <c r="C214" t="s">
        <v>84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2020</v>
      </c>
      <c r="J214">
        <v>2.0344000000000002</v>
      </c>
      <c r="K214" t="s">
        <v>33</v>
      </c>
    </row>
    <row r="215" spans="1:11" x14ac:dyDescent="0.45">
      <c r="A215" t="s">
        <v>90</v>
      </c>
      <c r="B215" t="s">
        <v>6</v>
      </c>
      <c r="C215" t="s">
        <v>84</v>
      </c>
      <c r="D215" t="s">
        <v>33</v>
      </c>
      <c r="E215" t="s">
        <v>30</v>
      </c>
      <c r="F215" t="s">
        <v>33</v>
      </c>
      <c r="G215" t="s">
        <v>31</v>
      </c>
      <c r="H215" t="s">
        <v>34</v>
      </c>
      <c r="I215">
        <v>2020</v>
      </c>
      <c r="J215">
        <v>2.0344000000000002</v>
      </c>
      <c r="K215" t="s">
        <v>33</v>
      </c>
    </row>
    <row r="216" spans="1:11" x14ac:dyDescent="0.45">
      <c r="A216" t="s">
        <v>90</v>
      </c>
      <c r="B216" t="s">
        <v>5</v>
      </c>
      <c r="C216" t="s">
        <v>84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2020</v>
      </c>
      <c r="J216">
        <v>2.0344000000000002</v>
      </c>
      <c r="K216" t="s">
        <v>33</v>
      </c>
    </row>
    <row r="217" spans="1:11" x14ac:dyDescent="0.45">
      <c r="A217" t="s">
        <v>90</v>
      </c>
      <c r="B217" t="s">
        <v>2</v>
      </c>
      <c r="C217" t="s">
        <v>84</v>
      </c>
      <c r="D217" t="s">
        <v>33</v>
      </c>
      <c r="E217" t="s">
        <v>30</v>
      </c>
      <c r="F217" t="s">
        <v>33</v>
      </c>
      <c r="G217" t="s">
        <v>31</v>
      </c>
      <c r="H217" t="s">
        <v>34</v>
      </c>
      <c r="I217">
        <v>2020</v>
      </c>
      <c r="J217">
        <v>2.0344000000000002</v>
      </c>
      <c r="K217" t="s">
        <v>33</v>
      </c>
    </row>
    <row r="218" spans="1:11" x14ac:dyDescent="0.45">
      <c r="A218" t="s">
        <v>90</v>
      </c>
      <c r="B218" t="s">
        <v>1</v>
      </c>
      <c r="C218" t="s">
        <v>84</v>
      </c>
      <c r="D218" t="s">
        <v>33</v>
      </c>
      <c r="E218" t="s">
        <v>30</v>
      </c>
      <c r="F218" t="s">
        <v>33</v>
      </c>
      <c r="G218" t="s">
        <v>31</v>
      </c>
      <c r="H218" t="s">
        <v>34</v>
      </c>
      <c r="I218">
        <v>2020</v>
      </c>
      <c r="J218">
        <v>2.0344000000000002</v>
      </c>
      <c r="K218" t="s">
        <v>33</v>
      </c>
    </row>
    <row r="219" spans="1:11" x14ac:dyDescent="0.45">
      <c r="A219" t="s">
        <v>90</v>
      </c>
      <c r="B219" t="s">
        <v>3</v>
      </c>
      <c r="C219" t="s">
        <v>84</v>
      </c>
      <c r="D219" t="s">
        <v>35</v>
      </c>
      <c r="E219" t="s">
        <v>30</v>
      </c>
      <c r="F219" t="s">
        <v>35</v>
      </c>
      <c r="G219" t="s">
        <v>31</v>
      </c>
      <c r="H219" t="s">
        <v>36</v>
      </c>
      <c r="I219">
        <v>2020</v>
      </c>
      <c r="J219">
        <v>3.9710999999999999</v>
      </c>
      <c r="K219" t="s">
        <v>35</v>
      </c>
    </row>
    <row r="220" spans="1:11" x14ac:dyDescent="0.45">
      <c r="A220" t="s">
        <v>90</v>
      </c>
      <c r="B220" t="s">
        <v>4</v>
      </c>
      <c r="C220" t="s">
        <v>84</v>
      </c>
      <c r="D220" t="s">
        <v>35</v>
      </c>
      <c r="E220" t="s">
        <v>30</v>
      </c>
      <c r="F220" t="s">
        <v>35</v>
      </c>
      <c r="G220" t="s">
        <v>31</v>
      </c>
      <c r="H220" t="s">
        <v>36</v>
      </c>
      <c r="I220">
        <v>2020</v>
      </c>
      <c r="J220">
        <v>3.9710999999999999</v>
      </c>
      <c r="K220" t="s">
        <v>35</v>
      </c>
    </row>
    <row r="221" spans="1:11" x14ac:dyDescent="0.45">
      <c r="A221" t="s">
        <v>90</v>
      </c>
      <c r="B221" t="s">
        <v>0</v>
      </c>
      <c r="C221" t="s">
        <v>84</v>
      </c>
      <c r="D221" t="s">
        <v>35</v>
      </c>
      <c r="E221" t="s">
        <v>30</v>
      </c>
      <c r="F221" t="s">
        <v>35</v>
      </c>
      <c r="G221" t="s">
        <v>31</v>
      </c>
      <c r="H221" t="s">
        <v>36</v>
      </c>
      <c r="I221">
        <v>2020</v>
      </c>
      <c r="J221">
        <v>3.9710999999999999</v>
      </c>
      <c r="K221" t="s">
        <v>35</v>
      </c>
    </row>
    <row r="222" spans="1:11" x14ac:dyDescent="0.45">
      <c r="A222" t="s">
        <v>90</v>
      </c>
      <c r="B222" t="s">
        <v>6</v>
      </c>
      <c r="C222" t="s">
        <v>84</v>
      </c>
      <c r="D222" t="s">
        <v>35</v>
      </c>
      <c r="E222" t="s">
        <v>30</v>
      </c>
      <c r="F222" t="s">
        <v>35</v>
      </c>
      <c r="G222" t="s">
        <v>31</v>
      </c>
      <c r="H222" t="s">
        <v>36</v>
      </c>
      <c r="I222">
        <v>2020</v>
      </c>
      <c r="J222">
        <v>3.9710999999999999</v>
      </c>
      <c r="K222" t="s">
        <v>35</v>
      </c>
    </row>
    <row r="223" spans="1:11" x14ac:dyDescent="0.45">
      <c r="A223" t="s">
        <v>90</v>
      </c>
      <c r="B223" t="s">
        <v>5</v>
      </c>
      <c r="C223" t="s">
        <v>84</v>
      </c>
      <c r="D223" t="s">
        <v>35</v>
      </c>
      <c r="E223" t="s">
        <v>30</v>
      </c>
      <c r="F223" t="s">
        <v>35</v>
      </c>
      <c r="G223" t="s">
        <v>31</v>
      </c>
      <c r="H223" t="s">
        <v>36</v>
      </c>
      <c r="I223">
        <v>2020</v>
      </c>
      <c r="J223">
        <v>3.9710999999999999</v>
      </c>
      <c r="K223" t="s">
        <v>35</v>
      </c>
    </row>
    <row r="224" spans="1:11" x14ac:dyDescent="0.45">
      <c r="A224" t="s">
        <v>90</v>
      </c>
      <c r="B224" t="s">
        <v>2</v>
      </c>
      <c r="C224" t="s">
        <v>84</v>
      </c>
      <c r="D224" t="s">
        <v>35</v>
      </c>
      <c r="E224" t="s">
        <v>30</v>
      </c>
      <c r="F224" t="s">
        <v>35</v>
      </c>
      <c r="G224" t="s">
        <v>31</v>
      </c>
      <c r="H224" t="s">
        <v>36</v>
      </c>
      <c r="I224">
        <v>2020</v>
      </c>
      <c r="J224">
        <v>3.9710999999999999</v>
      </c>
      <c r="K224" t="s">
        <v>35</v>
      </c>
    </row>
    <row r="225" spans="1:11" x14ac:dyDescent="0.45">
      <c r="A225" t="s">
        <v>90</v>
      </c>
      <c r="B225" t="s">
        <v>1</v>
      </c>
      <c r="C225" t="s">
        <v>84</v>
      </c>
      <c r="D225" t="s">
        <v>35</v>
      </c>
      <c r="E225" t="s">
        <v>30</v>
      </c>
      <c r="F225" t="s">
        <v>35</v>
      </c>
      <c r="G225" t="s">
        <v>31</v>
      </c>
      <c r="H225" t="s">
        <v>36</v>
      </c>
      <c r="I225">
        <v>2020</v>
      </c>
      <c r="J225">
        <v>3.9710999999999999</v>
      </c>
      <c r="K225" t="s">
        <v>35</v>
      </c>
    </row>
    <row r="226" spans="1:11" x14ac:dyDescent="0.45">
      <c r="A226" t="s">
        <v>90</v>
      </c>
      <c r="B226" t="s">
        <v>3</v>
      </c>
      <c r="C226" t="s">
        <v>84</v>
      </c>
      <c r="D226" t="s">
        <v>37</v>
      </c>
      <c r="E226" t="s">
        <v>30</v>
      </c>
      <c r="F226" t="s">
        <v>37</v>
      </c>
      <c r="G226" t="s">
        <v>31</v>
      </c>
      <c r="H226" t="s">
        <v>38</v>
      </c>
      <c r="I226">
        <v>2020</v>
      </c>
      <c r="J226">
        <v>65.189400000000006</v>
      </c>
      <c r="K226" t="s">
        <v>37</v>
      </c>
    </row>
    <row r="227" spans="1:11" x14ac:dyDescent="0.45">
      <c r="A227" t="s">
        <v>90</v>
      </c>
      <c r="B227" t="s">
        <v>4</v>
      </c>
      <c r="C227" t="s">
        <v>84</v>
      </c>
      <c r="D227" t="s">
        <v>37</v>
      </c>
      <c r="E227" t="s">
        <v>30</v>
      </c>
      <c r="F227" t="s">
        <v>37</v>
      </c>
      <c r="G227" t="s">
        <v>31</v>
      </c>
      <c r="H227" t="s">
        <v>38</v>
      </c>
      <c r="I227">
        <v>2020</v>
      </c>
      <c r="J227">
        <v>65.189400000000006</v>
      </c>
      <c r="K227" t="s">
        <v>37</v>
      </c>
    </row>
    <row r="228" spans="1:11" x14ac:dyDescent="0.45">
      <c r="A228" t="s">
        <v>90</v>
      </c>
      <c r="B228" t="s">
        <v>0</v>
      </c>
      <c r="C228" t="s">
        <v>84</v>
      </c>
      <c r="D228" t="s">
        <v>37</v>
      </c>
      <c r="E228" t="s">
        <v>30</v>
      </c>
      <c r="F228" t="s">
        <v>37</v>
      </c>
      <c r="G228" t="s">
        <v>31</v>
      </c>
      <c r="H228" t="s">
        <v>38</v>
      </c>
      <c r="I228">
        <v>2020</v>
      </c>
      <c r="J228">
        <v>65.189400000000006</v>
      </c>
      <c r="K228" t="s">
        <v>37</v>
      </c>
    </row>
    <row r="229" spans="1:11" x14ac:dyDescent="0.45">
      <c r="A229" t="s">
        <v>90</v>
      </c>
      <c r="B229" t="s">
        <v>6</v>
      </c>
      <c r="C229" t="s">
        <v>84</v>
      </c>
      <c r="D229" t="s">
        <v>37</v>
      </c>
      <c r="E229" t="s">
        <v>30</v>
      </c>
      <c r="F229" t="s">
        <v>37</v>
      </c>
      <c r="G229" t="s">
        <v>31</v>
      </c>
      <c r="H229" t="s">
        <v>38</v>
      </c>
      <c r="I229">
        <v>2020</v>
      </c>
      <c r="J229">
        <v>65.189400000000006</v>
      </c>
      <c r="K229" t="s">
        <v>37</v>
      </c>
    </row>
    <row r="230" spans="1:11" x14ac:dyDescent="0.45">
      <c r="A230" t="s">
        <v>90</v>
      </c>
      <c r="B230" t="s">
        <v>5</v>
      </c>
      <c r="C230" t="s">
        <v>84</v>
      </c>
      <c r="D230" t="s">
        <v>37</v>
      </c>
      <c r="E230" t="s">
        <v>30</v>
      </c>
      <c r="F230" t="s">
        <v>37</v>
      </c>
      <c r="G230" t="s">
        <v>31</v>
      </c>
      <c r="H230" t="s">
        <v>38</v>
      </c>
      <c r="I230">
        <v>2020</v>
      </c>
      <c r="J230">
        <v>65.189400000000006</v>
      </c>
      <c r="K230" t="s">
        <v>37</v>
      </c>
    </row>
    <row r="231" spans="1:11" x14ac:dyDescent="0.45">
      <c r="A231" t="s">
        <v>90</v>
      </c>
      <c r="B231" t="s">
        <v>2</v>
      </c>
      <c r="C231" t="s">
        <v>84</v>
      </c>
      <c r="D231" t="s">
        <v>37</v>
      </c>
      <c r="E231" t="s">
        <v>30</v>
      </c>
      <c r="F231" t="s">
        <v>37</v>
      </c>
      <c r="G231" t="s">
        <v>31</v>
      </c>
      <c r="H231" t="s">
        <v>38</v>
      </c>
      <c r="I231">
        <v>2020</v>
      </c>
      <c r="J231">
        <v>65.189400000000006</v>
      </c>
      <c r="K231" t="s">
        <v>37</v>
      </c>
    </row>
    <row r="232" spans="1:11" x14ac:dyDescent="0.45">
      <c r="A232" t="s">
        <v>90</v>
      </c>
      <c r="B232" t="s">
        <v>1</v>
      </c>
      <c r="C232" t="s">
        <v>84</v>
      </c>
      <c r="D232" t="s">
        <v>37</v>
      </c>
      <c r="E232" t="s">
        <v>30</v>
      </c>
      <c r="F232" t="s">
        <v>37</v>
      </c>
      <c r="G232" t="s">
        <v>31</v>
      </c>
      <c r="H232" t="s">
        <v>38</v>
      </c>
      <c r="I232">
        <v>2020</v>
      </c>
      <c r="J232">
        <v>65.189400000000006</v>
      </c>
      <c r="K232" t="s">
        <v>37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2020</v>
      </c>
      <c r="J233">
        <v>186.35905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181.11065000000002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2020</v>
      </c>
      <c r="J235">
        <v>184.12434999999999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2020</v>
      </c>
      <c r="J236">
        <v>184.01429999999999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2020</v>
      </c>
      <c r="J237">
        <v>186.44355000000002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2020</v>
      </c>
      <c r="J238">
        <v>183.67829999999998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2020</v>
      </c>
      <c r="J239">
        <v>178.78149999999999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2020</v>
      </c>
      <c r="J240">
        <v>24.963000000000001</v>
      </c>
      <c r="K240" t="s">
        <v>51</v>
      </c>
    </row>
    <row r="241" spans="1:11" x14ac:dyDescent="0.45">
      <c r="A241" t="s">
        <v>90</v>
      </c>
      <c r="B241" t="s">
        <v>4</v>
      </c>
      <c r="C241" t="s">
        <v>84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2020</v>
      </c>
      <c r="J241">
        <v>19.7089</v>
      </c>
      <c r="K241" t="s">
        <v>51</v>
      </c>
    </row>
    <row r="242" spans="1:11" x14ac:dyDescent="0.45">
      <c r="A242" t="s">
        <v>90</v>
      </c>
      <c r="B242" t="s">
        <v>0</v>
      </c>
      <c r="C242" t="s">
        <v>84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2020</v>
      </c>
      <c r="J242">
        <v>22.719349999999999</v>
      </c>
      <c r="K242" t="s">
        <v>51</v>
      </c>
    </row>
    <row r="243" spans="1:11" x14ac:dyDescent="0.45">
      <c r="A243" t="s">
        <v>90</v>
      </c>
      <c r="B243" t="s">
        <v>6</v>
      </c>
      <c r="C243" t="s">
        <v>84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2020</v>
      </c>
      <c r="J243">
        <v>22.618449999999999</v>
      </c>
      <c r="K243" t="s">
        <v>51</v>
      </c>
    </row>
    <row r="244" spans="1:11" x14ac:dyDescent="0.45">
      <c r="A244" t="s">
        <v>90</v>
      </c>
      <c r="B244" t="s">
        <v>5</v>
      </c>
      <c r="C244" t="s">
        <v>84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2020</v>
      </c>
      <c r="J244">
        <v>25.076499999999999</v>
      </c>
      <c r="K244" t="s">
        <v>51</v>
      </c>
    </row>
    <row r="245" spans="1:11" x14ac:dyDescent="0.45">
      <c r="A245" t="s">
        <v>90</v>
      </c>
      <c r="B245" t="s">
        <v>2</v>
      </c>
      <c r="C245" t="s">
        <v>84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2020</v>
      </c>
      <c r="J245">
        <v>22.282</v>
      </c>
      <c r="K245" t="s">
        <v>51</v>
      </c>
    </row>
    <row r="246" spans="1:11" x14ac:dyDescent="0.45">
      <c r="A246" t="s">
        <v>90</v>
      </c>
      <c r="B246" t="s">
        <v>1</v>
      </c>
      <c r="C246" t="s">
        <v>84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2020</v>
      </c>
      <c r="J246">
        <v>17.38645</v>
      </c>
      <c r="K246" t="s">
        <v>51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2025</v>
      </c>
      <c r="J254">
        <v>1.555E-2</v>
      </c>
      <c r="K254" t="s">
        <v>24</v>
      </c>
    </row>
    <row r="255" spans="1:11" x14ac:dyDescent="0.45">
      <c r="A255" t="s">
        <v>90</v>
      </c>
      <c r="B255" t="s">
        <v>4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2025</v>
      </c>
      <c r="J255">
        <v>1.5949999999999999E-2</v>
      </c>
      <c r="K255" t="s">
        <v>24</v>
      </c>
    </row>
    <row r="256" spans="1:11" x14ac:dyDescent="0.45">
      <c r="A256" t="s">
        <v>90</v>
      </c>
      <c r="B256" t="s">
        <v>0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2025</v>
      </c>
      <c r="J256">
        <v>1.6199999999999999E-2</v>
      </c>
      <c r="K256" t="s">
        <v>24</v>
      </c>
    </row>
    <row r="257" spans="1:11" x14ac:dyDescent="0.45">
      <c r="A257" t="s">
        <v>90</v>
      </c>
      <c r="B257" t="s">
        <v>6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2025</v>
      </c>
      <c r="J257">
        <v>1.575E-2</v>
      </c>
      <c r="K257" t="s">
        <v>24</v>
      </c>
    </row>
    <row r="258" spans="1:11" x14ac:dyDescent="0.45">
      <c r="A258" t="s">
        <v>90</v>
      </c>
      <c r="B258" t="s">
        <v>5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2025</v>
      </c>
      <c r="J258">
        <v>1.04E-2</v>
      </c>
      <c r="K258" t="s">
        <v>24</v>
      </c>
    </row>
    <row r="259" spans="1:11" x14ac:dyDescent="0.45">
      <c r="A259" t="s">
        <v>90</v>
      </c>
      <c r="B259" t="s">
        <v>2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2025</v>
      </c>
      <c r="J259">
        <v>1.575E-2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2025</v>
      </c>
      <c r="J260">
        <v>1.5099999999999999E-2</v>
      </c>
      <c r="K260" t="s">
        <v>24</v>
      </c>
    </row>
    <row r="261" spans="1:11" x14ac:dyDescent="0.45">
      <c r="A261" t="s">
        <v>90</v>
      </c>
      <c r="B261" t="s">
        <v>3</v>
      </c>
      <c r="C261" t="s">
        <v>84</v>
      </c>
      <c r="D261" t="s">
        <v>28</v>
      </c>
      <c r="E261" t="s">
        <v>25</v>
      </c>
      <c r="F261" t="s">
        <v>28</v>
      </c>
      <c r="G261" t="s">
        <v>26</v>
      </c>
      <c r="H261" t="s">
        <v>12</v>
      </c>
      <c r="I261">
        <v>2025</v>
      </c>
      <c r="J261">
        <v>2.0150000000000001E-2</v>
      </c>
      <c r="K261" t="s">
        <v>28</v>
      </c>
    </row>
    <row r="262" spans="1:11" x14ac:dyDescent="0.45">
      <c r="A262" t="s">
        <v>90</v>
      </c>
      <c r="B262" t="s">
        <v>4</v>
      </c>
      <c r="C262" t="s">
        <v>84</v>
      </c>
      <c r="D262" t="s">
        <v>28</v>
      </c>
      <c r="E262" t="s">
        <v>25</v>
      </c>
      <c r="F262" t="s">
        <v>28</v>
      </c>
      <c r="G262" t="s">
        <v>26</v>
      </c>
      <c r="H262" t="s">
        <v>12</v>
      </c>
      <c r="I262">
        <v>2025</v>
      </c>
      <c r="J262">
        <v>2.0549999999999999E-2</v>
      </c>
      <c r="K262" t="s">
        <v>28</v>
      </c>
    </row>
    <row r="263" spans="1:11" x14ac:dyDescent="0.45">
      <c r="A263" t="s">
        <v>90</v>
      </c>
      <c r="B263" t="s">
        <v>0</v>
      </c>
      <c r="C263" t="s">
        <v>84</v>
      </c>
      <c r="D263" t="s">
        <v>28</v>
      </c>
      <c r="E263" t="s">
        <v>25</v>
      </c>
      <c r="F263" t="s">
        <v>28</v>
      </c>
      <c r="G263" t="s">
        <v>26</v>
      </c>
      <c r="H263" t="s">
        <v>12</v>
      </c>
      <c r="I263">
        <v>2025</v>
      </c>
      <c r="J263">
        <v>2.0449999999999999E-2</v>
      </c>
      <c r="K263" t="s">
        <v>28</v>
      </c>
    </row>
    <row r="264" spans="1:11" x14ac:dyDescent="0.45">
      <c r="A264" t="s">
        <v>90</v>
      </c>
      <c r="B264" t="s">
        <v>6</v>
      </c>
      <c r="C264" t="s">
        <v>84</v>
      </c>
      <c r="D264" t="s">
        <v>28</v>
      </c>
      <c r="E264" t="s">
        <v>25</v>
      </c>
      <c r="F264" t="s">
        <v>28</v>
      </c>
      <c r="G264" t="s">
        <v>26</v>
      </c>
      <c r="H264" t="s">
        <v>12</v>
      </c>
      <c r="I264">
        <v>2025</v>
      </c>
      <c r="J264">
        <v>2.0049999999999998E-2</v>
      </c>
      <c r="K264" t="s">
        <v>28</v>
      </c>
    </row>
    <row r="265" spans="1:11" x14ac:dyDescent="0.45">
      <c r="A265" t="s">
        <v>90</v>
      </c>
      <c r="B265" t="s">
        <v>5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2025</v>
      </c>
      <c r="J265">
        <v>2.155E-2</v>
      </c>
      <c r="K265" t="s">
        <v>28</v>
      </c>
    </row>
    <row r="266" spans="1:11" x14ac:dyDescent="0.45">
      <c r="A266" t="s">
        <v>90</v>
      </c>
      <c r="B266" t="s">
        <v>2</v>
      </c>
      <c r="C266" t="s">
        <v>84</v>
      </c>
      <c r="D266" t="s">
        <v>28</v>
      </c>
      <c r="E266" t="s">
        <v>25</v>
      </c>
      <c r="F266" t="s">
        <v>28</v>
      </c>
      <c r="G266" t="s">
        <v>26</v>
      </c>
      <c r="H266" t="s">
        <v>12</v>
      </c>
      <c r="I266">
        <v>2025</v>
      </c>
      <c r="J266">
        <v>2.01E-2</v>
      </c>
      <c r="K266" t="s">
        <v>28</v>
      </c>
    </row>
    <row r="267" spans="1:11" x14ac:dyDescent="0.45">
      <c r="A267" t="s">
        <v>90</v>
      </c>
      <c r="B267" t="s">
        <v>1</v>
      </c>
      <c r="C267" t="s">
        <v>84</v>
      </c>
      <c r="D267" t="s">
        <v>28</v>
      </c>
      <c r="E267" t="s">
        <v>25</v>
      </c>
      <c r="F267" t="s">
        <v>28</v>
      </c>
      <c r="G267" t="s">
        <v>26</v>
      </c>
      <c r="H267" t="s">
        <v>12</v>
      </c>
      <c r="I267">
        <v>2025</v>
      </c>
      <c r="J267">
        <v>1.9699999999999999E-2</v>
      </c>
      <c r="K267" t="s">
        <v>28</v>
      </c>
    </row>
    <row r="268" spans="1:11" x14ac:dyDescent="0.45">
      <c r="A268" t="s">
        <v>90</v>
      </c>
      <c r="B268" t="s">
        <v>3</v>
      </c>
      <c r="C268" t="s">
        <v>84</v>
      </c>
      <c r="D268" t="s">
        <v>27</v>
      </c>
      <c r="E268" t="s">
        <v>25</v>
      </c>
      <c r="F268" t="s">
        <v>27</v>
      </c>
      <c r="G268" t="s">
        <v>26</v>
      </c>
      <c r="H268" t="s">
        <v>10</v>
      </c>
      <c r="I268">
        <v>2025</v>
      </c>
      <c r="J268">
        <v>0</v>
      </c>
      <c r="K268" t="s">
        <v>27</v>
      </c>
    </row>
    <row r="269" spans="1:11" x14ac:dyDescent="0.45">
      <c r="A269" t="s">
        <v>90</v>
      </c>
      <c r="B269" t="s">
        <v>4</v>
      </c>
      <c r="C269" t="s">
        <v>84</v>
      </c>
      <c r="D269" t="s">
        <v>27</v>
      </c>
      <c r="E269" t="s">
        <v>25</v>
      </c>
      <c r="F269" t="s">
        <v>27</v>
      </c>
      <c r="G269" t="s">
        <v>26</v>
      </c>
      <c r="H269" t="s">
        <v>10</v>
      </c>
      <c r="I269">
        <v>2025</v>
      </c>
      <c r="J269">
        <v>0</v>
      </c>
      <c r="K269" t="s">
        <v>27</v>
      </c>
    </row>
    <row r="270" spans="1:11" x14ac:dyDescent="0.45">
      <c r="A270" t="s">
        <v>90</v>
      </c>
      <c r="B270" t="s">
        <v>0</v>
      </c>
      <c r="C270" t="s">
        <v>84</v>
      </c>
      <c r="D270" t="s">
        <v>27</v>
      </c>
      <c r="E270" t="s">
        <v>25</v>
      </c>
      <c r="F270" t="s">
        <v>27</v>
      </c>
      <c r="G270" t="s">
        <v>26</v>
      </c>
      <c r="H270" t="s">
        <v>10</v>
      </c>
      <c r="I270">
        <v>2025</v>
      </c>
      <c r="J270">
        <v>0</v>
      </c>
      <c r="K270" t="s">
        <v>27</v>
      </c>
    </row>
    <row r="271" spans="1:11" x14ac:dyDescent="0.45">
      <c r="A271" t="s">
        <v>90</v>
      </c>
      <c r="B271" t="s">
        <v>6</v>
      </c>
      <c r="C271" t="s">
        <v>84</v>
      </c>
      <c r="D271" t="s">
        <v>27</v>
      </c>
      <c r="E271" t="s">
        <v>25</v>
      </c>
      <c r="F271" t="s">
        <v>27</v>
      </c>
      <c r="G271" t="s">
        <v>26</v>
      </c>
      <c r="H271" t="s">
        <v>10</v>
      </c>
      <c r="I271">
        <v>2025</v>
      </c>
      <c r="J271">
        <v>0</v>
      </c>
      <c r="K271" t="s">
        <v>27</v>
      </c>
    </row>
    <row r="272" spans="1:11" x14ac:dyDescent="0.45">
      <c r="A272" t="s">
        <v>90</v>
      </c>
      <c r="B272" t="s">
        <v>5</v>
      </c>
      <c r="C272" t="s">
        <v>84</v>
      </c>
      <c r="D272" t="s">
        <v>27</v>
      </c>
      <c r="E272" t="s">
        <v>25</v>
      </c>
      <c r="F272" t="s">
        <v>27</v>
      </c>
      <c r="G272" t="s">
        <v>26</v>
      </c>
      <c r="H272" t="s">
        <v>10</v>
      </c>
      <c r="I272">
        <v>2025</v>
      </c>
      <c r="J272">
        <v>1E-4</v>
      </c>
      <c r="K272" t="s">
        <v>27</v>
      </c>
    </row>
    <row r="273" spans="1:12" x14ac:dyDescent="0.45">
      <c r="A273" t="s">
        <v>90</v>
      </c>
      <c r="B273" t="s">
        <v>2</v>
      </c>
      <c r="C273" t="s">
        <v>84</v>
      </c>
      <c r="D273" t="s">
        <v>27</v>
      </c>
      <c r="E273" t="s">
        <v>25</v>
      </c>
      <c r="F273" t="s">
        <v>27</v>
      </c>
      <c r="G273" t="s">
        <v>26</v>
      </c>
      <c r="H273" t="s">
        <v>10</v>
      </c>
      <c r="I273">
        <v>2025</v>
      </c>
      <c r="J273">
        <v>0</v>
      </c>
      <c r="K273" t="s">
        <v>27</v>
      </c>
    </row>
    <row r="274" spans="1:12" x14ac:dyDescent="0.45">
      <c r="A274" t="s">
        <v>90</v>
      </c>
      <c r="B274" t="s">
        <v>1</v>
      </c>
      <c r="C274" t="s">
        <v>84</v>
      </c>
      <c r="D274" t="s">
        <v>27</v>
      </c>
      <c r="E274" t="s">
        <v>25</v>
      </c>
      <c r="F274" t="s">
        <v>27</v>
      </c>
      <c r="G274" t="s">
        <v>26</v>
      </c>
      <c r="H274" t="s">
        <v>10</v>
      </c>
      <c r="I274">
        <v>2025</v>
      </c>
      <c r="J274">
        <v>0</v>
      </c>
      <c r="K274" t="s">
        <v>27</v>
      </c>
    </row>
    <row r="275" spans="1:12" x14ac:dyDescent="0.45">
      <c r="A275" t="s">
        <v>90</v>
      </c>
      <c r="B275" t="s">
        <v>3</v>
      </c>
      <c r="C275" t="s">
        <v>84</v>
      </c>
      <c r="D275" t="s">
        <v>85</v>
      </c>
      <c r="E275" t="s">
        <v>25</v>
      </c>
      <c r="F275" t="s">
        <v>85</v>
      </c>
      <c r="G275" t="s">
        <v>26</v>
      </c>
      <c r="H275" t="s">
        <v>82</v>
      </c>
      <c r="I275">
        <v>2025</v>
      </c>
      <c r="J275">
        <v>5.9999999999999995E-4</v>
      </c>
      <c r="K275" t="s">
        <v>85</v>
      </c>
    </row>
    <row r="276" spans="1:12" x14ac:dyDescent="0.45">
      <c r="A276" t="s">
        <v>90</v>
      </c>
      <c r="B276" t="s">
        <v>4</v>
      </c>
      <c r="C276" t="s">
        <v>84</v>
      </c>
      <c r="D276" t="s">
        <v>85</v>
      </c>
      <c r="E276" t="s">
        <v>25</v>
      </c>
      <c r="F276" t="s">
        <v>85</v>
      </c>
      <c r="G276" t="s">
        <v>26</v>
      </c>
      <c r="H276" t="s">
        <v>82</v>
      </c>
      <c r="I276">
        <v>2025</v>
      </c>
      <c r="J276">
        <v>6.9999999999999999E-4</v>
      </c>
      <c r="K276" t="s">
        <v>85</v>
      </c>
    </row>
    <row r="277" spans="1:12" x14ac:dyDescent="0.45">
      <c r="A277" t="s">
        <v>90</v>
      </c>
      <c r="B277" t="s">
        <v>0</v>
      </c>
      <c r="C277" t="s">
        <v>84</v>
      </c>
      <c r="D277" t="s">
        <v>85</v>
      </c>
      <c r="E277" t="s">
        <v>25</v>
      </c>
      <c r="F277" t="s">
        <v>85</v>
      </c>
      <c r="G277" t="s">
        <v>26</v>
      </c>
      <c r="H277" t="s">
        <v>82</v>
      </c>
      <c r="I277">
        <v>2025</v>
      </c>
      <c r="J277">
        <v>6.9999999999999999E-4</v>
      </c>
      <c r="K277" t="s">
        <v>85</v>
      </c>
    </row>
    <row r="278" spans="1:12" x14ac:dyDescent="0.45">
      <c r="A278" t="s">
        <v>90</v>
      </c>
      <c r="B278" t="s">
        <v>6</v>
      </c>
      <c r="C278" t="s">
        <v>84</v>
      </c>
      <c r="D278" t="s">
        <v>85</v>
      </c>
      <c r="E278" t="s">
        <v>25</v>
      </c>
      <c r="F278" t="s">
        <v>85</v>
      </c>
      <c r="G278" t="s">
        <v>26</v>
      </c>
      <c r="H278" t="s">
        <v>82</v>
      </c>
      <c r="I278">
        <v>2025</v>
      </c>
      <c r="J278">
        <v>6.9999999999999999E-4</v>
      </c>
      <c r="K278" t="s">
        <v>85</v>
      </c>
    </row>
    <row r="279" spans="1:12" x14ac:dyDescent="0.45">
      <c r="A279" t="s">
        <v>90</v>
      </c>
      <c r="B279" t="s">
        <v>5</v>
      </c>
      <c r="C279" t="s">
        <v>84</v>
      </c>
      <c r="D279" t="s">
        <v>85</v>
      </c>
      <c r="E279" t="s">
        <v>25</v>
      </c>
      <c r="F279" t="s">
        <v>85</v>
      </c>
      <c r="G279" t="s">
        <v>26</v>
      </c>
      <c r="H279" t="s">
        <v>82</v>
      </c>
      <c r="I279">
        <v>2025</v>
      </c>
      <c r="J279">
        <v>5.9999999999999995E-4</v>
      </c>
      <c r="K279" t="s">
        <v>85</v>
      </c>
    </row>
    <row r="280" spans="1:12" x14ac:dyDescent="0.45">
      <c r="A280" t="s">
        <v>90</v>
      </c>
      <c r="B280" t="s">
        <v>2</v>
      </c>
      <c r="C280" t="s">
        <v>84</v>
      </c>
      <c r="D280" t="s">
        <v>85</v>
      </c>
      <c r="E280" t="s">
        <v>25</v>
      </c>
      <c r="F280" t="s">
        <v>85</v>
      </c>
      <c r="G280" t="s">
        <v>26</v>
      </c>
      <c r="H280" t="s">
        <v>82</v>
      </c>
      <c r="I280">
        <v>2025</v>
      </c>
      <c r="J280">
        <v>5.9999999999999995E-4</v>
      </c>
      <c r="K280" t="s">
        <v>85</v>
      </c>
    </row>
    <row r="281" spans="1:12" x14ac:dyDescent="0.45">
      <c r="A281" t="s">
        <v>90</v>
      </c>
      <c r="B281" t="s">
        <v>1</v>
      </c>
      <c r="C281" t="s">
        <v>84</v>
      </c>
      <c r="D281" t="s">
        <v>85</v>
      </c>
      <c r="E281" t="s">
        <v>25</v>
      </c>
      <c r="F281" t="s">
        <v>85</v>
      </c>
      <c r="G281" t="s">
        <v>26</v>
      </c>
      <c r="H281" t="s">
        <v>82</v>
      </c>
      <c r="I281">
        <v>2025</v>
      </c>
      <c r="J281">
        <v>5.0000000000000001E-4</v>
      </c>
      <c r="K281" t="s">
        <v>85</v>
      </c>
    </row>
    <row r="282" spans="1:12" x14ac:dyDescent="0.45">
      <c r="A282" t="s">
        <v>90</v>
      </c>
      <c r="B282" t="s">
        <v>3</v>
      </c>
      <c r="C282" t="s">
        <v>84</v>
      </c>
      <c r="D282" t="s">
        <v>52</v>
      </c>
      <c r="E282" t="s">
        <v>25</v>
      </c>
      <c r="F282" t="s">
        <v>52</v>
      </c>
      <c r="G282" t="s">
        <v>71</v>
      </c>
      <c r="H282" t="s">
        <v>89</v>
      </c>
      <c r="I282">
        <v>2025</v>
      </c>
      <c r="J282">
        <v>1E-4</v>
      </c>
      <c r="K282" t="s">
        <v>52</v>
      </c>
      <c r="L282">
        <v>94</v>
      </c>
    </row>
    <row r="283" spans="1:12" x14ac:dyDescent="0.45">
      <c r="A283" t="s">
        <v>90</v>
      </c>
      <c r="B283" t="s">
        <v>4</v>
      </c>
      <c r="C283" t="s">
        <v>84</v>
      </c>
      <c r="D283" t="s">
        <v>52</v>
      </c>
      <c r="E283" t="s">
        <v>25</v>
      </c>
      <c r="F283" t="s">
        <v>52</v>
      </c>
      <c r="G283" t="s">
        <v>71</v>
      </c>
      <c r="H283" t="s">
        <v>89</v>
      </c>
      <c r="I283">
        <v>2025</v>
      </c>
      <c r="J283">
        <v>2.9999999999999997E-4</v>
      </c>
      <c r="K283" t="s">
        <v>52</v>
      </c>
      <c r="L283">
        <v>94</v>
      </c>
    </row>
    <row r="284" spans="1:12" x14ac:dyDescent="0.45">
      <c r="A284" t="s">
        <v>90</v>
      </c>
      <c r="B284" t="s">
        <v>0</v>
      </c>
      <c r="C284" t="s">
        <v>84</v>
      </c>
      <c r="D284" t="s">
        <v>52</v>
      </c>
      <c r="E284" t="s">
        <v>25</v>
      </c>
      <c r="F284" t="s">
        <v>52</v>
      </c>
      <c r="G284" t="s">
        <v>71</v>
      </c>
      <c r="H284" t="s">
        <v>89</v>
      </c>
      <c r="I284">
        <v>2025</v>
      </c>
      <c r="J284">
        <v>2.9999999999999997E-4</v>
      </c>
      <c r="K284" t="s">
        <v>52</v>
      </c>
      <c r="L284">
        <v>94</v>
      </c>
    </row>
    <row r="285" spans="1:12" x14ac:dyDescent="0.45">
      <c r="A285" t="s">
        <v>90</v>
      </c>
      <c r="B285" t="s">
        <v>6</v>
      </c>
      <c r="C285" t="s">
        <v>84</v>
      </c>
      <c r="D285" t="s">
        <v>52</v>
      </c>
      <c r="E285" t="s">
        <v>25</v>
      </c>
      <c r="F285" t="s">
        <v>52</v>
      </c>
      <c r="G285" t="s">
        <v>71</v>
      </c>
      <c r="H285" t="s">
        <v>89</v>
      </c>
      <c r="I285">
        <v>2025</v>
      </c>
      <c r="J285">
        <v>2.9999999999999997E-4</v>
      </c>
      <c r="K285" t="s">
        <v>52</v>
      </c>
      <c r="L285">
        <v>94</v>
      </c>
    </row>
    <row r="286" spans="1:12" x14ac:dyDescent="0.45">
      <c r="A286" t="s">
        <v>90</v>
      </c>
      <c r="B286" t="s">
        <v>5</v>
      </c>
      <c r="C286" t="s">
        <v>84</v>
      </c>
      <c r="D286" t="s">
        <v>52</v>
      </c>
      <c r="E286" t="s">
        <v>25</v>
      </c>
      <c r="F286" t="s">
        <v>52</v>
      </c>
      <c r="G286" t="s">
        <v>71</v>
      </c>
      <c r="H286" t="s">
        <v>89</v>
      </c>
      <c r="I286">
        <v>2025</v>
      </c>
      <c r="J286">
        <v>2.0000000000000001E-4</v>
      </c>
      <c r="K286" t="s">
        <v>52</v>
      </c>
      <c r="L286">
        <v>94</v>
      </c>
    </row>
    <row r="287" spans="1:12" x14ac:dyDescent="0.45">
      <c r="A287" t="s">
        <v>90</v>
      </c>
      <c r="B287" t="s">
        <v>2</v>
      </c>
      <c r="C287" t="s">
        <v>84</v>
      </c>
      <c r="D287" t="s">
        <v>52</v>
      </c>
      <c r="E287" t="s">
        <v>25</v>
      </c>
      <c r="F287" t="s">
        <v>52</v>
      </c>
      <c r="G287" t="s">
        <v>71</v>
      </c>
      <c r="H287" t="s">
        <v>89</v>
      </c>
      <c r="I287">
        <v>2025</v>
      </c>
      <c r="J287">
        <v>2.0000000000000001E-4</v>
      </c>
      <c r="K287" t="s">
        <v>52</v>
      </c>
      <c r="L287">
        <v>94</v>
      </c>
    </row>
    <row r="288" spans="1:12" x14ac:dyDescent="0.45">
      <c r="A288" t="s">
        <v>90</v>
      </c>
      <c r="B288" t="s">
        <v>1</v>
      </c>
      <c r="C288" t="s">
        <v>84</v>
      </c>
      <c r="D288" t="s">
        <v>52</v>
      </c>
      <c r="E288" t="s">
        <v>25</v>
      </c>
      <c r="F288" t="s">
        <v>52</v>
      </c>
      <c r="G288" t="s">
        <v>71</v>
      </c>
      <c r="H288" t="s">
        <v>89</v>
      </c>
      <c r="I288">
        <v>2025</v>
      </c>
      <c r="J288">
        <v>1E-4</v>
      </c>
      <c r="K288" t="s">
        <v>52</v>
      </c>
      <c r="L288">
        <v>94</v>
      </c>
    </row>
    <row r="289" spans="1:12" x14ac:dyDescent="0.45">
      <c r="A289" t="s">
        <v>90</v>
      </c>
      <c r="B289" t="s">
        <v>3</v>
      </c>
      <c r="C289" t="s">
        <v>84</v>
      </c>
      <c r="D289" t="s">
        <v>53</v>
      </c>
      <c r="E289" t="s">
        <v>25</v>
      </c>
      <c r="F289" t="s">
        <v>53</v>
      </c>
      <c r="G289" t="s">
        <v>71</v>
      </c>
      <c r="H289" t="s">
        <v>89</v>
      </c>
      <c r="I289">
        <v>2025</v>
      </c>
      <c r="J289">
        <v>0</v>
      </c>
      <c r="K289" t="s">
        <v>53</v>
      </c>
      <c r="L289">
        <v>55</v>
      </c>
    </row>
    <row r="290" spans="1:12" x14ac:dyDescent="0.45">
      <c r="A290" t="s">
        <v>90</v>
      </c>
      <c r="B290" t="s">
        <v>4</v>
      </c>
      <c r="C290" t="s">
        <v>84</v>
      </c>
      <c r="D290" t="s">
        <v>53</v>
      </c>
      <c r="E290" t="s">
        <v>25</v>
      </c>
      <c r="F290" t="s">
        <v>53</v>
      </c>
      <c r="G290" t="s">
        <v>71</v>
      </c>
      <c r="H290" t="s">
        <v>89</v>
      </c>
      <c r="I290">
        <v>2025</v>
      </c>
      <c r="J290">
        <v>1E-4</v>
      </c>
      <c r="K290" t="s">
        <v>53</v>
      </c>
      <c r="L290">
        <v>55</v>
      </c>
    </row>
    <row r="291" spans="1:12" x14ac:dyDescent="0.45">
      <c r="A291" t="s">
        <v>90</v>
      </c>
      <c r="B291" t="s">
        <v>0</v>
      </c>
      <c r="C291" t="s">
        <v>84</v>
      </c>
      <c r="D291" t="s">
        <v>53</v>
      </c>
      <c r="E291" t="s">
        <v>25</v>
      </c>
      <c r="F291" t="s">
        <v>53</v>
      </c>
      <c r="G291" t="s">
        <v>71</v>
      </c>
      <c r="H291" t="s">
        <v>89</v>
      </c>
      <c r="I291">
        <v>2025</v>
      </c>
      <c r="J291">
        <v>0</v>
      </c>
      <c r="K291" t="s">
        <v>53</v>
      </c>
      <c r="L291">
        <v>55</v>
      </c>
    </row>
    <row r="292" spans="1:12" x14ac:dyDescent="0.45">
      <c r="A292" t="s">
        <v>90</v>
      </c>
      <c r="B292" t="s">
        <v>6</v>
      </c>
      <c r="C292" t="s">
        <v>84</v>
      </c>
      <c r="D292" t="s">
        <v>53</v>
      </c>
      <c r="E292" t="s">
        <v>25</v>
      </c>
      <c r="F292" t="s">
        <v>53</v>
      </c>
      <c r="G292" t="s">
        <v>71</v>
      </c>
      <c r="H292" t="s">
        <v>89</v>
      </c>
      <c r="I292">
        <v>2025</v>
      </c>
      <c r="J292">
        <v>0</v>
      </c>
      <c r="K292" t="s">
        <v>53</v>
      </c>
      <c r="L292">
        <v>55</v>
      </c>
    </row>
    <row r="293" spans="1:12" x14ac:dyDescent="0.45">
      <c r="A293" t="s">
        <v>90</v>
      </c>
      <c r="B293" t="s">
        <v>5</v>
      </c>
      <c r="C293" t="s">
        <v>84</v>
      </c>
      <c r="D293" t="s">
        <v>53</v>
      </c>
      <c r="E293" t="s">
        <v>25</v>
      </c>
      <c r="F293" t="s">
        <v>53</v>
      </c>
      <c r="G293" t="s">
        <v>71</v>
      </c>
      <c r="H293" t="s">
        <v>89</v>
      </c>
      <c r="I293">
        <v>2025</v>
      </c>
      <c r="J293">
        <v>1E-4</v>
      </c>
      <c r="K293" t="s">
        <v>53</v>
      </c>
      <c r="L293">
        <v>55</v>
      </c>
    </row>
    <row r="294" spans="1:12" x14ac:dyDescent="0.45">
      <c r="A294" t="s">
        <v>90</v>
      </c>
      <c r="B294" t="s">
        <v>2</v>
      </c>
      <c r="C294" t="s">
        <v>84</v>
      </c>
      <c r="D294" t="s">
        <v>53</v>
      </c>
      <c r="E294" t="s">
        <v>25</v>
      </c>
      <c r="F294" t="s">
        <v>53</v>
      </c>
      <c r="G294" t="s">
        <v>71</v>
      </c>
      <c r="H294" t="s">
        <v>89</v>
      </c>
      <c r="I294">
        <v>2025</v>
      </c>
      <c r="J294">
        <v>0</v>
      </c>
      <c r="K294" t="s">
        <v>53</v>
      </c>
      <c r="L294">
        <v>55</v>
      </c>
    </row>
    <row r="295" spans="1:12" x14ac:dyDescent="0.45">
      <c r="A295" t="s">
        <v>90</v>
      </c>
      <c r="B295" t="s">
        <v>1</v>
      </c>
      <c r="C295" t="s">
        <v>84</v>
      </c>
      <c r="D295" t="s">
        <v>53</v>
      </c>
      <c r="E295" t="s">
        <v>25</v>
      </c>
      <c r="F295" t="s">
        <v>53</v>
      </c>
      <c r="G295" t="s">
        <v>71</v>
      </c>
      <c r="H295" t="s">
        <v>89</v>
      </c>
      <c r="I295">
        <v>2025</v>
      </c>
      <c r="J295">
        <v>0</v>
      </c>
      <c r="K295" t="s">
        <v>53</v>
      </c>
      <c r="L295">
        <v>55</v>
      </c>
    </row>
    <row r="296" spans="1:12" x14ac:dyDescent="0.45">
      <c r="A296" t="s">
        <v>90</v>
      </c>
      <c r="B296" t="s">
        <v>3</v>
      </c>
      <c r="C296" t="s">
        <v>84</v>
      </c>
      <c r="D296" t="s">
        <v>54</v>
      </c>
      <c r="E296" t="s">
        <v>25</v>
      </c>
      <c r="F296" t="s">
        <v>54</v>
      </c>
      <c r="G296" t="s">
        <v>71</v>
      </c>
      <c r="H296" t="s">
        <v>89</v>
      </c>
      <c r="I296">
        <v>2025</v>
      </c>
      <c r="J296">
        <v>0</v>
      </c>
      <c r="K296" t="s">
        <v>54</v>
      </c>
      <c r="L296">
        <v>70</v>
      </c>
    </row>
    <row r="297" spans="1:12" x14ac:dyDescent="0.45">
      <c r="A297" t="s">
        <v>90</v>
      </c>
      <c r="B297" t="s">
        <v>4</v>
      </c>
      <c r="C297" t="s">
        <v>84</v>
      </c>
      <c r="D297" t="s">
        <v>54</v>
      </c>
      <c r="E297" t="s">
        <v>25</v>
      </c>
      <c r="F297" t="s">
        <v>54</v>
      </c>
      <c r="G297" t="s">
        <v>71</v>
      </c>
      <c r="H297" t="s">
        <v>89</v>
      </c>
      <c r="I297">
        <v>2025</v>
      </c>
      <c r="J297">
        <v>0</v>
      </c>
      <c r="K297" t="s">
        <v>54</v>
      </c>
      <c r="L297">
        <v>70</v>
      </c>
    </row>
    <row r="298" spans="1:12" x14ac:dyDescent="0.45">
      <c r="A298" t="s">
        <v>90</v>
      </c>
      <c r="B298" t="s">
        <v>0</v>
      </c>
      <c r="C298" t="s">
        <v>84</v>
      </c>
      <c r="D298" t="s">
        <v>54</v>
      </c>
      <c r="E298" t="s">
        <v>25</v>
      </c>
      <c r="F298" t="s">
        <v>54</v>
      </c>
      <c r="G298" t="s">
        <v>71</v>
      </c>
      <c r="H298" t="s">
        <v>89</v>
      </c>
      <c r="I298">
        <v>2025</v>
      </c>
      <c r="J298">
        <v>0</v>
      </c>
      <c r="K298" t="s">
        <v>54</v>
      </c>
      <c r="L298">
        <v>70</v>
      </c>
    </row>
    <row r="299" spans="1:12" x14ac:dyDescent="0.45">
      <c r="A299" t="s">
        <v>90</v>
      </c>
      <c r="B299" t="s">
        <v>6</v>
      </c>
      <c r="C299" t="s">
        <v>84</v>
      </c>
      <c r="D299" t="s">
        <v>54</v>
      </c>
      <c r="E299" t="s">
        <v>25</v>
      </c>
      <c r="F299" t="s">
        <v>54</v>
      </c>
      <c r="G299" t="s">
        <v>71</v>
      </c>
      <c r="H299" t="s">
        <v>89</v>
      </c>
      <c r="I299">
        <v>2025</v>
      </c>
      <c r="J299">
        <v>0</v>
      </c>
      <c r="K299" t="s">
        <v>54</v>
      </c>
      <c r="L299">
        <v>70</v>
      </c>
    </row>
    <row r="300" spans="1:12" x14ac:dyDescent="0.45">
      <c r="A300" t="s">
        <v>90</v>
      </c>
      <c r="B300" t="s">
        <v>5</v>
      </c>
      <c r="C300" t="s">
        <v>84</v>
      </c>
      <c r="D300" t="s">
        <v>54</v>
      </c>
      <c r="E300" t="s">
        <v>25</v>
      </c>
      <c r="F300" t="s">
        <v>54</v>
      </c>
      <c r="G300" t="s">
        <v>71</v>
      </c>
      <c r="H300" t="s">
        <v>89</v>
      </c>
      <c r="I300">
        <v>2025</v>
      </c>
      <c r="J300">
        <v>0</v>
      </c>
      <c r="K300" t="s">
        <v>54</v>
      </c>
      <c r="L300">
        <v>70</v>
      </c>
    </row>
    <row r="301" spans="1:12" x14ac:dyDescent="0.45">
      <c r="A301" t="s">
        <v>90</v>
      </c>
      <c r="B301" t="s">
        <v>2</v>
      </c>
      <c r="C301" t="s">
        <v>84</v>
      </c>
      <c r="D301" t="s">
        <v>54</v>
      </c>
      <c r="E301" t="s">
        <v>25</v>
      </c>
      <c r="F301" t="s">
        <v>54</v>
      </c>
      <c r="G301" t="s">
        <v>71</v>
      </c>
      <c r="H301" t="s">
        <v>89</v>
      </c>
      <c r="I301">
        <v>2025</v>
      </c>
      <c r="J301">
        <v>0</v>
      </c>
      <c r="K301" t="s">
        <v>54</v>
      </c>
      <c r="L301">
        <v>70</v>
      </c>
    </row>
    <row r="302" spans="1:12" x14ac:dyDescent="0.45">
      <c r="A302" t="s">
        <v>90</v>
      </c>
      <c r="B302" t="s">
        <v>1</v>
      </c>
      <c r="C302" t="s">
        <v>84</v>
      </c>
      <c r="D302" t="s">
        <v>54</v>
      </c>
      <c r="E302" t="s">
        <v>25</v>
      </c>
      <c r="F302" t="s">
        <v>54</v>
      </c>
      <c r="G302" t="s">
        <v>71</v>
      </c>
      <c r="H302" t="s">
        <v>89</v>
      </c>
      <c r="I302">
        <v>2025</v>
      </c>
      <c r="J302">
        <v>0</v>
      </c>
      <c r="K302" t="s">
        <v>54</v>
      </c>
      <c r="L302">
        <v>70</v>
      </c>
    </row>
    <row r="303" spans="1:12" x14ac:dyDescent="0.45">
      <c r="A303" t="s">
        <v>90</v>
      </c>
      <c r="B303" t="s">
        <v>3</v>
      </c>
      <c r="C303" t="s">
        <v>84</v>
      </c>
      <c r="D303" t="s">
        <v>29</v>
      </c>
      <c r="E303" t="s">
        <v>30</v>
      </c>
      <c r="F303" t="s">
        <v>29</v>
      </c>
      <c r="G303" t="s">
        <v>31</v>
      </c>
      <c r="H303" t="s">
        <v>32</v>
      </c>
      <c r="I303">
        <v>2025</v>
      </c>
      <c r="J303">
        <v>5.6314500000000001</v>
      </c>
      <c r="K303" t="s">
        <v>29</v>
      </c>
    </row>
    <row r="304" spans="1:12" x14ac:dyDescent="0.45">
      <c r="A304" t="s">
        <v>90</v>
      </c>
      <c r="B304" t="s">
        <v>4</v>
      </c>
      <c r="C304" t="s">
        <v>84</v>
      </c>
      <c r="D304" t="s">
        <v>29</v>
      </c>
      <c r="E304" t="s">
        <v>30</v>
      </c>
      <c r="F304" t="s">
        <v>29</v>
      </c>
      <c r="G304" t="s">
        <v>31</v>
      </c>
      <c r="H304" t="s">
        <v>32</v>
      </c>
      <c r="I304">
        <v>2025</v>
      </c>
      <c r="J304">
        <v>5.7637999999999998</v>
      </c>
      <c r="K304" t="s">
        <v>29</v>
      </c>
    </row>
    <row r="305" spans="1:11" x14ac:dyDescent="0.45">
      <c r="A305" t="s">
        <v>90</v>
      </c>
      <c r="B305" t="s">
        <v>0</v>
      </c>
      <c r="C305" t="s">
        <v>84</v>
      </c>
      <c r="D305" t="s">
        <v>29</v>
      </c>
      <c r="E305" t="s">
        <v>30</v>
      </c>
      <c r="F305" t="s">
        <v>29</v>
      </c>
      <c r="G305" t="s">
        <v>31</v>
      </c>
      <c r="H305" t="s">
        <v>32</v>
      </c>
      <c r="I305">
        <v>2025</v>
      </c>
      <c r="J305">
        <v>5.7637999999999998</v>
      </c>
      <c r="K305" t="s">
        <v>29</v>
      </c>
    </row>
    <row r="306" spans="1:11" x14ac:dyDescent="0.45">
      <c r="A306" t="s">
        <v>90</v>
      </c>
      <c r="B306" t="s">
        <v>6</v>
      </c>
      <c r="C306" t="s">
        <v>84</v>
      </c>
      <c r="D306" t="s">
        <v>29</v>
      </c>
      <c r="E306" t="s">
        <v>30</v>
      </c>
      <c r="F306" t="s">
        <v>29</v>
      </c>
      <c r="G306" t="s">
        <v>31</v>
      </c>
      <c r="H306" t="s">
        <v>32</v>
      </c>
      <c r="I306">
        <v>2025</v>
      </c>
      <c r="J306">
        <v>5.7637999999999998</v>
      </c>
      <c r="K306" t="s">
        <v>29</v>
      </c>
    </row>
    <row r="307" spans="1:11" x14ac:dyDescent="0.45">
      <c r="A307" t="s">
        <v>90</v>
      </c>
      <c r="B307" t="s">
        <v>5</v>
      </c>
      <c r="C307" t="s">
        <v>84</v>
      </c>
      <c r="D307" t="s">
        <v>29</v>
      </c>
      <c r="E307" t="s">
        <v>30</v>
      </c>
      <c r="F307" t="s">
        <v>29</v>
      </c>
      <c r="G307" t="s">
        <v>31</v>
      </c>
      <c r="H307" t="s">
        <v>32</v>
      </c>
      <c r="I307">
        <v>2025</v>
      </c>
      <c r="J307">
        <v>5.3708</v>
      </c>
      <c r="K307" t="s">
        <v>29</v>
      </c>
    </row>
    <row r="308" spans="1:11" x14ac:dyDescent="0.45">
      <c r="A308" t="s">
        <v>90</v>
      </c>
      <c r="B308" t="s">
        <v>2</v>
      </c>
      <c r="C308" t="s">
        <v>84</v>
      </c>
      <c r="D308" t="s">
        <v>29</v>
      </c>
      <c r="E308" t="s">
        <v>30</v>
      </c>
      <c r="F308" t="s">
        <v>29</v>
      </c>
      <c r="G308" t="s">
        <v>31</v>
      </c>
      <c r="H308" t="s">
        <v>32</v>
      </c>
      <c r="I308">
        <v>2025</v>
      </c>
      <c r="J308">
        <v>5.6462000000000003</v>
      </c>
      <c r="K308" t="s">
        <v>29</v>
      </c>
    </row>
    <row r="309" spans="1:11" x14ac:dyDescent="0.45">
      <c r="A309" t="s">
        <v>90</v>
      </c>
      <c r="B309" t="s">
        <v>1</v>
      </c>
      <c r="C309" t="s">
        <v>84</v>
      </c>
      <c r="D309" t="s">
        <v>29</v>
      </c>
      <c r="E309" t="s">
        <v>30</v>
      </c>
      <c r="F309" t="s">
        <v>29</v>
      </c>
      <c r="G309" t="s">
        <v>31</v>
      </c>
      <c r="H309" t="s">
        <v>32</v>
      </c>
      <c r="I309">
        <v>2025</v>
      </c>
      <c r="J309">
        <v>5.2343000000000002</v>
      </c>
      <c r="K309" t="s">
        <v>29</v>
      </c>
    </row>
    <row r="310" spans="1:11" x14ac:dyDescent="0.45">
      <c r="A310" t="s">
        <v>90</v>
      </c>
      <c r="B310" t="s">
        <v>3</v>
      </c>
      <c r="C310" t="s">
        <v>84</v>
      </c>
      <c r="D310" t="s">
        <v>33</v>
      </c>
      <c r="E310" t="s">
        <v>30</v>
      </c>
      <c r="F310" t="s">
        <v>33</v>
      </c>
      <c r="G310" t="s">
        <v>31</v>
      </c>
      <c r="H310" t="s">
        <v>34</v>
      </c>
      <c r="I310">
        <v>2025</v>
      </c>
      <c r="J310">
        <v>2.1930000000000001</v>
      </c>
      <c r="K310" t="s">
        <v>33</v>
      </c>
    </row>
    <row r="311" spans="1:11" x14ac:dyDescent="0.45">
      <c r="A311" t="s">
        <v>90</v>
      </c>
      <c r="B311" t="s">
        <v>4</v>
      </c>
      <c r="C311" t="s">
        <v>84</v>
      </c>
      <c r="D311" t="s">
        <v>33</v>
      </c>
      <c r="E311" t="s">
        <v>30</v>
      </c>
      <c r="F311" t="s">
        <v>33</v>
      </c>
      <c r="G311" t="s">
        <v>31</v>
      </c>
      <c r="H311" t="s">
        <v>34</v>
      </c>
      <c r="I311">
        <v>2025</v>
      </c>
      <c r="J311">
        <v>2.2217500000000001</v>
      </c>
      <c r="K311" t="s">
        <v>33</v>
      </c>
    </row>
    <row r="312" spans="1:11" x14ac:dyDescent="0.45">
      <c r="A312" t="s">
        <v>90</v>
      </c>
      <c r="B312" t="s">
        <v>0</v>
      </c>
      <c r="C312" t="s">
        <v>84</v>
      </c>
      <c r="D312" t="s">
        <v>33</v>
      </c>
      <c r="E312" t="s">
        <v>30</v>
      </c>
      <c r="F312" t="s">
        <v>33</v>
      </c>
      <c r="G312" t="s">
        <v>31</v>
      </c>
      <c r="H312" t="s">
        <v>34</v>
      </c>
      <c r="I312">
        <v>2025</v>
      </c>
      <c r="J312">
        <v>2.2217500000000001</v>
      </c>
      <c r="K312" t="s">
        <v>33</v>
      </c>
    </row>
    <row r="313" spans="1:11" x14ac:dyDescent="0.45">
      <c r="A313" t="s">
        <v>90</v>
      </c>
      <c r="B313" t="s">
        <v>6</v>
      </c>
      <c r="C313" t="s">
        <v>84</v>
      </c>
      <c r="D313" t="s">
        <v>33</v>
      </c>
      <c r="E313" t="s">
        <v>30</v>
      </c>
      <c r="F313" t="s">
        <v>33</v>
      </c>
      <c r="G313" t="s">
        <v>31</v>
      </c>
      <c r="H313" t="s">
        <v>34</v>
      </c>
      <c r="I313">
        <v>2025</v>
      </c>
      <c r="J313">
        <v>2.2217500000000001</v>
      </c>
      <c r="K313" t="s">
        <v>33</v>
      </c>
    </row>
    <row r="314" spans="1:11" x14ac:dyDescent="0.45">
      <c r="A314" t="s">
        <v>90</v>
      </c>
      <c r="B314" t="s">
        <v>5</v>
      </c>
      <c r="C314" t="s">
        <v>84</v>
      </c>
      <c r="D314" t="s">
        <v>33</v>
      </c>
      <c r="E314" t="s">
        <v>30</v>
      </c>
      <c r="F314" t="s">
        <v>33</v>
      </c>
      <c r="G314" t="s">
        <v>31</v>
      </c>
      <c r="H314" t="s">
        <v>34</v>
      </c>
      <c r="I314">
        <v>2025</v>
      </c>
      <c r="J314">
        <v>2.3414999999999999</v>
      </c>
      <c r="K314" t="s">
        <v>33</v>
      </c>
    </row>
    <row r="315" spans="1:11" x14ac:dyDescent="0.45">
      <c r="A315" t="s">
        <v>90</v>
      </c>
      <c r="B315" t="s">
        <v>2</v>
      </c>
      <c r="C315" t="s">
        <v>84</v>
      </c>
      <c r="D315" t="s">
        <v>33</v>
      </c>
      <c r="E315" t="s">
        <v>30</v>
      </c>
      <c r="F315" t="s">
        <v>33</v>
      </c>
      <c r="G315" t="s">
        <v>31</v>
      </c>
      <c r="H315" t="s">
        <v>34</v>
      </c>
      <c r="I315">
        <v>2025</v>
      </c>
      <c r="J315">
        <v>2.1197999999999997</v>
      </c>
      <c r="K315" t="s">
        <v>33</v>
      </c>
    </row>
    <row r="316" spans="1:11" x14ac:dyDescent="0.45">
      <c r="A316" t="s">
        <v>90</v>
      </c>
      <c r="B316" t="s">
        <v>1</v>
      </c>
      <c r="C316" t="s">
        <v>84</v>
      </c>
      <c r="D316" t="s">
        <v>33</v>
      </c>
      <c r="E316" t="s">
        <v>30</v>
      </c>
      <c r="F316" t="s">
        <v>33</v>
      </c>
      <c r="G316" t="s">
        <v>31</v>
      </c>
      <c r="H316" t="s">
        <v>34</v>
      </c>
      <c r="I316">
        <v>2025</v>
      </c>
      <c r="J316">
        <v>2.6320999999999999</v>
      </c>
      <c r="K316" t="s">
        <v>33</v>
      </c>
    </row>
    <row r="317" spans="1:11" x14ac:dyDescent="0.45">
      <c r="A317" t="s">
        <v>90</v>
      </c>
      <c r="B317" t="s">
        <v>3</v>
      </c>
      <c r="C317" t="s">
        <v>84</v>
      </c>
      <c r="D317" t="s">
        <v>35</v>
      </c>
      <c r="E317" t="s">
        <v>30</v>
      </c>
      <c r="F317" t="s">
        <v>35</v>
      </c>
      <c r="G317" t="s">
        <v>31</v>
      </c>
      <c r="H317" t="s">
        <v>36</v>
      </c>
      <c r="I317">
        <v>2025</v>
      </c>
      <c r="J317">
        <v>4.6235499999999998</v>
      </c>
      <c r="K317" t="s">
        <v>35</v>
      </c>
    </row>
    <row r="318" spans="1:11" x14ac:dyDescent="0.45">
      <c r="A318" t="s">
        <v>90</v>
      </c>
      <c r="B318" t="s">
        <v>4</v>
      </c>
      <c r="C318" t="s">
        <v>84</v>
      </c>
      <c r="D318" t="s">
        <v>35</v>
      </c>
      <c r="E318" t="s">
        <v>30</v>
      </c>
      <c r="F318" t="s">
        <v>35</v>
      </c>
      <c r="G318" t="s">
        <v>31</v>
      </c>
      <c r="H318" t="s">
        <v>36</v>
      </c>
      <c r="I318">
        <v>2025</v>
      </c>
      <c r="J318">
        <v>4.6684000000000001</v>
      </c>
      <c r="K318" t="s">
        <v>35</v>
      </c>
    </row>
    <row r="319" spans="1:11" x14ac:dyDescent="0.45">
      <c r="A319" t="s">
        <v>90</v>
      </c>
      <c r="B319" t="s">
        <v>0</v>
      </c>
      <c r="C319" t="s">
        <v>84</v>
      </c>
      <c r="D319" t="s">
        <v>35</v>
      </c>
      <c r="E319" t="s">
        <v>30</v>
      </c>
      <c r="F319" t="s">
        <v>35</v>
      </c>
      <c r="G319" t="s">
        <v>31</v>
      </c>
      <c r="H319" t="s">
        <v>36</v>
      </c>
      <c r="I319">
        <v>2025</v>
      </c>
      <c r="J319">
        <v>4.6684000000000001</v>
      </c>
      <c r="K319" t="s">
        <v>35</v>
      </c>
    </row>
    <row r="320" spans="1:11" x14ac:dyDescent="0.45">
      <c r="A320" t="s">
        <v>90</v>
      </c>
      <c r="B320" t="s">
        <v>6</v>
      </c>
      <c r="C320" t="s">
        <v>84</v>
      </c>
      <c r="D320" t="s">
        <v>35</v>
      </c>
      <c r="E320" t="s">
        <v>30</v>
      </c>
      <c r="F320" t="s">
        <v>35</v>
      </c>
      <c r="G320" t="s">
        <v>31</v>
      </c>
      <c r="H320" t="s">
        <v>36</v>
      </c>
      <c r="I320">
        <v>2025</v>
      </c>
      <c r="J320">
        <v>4.6684000000000001</v>
      </c>
      <c r="K320" t="s">
        <v>35</v>
      </c>
    </row>
    <row r="321" spans="1:11" x14ac:dyDescent="0.45">
      <c r="A321" t="s">
        <v>90</v>
      </c>
      <c r="B321" t="s">
        <v>5</v>
      </c>
      <c r="C321" t="s">
        <v>84</v>
      </c>
      <c r="D321" t="s">
        <v>35</v>
      </c>
      <c r="E321" t="s">
        <v>30</v>
      </c>
      <c r="F321" t="s">
        <v>35</v>
      </c>
      <c r="G321" t="s">
        <v>31</v>
      </c>
      <c r="H321" t="s">
        <v>36</v>
      </c>
      <c r="I321">
        <v>2025</v>
      </c>
      <c r="J321">
        <v>4.6830999999999996</v>
      </c>
      <c r="K321" t="s">
        <v>35</v>
      </c>
    </row>
    <row r="322" spans="1:11" x14ac:dyDescent="0.45">
      <c r="A322" t="s">
        <v>90</v>
      </c>
      <c r="B322" t="s">
        <v>2</v>
      </c>
      <c r="C322" t="s">
        <v>84</v>
      </c>
      <c r="D322" t="s">
        <v>35</v>
      </c>
      <c r="E322" t="s">
        <v>30</v>
      </c>
      <c r="F322" t="s">
        <v>35</v>
      </c>
      <c r="G322" t="s">
        <v>31</v>
      </c>
      <c r="H322" t="s">
        <v>36</v>
      </c>
      <c r="I322">
        <v>2025</v>
      </c>
      <c r="J322">
        <v>4.5302500000000006</v>
      </c>
      <c r="K322" t="s">
        <v>35</v>
      </c>
    </row>
    <row r="323" spans="1:11" x14ac:dyDescent="0.45">
      <c r="A323" t="s">
        <v>90</v>
      </c>
      <c r="B323" t="s">
        <v>1</v>
      </c>
      <c r="C323" t="s">
        <v>84</v>
      </c>
      <c r="D323" t="s">
        <v>35</v>
      </c>
      <c r="E323" t="s">
        <v>30</v>
      </c>
      <c r="F323" t="s">
        <v>35</v>
      </c>
      <c r="G323" t="s">
        <v>31</v>
      </c>
      <c r="H323" t="s">
        <v>36</v>
      </c>
      <c r="I323">
        <v>2025</v>
      </c>
      <c r="J323">
        <v>5.1760999999999999</v>
      </c>
      <c r="K323" t="s">
        <v>35</v>
      </c>
    </row>
    <row r="324" spans="1:11" x14ac:dyDescent="0.45">
      <c r="A324" t="s">
        <v>90</v>
      </c>
      <c r="B324" t="s">
        <v>3</v>
      </c>
      <c r="C324" t="s">
        <v>84</v>
      </c>
      <c r="D324" t="s">
        <v>37</v>
      </c>
      <c r="E324" t="s">
        <v>30</v>
      </c>
      <c r="F324" t="s">
        <v>37</v>
      </c>
      <c r="G324" t="s">
        <v>31</v>
      </c>
      <c r="H324" t="s">
        <v>38</v>
      </c>
      <c r="I324">
        <v>2025</v>
      </c>
      <c r="J324">
        <v>61.863749999999996</v>
      </c>
      <c r="K324" t="s">
        <v>37</v>
      </c>
    </row>
    <row r="325" spans="1:11" x14ac:dyDescent="0.45">
      <c r="A325" t="s">
        <v>90</v>
      </c>
      <c r="B325" t="s">
        <v>4</v>
      </c>
      <c r="C325" t="s">
        <v>84</v>
      </c>
      <c r="D325" t="s">
        <v>37</v>
      </c>
      <c r="E325" t="s">
        <v>30</v>
      </c>
      <c r="F325" t="s">
        <v>37</v>
      </c>
      <c r="G325" t="s">
        <v>31</v>
      </c>
      <c r="H325" t="s">
        <v>38</v>
      </c>
      <c r="I325">
        <v>2025</v>
      </c>
      <c r="J325">
        <v>72.009600000000006</v>
      </c>
      <c r="K325" t="s">
        <v>37</v>
      </c>
    </row>
    <row r="326" spans="1:11" x14ac:dyDescent="0.45">
      <c r="A326" t="s">
        <v>90</v>
      </c>
      <c r="B326" t="s">
        <v>0</v>
      </c>
      <c r="C326" t="s">
        <v>84</v>
      </c>
      <c r="D326" t="s">
        <v>37</v>
      </c>
      <c r="E326" t="s">
        <v>30</v>
      </c>
      <c r="F326" t="s">
        <v>37</v>
      </c>
      <c r="G326" t="s">
        <v>31</v>
      </c>
      <c r="H326" t="s">
        <v>38</v>
      </c>
      <c r="I326">
        <v>2025</v>
      </c>
      <c r="J326">
        <v>72.009600000000006</v>
      </c>
      <c r="K326" t="s">
        <v>37</v>
      </c>
    </row>
    <row r="327" spans="1:11" x14ac:dyDescent="0.45">
      <c r="A327" t="s">
        <v>90</v>
      </c>
      <c r="B327" t="s">
        <v>6</v>
      </c>
      <c r="C327" t="s">
        <v>84</v>
      </c>
      <c r="D327" t="s">
        <v>37</v>
      </c>
      <c r="E327" t="s">
        <v>30</v>
      </c>
      <c r="F327" t="s">
        <v>37</v>
      </c>
      <c r="G327" t="s">
        <v>31</v>
      </c>
      <c r="H327" t="s">
        <v>38</v>
      </c>
      <c r="I327">
        <v>2025</v>
      </c>
      <c r="J327">
        <v>72.009600000000006</v>
      </c>
      <c r="K327" t="s">
        <v>37</v>
      </c>
    </row>
    <row r="328" spans="1:11" x14ac:dyDescent="0.45">
      <c r="A328" t="s">
        <v>90</v>
      </c>
      <c r="B328" t="s">
        <v>5</v>
      </c>
      <c r="C328" t="s">
        <v>84</v>
      </c>
      <c r="D328" t="s">
        <v>37</v>
      </c>
      <c r="E328" t="s">
        <v>30</v>
      </c>
      <c r="F328" t="s">
        <v>37</v>
      </c>
      <c r="G328" t="s">
        <v>31</v>
      </c>
      <c r="H328" t="s">
        <v>38</v>
      </c>
      <c r="I328">
        <v>2025</v>
      </c>
      <c r="J328">
        <v>58.44885</v>
      </c>
      <c r="K328" t="s">
        <v>37</v>
      </c>
    </row>
    <row r="329" spans="1:11" x14ac:dyDescent="0.45">
      <c r="A329" t="s">
        <v>90</v>
      </c>
      <c r="B329" t="s">
        <v>2</v>
      </c>
      <c r="C329" t="s">
        <v>84</v>
      </c>
      <c r="D329" t="s">
        <v>37</v>
      </c>
      <c r="E329" t="s">
        <v>30</v>
      </c>
      <c r="F329" t="s">
        <v>37</v>
      </c>
      <c r="G329" t="s">
        <v>31</v>
      </c>
      <c r="H329" t="s">
        <v>38</v>
      </c>
      <c r="I329">
        <v>2025</v>
      </c>
      <c r="J329">
        <v>67.619100000000003</v>
      </c>
      <c r="K329" t="s">
        <v>37</v>
      </c>
    </row>
    <row r="330" spans="1:11" x14ac:dyDescent="0.45">
      <c r="A330" t="s">
        <v>90</v>
      </c>
      <c r="B330" t="s">
        <v>1</v>
      </c>
      <c r="C330" t="s">
        <v>84</v>
      </c>
      <c r="D330" t="s">
        <v>37</v>
      </c>
      <c r="E330" t="s">
        <v>30</v>
      </c>
      <c r="F330" t="s">
        <v>37</v>
      </c>
      <c r="G330" t="s">
        <v>31</v>
      </c>
      <c r="H330" t="s">
        <v>38</v>
      </c>
      <c r="I330">
        <v>2025</v>
      </c>
      <c r="J330">
        <v>57.665100000000002</v>
      </c>
      <c r="K330" t="s">
        <v>37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2025</v>
      </c>
      <c r="J331">
        <v>212.63839999999999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2025</v>
      </c>
      <c r="J332">
        <v>220.51364999999998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2025</v>
      </c>
      <c r="J333">
        <v>222.64895000000001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2025</v>
      </c>
      <c r="J334">
        <v>224.17444999999998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2025</v>
      </c>
      <c r="J335">
        <v>231.74209999999999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2025</v>
      </c>
      <c r="J336">
        <v>214.20715000000001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195.45335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2025</v>
      </c>
      <c r="J338">
        <v>67.428699999999992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2025</v>
      </c>
      <c r="J339">
        <v>69.530149999999992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2025</v>
      </c>
      <c r="J340">
        <v>71.210700000000003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2025</v>
      </c>
      <c r="J341">
        <v>72.734849999999994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2025</v>
      </c>
      <c r="J342">
        <v>86.600650000000002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2025</v>
      </c>
      <c r="J343">
        <v>68.440200000000004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2025</v>
      </c>
      <c r="J344">
        <v>48.773499999999999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3.1399999999999997E-2</v>
      </c>
      <c r="K345" t="s">
        <v>45</v>
      </c>
    </row>
    <row r="346" spans="1:11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0</v>
      </c>
      <c r="K346" t="s">
        <v>45</v>
      </c>
    </row>
    <row r="347" spans="1:11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0</v>
      </c>
      <c r="K347" t="s">
        <v>45</v>
      </c>
    </row>
    <row r="348" spans="1:11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0</v>
      </c>
      <c r="K348" t="s">
        <v>45</v>
      </c>
    </row>
    <row r="349" spans="1:11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1.205E-2</v>
      </c>
      <c r="K349" t="s">
        <v>45</v>
      </c>
    </row>
    <row r="350" spans="1:11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0</v>
      </c>
      <c r="K350" t="s">
        <v>45</v>
      </c>
    </row>
    <row r="351" spans="1:11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3.1299999999999994E-2</v>
      </c>
      <c r="K351" t="s">
        <v>45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2030</v>
      </c>
      <c r="J352">
        <v>2.1949999999999997E-2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2030</v>
      </c>
      <c r="J353">
        <v>2.2800000000000001E-2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2030</v>
      </c>
      <c r="J354">
        <v>2.3050000000000001E-2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2030</v>
      </c>
      <c r="J355">
        <v>2.3E-2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2030</v>
      </c>
      <c r="J356">
        <v>1.155E-2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2030</v>
      </c>
      <c r="J357">
        <v>2.2249999999999999E-2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2030</v>
      </c>
      <c r="J358">
        <v>0.02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2030</v>
      </c>
      <c r="J359">
        <v>2.1299999999999999E-2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2030</v>
      </c>
      <c r="J360">
        <v>2.0549999999999999E-2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2030</v>
      </c>
      <c r="J361">
        <v>2.07E-2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2030</v>
      </c>
      <c r="J362">
        <v>2.01E-2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2030</v>
      </c>
      <c r="J363">
        <v>2.325E-2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2030</v>
      </c>
      <c r="J364">
        <v>2.12E-2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2030</v>
      </c>
      <c r="J365">
        <v>1.9799999999999998E-2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27</v>
      </c>
      <c r="E366" t="s">
        <v>25</v>
      </c>
      <c r="F366" t="s">
        <v>27</v>
      </c>
      <c r="G366" t="s">
        <v>26</v>
      </c>
      <c r="H366" t="s">
        <v>10</v>
      </c>
      <c r="I366">
        <v>2030</v>
      </c>
      <c r="J366">
        <v>3.5E-4</v>
      </c>
      <c r="K366" t="s">
        <v>27</v>
      </c>
    </row>
    <row r="367" spans="1:11" x14ac:dyDescent="0.45">
      <c r="A367" t="s">
        <v>90</v>
      </c>
      <c r="B367" t="s">
        <v>4</v>
      </c>
      <c r="C367" t="s">
        <v>84</v>
      </c>
      <c r="D367" t="s">
        <v>27</v>
      </c>
      <c r="E367" t="s">
        <v>25</v>
      </c>
      <c r="F367" t="s">
        <v>27</v>
      </c>
      <c r="G367" t="s">
        <v>26</v>
      </c>
      <c r="H367" t="s">
        <v>10</v>
      </c>
      <c r="I367">
        <v>2030</v>
      </c>
      <c r="J367">
        <v>3.5E-4</v>
      </c>
      <c r="K367" t="s">
        <v>27</v>
      </c>
    </row>
    <row r="368" spans="1:11" x14ac:dyDescent="0.45">
      <c r="A368" t="s">
        <v>90</v>
      </c>
      <c r="B368" t="s">
        <v>0</v>
      </c>
      <c r="C368" t="s">
        <v>84</v>
      </c>
      <c r="D368" t="s">
        <v>27</v>
      </c>
      <c r="E368" t="s">
        <v>25</v>
      </c>
      <c r="F368" t="s">
        <v>27</v>
      </c>
      <c r="G368" t="s">
        <v>26</v>
      </c>
      <c r="H368" t="s">
        <v>10</v>
      </c>
      <c r="I368">
        <v>2030</v>
      </c>
      <c r="J368">
        <v>3.5E-4</v>
      </c>
      <c r="K368" t="s">
        <v>27</v>
      </c>
    </row>
    <row r="369" spans="1:12" x14ac:dyDescent="0.45">
      <c r="A369" t="s">
        <v>90</v>
      </c>
      <c r="B369" t="s">
        <v>6</v>
      </c>
      <c r="C369" t="s">
        <v>84</v>
      </c>
      <c r="D369" t="s">
        <v>27</v>
      </c>
      <c r="E369" t="s">
        <v>25</v>
      </c>
      <c r="F369" t="s">
        <v>27</v>
      </c>
      <c r="G369" t="s">
        <v>26</v>
      </c>
      <c r="H369" t="s">
        <v>10</v>
      </c>
      <c r="I369">
        <v>2030</v>
      </c>
      <c r="J369">
        <v>4.0000000000000002E-4</v>
      </c>
      <c r="K369" t="s">
        <v>27</v>
      </c>
    </row>
    <row r="370" spans="1:12" x14ac:dyDescent="0.45">
      <c r="A370" t="s">
        <v>90</v>
      </c>
      <c r="B370" t="s">
        <v>5</v>
      </c>
      <c r="C370" t="s">
        <v>84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2030</v>
      </c>
      <c r="J370">
        <v>5.0000000000000001E-4</v>
      </c>
      <c r="K370" t="s">
        <v>27</v>
      </c>
    </row>
    <row r="371" spans="1:12" x14ac:dyDescent="0.45">
      <c r="A371" t="s">
        <v>90</v>
      </c>
      <c r="B371" t="s">
        <v>2</v>
      </c>
      <c r="C371" t="s">
        <v>84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2030</v>
      </c>
      <c r="J371">
        <v>4.0000000000000002E-4</v>
      </c>
      <c r="K371" t="s">
        <v>27</v>
      </c>
    </row>
    <row r="372" spans="1:12" x14ac:dyDescent="0.45">
      <c r="A372" t="s">
        <v>90</v>
      </c>
      <c r="B372" t="s">
        <v>1</v>
      </c>
      <c r="C372" t="s">
        <v>84</v>
      </c>
      <c r="D372" t="s">
        <v>27</v>
      </c>
      <c r="E372" t="s">
        <v>25</v>
      </c>
      <c r="F372" t="s">
        <v>27</v>
      </c>
      <c r="G372" t="s">
        <v>26</v>
      </c>
      <c r="H372" t="s">
        <v>10</v>
      </c>
      <c r="I372">
        <v>2030</v>
      </c>
      <c r="J372">
        <v>4.0000000000000002E-4</v>
      </c>
      <c r="K372" t="s">
        <v>27</v>
      </c>
    </row>
    <row r="373" spans="1:12" x14ac:dyDescent="0.45">
      <c r="A373" t="s">
        <v>90</v>
      </c>
      <c r="B373" t="s">
        <v>3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2030</v>
      </c>
      <c r="J373">
        <v>1.2999999999999999E-3</v>
      </c>
      <c r="K373" t="s">
        <v>85</v>
      </c>
    </row>
    <row r="374" spans="1:12" x14ac:dyDescent="0.45">
      <c r="A374" t="s">
        <v>90</v>
      </c>
      <c r="B374" t="s">
        <v>4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2030</v>
      </c>
      <c r="J374">
        <v>2.8999999999999998E-3</v>
      </c>
      <c r="K374" t="s">
        <v>85</v>
      </c>
    </row>
    <row r="375" spans="1:12" x14ac:dyDescent="0.45">
      <c r="A375" t="s">
        <v>90</v>
      </c>
      <c r="B375" t="s">
        <v>0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2030</v>
      </c>
      <c r="J375">
        <v>2.8E-3</v>
      </c>
      <c r="K375" t="s">
        <v>85</v>
      </c>
    </row>
    <row r="376" spans="1:12" x14ac:dyDescent="0.45">
      <c r="A376" t="s">
        <v>90</v>
      </c>
      <c r="B376" t="s">
        <v>6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2030</v>
      </c>
      <c r="J376">
        <v>2.8E-3</v>
      </c>
      <c r="K376" t="s">
        <v>85</v>
      </c>
    </row>
    <row r="377" spans="1:12" x14ac:dyDescent="0.45">
      <c r="A377" t="s">
        <v>90</v>
      </c>
      <c r="B377" t="s">
        <v>5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2030</v>
      </c>
      <c r="J377">
        <v>6.9999999999999999E-4</v>
      </c>
      <c r="K377" t="s">
        <v>85</v>
      </c>
    </row>
    <row r="378" spans="1:12" x14ac:dyDescent="0.45">
      <c r="A378" t="s">
        <v>90</v>
      </c>
      <c r="B378" t="s">
        <v>2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2030</v>
      </c>
      <c r="J378">
        <v>1.4E-3</v>
      </c>
      <c r="K378" t="s">
        <v>85</v>
      </c>
    </row>
    <row r="379" spans="1:12" x14ac:dyDescent="0.45">
      <c r="A379" t="s">
        <v>90</v>
      </c>
      <c r="B379" t="s">
        <v>1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2030</v>
      </c>
      <c r="J379">
        <v>1.1999999999999999E-3</v>
      </c>
      <c r="K379" t="s">
        <v>85</v>
      </c>
    </row>
    <row r="380" spans="1:12" x14ac:dyDescent="0.45">
      <c r="A380" t="s">
        <v>90</v>
      </c>
      <c r="B380" t="s">
        <v>3</v>
      </c>
      <c r="C380" t="s">
        <v>84</v>
      </c>
      <c r="D380" t="s">
        <v>52</v>
      </c>
      <c r="E380" t="s">
        <v>25</v>
      </c>
      <c r="F380" t="s">
        <v>52</v>
      </c>
      <c r="G380" t="s">
        <v>71</v>
      </c>
      <c r="H380" t="s">
        <v>89</v>
      </c>
      <c r="I380">
        <v>2030</v>
      </c>
      <c r="J380">
        <v>0</v>
      </c>
      <c r="K380" t="s">
        <v>52</v>
      </c>
      <c r="L380">
        <v>94</v>
      </c>
    </row>
    <row r="381" spans="1:12" x14ac:dyDescent="0.45">
      <c r="A381" t="s">
        <v>90</v>
      </c>
      <c r="B381" t="s">
        <v>4</v>
      </c>
      <c r="C381" t="s">
        <v>84</v>
      </c>
      <c r="D381" t="s">
        <v>52</v>
      </c>
      <c r="E381" t="s">
        <v>25</v>
      </c>
      <c r="F381" t="s">
        <v>52</v>
      </c>
      <c r="G381" t="s">
        <v>71</v>
      </c>
      <c r="H381" t="s">
        <v>89</v>
      </c>
      <c r="I381">
        <v>2030</v>
      </c>
      <c r="J381">
        <v>0</v>
      </c>
      <c r="K381" t="s">
        <v>52</v>
      </c>
      <c r="L381">
        <v>94</v>
      </c>
    </row>
    <row r="382" spans="1:12" x14ac:dyDescent="0.45">
      <c r="A382" t="s">
        <v>90</v>
      </c>
      <c r="B382" t="s">
        <v>0</v>
      </c>
      <c r="C382" t="s">
        <v>84</v>
      </c>
      <c r="D382" t="s">
        <v>52</v>
      </c>
      <c r="E382" t="s">
        <v>25</v>
      </c>
      <c r="F382" t="s">
        <v>52</v>
      </c>
      <c r="G382" t="s">
        <v>71</v>
      </c>
      <c r="H382" t="s">
        <v>89</v>
      </c>
      <c r="I382">
        <v>2030</v>
      </c>
      <c r="J382">
        <v>0</v>
      </c>
      <c r="K382" t="s">
        <v>52</v>
      </c>
      <c r="L382">
        <v>94</v>
      </c>
    </row>
    <row r="383" spans="1:12" x14ac:dyDescent="0.45">
      <c r="A383" t="s">
        <v>90</v>
      </c>
      <c r="B383" t="s">
        <v>6</v>
      </c>
      <c r="C383" t="s">
        <v>84</v>
      </c>
      <c r="D383" t="s">
        <v>52</v>
      </c>
      <c r="E383" t="s">
        <v>25</v>
      </c>
      <c r="F383" t="s">
        <v>52</v>
      </c>
      <c r="G383" t="s">
        <v>71</v>
      </c>
      <c r="H383" t="s">
        <v>89</v>
      </c>
      <c r="I383">
        <v>2030</v>
      </c>
      <c r="J383">
        <v>0</v>
      </c>
      <c r="K383" t="s">
        <v>52</v>
      </c>
      <c r="L383">
        <v>94</v>
      </c>
    </row>
    <row r="384" spans="1:12" x14ac:dyDescent="0.45">
      <c r="A384" t="s">
        <v>90</v>
      </c>
      <c r="B384" t="s">
        <v>5</v>
      </c>
      <c r="C384" t="s">
        <v>84</v>
      </c>
      <c r="D384" t="s">
        <v>52</v>
      </c>
      <c r="E384" t="s">
        <v>25</v>
      </c>
      <c r="F384" t="s">
        <v>52</v>
      </c>
      <c r="G384" t="s">
        <v>71</v>
      </c>
      <c r="H384" t="s">
        <v>89</v>
      </c>
      <c r="I384">
        <v>2030</v>
      </c>
      <c r="J384">
        <v>0</v>
      </c>
      <c r="K384" t="s">
        <v>52</v>
      </c>
      <c r="L384">
        <v>94</v>
      </c>
    </row>
    <row r="385" spans="1:12" x14ac:dyDescent="0.45">
      <c r="A385" t="s">
        <v>90</v>
      </c>
      <c r="B385" t="s">
        <v>2</v>
      </c>
      <c r="C385" t="s">
        <v>84</v>
      </c>
      <c r="D385" t="s">
        <v>52</v>
      </c>
      <c r="E385" t="s">
        <v>25</v>
      </c>
      <c r="F385" t="s">
        <v>52</v>
      </c>
      <c r="G385" t="s">
        <v>71</v>
      </c>
      <c r="H385" t="s">
        <v>89</v>
      </c>
      <c r="I385">
        <v>2030</v>
      </c>
      <c r="J385">
        <v>0</v>
      </c>
      <c r="K385" t="s">
        <v>52</v>
      </c>
      <c r="L385">
        <v>94</v>
      </c>
    </row>
    <row r="386" spans="1:12" x14ac:dyDescent="0.45">
      <c r="A386" t="s">
        <v>90</v>
      </c>
      <c r="B386" t="s">
        <v>1</v>
      </c>
      <c r="C386" t="s">
        <v>84</v>
      </c>
      <c r="D386" t="s">
        <v>52</v>
      </c>
      <c r="E386" t="s">
        <v>25</v>
      </c>
      <c r="F386" t="s">
        <v>52</v>
      </c>
      <c r="G386" t="s">
        <v>71</v>
      </c>
      <c r="H386" t="s">
        <v>89</v>
      </c>
      <c r="I386">
        <v>2030</v>
      </c>
      <c r="J386">
        <v>0</v>
      </c>
      <c r="K386" t="s">
        <v>52</v>
      </c>
      <c r="L386">
        <v>94</v>
      </c>
    </row>
    <row r="387" spans="1:12" x14ac:dyDescent="0.45">
      <c r="A387" t="s">
        <v>90</v>
      </c>
      <c r="B387" t="s">
        <v>3</v>
      </c>
      <c r="C387" t="s">
        <v>84</v>
      </c>
      <c r="D387" t="s">
        <v>53</v>
      </c>
      <c r="E387" t="s">
        <v>25</v>
      </c>
      <c r="F387" t="s">
        <v>53</v>
      </c>
      <c r="G387" t="s">
        <v>71</v>
      </c>
      <c r="H387" t="s">
        <v>89</v>
      </c>
      <c r="I387">
        <v>2030</v>
      </c>
      <c r="J387">
        <v>1E-4</v>
      </c>
      <c r="K387" t="s">
        <v>53</v>
      </c>
      <c r="L387">
        <v>55</v>
      </c>
    </row>
    <row r="388" spans="1:12" x14ac:dyDescent="0.45">
      <c r="A388" t="s">
        <v>90</v>
      </c>
      <c r="B388" t="s">
        <v>4</v>
      </c>
      <c r="C388" t="s">
        <v>84</v>
      </c>
      <c r="D388" t="s">
        <v>53</v>
      </c>
      <c r="E388" t="s">
        <v>25</v>
      </c>
      <c r="F388" t="s">
        <v>53</v>
      </c>
      <c r="G388" t="s">
        <v>71</v>
      </c>
      <c r="H388" t="s">
        <v>89</v>
      </c>
      <c r="I388">
        <v>2030</v>
      </c>
      <c r="J388">
        <v>1E-4</v>
      </c>
      <c r="K388" t="s">
        <v>53</v>
      </c>
      <c r="L388">
        <v>55</v>
      </c>
    </row>
    <row r="389" spans="1:12" x14ac:dyDescent="0.45">
      <c r="A389" t="s">
        <v>90</v>
      </c>
      <c r="B389" t="s">
        <v>0</v>
      </c>
      <c r="C389" t="s">
        <v>84</v>
      </c>
      <c r="D389" t="s">
        <v>53</v>
      </c>
      <c r="E389" t="s">
        <v>25</v>
      </c>
      <c r="F389" t="s">
        <v>53</v>
      </c>
      <c r="G389" t="s">
        <v>71</v>
      </c>
      <c r="H389" t="s">
        <v>89</v>
      </c>
      <c r="I389">
        <v>2030</v>
      </c>
      <c r="J389">
        <v>1E-4</v>
      </c>
      <c r="K389" t="s">
        <v>53</v>
      </c>
      <c r="L389">
        <v>55</v>
      </c>
    </row>
    <row r="390" spans="1:12" x14ac:dyDescent="0.45">
      <c r="A390" t="s">
        <v>90</v>
      </c>
      <c r="B390" t="s">
        <v>6</v>
      </c>
      <c r="C390" t="s">
        <v>84</v>
      </c>
      <c r="D390" t="s">
        <v>53</v>
      </c>
      <c r="E390" t="s">
        <v>25</v>
      </c>
      <c r="F390" t="s">
        <v>53</v>
      </c>
      <c r="G390" t="s">
        <v>71</v>
      </c>
      <c r="H390" t="s">
        <v>89</v>
      </c>
      <c r="I390">
        <v>2030</v>
      </c>
      <c r="J390">
        <v>1E-4</v>
      </c>
      <c r="K390" t="s">
        <v>53</v>
      </c>
      <c r="L390">
        <v>55</v>
      </c>
    </row>
    <row r="391" spans="1:12" x14ac:dyDescent="0.45">
      <c r="A391" t="s">
        <v>90</v>
      </c>
      <c r="B391" t="s">
        <v>5</v>
      </c>
      <c r="C391" t="s">
        <v>84</v>
      </c>
      <c r="D391" t="s">
        <v>53</v>
      </c>
      <c r="E391" t="s">
        <v>25</v>
      </c>
      <c r="F391" t="s">
        <v>53</v>
      </c>
      <c r="G391" t="s">
        <v>71</v>
      </c>
      <c r="H391" t="s">
        <v>89</v>
      </c>
      <c r="I391">
        <v>2030</v>
      </c>
      <c r="J391">
        <v>2.0000000000000001E-4</v>
      </c>
      <c r="K391" t="s">
        <v>53</v>
      </c>
      <c r="L391">
        <v>55</v>
      </c>
    </row>
    <row r="392" spans="1:12" x14ac:dyDescent="0.45">
      <c r="A392" t="s">
        <v>90</v>
      </c>
      <c r="B392" t="s">
        <v>2</v>
      </c>
      <c r="C392" t="s">
        <v>84</v>
      </c>
      <c r="D392" t="s">
        <v>53</v>
      </c>
      <c r="E392" t="s">
        <v>25</v>
      </c>
      <c r="F392" t="s">
        <v>53</v>
      </c>
      <c r="G392" t="s">
        <v>71</v>
      </c>
      <c r="H392" t="s">
        <v>89</v>
      </c>
      <c r="I392">
        <v>2030</v>
      </c>
      <c r="J392">
        <v>1E-4</v>
      </c>
      <c r="K392" t="s">
        <v>53</v>
      </c>
      <c r="L392">
        <v>55</v>
      </c>
    </row>
    <row r="393" spans="1:12" x14ac:dyDescent="0.45">
      <c r="A393" t="s">
        <v>90</v>
      </c>
      <c r="B393" t="s">
        <v>1</v>
      </c>
      <c r="C393" t="s">
        <v>84</v>
      </c>
      <c r="D393" t="s">
        <v>53</v>
      </c>
      <c r="E393" t="s">
        <v>25</v>
      </c>
      <c r="F393" t="s">
        <v>53</v>
      </c>
      <c r="G393" t="s">
        <v>71</v>
      </c>
      <c r="H393" t="s">
        <v>89</v>
      </c>
      <c r="I393">
        <v>2030</v>
      </c>
      <c r="J393">
        <v>1E-4</v>
      </c>
      <c r="K393" t="s">
        <v>53</v>
      </c>
      <c r="L393">
        <v>55</v>
      </c>
    </row>
    <row r="394" spans="1:12" x14ac:dyDescent="0.45">
      <c r="A394" t="s">
        <v>90</v>
      </c>
      <c r="B394" t="s">
        <v>3</v>
      </c>
      <c r="C394" t="s">
        <v>84</v>
      </c>
      <c r="D394" t="s">
        <v>54</v>
      </c>
      <c r="E394" t="s">
        <v>25</v>
      </c>
      <c r="F394" t="s">
        <v>54</v>
      </c>
      <c r="G394" t="s">
        <v>71</v>
      </c>
      <c r="H394" t="s">
        <v>89</v>
      </c>
      <c r="I394">
        <v>2030</v>
      </c>
      <c r="J394">
        <v>0</v>
      </c>
      <c r="K394" t="s">
        <v>54</v>
      </c>
      <c r="L394">
        <v>70</v>
      </c>
    </row>
    <row r="395" spans="1:12" x14ac:dyDescent="0.45">
      <c r="A395" t="s">
        <v>90</v>
      </c>
      <c r="B395" t="s">
        <v>4</v>
      </c>
      <c r="C395" t="s">
        <v>84</v>
      </c>
      <c r="D395" t="s">
        <v>54</v>
      </c>
      <c r="E395" t="s">
        <v>25</v>
      </c>
      <c r="F395" t="s">
        <v>54</v>
      </c>
      <c r="G395" t="s">
        <v>71</v>
      </c>
      <c r="H395" t="s">
        <v>89</v>
      </c>
      <c r="I395">
        <v>2030</v>
      </c>
      <c r="J395">
        <v>0</v>
      </c>
      <c r="K395" t="s">
        <v>54</v>
      </c>
      <c r="L395">
        <v>70</v>
      </c>
    </row>
    <row r="396" spans="1:12" x14ac:dyDescent="0.45">
      <c r="A396" t="s">
        <v>90</v>
      </c>
      <c r="B396" t="s">
        <v>0</v>
      </c>
      <c r="C396" t="s">
        <v>84</v>
      </c>
      <c r="D396" t="s">
        <v>54</v>
      </c>
      <c r="E396" t="s">
        <v>25</v>
      </c>
      <c r="F396" t="s">
        <v>54</v>
      </c>
      <c r="G396" t="s">
        <v>71</v>
      </c>
      <c r="H396" t="s">
        <v>89</v>
      </c>
      <c r="I396">
        <v>2030</v>
      </c>
      <c r="J396">
        <v>0</v>
      </c>
      <c r="K396" t="s">
        <v>54</v>
      </c>
      <c r="L396">
        <v>70</v>
      </c>
    </row>
    <row r="397" spans="1:12" x14ac:dyDescent="0.45">
      <c r="A397" t="s">
        <v>90</v>
      </c>
      <c r="B397" t="s">
        <v>6</v>
      </c>
      <c r="C397" t="s">
        <v>84</v>
      </c>
      <c r="D397" t="s">
        <v>54</v>
      </c>
      <c r="E397" t="s">
        <v>25</v>
      </c>
      <c r="F397" t="s">
        <v>54</v>
      </c>
      <c r="G397" t="s">
        <v>71</v>
      </c>
      <c r="H397" t="s">
        <v>89</v>
      </c>
      <c r="I397">
        <v>2030</v>
      </c>
      <c r="J397">
        <v>0</v>
      </c>
      <c r="K397" t="s">
        <v>54</v>
      </c>
      <c r="L397">
        <v>70</v>
      </c>
    </row>
    <row r="398" spans="1:12" x14ac:dyDescent="0.45">
      <c r="A398" t="s">
        <v>90</v>
      </c>
      <c r="B398" t="s">
        <v>5</v>
      </c>
      <c r="C398" t="s">
        <v>84</v>
      </c>
      <c r="D398" t="s">
        <v>54</v>
      </c>
      <c r="E398" t="s">
        <v>25</v>
      </c>
      <c r="F398" t="s">
        <v>54</v>
      </c>
      <c r="G398" t="s">
        <v>71</v>
      </c>
      <c r="H398" t="s">
        <v>89</v>
      </c>
      <c r="I398">
        <v>2030</v>
      </c>
      <c r="J398">
        <v>0</v>
      </c>
      <c r="K398" t="s">
        <v>54</v>
      </c>
      <c r="L398">
        <v>70</v>
      </c>
    </row>
    <row r="399" spans="1:12" x14ac:dyDescent="0.45">
      <c r="A399" t="s">
        <v>90</v>
      </c>
      <c r="B399" t="s">
        <v>2</v>
      </c>
      <c r="C399" t="s">
        <v>84</v>
      </c>
      <c r="D399" t="s">
        <v>54</v>
      </c>
      <c r="E399" t="s">
        <v>25</v>
      </c>
      <c r="F399" t="s">
        <v>54</v>
      </c>
      <c r="G399" t="s">
        <v>71</v>
      </c>
      <c r="H399" t="s">
        <v>89</v>
      </c>
      <c r="I399">
        <v>2030</v>
      </c>
      <c r="J399">
        <v>0</v>
      </c>
      <c r="K399" t="s">
        <v>54</v>
      </c>
      <c r="L399">
        <v>70</v>
      </c>
    </row>
    <row r="400" spans="1:12" x14ac:dyDescent="0.45">
      <c r="A400" t="s">
        <v>90</v>
      </c>
      <c r="B400" t="s">
        <v>1</v>
      </c>
      <c r="C400" t="s">
        <v>84</v>
      </c>
      <c r="D400" t="s">
        <v>54</v>
      </c>
      <c r="E400" t="s">
        <v>25</v>
      </c>
      <c r="F400" t="s">
        <v>54</v>
      </c>
      <c r="G400" t="s">
        <v>71</v>
      </c>
      <c r="H400" t="s">
        <v>89</v>
      </c>
      <c r="I400">
        <v>2030</v>
      </c>
      <c r="J400">
        <v>0</v>
      </c>
      <c r="K400" t="s">
        <v>54</v>
      </c>
      <c r="L400">
        <v>70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5.1157500000000002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33</v>
      </c>
      <c r="E408" t="s">
        <v>30</v>
      </c>
      <c r="F408" t="s">
        <v>33</v>
      </c>
      <c r="G408" t="s">
        <v>31</v>
      </c>
      <c r="H408" t="s">
        <v>34</v>
      </c>
      <c r="I408">
        <v>2030</v>
      </c>
      <c r="J408">
        <v>1.71675</v>
      </c>
      <c r="K408" t="s">
        <v>33</v>
      </c>
    </row>
    <row r="409" spans="1:11" x14ac:dyDescent="0.45">
      <c r="A409" t="s">
        <v>90</v>
      </c>
      <c r="B409" t="s">
        <v>4</v>
      </c>
      <c r="C409" t="s">
        <v>84</v>
      </c>
      <c r="D409" t="s">
        <v>33</v>
      </c>
      <c r="E409" t="s">
        <v>30</v>
      </c>
      <c r="F409" t="s">
        <v>33</v>
      </c>
      <c r="G409" t="s">
        <v>31</v>
      </c>
      <c r="H409" t="s">
        <v>34</v>
      </c>
      <c r="I409">
        <v>2030</v>
      </c>
      <c r="J409">
        <v>2.2603</v>
      </c>
      <c r="K409" t="s">
        <v>33</v>
      </c>
    </row>
    <row r="410" spans="1:11" x14ac:dyDescent="0.45">
      <c r="A410" t="s">
        <v>90</v>
      </c>
      <c r="B410" t="s">
        <v>0</v>
      </c>
      <c r="C410" t="s">
        <v>84</v>
      </c>
      <c r="D410" t="s">
        <v>33</v>
      </c>
      <c r="E410" t="s">
        <v>30</v>
      </c>
      <c r="F410" t="s">
        <v>33</v>
      </c>
      <c r="G410" t="s">
        <v>31</v>
      </c>
      <c r="H410" t="s">
        <v>34</v>
      </c>
      <c r="I410">
        <v>2030</v>
      </c>
      <c r="J410">
        <v>2.2603</v>
      </c>
      <c r="K410" t="s">
        <v>33</v>
      </c>
    </row>
    <row r="411" spans="1:11" x14ac:dyDescent="0.45">
      <c r="A411" t="s">
        <v>90</v>
      </c>
      <c r="B411" t="s">
        <v>6</v>
      </c>
      <c r="C411" t="s">
        <v>84</v>
      </c>
      <c r="D411" t="s">
        <v>33</v>
      </c>
      <c r="E411" t="s">
        <v>30</v>
      </c>
      <c r="F411" t="s">
        <v>33</v>
      </c>
      <c r="G411" t="s">
        <v>31</v>
      </c>
      <c r="H411" t="s">
        <v>34</v>
      </c>
      <c r="I411">
        <v>2030</v>
      </c>
      <c r="J411">
        <v>2.2603</v>
      </c>
      <c r="K411" t="s">
        <v>33</v>
      </c>
    </row>
    <row r="412" spans="1:11" x14ac:dyDescent="0.45">
      <c r="A412" t="s">
        <v>90</v>
      </c>
      <c r="B412" t="s">
        <v>5</v>
      </c>
      <c r="C412" t="s">
        <v>84</v>
      </c>
      <c r="D412" t="s">
        <v>33</v>
      </c>
      <c r="E412" t="s">
        <v>30</v>
      </c>
      <c r="F412" t="s">
        <v>33</v>
      </c>
      <c r="G412" t="s">
        <v>31</v>
      </c>
      <c r="H412" t="s">
        <v>34</v>
      </c>
      <c r="I412">
        <v>2030</v>
      </c>
      <c r="J412">
        <v>1.62375</v>
      </c>
      <c r="K412" t="s">
        <v>33</v>
      </c>
    </row>
    <row r="413" spans="1:11" x14ac:dyDescent="0.45">
      <c r="A413" t="s">
        <v>90</v>
      </c>
      <c r="B413" t="s">
        <v>2</v>
      </c>
      <c r="C413" t="s">
        <v>84</v>
      </c>
      <c r="D413" t="s">
        <v>33</v>
      </c>
      <c r="E413" t="s">
        <v>30</v>
      </c>
      <c r="F413" t="s">
        <v>33</v>
      </c>
      <c r="G413" t="s">
        <v>31</v>
      </c>
      <c r="H413" t="s">
        <v>34</v>
      </c>
      <c r="I413">
        <v>2030</v>
      </c>
      <c r="J413">
        <v>2.0793499999999998</v>
      </c>
      <c r="K413" t="s">
        <v>33</v>
      </c>
    </row>
    <row r="414" spans="1:11" x14ac:dyDescent="0.45">
      <c r="A414" t="s">
        <v>90</v>
      </c>
      <c r="B414" t="s">
        <v>1</v>
      </c>
      <c r="C414" t="s">
        <v>84</v>
      </c>
      <c r="D414" t="s">
        <v>33</v>
      </c>
      <c r="E414" t="s">
        <v>30</v>
      </c>
      <c r="F414" t="s">
        <v>33</v>
      </c>
      <c r="G414" t="s">
        <v>31</v>
      </c>
      <c r="H414" t="s">
        <v>34</v>
      </c>
      <c r="I414">
        <v>2030</v>
      </c>
      <c r="J414">
        <v>1.7697500000000002</v>
      </c>
      <c r="K414" t="s">
        <v>33</v>
      </c>
    </row>
    <row r="415" spans="1:11" x14ac:dyDescent="0.45">
      <c r="A415" t="s">
        <v>90</v>
      </c>
      <c r="B415" t="s">
        <v>3</v>
      </c>
      <c r="C415" t="s">
        <v>84</v>
      </c>
      <c r="D415" t="s">
        <v>35</v>
      </c>
      <c r="E415" t="s">
        <v>30</v>
      </c>
      <c r="F415" t="s">
        <v>35</v>
      </c>
      <c r="G415" t="s">
        <v>31</v>
      </c>
      <c r="H415" t="s">
        <v>36</v>
      </c>
      <c r="I415">
        <v>2030</v>
      </c>
      <c r="J415">
        <v>4.5418000000000003</v>
      </c>
      <c r="K415" t="s">
        <v>35</v>
      </c>
    </row>
    <row r="416" spans="1:11" x14ac:dyDescent="0.45">
      <c r="A416" t="s">
        <v>90</v>
      </c>
      <c r="B416" t="s">
        <v>4</v>
      </c>
      <c r="C416" t="s">
        <v>84</v>
      </c>
      <c r="D416" t="s">
        <v>35</v>
      </c>
      <c r="E416" t="s">
        <v>30</v>
      </c>
      <c r="F416" t="s">
        <v>35</v>
      </c>
      <c r="G416" t="s">
        <v>31</v>
      </c>
      <c r="H416" t="s">
        <v>36</v>
      </c>
      <c r="I416">
        <v>2030</v>
      </c>
      <c r="J416">
        <v>4.6098499999999998</v>
      </c>
      <c r="K416" t="s">
        <v>35</v>
      </c>
    </row>
    <row r="417" spans="1:11" x14ac:dyDescent="0.45">
      <c r="A417" t="s">
        <v>90</v>
      </c>
      <c r="B417" t="s">
        <v>0</v>
      </c>
      <c r="C417" t="s">
        <v>84</v>
      </c>
      <c r="D417" t="s">
        <v>35</v>
      </c>
      <c r="E417" t="s">
        <v>30</v>
      </c>
      <c r="F417" t="s">
        <v>35</v>
      </c>
      <c r="G417" t="s">
        <v>31</v>
      </c>
      <c r="H417" t="s">
        <v>36</v>
      </c>
      <c r="I417">
        <v>2030</v>
      </c>
      <c r="J417">
        <v>4.6098499999999998</v>
      </c>
      <c r="K417" t="s">
        <v>35</v>
      </c>
    </row>
    <row r="418" spans="1:11" x14ac:dyDescent="0.45">
      <c r="A418" t="s">
        <v>90</v>
      </c>
      <c r="B418" t="s">
        <v>6</v>
      </c>
      <c r="C418" t="s">
        <v>84</v>
      </c>
      <c r="D418" t="s">
        <v>35</v>
      </c>
      <c r="E418" t="s">
        <v>30</v>
      </c>
      <c r="F418" t="s">
        <v>35</v>
      </c>
      <c r="G418" t="s">
        <v>31</v>
      </c>
      <c r="H418" t="s">
        <v>36</v>
      </c>
      <c r="I418">
        <v>2030</v>
      </c>
      <c r="J418">
        <v>4.6098499999999998</v>
      </c>
      <c r="K418" t="s">
        <v>35</v>
      </c>
    </row>
    <row r="419" spans="1:11" x14ac:dyDescent="0.45">
      <c r="A419" t="s">
        <v>90</v>
      </c>
      <c r="B419" t="s">
        <v>5</v>
      </c>
      <c r="C419" t="s">
        <v>84</v>
      </c>
      <c r="D419" t="s">
        <v>35</v>
      </c>
      <c r="E419" t="s">
        <v>30</v>
      </c>
      <c r="F419" t="s">
        <v>35</v>
      </c>
      <c r="G419" t="s">
        <v>31</v>
      </c>
      <c r="H419" t="s">
        <v>36</v>
      </c>
      <c r="I419">
        <v>2030</v>
      </c>
      <c r="J419">
        <v>4.3525</v>
      </c>
      <c r="K419" t="s">
        <v>35</v>
      </c>
    </row>
    <row r="420" spans="1:11" x14ac:dyDescent="0.45">
      <c r="A420" t="s">
        <v>90</v>
      </c>
      <c r="B420" t="s">
        <v>2</v>
      </c>
      <c r="C420" t="s">
        <v>84</v>
      </c>
      <c r="D420" t="s">
        <v>35</v>
      </c>
      <c r="E420" t="s">
        <v>30</v>
      </c>
      <c r="F420" t="s">
        <v>35</v>
      </c>
      <c r="G420" t="s">
        <v>31</v>
      </c>
      <c r="H420" t="s">
        <v>36</v>
      </c>
      <c r="I420">
        <v>2030</v>
      </c>
      <c r="J420">
        <v>4.2876500000000002</v>
      </c>
      <c r="K420" t="s">
        <v>35</v>
      </c>
    </row>
    <row r="421" spans="1:11" x14ac:dyDescent="0.45">
      <c r="A421" t="s">
        <v>90</v>
      </c>
      <c r="B421" t="s">
        <v>1</v>
      </c>
      <c r="C421" t="s">
        <v>84</v>
      </c>
      <c r="D421" t="s">
        <v>35</v>
      </c>
      <c r="E421" t="s">
        <v>30</v>
      </c>
      <c r="F421" t="s">
        <v>35</v>
      </c>
      <c r="G421" t="s">
        <v>31</v>
      </c>
      <c r="H421" t="s">
        <v>36</v>
      </c>
      <c r="I421">
        <v>2030</v>
      </c>
      <c r="J421">
        <v>5.5630500000000005</v>
      </c>
      <c r="K421" t="s">
        <v>35</v>
      </c>
    </row>
    <row r="422" spans="1:11" x14ac:dyDescent="0.45">
      <c r="A422" t="s">
        <v>90</v>
      </c>
      <c r="B422" t="s">
        <v>3</v>
      </c>
      <c r="C422" t="s">
        <v>84</v>
      </c>
      <c r="D422" t="s">
        <v>37</v>
      </c>
      <c r="E422" t="s">
        <v>30</v>
      </c>
      <c r="F422" t="s">
        <v>37</v>
      </c>
      <c r="G422" t="s">
        <v>31</v>
      </c>
      <c r="H422" t="s">
        <v>38</v>
      </c>
      <c r="I422">
        <v>2030</v>
      </c>
      <c r="J422">
        <v>82.202550000000002</v>
      </c>
      <c r="K422" t="s">
        <v>37</v>
      </c>
    </row>
    <row r="423" spans="1:11" x14ac:dyDescent="0.45">
      <c r="A423" t="s">
        <v>90</v>
      </c>
      <c r="B423" t="s">
        <v>4</v>
      </c>
      <c r="C423" t="s">
        <v>84</v>
      </c>
      <c r="D423" t="s">
        <v>37</v>
      </c>
      <c r="E423" t="s">
        <v>30</v>
      </c>
      <c r="F423" t="s">
        <v>37</v>
      </c>
      <c r="G423" t="s">
        <v>31</v>
      </c>
      <c r="H423" t="s">
        <v>38</v>
      </c>
      <c r="I423">
        <v>2030</v>
      </c>
      <c r="J423">
        <v>82.546750000000003</v>
      </c>
      <c r="K423" t="s">
        <v>37</v>
      </c>
    </row>
    <row r="424" spans="1:11" x14ac:dyDescent="0.45">
      <c r="A424" t="s">
        <v>90</v>
      </c>
      <c r="B424" t="s">
        <v>0</v>
      </c>
      <c r="C424" t="s">
        <v>84</v>
      </c>
      <c r="D424" t="s">
        <v>37</v>
      </c>
      <c r="E424" t="s">
        <v>30</v>
      </c>
      <c r="F424" t="s">
        <v>37</v>
      </c>
      <c r="G424" t="s">
        <v>31</v>
      </c>
      <c r="H424" t="s">
        <v>38</v>
      </c>
      <c r="I424">
        <v>2030</v>
      </c>
      <c r="J424">
        <v>82.546750000000003</v>
      </c>
      <c r="K424" t="s">
        <v>37</v>
      </c>
    </row>
    <row r="425" spans="1:11" x14ac:dyDescent="0.45">
      <c r="A425" t="s">
        <v>90</v>
      </c>
      <c r="B425" t="s">
        <v>6</v>
      </c>
      <c r="C425" t="s">
        <v>84</v>
      </c>
      <c r="D425" t="s">
        <v>37</v>
      </c>
      <c r="E425" t="s">
        <v>30</v>
      </c>
      <c r="F425" t="s">
        <v>37</v>
      </c>
      <c r="G425" t="s">
        <v>31</v>
      </c>
      <c r="H425" t="s">
        <v>38</v>
      </c>
      <c r="I425">
        <v>2030</v>
      </c>
      <c r="J425">
        <v>82.546750000000003</v>
      </c>
      <c r="K425" t="s">
        <v>37</v>
      </c>
    </row>
    <row r="426" spans="1:11" x14ac:dyDescent="0.45">
      <c r="A426" t="s">
        <v>90</v>
      </c>
      <c r="B426" t="s">
        <v>5</v>
      </c>
      <c r="C426" t="s">
        <v>84</v>
      </c>
      <c r="D426" t="s">
        <v>37</v>
      </c>
      <c r="E426" t="s">
        <v>30</v>
      </c>
      <c r="F426" t="s">
        <v>37</v>
      </c>
      <c r="G426" t="s">
        <v>31</v>
      </c>
      <c r="H426" t="s">
        <v>38</v>
      </c>
      <c r="I426">
        <v>2030</v>
      </c>
      <c r="J426">
        <v>67.760549999999995</v>
      </c>
      <c r="K426" t="s">
        <v>37</v>
      </c>
    </row>
    <row r="427" spans="1:11" x14ac:dyDescent="0.45">
      <c r="A427" t="s">
        <v>90</v>
      </c>
      <c r="B427" t="s">
        <v>2</v>
      </c>
      <c r="C427" t="s">
        <v>84</v>
      </c>
      <c r="D427" t="s">
        <v>37</v>
      </c>
      <c r="E427" t="s">
        <v>30</v>
      </c>
      <c r="F427" t="s">
        <v>37</v>
      </c>
      <c r="G427" t="s">
        <v>31</v>
      </c>
      <c r="H427" t="s">
        <v>38</v>
      </c>
      <c r="I427">
        <v>2030</v>
      </c>
      <c r="J427">
        <v>81.937299999999993</v>
      </c>
      <c r="K427" t="s">
        <v>37</v>
      </c>
    </row>
    <row r="428" spans="1:11" x14ac:dyDescent="0.45">
      <c r="A428" t="s">
        <v>90</v>
      </c>
      <c r="B428" t="s">
        <v>1</v>
      </c>
      <c r="C428" t="s">
        <v>84</v>
      </c>
      <c r="D428" t="s">
        <v>37</v>
      </c>
      <c r="E428" t="s">
        <v>30</v>
      </c>
      <c r="F428" t="s">
        <v>37</v>
      </c>
      <c r="G428" t="s">
        <v>31</v>
      </c>
      <c r="H428" t="s">
        <v>38</v>
      </c>
      <c r="I428">
        <v>2030</v>
      </c>
      <c r="J428">
        <v>79.625100000000003</v>
      </c>
      <c r="K428" t="s">
        <v>37</v>
      </c>
    </row>
    <row r="429" spans="1:11" x14ac:dyDescent="0.45">
      <c r="A429" t="s">
        <v>90</v>
      </c>
      <c r="B429" t="s">
        <v>3</v>
      </c>
      <c r="C429" t="s">
        <v>84</v>
      </c>
      <c r="D429" t="s">
        <v>48</v>
      </c>
      <c r="E429" t="s">
        <v>46</v>
      </c>
      <c r="F429" t="s">
        <v>48</v>
      </c>
      <c r="G429" t="s">
        <v>49</v>
      </c>
      <c r="H429" t="s">
        <v>50</v>
      </c>
      <c r="I429">
        <v>2030</v>
      </c>
      <c r="J429">
        <v>181.1189</v>
      </c>
      <c r="K429" t="s">
        <v>48</v>
      </c>
    </row>
    <row r="430" spans="1:11" x14ac:dyDescent="0.45">
      <c r="A430" t="s">
        <v>90</v>
      </c>
      <c r="B430" t="s">
        <v>4</v>
      </c>
      <c r="C430" t="s">
        <v>84</v>
      </c>
      <c r="D430" t="s">
        <v>48</v>
      </c>
      <c r="E430" t="s">
        <v>46</v>
      </c>
      <c r="F430" t="s">
        <v>48</v>
      </c>
      <c r="G430" t="s">
        <v>49</v>
      </c>
      <c r="H430" t="s">
        <v>50</v>
      </c>
      <c r="I430">
        <v>2030</v>
      </c>
      <c r="J430">
        <v>313.96294999999998</v>
      </c>
      <c r="K430" t="s">
        <v>48</v>
      </c>
    </row>
    <row r="431" spans="1:11" x14ac:dyDescent="0.45">
      <c r="A431" t="s">
        <v>90</v>
      </c>
      <c r="B431" t="s">
        <v>0</v>
      </c>
      <c r="C431" t="s">
        <v>84</v>
      </c>
      <c r="D431" t="s">
        <v>48</v>
      </c>
      <c r="E431" t="s">
        <v>46</v>
      </c>
      <c r="F431" t="s">
        <v>48</v>
      </c>
      <c r="G431" t="s">
        <v>49</v>
      </c>
      <c r="H431" t="s">
        <v>50</v>
      </c>
      <c r="I431">
        <v>2030</v>
      </c>
      <c r="J431">
        <v>308.14890000000003</v>
      </c>
      <c r="K431" t="s">
        <v>48</v>
      </c>
    </row>
    <row r="432" spans="1:11" x14ac:dyDescent="0.45">
      <c r="A432" t="s">
        <v>90</v>
      </c>
      <c r="B432" t="s">
        <v>6</v>
      </c>
      <c r="C432" t="s">
        <v>84</v>
      </c>
      <c r="D432" t="s">
        <v>48</v>
      </c>
      <c r="E432" t="s">
        <v>46</v>
      </c>
      <c r="F432" t="s">
        <v>48</v>
      </c>
      <c r="G432" t="s">
        <v>49</v>
      </c>
      <c r="H432" t="s">
        <v>50</v>
      </c>
      <c r="I432">
        <v>2030</v>
      </c>
      <c r="J432">
        <v>309.85415</v>
      </c>
      <c r="K432" t="s">
        <v>48</v>
      </c>
    </row>
    <row r="433" spans="1:11" x14ac:dyDescent="0.45">
      <c r="A433" t="s">
        <v>90</v>
      </c>
      <c r="B433" t="s">
        <v>5</v>
      </c>
      <c r="C433" t="s">
        <v>84</v>
      </c>
      <c r="D433" t="s">
        <v>48</v>
      </c>
      <c r="E433" t="s">
        <v>46</v>
      </c>
      <c r="F433" t="s">
        <v>48</v>
      </c>
      <c r="G433" t="s">
        <v>49</v>
      </c>
      <c r="H433" t="s">
        <v>50</v>
      </c>
      <c r="I433">
        <v>2030</v>
      </c>
      <c r="J433">
        <v>175.67660000000001</v>
      </c>
      <c r="K433" t="s">
        <v>48</v>
      </c>
    </row>
    <row r="434" spans="1:11" x14ac:dyDescent="0.45">
      <c r="A434" t="s">
        <v>90</v>
      </c>
      <c r="B434" t="s">
        <v>2</v>
      </c>
      <c r="C434" t="s">
        <v>84</v>
      </c>
      <c r="D434" t="s">
        <v>48</v>
      </c>
      <c r="E434" t="s">
        <v>46</v>
      </c>
      <c r="F434" t="s">
        <v>48</v>
      </c>
      <c r="G434" t="s">
        <v>49</v>
      </c>
      <c r="H434" t="s">
        <v>50</v>
      </c>
      <c r="I434">
        <v>2030</v>
      </c>
      <c r="J434">
        <v>199.27924999999999</v>
      </c>
      <c r="K434" t="s">
        <v>48</v>
      </c>
    </row>
    <row r="435" spans="1:11" x14ac:dyDescent="0.45">
      <c r="A435" t="s">
        <v>90</v>
      </c>
      <c r="B435" t="s">
        <v>1</v>
      </c>
      <c r="C435" t="s">
        <v>84</v>
      </c>
      <c r="D435" t="s">
        <v>48</v>
      </c>
      <c r="E435" t="s">
        <v>46</v>
      </c>
      <c r="F435" t="s">
        <v>48</v>
      </c>
      <c r="G435" t="s">
        <v>49</v>
      </c>
      <c r="H435" t="s">
        <v>50</v>
      </c>
      <c r="I435">
        <v>2030</v>
      </c>
      <c r="J435">
        <v>155.13240000000002</v>
      </c>
      <c r="K435" t="s">
        <v>48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2030</v>
      </c>
      <c r="J436">
        <v>34.004049999999999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2030</v>
      </c>
      <c r="J437">
        <v>161.35059999999999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2030</v>
      </c>
      <c r="J438">
        <v>154.61599999999999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2030</v>
      </c>
      <c r="J439">
        <v>156.32114999999999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30.417850000000001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2030</v>
      </c>
      <c r="J441">
        <v>52.197200000000002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2030</v>
      </c>
      <c r="J442">
        <v>7.6738999999999997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9.69E-2</v>
      </c>
      <c r="K443" t="s">
        <v>45</v>
      </c>
    </row>
    <row r="444" spans="1:11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0</v>
      </c>
      <c r="K444" t="s">
        <v>45</v>
      </c>
    </row>
    <row r="445" spans="1:11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5.45E-3</v>
      </c>
      <c r="K445" t="s">
        <v>45</v>
      </c>
    </row>
    <row r="446" spans="1:11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8.6999999999999994E-3</v>
      </c>
      <c r="K446" t="s">
        <v>45</v>
      </c>
    </row>
    <row r="447" spans="1:11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0.27290000000000003</v>
      </c>
      <c r="K447" t="s">
        <v>45</v>
      </c>
    </row>
    <row r="448" spans="1:11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1.0200000000000001E-2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0.57420000000000004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2035</v>
      </c>
      <c r="J450">
        <v>3.015E-2</v>
      </c>
      <c r="K450" t="s">
        <v>24</v>
      </c>
    </row>
    <row r="451" spans="1:11" x14ac:dyDescent="0.45">
      <c r="A451" t="s">
        <v>90</v>
      </c>
      <c r="B451" t="s">
        <v>4</v>
      </c>
      <c r="C451" t="s">
        <v>84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2035</v>
      </c>
      <c r="J451">
        <v>3.0450000000000001E-2</v>
      </c>
      <c r="K451" t="s">
        <v>24</v>
      </c>
    </row>
    <row r="452" spans="1:11" x14ac:dyDescent="0.45">
      <c r="A452" t="s">
        <v>90</v>
      </c>
      <c r="B452" t="s">
        <v>0</v>
      </c>
      <c r="C452" t="s">
        <v>84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2035</v>
      </c>
      <c r="J452">
        <v>3.0249999999999999E-2</v>
      </c>
      <c r="K452" t="s">
        <v>24</v>
      </c>
    </row>
    <row r="453" spans="1:11" x14ac:dyDescent="0.45">
      <c r="A453" t="s">
        <v>90</v>
      </c>
      <c r="B453" t="s">
        <v>6</v>
      </c>
      <c r="C453" t="s">
        <v>84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2035</v>
      </c>
      <c r="J453">
        <v>2.9400000000000003E-2</v>
      </c>
      <c r="K453" t="s">
        <v>24</v>
      </c>
    </row>
    <row r="454" spans="1:11" x14ac:dyDescent="0.45">
      <c r="A454" t="s">
        <v>90</v>
      </c>
      <c r="B454" t="s">
        <v>5</v>
      </c>
      <c r="C454" t="s">
        <v>84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2035</v>
      </c>
      <c r="J454">
        <v>1.3849999999999999E-2</v>
      </c>
      <c r="K454" t="s">
        <v>24</v>
      </c>
    </row>
    <row r="455" spans="1:11" x14ac:dyDescent="0.45">
      <c r="A455" t="s">
        <v>90</v>
      </c>
      <c r="B455" t="s">
        <v>2</v>
      </c>
      <c r="C455" t="s">
        <v>84</v>
      </c>
      <c r="D455" t="s">
        <v>24</v>
      </c>
      <c r="E455" t="s">
        <v>25</v>
      </c>
      <c r="F455" t="s">
        <v>24</v>
      </c>
      <c r="G455" t="s">
        <v>26</v>
      </c>
      <c r="H455" t="s">
        <v>13</v>
      </c>
      <c r="I455">
        <v>2035</v>
      </c>
      <c r="J455">
        <v>3.1149999999999997E-2</v>
      </c>
      <c r="K455" t="s">
        <v>24</v>
      </c>
    </row>
    <row r="456" spans="1:11" x14ac:dyDescent="0.45">
      <c r="A456" t="s">
        <v>90</v>
      </c>
      <c r="B456" t="s">
        <v>1</v>
      </c>
      <c r="C456" t="s">
        <v>84</v>
      </c>
      <c r="D456" t="s">
        <v>24</v>
      </c>
      <c r="E456" t="s">
        <v>25</v>
      </c>
      <c r="F456" t="s">
        <v>24</v>
      </c>
      <c r="G456" t="s">
        <v>26</v>
      </c>
      <c r="H456" t="s">
        <v>13</v>
      </c>
      <c r="I456">
        <v>2035</v>
      </c>
      <c r="J456">
        <v>2.6000000000000002E-2</v>
      </c>
      <c r="K456" t="s">
        <v>24</v>
      </c>
    </row>
    <row r="457" spans="1:11" x14ac:dyDescent="0.45">
      <c r="A457" t="s">
        <v>90</v>
      </c>
      <c r="B457" t="s">
        <v>3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2035</v>
      </c>
      <c r="J457">
        <v>2.3E-2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2.0299999999999999E-2</v>
      </c>
      <c r="K458" t="s">
        <v>28</v>
      </c>
    </row>
    <row r="459" spans="1:11" x14ac:dyDescent="0.45">
      <c r="A459" t="s">
        <v>90</v>
      </c>
      <c r="B459" t="s">
        <v>0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2035</v>
      </c>
      <c r="J459">
        <v>1.9099999999999999E-2</v>
      </c>
      <c r="K459" t="s">
        <v>28</v>
      </c>
    </row>
    <row r="460" spans="1:11" x14ac:dyDescent="0.45">
      <c r="A460" t="s">
        <v>90</v>
      </c>
      <c r="B460" t="s">
        <v>6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2035</v>
      </c>
      <c r="J460">
        <v>2.0400000000000001E-2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2035</v>
      </c>
      <c r="J461">
        <v>2.6450000000000001E-2</v>
      </c>
      <c r="K461" t="s">
        <v>28</v>
      </c>
    </row>
    <row r="462" spans="1:11" x14ac:dyDescent="0.45">
      <c r="A462" t="s">
        <v>90</v>
      </c>
      <c r="B462" t="s">
        <v>2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2035</v>
      </c>
      <c r="J462">
        <v>2.3400000000000001E-2</v>
      </c>
      <c r="K462" t="s">
        <v>28</v>
      </c>
    </row>
    <row r="463" spans="1:11" x14ac:dyDescent="0.45">
      <c r="A463" t="s">
        <v>90</v>
      </c>
      <c r="B463" t="s">
        <v>1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2035</v>
      </c>
      <c r="J463">
        <v>2.1600000000000001E-2</v>
      </c>
      <c r="K463" t="s">
        <v>28</v>
      </c>
    </row>
    <row r="464" spans="1:11" x14ac:dyDescent="0.45">
      <c r="A464" t="s">
        <v>90</v>
      </c>
      <c r="B464" t="s">
        <v>3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2035</v>
      </c>
      <c r="J464">
        <v>1.2499999999999998E-3</v>
      </c>
      <c r="K464" t="s">
        <v>27</v>
      </c>
    </row>
    <row r="465" spans="1:12" x14ac:dyDescent="0.45">
      <c r="A465" t="s">
        <v>90</v>
      </c>
      <c r="B465" t="s">
        <v>4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2035</v>
      </c>
      <c r="J465">
        <v>1.0999999999999998E-3</v>
      </c>
      <c r="K465" t="s">
        <v>27</v>
      </c>
    </row>
    <row r="466" spans="1:12" x14ac:dyDescent="0.45">
      <c r="A466" t="s">
        <v>90</v>
      </c>
      <c r="B466" t="s">
        <v>0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2035</v>
      </c>
      <c r="J466">
        <v>1.2499999999999998E-3</v>
      </c>
      <c r="K466" t="s">
        <v>27</v>
      </c>
    </row>
    <row r="467" spans="1:12" x14ac:dyDescent="0.45">
      <c r="A467" t="s">
        <v>90</v>
      </c>
      <c r="B467" t="s">
        <v>6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2035</v>
      </c>
      <c r="J467">
        <v>1.2499999999999998E-3</v>
      </c>
      <c r="K467" t="s">
        <v>27</v>
      </c>
    </row>
    <row r="468" spans="1:12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2035</v>
      </c>
      <c r="J468">
        <v>8.9999999999999998E-4</v>
      </c>
      <c r="K468" t="s">
        <v>27</v>
      </c>
    </row>
    <row r="469" spans="1:12" x14ac:dyDescent="0.45">
      <c r="A469" t="s">
        <v>90</v>
      </c>
      <c r="B469" t="s">
        <v>2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2035</v>
      </c>
      <c r="J469">
        <v>1.4E-3</v>
      </c>
      <c r="K469" t="s">
        <v>27</v>
      </c>
    </row>
    <row r="470" spans="1:12" x14ac:dyDescent="0.45">
      <c r="A470" t="s">
        <v>90</v>
      </c>
      <c r="B470" t="s">
        <v>1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2035</v>
      </c>
      <c r="J470">
        <v>1.2999999999999999E-3</v>
      </c>
      <c r="K470" t="s">
        <v>27</v>
      </c>
    </row>
    <row r="471" spans="1:12" x14ac:dyDescent="0.45">
      <c r="A471" t="s">
        <v>90</v>
      </c>
      <c r="B471" t="s">
        <v>3</v>
      </c>
      <c r="C471" t="s">
        <v>84</v>
      </c>
      <c r="D471" t="s">
        <v>85</v>
      </c>
      <c r="E471" t="s">
        <v>25</v>
      </c>
      <c r="F471" t="s">
        <v>85</v>
      </c>
      <c r="G471" t="s">
        <v>26</v>
      </c>
      <c r="H471" t="s">
        <v>82</v>
      </c>
      <c r="I471">
        <v>2035</v>
      </c>
      <c r="J471">
        <v>2.2500000000000003E-3</v>
      </c>
      <c r="K471" t="s">
        <v>85</v>
      </c>
    </row>
    <row r="472" spans="1:12" x14ac:dyDescent="0.45">
      <c r="A472" t="s">
        <v>90</v>
      </c>
      <c r="B472" t="s">
        <v>4</v>
      </c>
      <c r="C472" t="s">
        <v>84</v>
      </c>
      <c r="D472" t="s">
        <v>85</v>
      </c>
      <c r="E472" t="s">
        <v>25</v>
      </c>
      <c r="F472" t="s">
        <v>85</v>
      </c>
      <c r="G472" t="s">
        <v>26</v>
      </c>
      <c r="H472" t="s">
        <v>82</v>
      </c>
      <c r="I472">
        <v>2035</v>
      </c>
      <c r="J472">
        <v>8.7500000000000008E-3</v>
      </c>
      <c r="K472" t="s">
        <v>85</v>
      </c>
    </row>
    <row r="473" spans="1:12" x14ac:dyDescent="0.45">
      <c r="A473" t="s">
        <v>90</v>
      </c>
      <c r="B473" t="s">
        <v>0</v>
      </c>
      <c r="C473" t="s">
        <v>84</v>
      </c>
      <c r="D473" t="s">
        <v>85</v>
      </c>
      <c r="E473" t="s">
        <v>25</v>
      </c>
      <c r="F473" t="s">
        <v>85</v>
      </c>
      <c r="G473" t="s">
        <v>26</v>
      </c>
      <c r="H473" t="s">
        <v>82</v>
      </c>
      <c r="I473">
        <v>2035</v>
      </c>
      <c r="J473">
        <v>8.150000000000001E-3</v>
      </c>
      <c r="K473" t="s">
        <v>85</v>
      </c>
    </row>
    <row r="474" spans="1:12" x14ac:dyDescent="0.45">
      <c r="A474" t="s">
        <v>90</v>
      </c>
      <c r="B474" t="s">
        <v>6</v>
      </c>
      <c r="C474" t="s">
        <v>84</v>
      </c>
      <c r="D474" t="s">
        <v>85</v>
      </c>
      <c r="E474" t="s">
        <v>25</v>
      </c>
      <c r="F474" t="s">
        <v>85</v>
      </c>
      <c r="G474" t="s">
        <v>26</v>
      </c>
      <c r="H474" t="s">
        <v>82</v>
      </c>
      <c r="I474">
        <v>2035</v>
      </c>
      <c r="J474">
        <v>2.0999999999999999E-3</v>
      </c>
      <c r="K474" t="s">
        <v>85</v>
      </c>
    </row>
    <row r="475" spans="1:12" x14ac:dyDescent="0.45">
      <c r="A475" t="s">
        <v>90</v>
      </c>
      <c r="B475" t="s">
        <v>5</v>
      </c>
      <c r="C475" t="s">
        <v>84</v>
      </c>
      <c r="D475" t="s">
        <v>85</v>
      </c>
      <c r="E475" t="s">
        <v>25</v>
      </c>
      <c r="F475" t="s">
        <v>85</v>
      </c>
      <c r="G475" t="s">
        <v>26</v>
      </c>
      <c r="H475" t="s">
        <v>82</v>
      </c>
      <c r="I475">
        <v>2035</v>
      </c>
      <c r="J475">
        <v>1.2999999999999999E-3</v>
      </c>
      <c r="K475" t="s">
        <v>85</v>
      </c>
    </row>
    <row r="476" spans="1:12" x14ac:dyDescent="0.45">
      <c r="A476" t="s">
        <v>90</v>
      </c>
      <c r="B476" t="s">
        <v>2</v>
      </c>
      <c r="C476" t="s">
        <v>84</v>
      </c>
      <c r="D476" t="s">
        <v>85</v>
      </c>
      <c r="E476" t="s">
        <v>25</v>
      </c>
      <c r="F476" t="s">
        <v>85</v>
      </c>
      <c r="G476" t="s">
        <v>26</v>
      </c>
      <c r="H476" t="s">
        <v>82</v>
      </c>
      <c r="I476">
        <v>2035</v>
      </c>
      <c r="J476">
        <v>2.3E-3</v>
      </c>
      <c r="K476" t="s">
        <v>85</v>
      </c>
    </row>
    <row r="477" spans="1:12" x14ac:dyDescent="0.45">
      <c r="A477" t="s">
        <v>90</v>
      </c>
      <c r="B477" t="s">
        <v>1</v>
      </c>
      <c r="C477" t="s">
        <v>84</v>
      </c>
      <c r="D477" t="s">
        <v>85</v>
      </c>
      <c r="E477" t="s">
        <v>25</v>
      </c>
      <c r="F477" t="s">
        <v>85</v>
      </c>
      <c r="G477" t="s">
        <v>26</v>
      </c>
      <c r="H477" t="s">
        <v>82</v>
      </c>
      <c r="I477">
        <v>2035</v>
      </c>
      <c r="J477">
        <v>3.2500000000000003E-3</v>
      </c>
      <c r="K477" t="s">
        <v>85</v>
      </c>
    </row>
    <row r="478" spans="1:12" x14ac:dyDescent="0.45">
      <c r="A478" t="s">
        <v>90</v>
      </c>
      <c r="B478" t="s">
        <v>3</v>
      </c>
      <c r="C478" t="s">
        <v>84</v>
      </c>
      <c r="D478" t="s">
        <v>52</v>
      </c>
      <c r="E478" t="s">
        <v>25</v>
      </c>
      <c r="F478" t="s">
        <v>52</v>
      </c>
      <c r="G478" t="s">
        <v>71</v>
      </c>
      <c r="H478" t="s">
        <v>89</v>
      </c>
      <c r="I478">
        <v>2035</v>
      </c>
      <c r="J478">
        <v>0</v>
      </c>
      <c r="K478" t="s">
        <v>52</v>
      </c>
      <c r="L478">
        <v>94</v>
      </c>
    </row>
    <row r="479" spans="1:12" x14ac:dyDescent="0.45">
      <c r="A479" t="s">
        <v>90</v>
      </c>
      <c r="B479" t="s">
        <v>4</v>
      </c>
      <c r="C479" t="s">
        <v>84</v>
      </c>
      <c r="D479" t="s">
        <v>52</v>
      </c>
      <c r="E479" t="s">
        <v>25</v>
      </c>
      <c r="F479" t="s">
        <v>52</v>
      </c>
      <c r="G479" t="s">
        <v>71</v>
      </c>
      <c r="H479" t="s">
        <v>89</v>
      </c>
      <c r="I479">
        <v>2035</v>
      </c>
      <c r="J479">
        <v>0</v>
      </c>
      <c r="K479" t="s">
        <v>52</v>
      </c>
      <c r="L479">
        <v>94</v>
      </c>
    </row>
    <row r="480" spans="1:12" x14ac:dyDescent="0.45">
      <c r="A480" t="s">
        <v>90</v>
      </c>
      <c r="B480" t="s">
        <v>0</v>
      </c>
      <c r="C480" t="s">
        <v>84</v>
      </c>
      <c r="D480" t="s">
        <v>52</v>
      </c>
      <c r="E480" t="s">
        <v>25</v>
      </c>
      <c r="F480" t="s">
        <v>52</v>
      </c>
      <c r="G480" t="s">
        <v>71</v>
      </c>
      <c r="H480" t="s">
        <v>89</v>
      </c>
      <c r="I480">
        <v>2035</v>
      </c>
      <c r="J480">
        <v>0</v>
      </c>
      <c r="K480" t="s">
        <v>52</v>
      </c>
      <c r="L480">
        <v>94</v>
      </c>
    </row>
    <row r="481" spans="1:12" x14ac:dyDescent="0.45">
      <c r="A481" t="s">
        <v>90</v>
      </c>
      <c r="B481" t="s">
        <v>6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2035</v>
      </c>
      <c r="J481">
        <v>0</v>
      </c>
      <c r="K481" t="s">
        <v>52</v>
      </c>
      <c r="L481">
        <v>94</v>
      </c>
    </row>
    <row r="482" spans="1:12" x14ac:dyDescent="0.45">
      <c r="A482" t="s">
        <v>90</v>
      </c>
      <c r="B482" t="s">
        <v>5</v>
      </c>
      <c r="C482" t="s">
        <v>84</v>
      </c>
      <c r="D482" t="s">
        <v>52</v>
      </c>
      <c r="E482" t="s">
        <v>25</v>
      </c>
      <c r="F482" t="s">
        <v>52</v>
      </c>
      <c r="G482" t="s">
        <v>71</v>
      </c>
      <c r="H482" t="s">
        <v>89</v>
      </c>
      <c r="I482">
        <v>2035</v>
      </c>
      <c r="J482">
        <v>0</v>
      </c>
      <c r="K482" t="s">
        <v>52</v>
      </c>
      <c r="L482">
        <v>94</v>
      </c>
    </row>
    <row r="483" spans="1:12" x14ac:dyDescent="0.45">
      <c r="A483" t="s">
        <v>90</v>
      </c>
      <c r="B483" t="s">
        <v>2</v>
      </c>
      <c r="C483" t="s">
        <v>84</v>
      </c>
      <c r="D483" t="s">
        <v>52</v>
      </c>
      <c r="E483" t="s">
        <v>25</v>
      </c>
      <c r="F483" t="s">
        <v>52</v>
      </c>
      <c r="G483" t="s">
        <v>71</v>
      </c>
      <c r="H483" t="s">
        <v>89</v>
      </c>
      <c r="I483">
        <v>2035</v>
      </c>
      <c r="J483">
        <v>0</v>
      </c>
      <c r="K483" t="s">
        <v>52</v>
      </c>
      <c r="L483">
        <v>94</v>
      </c>
    </row>
    <row r="484" spans="1:12" x14ac:dyDescent="0.45">
      <c r="A484" t="s">
        <v>90</v>
      </c>
      <c r="B484" t="s">
        <v>1</v>
      </c>
      <c r="C484" t="s">
        <v>84</v>
      </c>
      <c r="D484" t="s">
        <v>52</v>
      </c>
      <c r="E484" t="s">
        <v>25</v>
      </c>
      <c r="F484" t="s">
        <v>52</v>
      </c>
      <c r="G484" t="s">
        <v>71</v>
      </c>
      <c r="H484" t="s">
        <v>89</v>
      </c>
      <c r="I484">
        <v>2035</v>
      </c>
      <c r="J484">
        <v>0</v>
      </c>
      <c r="K484" t="s">
        <v>52</v>
      </c>
      <c r="L484">
        <v>94</v>
      </c>
    </row>
    <row r="485" spans="1:12" x14ac:dyDescent="0.45">
      <c r="A485" t="s">
        <v>90</v>
      </c>
      <c r="B485" t="s">
        <v>3</v>
      </c>
      <c r="C485" t="s">
        <v>84</v>
      </c>
      <c r="D485" t="s">
        <v>53</v>
      </c>
      <c r="E485" t="s">
        <v>25</v>
      </c>
      <c r="F485" t="s">
        <v>53</v>
      </c>
      <c r="G485" t="s">
        <v>71</v>
      </c>
      <c r="H485" t="s">
        <v>89</v>
      </c>
      <c r="I485">
        <v>2035</v>
      </c>
      <c r="J485">
        <v>1E-4</v>
      </c>
      <c r="K485" t="s">
        <v>53</v>
      </c>
      <c r="L485">
        <v>55</v>
      </c>
    </row>
    <row r="486" spans="1:12" x14ac:dyDescent="0.45">
      <c r="A486" t="s">
        <v>90</v>
      </c>
      <c r="B486" t="s">
        <v>4</v>
      </c>
      <c r="C486" t="s">
        <v>84</v>
      </c>
      <c r="D486" t="s">
        <v>53</v>
      </c>
      <c r="E486" t="s">
        <v>25</v>
      </c>
      <c r="F486" t="s">
        <v>53</v>
      </c>
      <c r="G486" t="s">
        <v>71</v>
      </c>
      <c r="H486" t="s">
        <v>89</v>
      </c>
      <c r="I486">
        <v>2035</v>
      </c>
      <c r="J486">
        <v>2.9999999999999997E-4</v>
      </c>
      <c r="K486" t="s">
        <v>53</v>
      </c>
      <c r="L486">
        <v>55</v>
      </c>
    </row>
    <row r="487" spans="1:12" x14ac:dyDescent="0.45">
      <c r="A487" t="s">
        <v>90</v>
      </c>
      <c r="B487" t="s">
        <v>0</v>
      </c>
      <c r="C487" t="s">
        <v>84</v>
      </c>
      <c r="D487" t="s">
        <v>53</v>
      </c>
      <c r="E487" t="s">
        <v>25</v>
      </c>
      <c r="F487" t="s">
        <v>53</v>
      </c>
      <c r="G487" t="s">
        <v>71</v>
      </c>
      <c r="H487" t="s">
        <v>89</v>
      </c>
      <c r="I487">
        <v>2035</v>
      </c>
      <c r="J487">
        <v>2.0000000000000001E-4</v>
      </c>
      <c r="K487" t="s">
        <v>53</v>
      </c>
      <c r="L487">
        <v>55</v>
      </c>
    </row>
    <row r="488" spans="1:12" x14ac:dyDescent="0.45">
      <c r="A488" t="s">
        <v>90</v>
      </c>
      <c r="B488" t="s">
        <v>6</v>
      </c>
      <c r="C488" t="s">
        <v>84</v>
      </c>
      <c r="D488" t="s">
        <v>53</v>
      </c>
      <c r="E488" t="s">
        <v>25</v>
      </c>
      <c r="F488" t="s">
        <v>53</v>
      </c>
      <c r="G488" t="s">
        <v>71</v>
      </c>
      <c r="H488" t="s">
        <v>89</v>
      </c>
      <c r="I488">
        <v>2035</v>
      </c>
      <c r="J488">
        <v>2.0000000000000001E-4</v>
      </c>
      <c r="K488" t="s">
        <v>53</v>
      </c>
      <c r="L488">
        <v>55</v>
      </c>
    </row>
    <row r="489" spans="1:12" x14ac:dyDescent="0.45">
      <c r="A489" t="s">
        <v>90</v>
      </c>
      <c r="B489" t="s">
        <v>5</v>
      </c>
      <c r="C489" t="s">
        <v>84</v>
      </c>
      <c r="D489" t="s">
        <v>53</v>
      </c>
      <c r="E489" t="s">
        <v>25</v>
      </c>
      <c r="F489" t="s">
        <v>53</v>
      </c>
      <c r="G489" t="s">
        <v>71</v>
      </c>
      <c r="H489" t="s">
        <v>89</v>
      </c>
      <c r="I489">
        <v>2035</v>
      </c>
      <c r="J489">
        <v>1E-4</v>
      </c>
      <c r="K489" t="s">
        <v>53</v>
      </c>
      <c r="L489">
        <v>55</v>
      </c>
    </row>
    <row r="490" spans="1:12" x14ac:dyDescent="0.45">
      <c r="A490" t="s">
        <v>90</v>
      </c>
      <c r="B490" t="s">
        <v>2</v>
      </c>
      <c r="C490" t="s">
        <v>84</v>
      </c>
      <c r="D490" t="s">
        <v>53</v>
      </c>
      <c r="E490" t="s">
        <v>25</v>
      </c>
      <c r="F490" t="s">
        <v>53</v>
      </c>
      <c r="G490" t="s">
        <v>71</v>
      </c>
      <c r="H490" t="s">
        <v>89</v>
      </c>
      <c r="I490">
        <v>2035</v>
      </c>
      <c r="J490">
        <v>1E-4</v>
      </c>
      <c r="K490" t="s">
        <v>53</v>
      </c>
      <c r="L490">
        <v>55</v>
      </c>
    </row>
    <row r="491" spans="1:12" x14ac:dyDescent="0.45">
      <c r="A491" t="s">
        <v>90</v>
      </c>
      <c r="B491" t="s">
        <v>1</v>
      </c>
      <c r="C491" t="s">
        <v>84</v>
      </c>
      <c r="D491" t="s">
        <v>53</v>
      </c>
      <c r="E491" t="s">
        <v>25</v>
      </c>
      <c r="F491" t="s">
        <v>53</v>
      </c>
      <c r="G491" t="s">
        <v>71</v>
      </c>
      <c r="H491" t="s">
        <v>89</v>
      </c>
      <c r="I491">
        <v>2035</v>
      </c>
      <c r="J491">
        <v>1E-4</v>
      </c>
      <c r="K491" t="s">
        <v>53</v>
      </c>
      <c r="L491">
        <v>55</v>
      </c>
    </row>
    <row r="492" spans="1:12" x14ac:dyDescent="0.45">
      <c r="A492" t="s">
        <v>90</v>
      </c>
      <c r="B492" t="s">
        <v>3</v>
      </c>
      <c r="C492" t="s">
        <v>84</v>
      </c>
      <c r="D492" t="s">
        <v>54</v>
      </c>
      <c r="E492" t="s">
        <v>25</v>
      </c>
      <c r="F492" t="s">
        <v>54</v>
      </c>
      <c r="G492" t="s">
        <v>71</v>
      </c>
      <c r="H492" t="s">
        <v>89</v>
      </c>
      <c r="I492">
        <v>2035</v>
      </c>
      <c r="J492">
        <v>0</v>
      </c>
      <c r="K492" t="s">
        <v>54</v>
      </c>
      <c r="L492">
        <v>70</v>
      </c>
    </row>
    <row r="493" spans="1:12" x14ac:dyDescent="0.45">
      <c r="A493" t="s">
        <v>90</v>
      </c>
      <c r="B493" t="s">
        <v>4</v>
      </c>
      <c r="C493" t="s">
        <v>84</v>
      </c>
      <c r="D493" t="s">
        <v>54</v>
      </c>
      <c r="E493" t="s">
        <v>25</v>
      </c>
      <c r="F493" t="s">
        <v>54</v>
      </c>
      <c r="G493" t="s">
        <v>71</v>
      </c>
      <c r="H493" t="s">
        <v>89</v>
      </c>
      <c r="I493">
        <v>2035</v>
      </c>
      <c r="J493">
        <v>0</v>
      </c>
      <c r="K493" t="s">
        <v>54</v>
      </c>
      <c r="L493">
        <v>70</v>
      </c>
    </row>
    <row r="494" spans="1:12" x14ac:dyDescent="0.45">
      <c r="A494" t="s">
        <v>90</v>
      </c>
      <c r="B494" t="s">
        <v>0</v>
      </c>
      <c r="C494" t="s">
        <v>84</v>
      </c>
      <c r="D494" t="s">
        <v>54</v>
      </c>
      <c r="E494" t="s">
        <v>25</v>
      </c>
      <c r="F494" t="s">
        <v>54</v>
      </c>
      <c r="G494" t="s">
        <v>71</v>
      </c>
      <c r="H494" t="s">
        <v>89</v>
      </c>
      <c r="I494">
        <v>2035</v>
      </c>
      <c r="J494">
        <v>0</v>
      </c>
      <c r="K494" t="s">
        <v>54</v>
      </c>
      <c r="L494">
        <v>70</v>
      </c>
    </row>
    <row r="495" spans="1:12" x14ac:dyDescent="0.45">
      <c r="A495" t="s">
        <v>90</v>
      </c>
      <c r="B495" t="s">
        <v>6</v>
      </c>
      <c r="C495" t="s">
        <v>84</v>
      </c>
      <c r="D495" t="s">
        <v>54</v>
      </c>
      <c r="E495" t="s">
        <v>25</v>
      </c>
      <c r="F495" t="s">
        <v>54</v>
      </c>
      <c r="G495" t="s">
        <v>71</v>
      </c>
      <c r="H495" t="s">
        <v>89</v>
      </c>
      <c r="I495">
        <v>2035</v>
      </c>
      <c r="J495">
        <v>0</v>
      </c>
      <c r="K495" t="s">
        <v>54</v>
      </c>
      <c r="L495">
        <v>70</v>
      </c>
    </row>
    <row r="496" spans="1:12" x14ac:dyDescent="0.45">
      <c r="A496" t="s">
        <v>90</v>
      </c>
      <c r="B496" t="s">
        <v>5</v>
      </c>
      <c r="C496" t="s">
        <v>84</v>
      </c>
      <c r="D496" t="s">
        <v>54</v>
      </c>
      <c r="E496" t="s">
        <v>25</v>
      </c>
      <c r="F496" t="s">
        <v>54</v>
      </c>
      <c r="G496" t="s">
        <v>71</v>
      </c>
      <c r="H496" t="s">
        <v>89</v>
      </c>
      <c r="I496">
        <v>2035</v>
      </c>
      <c r="J496">
        <v>0</v>
      </c>
      <c r="K496" t="s">
        <v>54</v>
      </c>
      <c r="L496">
        <v>70</v>
      </c>
    </row>
    <row r="497" spans="1:12" x14ac:dyDescent="0.45">
      <c r="A497" t="s">
        <v>90</v>
      </c>
      <c r="B497" t="s">
        <v>2</v>
      </c>
      <c r="C497" t="s">
        <v>84</v>
      </c>
      <c r="D497" t="s">
        <v>54</v>
      </c>
      <c r="E497" t="s">
        <v>25</v>
      </c>
      <c r="F497" t="s">
        <v>54</v>
      </c>
      <c r="G497" t="s">
        <v>71</v>
      </c>
      <c r="H497" t="s">
        <v>89</v>
      </c>
      <c r="I497">
        <v>2035</v>
      </c>
      <c r="J497">
        <v>0</v>
      </c>
      <c r="K497" t="s">
        <v>54</v>
      </c>
      <c r="L497">
        <v>70</v>
      </c>
    </row>
    <row r="498" spans="1:12" x14ac:dyDescent="0.45">
      <c r="A498" t="s">
        <v>90</v>
      </c>
      <c r="B498" t="s">
        <v>1</v>
      </c>
      <c r="C498" t="s">
        <v>84</v>
      </c>
      <c r="D498" t="s">
        <v>54</v>
      </c>
      <c r="E498" t="s">
        <v>25</v>
      </c>
      <c r="F498" t="s">
        <v>54</v>
      </c>
      <c r="G498" t="s">
        <v>71</v>
      </c>
      <c r="H498" t="s">
        <v>89</v>
      </c>
      <c r="I498">
        <v>2035</v>
      </c>
      <c r="J498">
        <v>0</v>
      </c>
      <c r="K498" t="s">
        <v>54</v>
      </c>
      <c r="L498">
        <v>70</v>
      </c>
    </row>
    <row r="499" spans="1:12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2035</v>
      </c>
      <c r="J499">
        <v>5.5216500000000002</v>
      </c>
      <c r="K499" t="s">
        <v>29</v>
      </c>
    </row>
    <row r="500" spans="1:12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2035</v>
      </c>
      <c r="J500">
        <v>4.5601500000000001</v>
      </c>
      <c r="K500" t="s">
        <v>29</v>
      </c>
    </row>
    <row r="501" spans="1:12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2035</v>
      </c>
      <c r="J501">
        <v>2.1764999999999999</v>
      </c>
      <c r="K501" t="s">
        <v>29</v>
      </c>
    </row>
    <row r="502" spans="1:12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2035</v>
      </c>
      <c r="J502">
        <v>4.7282500000000001</v>
      </c>
      <c r="K502" t="s">
        <v>29</v>
      </c>
    </row>
    <row r="503" spans="1:12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2035</v>
      </c>
      <c r="J503">
        <v>7.5321999999999996</v>
      </c>
      <c r="K503" t="s">
        <v>29</v>
      </c>
    </row>
    <row r="504" spans="1:12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2035</v>
      </c>
      <c r="J504">
        <v>5.8456999999999999</v>
      </c>
      <c r="K504" t="s">
        <v>29</v>
      </c>
    </row>
    <row r="505" spans="1:12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2035</v>
      </c>
      <c r="J505">
        <v>8.3306499999999986</v>
      </c>
      <c r="K505" t="s">
        <v>29</v>
      </c>
    </row>
    <row r="506" spans="1:12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2035</v>
      </c>
      <c r="J506">
        <v>1.54745</v>
      </c>
      <c r="K506" t="s">
        <v>33</v>
      </c>
    </row>
    <row r="507" spans="1:12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2035</v>
      </c>
      <c r="J507">
        <v>2.3062499999999999</v>
      </c>
      <c r="K507" t="s">
        <v>33</v>
      </c>
    </row>
    <row r="508" spans="1:12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2035</v>
      </c>
      <c r="J508">
        <v>2.2969999999999997</v>
      </c>
      <c r="K508" t="s">
        <v>33</v>
      </c>
    </row>
    <row r="509" spans="1:12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2.2448999999999999</v>
      </c>
      <c r="K509" t="s">
        <v>33</v>
      </c>
    </row>
    <row r="510" spans="1:12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2035</v>
      </c>
      <c r="J510">
        <v>1.2301500000000001</v>
      </c>
      <c r="K510" t="s">
        <v>33</v>
      </c>
    </row>
    <row r="511" spans="1:12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2035</v>
      </c>
      <c r="J511">
        <v>2.0613000000000001</v>
      </c>
      <c r="K511" t="s">
        <v>33</v>
      </c>
    </row>
    <row r="512" spans="1:12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2035</v>
      </c>
      <c r="J512">
        <v>1.43615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35</v>
      </c>
      <c r="E513" t="s">
        <v>30</v>
      </c>
      <c r="F513" t="s">
        <v>35</v>
      </c>
      <c r="G513" t="s">
        <v>31</v>
      </c>
      <c r="H513" t="s">
        <v>36</v>
      </c>
      <c r="I513">
        <v>2035</v>
      </c>
      <c r="J513">
        <v>5.2363</v>
      </c>
      <c r="K513" t="s">
        <v>35</v>
      </c>
    </row>
    <row r="514" spans="1:11" x14ac:dyDescent="0.45">
      <c r="A514" t="s">
        <v>90</v>
      </c>
      <c r="B514" t="s">
        <v>4</v>
      </c>
      <c r="C514" t="s">
        <v>84</v>
      </c>
      <c r="D514" t="s">
        <v>35</v>
      </c>
      <c r="E514" t="s">
        <v>30</v>
      </c>
      <c r="F514" t="s">
        <v>35</v>
      </c>
      <c r="G514" t="s">
        <v>31</v>
      </c>
      <c r="H514" t="s">
        <v>36</v>
      </c>
      <c r="I514">
        <v>2035</v>
      </c>
      <c r="J514">
        <v>4.9910999999999994</v>
      </c>
      <c r="K514" t="s">
        <v>35</v>
      </c>
    </row>
    <row r="515" spans="1:11" x14ac:dyDescent="0.45">
      <c r="A515" t="s">
        <v>90</v>
      </c>
      <c r="B515" t="s">
        <v>0</v>
      </c>
      <c r="C515" t="s">
        <v>84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2035</v>
      </c>
      <c r="J515">
        <v>5.7273500000000004</v>
      </c>
      <c r="K515" t="s">
        <v>35</v>
      </c>
    </row>
    <row r="516" spans="1:11" x14ac:dyDescent="0.45">
      <c r="A516" t="s">
        <v>90</v>
      </c>
      <c r="B516" t="s">
        <v>6</v>
      </c>
      <c r="C516" t="s">
        <v>84</v>
      </c>
      <c r="D516" t="s">
        <v>35</v>
      </c>
      <c r="E516" t="s">
        <v>30</v>
      </c>
      <c r="F516" t="s">
        <v>35</v>
      </c>
      <c r="G516" t="s">
        <v>31</v>
      </c>
      <c r="H516" t="s">
        <v>36</v>
      </c>
      <c r="I516">
        <v>2035</v>
      </c>
      <c r="J516">
        <v>5.0059500000000003</v>
      </c>
      <c r="K516" t="s">
        <v>35</v>
      </c>
    </row>
    <row r="517" spans="1:11" x14ac:dyDescent="0.45">
      <c r="A517" t="s">
        <v>90</v>
      </c>
      <c r="B517" t="s">
        <v>5</v>
      </c>
      <c r="C517" t="s">
        <v>84</v>
      </c>
      <c r="D517" t="s">
        <v>35</v>
      </c>
      <c r="E517" t="s">
        <v>30</v>
      </c>
      <c r="F517" t="s">
        <v>35</v>
      </c>
      <c r="G517" t="s">
        <v>31</v>
      </c>
      <c r="H517" t="s">
        <v>36</v>
      </c>
      <c r="I517">
        <v>2035</v>
      </c>
      <c r="J517">
        <v>5.21875</v>
      </c>
      <c r="K517" t="s">
        <v>35</v>
      </c>
    </row>
    <row r="518" spans="1:11" x14ac:dyDescent="0.45">
      <c r="A518" t="s">
        <v>90</v>
      </c>
      <c r="B518" t="s">
        <v>2</v>
      </c>
      <c r="C518" t="s">
        <v>84</v>
      </c>
      <c r="D518" t="s">
        <v>35</v>
      </c>
      <c r="E518" t="s">
        <v>30</v>
      </c>
      <c r="F518" t="s">
        <v>35</v>
      </c>
      <c r="G518" t="s">
        <v>31</v>
      </c>
      <c r="H518" t="s">
        <v>36</v>
      </c>
      <c r="I518">
        <v>2035</v>
      </c>
      <c r="J518">
        <v>4.73515</v>
      </c>
      <c r="K518" t="s">
        <v>35</v>
      </c>
    </row>
    <row r="519" spans="1:11" x14ac:dyDescent="0.45">
      <c r="A519" t="s">
        <v>90</v>
      </c>
      <c r="B519" t="s">
        <v>1</v>
      </c>
      <c r="C519" t="s">
        <v>84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2035</v>
      </c>
      <c r="J519">
        <v>5.8599999999999994</v>
      </c>
      <c r="K519" t="s">
        <v>35</v>
      </c>
    </row>
    <row r="520" spans="1:11" x14ac:dyDescent="0.45">
      <c r="A520" t="s">
        <v>90</v>
      </c>
      <c r="B520" t="s">
        <v>3</v>
      </c>
      <c r="C520" t="s">
        <v>84</v>
      </c>
      <c r="D520" t="s">
        <v>37</v>
      </c>
      <c r="E520" t="s">
        <v>30</v>
      </c>
      <c r="F520" t="s">
        <v>37</v>
      </c>
      <c r="G520" t="s">
        <v>31</v>
      </c>
      <c r="H520" t="s">
        <v>38</v>
      </c>
      <c r="I520">
        <v>2035</v>
      </c>
      <c r="J520">
        <v>79.196349999999995</v>
      </c>
      <c r="K520" t="s">
        <v>37</v>
      </c>
    </row>
    <row r="521" spans="1:11" x14ac:dyDescent="0.45">
      <c r="A521" t="s">
        <v>90</v>
      </c>
      <c r="B521" t="s">
        <v>4</v>
      </c>
      <c r="C521" t="s">
        <v>84</v>
      </c>
      <c r="D521" t="s">
        <v>37</v>
      </c>
      <c r="E521" t="s">
        <v>30</v>
      </c>
      <c r="F521" t="s">
        <v>37</v>
      </c>
      <c r="G521" t="s">
        <v>31</v>
      </c>
      <c r="H521" t="s">
        <v>38</v>
      </c>
      <c r="I521">
        <v>2035</v>
      </c>
      <c r="J521">
        <v>82.314250000000001</v>
      </c>
      <c r="K521" t="s">
        <v>37</v>
      </c>
    </row>
    <row r="522" spans="1:11" x14ac:dyDescent="0.45">
      <c r="A522" t="s">
        <v>90</v>
      </c>
      <c r="B522" t="s">
        <v>0</v>
      </c>
      <c r="C522" t="s">
        <v>84</v>
      </c>
      <c r="D522" t="s">
        <v>37</v>
      </c>
      <c r="E522" t="s">
        <v>30</v>
      </c>
      <c r="F522" t="s">
        <v>37</v>
      </c>
      <c r="G522" t="s">
        <v>31</v>
      </c>
      <c r="H522" t="s">
        <v>38</v>
      </c>
      <c r="I522">
        <v>2035</v>
      </c>
      <c r="J522">
        <v>69.214550000000003</v>
      </c>
      <c r="K522" t="s">
        <v>37</v>
      </c>
    </row>
    <row r="523" spans="1:11" x14ac:dyDescent="0.45">
      <c r="A523" t="s">
        <v>90</v>
      </c>
      <c r="B523" t="s">
        <v>6</v>
      </c>
      <c r="C523" t="s">
        <v>84</v>
      </c>
      <c r="D523" t="s">
        <v>37</v>
      </c>
      <c r="E523" t="s">
        <v>30</v>
      </c>
      <c r="F523" t="s">
        <v>37</v>
      </c>
      <c r="G523" t="s">
        <v>31</v>
      </c>
      <c r="H523" t="s">
        <v>38</v>
      </c>
      <c r="I523">
        <v>2035</v>
      </c>
      <c r="J523">
        <v>64.376100000000008</v>
      </c>
      <c r="K523" t="s">
        <v>37</v>
      </c>
    </row>
    <row r="524" spans="1:11" x14ac:dyDescent="0.45">
      <c r="A524" t="s">
        <v>90</v>
      </c>
      <c r="B524" t="s">
        <v>5</v>
      </c>
      <c r="C524" t="s">
        <v>84</v>
      </c>
      <c r="D524" t="s">
        <v>37</v>
      </c>
      <c r="E524" t="s">
        <v>30</v>
      </c>
      <c r="F524" t="s">
        <v>37</v>
      </c>
      <c r="G524" t="s">
        <v>31</v>
      </c>
      <c r="H524" t="s">
        <v>38</v>
      </c>
      <c r="I524">
        <v>2035</v>
      </c>
      <c r="J524">
        <v>74.5047</v>
      </c>
      <c r="K524" t="s">
        <v>37</v>
      </c>
    </row>
    <row r="525" spans="1:11" x14ac:dyDescent="0.45">
      <c r="A525" t="s">
        <v>90</v>
      </c>
      <c r="B525" t="s">
        <v>2</v>
      </c>
      <c r="C525" t="s">
        <v>84</v>
      </c>
      <c r="D525" t="s">
        <v>37</v>
      </c>
      <c r="E525" t="s">
        <v>30</v>
      </c>
      <c r="F525" t="s">
        <v>37</v>
      </c>
      <c r="G525" t="s">
        <v>31</v>
      </c>
      <c r="H525" t="s">
        <v>38</v>
      </c>
      <c r="I525">
        <v>2035</v>
      </c>
      <c r="J525">
        <v>81.215550000000007</v>
      </c>
      <c r="K525" t="s">
        <v>37</v>
      </c>
    </row>
    <row r="526" spans="1:11" x14ac:dyDescent="0.45">
      <c r="A526" t="s">
        <v>90</v>
      </c>
      <c r="B526" t="s">
        <v>1</v>
      </c>
      <c r="C526" t="s">
        <v>84</v>
      </c>
      <c r="D526" t="s">
        <v>37</v>
      </c>
      <c r="E526" t="s">
        <v>30</v>
      </c>
      <c r="F526" t="s">
        <v>37</v>
      </c>
      <c r="G526" t="s">
        <v>31</v>
      </c>
      <c r="H526" t="s">
        <v>38</v>
      </c>
      <c r="I526">
        <v>2035</v>
      </c>
      <c r="J526">
        <v>81.678049999999999</v>
      </c>
      <c r="K526" t="s">
        <v>37</v>
      </c>
    </row>
    <row r="527" spans="1:11" x14ac:dyDescent="0.45">
      <c r="A527" t="s">
        <v>90</v>
      </c>
      <c r="B527" t="s">
        <v>3</v>
      </c>
      <c r="C527" t="s">
        <v>84</v>
      </c>
      <c r="D527" t="s">
        <v>48</v>
      </c>
      <c r="E527" t="s">
        <v>46</v>
      </c>
      <c r="F527" t="s">
        <v>48</v>
      </c>
      <c r="G527" t="s">
        <v>49</v>
      </c>
      <c r="H527" t="s">
        <v>50</v>
      </c>
      <c r="I527">
        <v>2035</v>
      </c>
      <c r="J527">
        <v>156.12</v>
      </c>
      <c r="K527" t="s">
        <v>48</v>
      </c>
    </row>
    <row r="528" spans="1:11" x14ac:dyDescent="0.45">
      <c r="A528" t="s">
        <v>90</v>
      </c>
      <c r="B528" t="s">
        <v>4</v>
      </c>
      <c r="C528" t="s">
        <v>84</v>
      </c>
      <c r="D528" t="s">
        <v>48</v>
      </c>
      <c r="E528" t="s">
        <v>46</v>
      </c>
      <c r="F528" t="s">
        <v>48</v>
      </c>
      <c r="G528" t="s">
        <v>49</v>
      </c>
      <c r="H528" t="s">
        <v>50</v>
      </c>
      <c r="I528">
        <v>2035</v>
      </c>
      <c r="J528">
        <v>413.22315000000003</v>
      </c>
      <c r="K528" t="s">
        <v>48</v>
      </c>
    </row>
    <row r="529" spans="1:11" x14ac:dyDescent="0.45">
      <c r="A529" t="s">
        <v>90</v>
      </c>
      <c r="B529" t="s">
        <v>0</v>
      </c>
      <c r="C529" t="s">
        <v>84</v>
      </c>
      <c r="D529" t="s">
        <v>48</v>
      </c>
      <c r="E529" t="s">
        <v>46</v>
      </c>
      <c r="F529" t="s">
        <v>48</v>
      </c>
      <c r="G529" t="s">
        <v>49</v>
      </c>
      <c r="H529" t="s">
        <v>50</v>
      </c>
      <c r="I529">
        <v>2035</v>
      </c>
      <c r="J529">
        <v>388.78764999999999</v>
      </c>
      <c r="K529" t="s">
        <v>48</v>
      </c>
    </row>
    <row r="530" spans="1:11" x14ac:dyDescent="0.45">
      <c r="A530" t="s">
        <v>90</v>
      </c>
      <c r="B530" t="s">
        <v>6</v>
      </c>
      <c r="C530" t="s">
        <v>84</v>
      </c>
      <c r="D530" t="s">
        <v>48</v>
      </c>
      <c r="E530" t="s">
        <v>46</v>
      </c>
      <c r="F530" t="s">
        <v>48</v>
      </c>
      <c r="G530" t="s">
        <v>49</v>
      </c>
      <c r="H530" t="s">
        <v>50</v>
      </c>
      <c r="I530">
        <v>2035</v>
      </c>
      <c r="J530">
        <v>163.72165000000001</v>
      </c>
      <c r="K530" t="s">
        <v>48</v>
      </c>
    </row>
    <row r="531" spans="1:11" x14ac:dyDescent="0.45">
      <c r="A531" t="s">
        <v>90</v>
      </c>
      <c r="B531" t="s">
        <v>5</v>
      </c>
      <c r="C531" t="s">
        <v>84</v>
      </c>
      <c r="D531" t="s">
        <v>48</v>
      </c>
      <c r="E531" t="s">
        <v>46</v>
      </c>
      <c r="F531" t="s">
        <v>48</v>
      </c>
      <c r="G531" t="s">
        <v>49</v>
      </c>
      <c r="H531" t="s">
        <v>50</v>
      </c>
      <c r="I531">
        <v>2035</v>
      </c>
      <c r="J531">
        <v>152.5249</v>
      </c>
      <c r="K531" t="s">
        <v>48</v>
      </c>
    </row>
    <row r="532" spans="1:11" x14ac:dyDescent="0.45">
      <c r="A532" t="s">
        <v>90</v>
      </c>
      <c r="B532" t="s">
        <v>2</v>
      </c>
      <c r="C532" t="s">
        <v>84</v>
      </c>
      <c r="D532" t="s">
        <v>48</v>
      </c>
      <c r="E532" t="s">
        <v>46</v>
      </c>
      <c r="F532" t="s">
        <v>48</v>
      </c>
      <c r="G532" t="s">
        <v>49</v>
      </c>
      <c r="H532" t="s">
        <v>50</v>
      </c>
      <c r="I532">
        <v>2035</v>
      </c>
      <c r="J532">
        <v>184.0411</v>
      </c>
      <c r="K532" t="s">
        <v>48</v>
      </c>
    </row>
    <row r="533" spans="1:11" x14ac:dyDescent="0.45">
      <c r="A533" t="s">
        <v>90</v>
      </c>
      <c r="B533" t="s">
        <v>1</v>
      </c>
      <c r="C533" t="s">
        <v>84</v>
      </c>
      <c r="D533" t="s">
        <v>48</v>
      </c>
      <c r="E533" t="s">
        <v>46</v>
      </c>
      <c r="F533" t="s">
        <v>48</v>
      </c>
      <c r="G533" t="s">
        <v>49</v>
      </c>
      <c r="H533" t="s">
        <v>50</v>
      </c>
      <c r="I533">
        <v>2035</v>
      </c>
      <c r="J533">
        <v>153.01124999999999</v>
      </c>
      <c r="K533" t="s">
        <v>48</v>
      </c>
    </row>
    <row r="534" spans="1:11" x14ac:dyDescent="0.45">
      <c r="A534" t="s">
        <v>90</v>
      </c>
      <c r="B534" t="s">
        <v>3</v>
      </c>
      <c r="C534" t="s">
        <v>84</v>
      </c>
      <c r="D534" t="s">
        <v>51</v>
      </c>
      <c r="E534" t="s">
        <v>46</v>
      </c>
      <c r="F534" t="s">
        <v>51</v>
      </c>
      <c r="G534" t="s">
        <v>49</v>
      </c>
      <c r="H534" t="s">
        <v>50</v>
      </c>
      <c r="I534">
        <v>2035</v>
      </c>
      <c r="J534">
        <v>9.7983499999999992</v>
      </c>
      <c r="K534" t="s">
        <v>51</v>
      </c>
    </row>
    <row r="535" spans="1:11" x14ac:dyDescent="0.45">
      <c r="A535" t="s">
        <v>90</v>
      </c>
      <c r="B535" t="s">
        <v>4</v>
      </c>
      <c r="C535" t="s">
        <v>84</v>
      </c>
      <c r="D535" t="s">
        <v>51</v>
      </c>
      <c r="E535" t="s">
        <v>46</v>
      </c>
      <c r="F535" t="s">
        <v>51</v>
      </c>
      <c r="G535" t="s">
        <v>49</v>
      </c>
      <c r="H535" t="s">
        <v>50</v>
      </c>
      <c r="I535">
        <v>2035</v>
      </c>
      <c r="J535">
        <v>259.12734999999998</v>
      </c>
      <c r="K535" t="s">
        <v>51</v>
      </c>
    </row>
    <row r="536" spans="1:11" x14ac:dyDescent="0.45">
      <c r="A536" t="s">
        <v>90</v>
      </c>
      <c r="B536" t="s">
        <v>0</v>
      </c>
      <c r="C536" t="s">
        <v>84</v>
      </c>
      <c r="D536" t="s">
        <v>51</v>
      </c>
      <c r="E536" t="s">
        <v>46</v>
      </c>
      <c r="F536" t="s">
        <v>51</v>
      </c>
      <c r="G536" t="s">
        <v>49</v>
      </c>
      <c r="H536" t="s">
        <v>50</v>
      </c>
      <c r="I536">
        <v>2035</v>
      </c>
      <c r="J536">
        <v>243.7586</v>
      </c>
      <c r="K536" t="s">
        <v>51</v>
      </c>
    </row>
    <row r="537" spans="1:11" x14ac:dyDescent="0.45">
      <c r="A537" t="s">
        <v>90</v>
      </c>
      <c r="B537" t="s">
        <v>6</v>
      </c>
      <c r="C537" t="s">
        <v>84</v>
      </c>
      <c r="D537" t="s">
        <v>51</v>
      </c>
      <c r="E537" t="s">
        <v>46</v>
      </c>
      <c r="F537" t="s">
        <v>51</v>
      </c>
      <c r="G537" t="s">
        <v>49</v>
      </c>
      <c r="H537" t="s">
        <v>50</v>
      </c>
      <c r="I537">
        <v>2035</v>
      </c>
      <c r="J537">
        <v>18.750450000000001</v>
      </c>
      <c r="K537" t="s">
        <v>51</v>
      </c>
    </row>
    <row r="538" spans="1:11" x14ac:dyDescent="0.45">
      <c r="A538" t="s">
        <v>90</v>
      </c>
      <c r="B538" t="s">
        <v>5</v>
      </c>
      <c r="C538" t="s">
        <v>84</v>
      </c>
      <c r="D538" t="s">
        <v>51</v>
      </c>
      <c r="E538" t="s">
        <v>46</v>
      </c>
      <c r="F538" t="s">
        <v>51</v>
      </c>
      <c r="G538" t="s">
        <v>49</v>
      </c>
      <c r="H538" t="s">
        <v>50</v>
      </c>
      <c r="I538">
        <v>2035</v>
      </c>
      <c r="J538">
        <v>5.7342499999999994</v>
      </c>
      <c r="K538" t="s">
        <v>51</v>
      </c>
    </row>
    <row r="539" spans="1:11" x14ac:dyDescent="0.45">
      <c r="A539" t="s">
        <v>90</v>
      </c>
      <c r="B539" t="s">
        <v>2</v>
      </c>
      <c r="C539" t="s">
        <v>84</v>
      </c>
      <c r="D539" t="s">
        <v>51</v>
      </c>
      <c r="E539" t="s">
        <v>46</v>
      </c>
      <c r="F539" t="s">
        <v>51</v>
      </c>
      <c r="G539" t="s">
        <v>49</v>
      </c>
      <c r="H539" t="s">
        <v>50</v>
      </c>
      <c r="I539">
        <v>2035</v>
      </c>
      <c r="J539">
        <v>35.233849999999997</v>
      </c>
      <c r="K539" t="s">
        <v>51</v>
      </c>
    </row>
    <row r="540" spans="1:11" x14ac:dyDescent="0.45">
      <c r="A540" t="s">
        <v>90</v>
      </c>
      <c r="B540" t="s">
        <v>1</v>
      </c>
      <c r="C540" t="s">
        <v>84</v>
      </c>
      <c r="D540" t="s">
        <v>51</v>
      </c>
      <c r="E540" t="s">
        <v>46</v>
      </c>
      <c r="F540" t="s">
        <v>51</v>
      </c>
      <c r="G540" t="s">
        <v>49</v>
      </c>
      <c r="H540" t="s">
        <v>50</v>
      </c>
      <c r="I540">
        <v>2035</v>
      </c>
      <c r="J540">
        <v>4.8745999999999992</v>
      </c>
      <c r="K540" t="s">
        <v>51</v>
      </c>
    </row>
    <row r="541" spans="1:11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0.34320000000000001</v>
      </c>
      <c r="K541" t="s">
        <v>45</v>
      </c>
    </row>
    <row r="542" spans="1:11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0</v>
      </c>
      <c r="K542" t="s">
        <v>45</v>
      </c>
    </row>
    <row r="543" spans="1:11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5.6550000000000003E-2</v>
      </c>
      <c r="K543" t="s">
        <v>45</v>
      </c>
    </row>
    <row r="544" spans="1:11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2.6150000000000003E-2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1.0264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5.6999999999999995E-2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2.5979000000000001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2040</v>
      </c>
      <c r="J548">
        <v>4.1099999999999998E-2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2040</v>
      </c>
      <c r="J549">
        <v>3.9550000000000002E-2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2040</v>
      </c>
      <c r="J550">
        <v>3.9699999999999999E-2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2040</v>
      </c>
      <c r="J551">
        <v>3.9100000000000003E-2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2040</v>
      </c>
      <c r="J552">
        <v>1.6750000000000001E-2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2040</v>
      </c>
      <c r="J553">
        <v>4.2300000000000004E-2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2040</v>
      </c>
      <c r="J554">
        <v>3.4600000000000006E-2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28</v>
      </c>
      <c r="E555" t="s">
        <v>25</v>
      </c>
      <c r="F555" t="s">
        <v>28</v>
      </c>
      <c r="G555" t="s">
        <v>26</v>
      </c>
      <c r="H555" t="s">
        <v>12</v>
      </c>
      <c r="I555">
        <v>2040</v>
      </c>
      <c r="J555">
        <v>2.435E-2</v>
      </c>
      <c r="K555" t="s">
        <v>28</v>
      </c>
    </row>
    <row r="556" spans="1:11" x14ac:dyDescent="0.45">
      <c r="A556" t="s">
        <v>90</v>
      </c>
      <c r="B556" t="s">
        <v>4</v>
      </c>
      <c r="C556" t="s">
        <v>84</v>
      </c>
      <c r="D556" t="s">
        <v>28</v>
      </c>
      <c r="E556" t="s">
        <v>25</v>
      </c>
      <c r="F556" t="s">
        <v>28</v>
      </c>
      <c r="G556" t="s">
        <v>26</v>
      </c>
      <c r="H556" t="s">
        <v>12</v>
      </c>
      <c r="I556">
        <v>2040</v>
      </c>
      <c r="J556">
        <v>1.9200000000000002E-2</v>
      </c>
      <c r="K556" t="s">
        <v>28</v>
      </c>
    </row>
    <row r="557" spans="1:11" x14ac:dyDescent="0.45">
      <c r="A557" t="s">
        <v>90</v>
      </c>
      <c r="B557" t="s">
        <v>0</v>
      </c>
      <c r="C557" t="s">
        <v>84</v>
      </c>
      <c r="D557" t="s">
        <v>28</v>
      </c>
      <c r="E557" t="s">
        <v>25</v>
      </c>
      <c r="F557" t="s">
        <v>28</v>
      </c>
      <c r="G557" t="s">
        <v>26</v>
      </c>
      <c r="H557" t="s">
        <v>12</v>
      </c>
      <c r="I557">
        <v>2040</v>
      </c>
      <c r="J557">
        <v>1.9699999999999999E-2</v>
      </c>
      <c r="K557" t="s">
        <v>28</v>
      </c>
    </row>
    <row r="558" spans="1:11" x14ac:dyDescent="0.45">
      <c r="A558" t="s">
        <v>90</v>
      </c>
      <c r="B558" t="s">
        <v>6</v>
      </c>
      <c r="C558" t="s">
        <v>84</v>
      </c>
      <c r="D558" t="s">
        <v>28</v>
      </c>
      <c r="E558" t="s">
        <v>25</v>
      </c>
      <c r="F558" t="s">
        <v>28</v>
      </c>
      <c r="G558" t="s">
        <v>26</v>
      </c>
      <c r="H558" t="s">
        <v>12</v>
      </c>
      <c r="I558">
        <v>2040</v>
      </c>
      <c r="J558">
        <v>2.0150000000000001E-2</v>
      </c>
      <c r="K558" t="s">
        <v>28</v>
      </c>
    </row>
    <row r="559" spans="1:11" x14ac:dyDescent="0.45">
      <c r="A559" t="s">
        <v>90</v>
      </c>
      <c r="B559" t="s">
        <v>5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2040</v>
      </c>
      <c r="J559">
        <v>2.555E-2</v>
      </c>
      <c r="K559" t="s">
        <v>28</v>
      </c>
    </row>
    <row r="560" spans="1:11" x14ac:dyDescent="0.45">
      <c r="A560" t="s">
        <v>90</v>
      </c>
      <c r="B560" t="s">
        <v>2</v>
      </c>
      <c r="C560" t="s">
        <v>84</v>
      </c>
      <c r="D560" t="s">
        <v>28</v>
      </c>
      <c r="E560" t="s">
        <v>25</v>
      </c>
      <c r="F560" t="s">
        <v>28</v>
      </c>
      <c r="G560" t="s">
        <v>26</v>
      </c>
      <c r="H560" t="s">
        <v>12</v>
      </c>
      <c r="I560">
        <v>2040</v>
      </c>
      <c r="J560">
        <v>2.5050000000000003E-2</v>
      </c>
      <c r="K560" t="s">
        <v>28</v>
      </c>
    </row>
    <row r="561" spans="1:12" x14ac:dyDescent="0.45">
      <c r="A561" t="s">
        <v>90</v>
      </c>
      <c r="B561" t="s">
        <v>1</v>
      </c>
      <c r="C561" t="s">
        <v>84</v>
      </c>
      <c r="D561" t="s">
        <v>28</v>
      </c>
      <c r="E561" t="s">
        <v>25</v>
      </c>
      <c r="F561" t="s">
        <v>28</v>
      </c>
      <c r="G561" t="s">
        <v>26</v>
      </c>
      <c r="H561" t="s">
        <v>12</v>
      </c>
      <c r="I561">
        <v>2040</v>
      </c>
      <c r="J561">
        <v>2.1049999999999999E-2</v>
      </c>
      <c r="K561" t="s">
        <v>28</v>
      </c>
    </row>
    <row r="562" spans="1:12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2040</v>
      </c>
      <c r="J562">
        <v>3.8999999999999998E-3</v>
      </c>
      <c r="K562" t="s">
        <v>27</v>
      </c>
    </row>
    <row r="563" spans="1:12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2040</v>
      </c>
      <c r="J563">
        <v>2.5000000000000001E-3</v>
      </c>
      <c r="K563" t="s">
        <v>27</v>
      </c>
    </row>
    <row r="564" spans="1:12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2040</v>
      </c>
      <c r="J564">
        <v>3.1999999999999997E-3</v>
      </c>
      <c r="K564" t="s">
        <v>27</v>
      </c>
    </row>
    <row r="565" spans="1:12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2040</v>
      </c>
      <c r="J565">
        <v>2.8500000000000001E-3</v>
      </c>
      <c r="K565" t="s">
        <v>27</v>
      </c>
    </row>
    <row r="566" spans="1:12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2040</v>
      </c>
      <c r="J566">
        <v>2.8999999999999998E-3</v>
      </c>
      <c r="K566" t="s">
        <v>27</v>
      </c>
    </row>
    <row r="567" spans="1:12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2040</v>
      </c>
      <c r="J567">
        <v>3.3E-3</v>
      </c>
      <c r="K567" t="s">
        <v>27</v>
      </c>
    </row>
    <row r="568" spans="1:12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2040</v>
      </c>
      <c r="J568">
        <v>3.65E-3</v>
      </c>
      <c r="K568" t="s">
        <v>27</v>
      </c>
    </row>
    <row r="569" spans="1:12" x14ac:dyDescent="0.45">
      <c r="A569" t="s">
        <v>90</v>
      </c>
      <c r="B569" t="s">
        <v>3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2040</v>
      </c>
      <c r="J569">
        <v>3.8E-3</v>
      </c>
      <c r="K569" t="s">
        <v>85</v>
      </c>
    </row>
    <row r="570" spans="1:12" x14ac:dyDescent="0.45">
      <c r="A570" t="s">
        <v>90</v>
      </c>
      <c r="B570" t="s">
        <v>4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2040</v>
      </c>
      <c r="J570">
        <v>1.9599999999999999E-2</v>
      </c>
      <c r="K570" t="s">
        <v>85</v>
      </c>
    </row>
    <row r="571" spans="1:12" x14ac:dyDescent="0.45">
      <c r="A571" t="s">
        <v>90</v>
      </c>
      <c r="B571" t="s">
        <v>0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2040</v>
      </c>
      <c r="J571">
        <v>3.8E-3</v>
      </c>
      <c r="K571" t="s">
        <v>85</v>
      </c>
    </row>
    <row r="572" spans="1:12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2040</v>
      </c>
      <c r="J572">
        <v>7.0500000000000007E-3</v>
      </c>
      <c r="K572" t="s">
        <v>85</v>
      </c>
    </row>
    <row r="573" spans="1:12" x14ac:dyDescent="0.45">
      <c r="A573" t="s">
        <v>90</v>
      </c>
      <c r="B573" t="s">
        <v>5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2040</v>
      </c>
      <c r="J573">
        <v>2.5999999999999999E-3</v>
      </c>
      <c r="K573" t="s">
        <v>85</v>
      </c>
    </row>
    <row r="574" spans="1:12" x14ac:dyDescent="0.45">
      <c r="A574" t="s">
        <v>90</v>
      </c>
      <c r="B574" t="s">
        <v>2</v>
      </c>
      <c r="C574" t="s">
        <v>84</v>
      </c>
      <c r="D574" t="s">
        <v>85</v>
      </c>
      <c r="E574" t="s">
        <v>25</v>
      </c>
      <c r="F574" t="s">
        <v>85</v>
      </c>
      <c r="G574" t="s">
        <v>26</v>
      </c>
      <c r="H574" t="s">
        <v>82</v>
      </c>
      <c r="I574">
        <v>2040</v>
      </c>
      <c r="J574">
        <v>4.15E-3</v>
      </c>
      <c r="K574" t="s">
        <v>85</v>
      </c>
    </row>
    <row r="575" spans="1:12" x14ac:dyDescent="0.45">
      <c r="A575" t="s">
        <v>90</v>
      </c>
      <c r="B575" t="s">
        <v>1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2040</v>
      </c>
      <c r="J575">
        <v>9.4500000000000001E-3</v>
      </c>
      <c r="K575" t="s">
        <v>85</v>
      </c>
    </row>
    <row r="576" spans="1:12" x14ac:dyDescent="0.45">
      <c r="A576" t="s">
        <v>90</v>
      </c>
      <c r="B576" t="s">
        <v>3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2040</v>
      </c>
      <c r="J576">
        <v>0</v>
      </c>
      <c r="K576" t="s">
        <v>52</v>
      </c>
      <c r="L576">
        <v>94</v>
      </c>
    </row>
    <row r="577" spans="1:12" x14ac:dyDescent="0.45">
      <c r="A577" t="s">
        <v>90</v>
      </c>
      <c r="B577" t="s">
        <v>4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2040</v>
      </c>
      <c r="J577">
        <v>0</v>
      </c>
      <c r="K577" t="s">
        <v>52</v>
      </c>
      <c r="L577">
        <v>94</v>
      </c>
    </row>
    <row r="578" spans="1:12" x14ac:dyDescent="0.45">
      <c r="A578" t="s">
        <v>90</v>
      </c>
      <c r="B578" t="s">
        <v>0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2040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6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2040</v>
      </c>
      <c r="J579">
        <v>0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2040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2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2040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1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2040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3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2040</v>
      </c>
      <c r="J583">
        <v>1E-4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2040</v>
      </c>
      <c r="J584">
        <v>4.0000000000000002E-4</v>
      </c>
      <c r="K584" t="s">
        <v>53</v>
      </c>
      <c r="L584">
        <v>55</v>
      </c>
    </row>
    <row r="585" spans="1:12" x14ac:dyDescent="0.45">
      <c r="A585" t="s">
        <v>90</v>
      </c>
      <c r="B585" t="s">
        <v>0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2040</v>
      </c>
      <c r="J585">
        <v>2.0000000000000001E-4</v>
      </c>
      <c r="K585" t="s">
        <v>53</v>
      </c>
      <c r="L585">
        <v>55</v>
      </c>
    </row>
    <row r="586" spans="1:12" x14ac:dyDescent="0.45">
      <c r="A586" t="s">
        <v>90</v>
      </c>
      <c r="B586" t="s">
        <v>6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2040</v>
      </c>
      <c r="J586">
        <v>2.9999999999999997E-4</v>
      </c>
      <c r="K586" t="s">
        <v>53</v>
      </c>
      <c r="L586">
        <v>55</v>
      </c>
    </row>
    <row r="587" spans="1:12" x14ac:dyDescent="0.45">
      <c r="A587" t="s">
        <v>90</v>
      </c>
      <c r="B587" t="s">
        <v>5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2040</v>
      </c>
      <c r="J587">
        <v>0</v>
      </c>
      <c r="K587" t="s">
        <v>53</v>
      </c>
      <c r="L587">
        <v>55</v>
      </c>
    </row>
    <row r="588" spans="1:12" x14ac:dyDescent="0.45">
      <c r="A588" t="s">
        <v>90</v>
      </c>
      <c r="B588" t="s">
        <v>2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2040</v>
      </c>
      <c r="J588">
        <v>1E-4</v>
      </c>
      <c r="K588" t="s">
        <v>53</v>
      </c>
      <c r="L588">
        <v>55</v>
      </c>
    </row>
    <row r="589" spans="1:12" x14ac:dyDescent="0.45">
      <c r="A589" t="s">
        <v>90</v>
      </c>
      <c r="B589" t="s">
        <v>1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2040</v>
      </c>
      <c r="J589">
        <v>0</v>
      </c>
      <c r="K589" t="s">
        <v>53</v>
      </c>
      <c r="L589">
        <v>55</v>
      </c>
    </row>
    <row r="590" spans="1:12" x14ac:dyDescent="0.45">
      <c r="A590" t="s">
        <v>90</v>
      </c>
      <c r="B590" t="s">
        <v>3</v>
      </c>
      <c r="C590" t="s">
        <v>84</v>
      </c>
      <c r="D590" t="s">
        <v>54</v>
      </c>
      <c r="E590" t="s">
        <v>25</v>
      </c>
      <c r="F590" t="s">
        <v>54</v>
      </c>
      <c r="G590" t="s">
        <v>71</v>
      </c>
      <c r="H590" t="s">
        <v>89</v>
      </c>
      <c r="I590">
        <v>2040</v>
      </c>
      <c r="J590">
        <v>0</v>
      </c>
      <c r="K590" t="s">
        <v>54</v>
      </c>
      <c r="L590">
        <v>70</v>
      </c>
    </row>
    <row r="591" spans="1:12" x14ac:dyDescent="0.45">
      <c r="A591" t="s">
        <v>90</v>
      </c>
      <c r="B591" t="s">
        <v>4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2040</v>
      </c>
      <c r="J591">
        <v>0</v>
      </c>
      <c r="K591" t="s">
        <v>54</v>
      </c>
      <c r="L591">
        <v>70</v>
      </c>
    </row>
    <row r="592" spans="1:12" x14ac:dyDescent="0.45">
      <c r="A592" t="s">
        <v>90</v>
      </c>
      <c r="B592" t="s">
        <v>0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2040</v>
      </c>
      <c r="J592">
        <v>0</v>
      </c>
      <c r="K592" t="s">
        <v>54</v>
      </c>
      <c r="L592">
        <v>70</v>
      </c>
    </row>
    <row r="593" spans="1:12" x14ac:dyDescent="0.45">
      <c r="A593" t="s">
        <v>90</v>
      </c>
      <c r="B593" t="s">
        <v>6</v>
      </c>
      <c r="C593" t="s">
        <v>84</v>
      </c>
      <c r="D593" t="s">
        <v>54</v>
      </c>
      <c r="E593" t="s">
        <v>25</v>
      </c>
      <c r="F593" t="s">
        <v>54</v>
      </c>
      <c r="G593" t="s">
        <v>71</v>
      </c>
      <c r="H593" t="s">
        <v>89</v>
      </c>
      <c r="I593">
        <v>2040</v>
      </c>
      <c r="J593">
        <v>0</v>
      </c>
      <c r="K593" t="s">
        <v>54</v>
      </c>
      <c r="L593">
        <v>70</v>
      </c>
    </row>
    <row r="594" spans="1:12" x14ac:dyDescent="0.45">
      <c r="A594" t="s">
        <v>90</v>
      </c>
      <c r="B594" t="s">
        <v>5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2040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2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1</v>
      </c>
      <c r="C596" t="s">
        <v>84</v>
      </c>
      <c r="D596" t="s">
        <v>54</v>
      </c>
      <c r="E596" t="s">
        <v>25</v>
      </c>
      <c r="F596" t="s">
        <v>54</v>
      </c>
      <c r="G596" t="s">
        <v>71</v>
      </c>
      <c r="H596" t="s">
        <v>89</v>
      </c>
      <c r="I596">
        <v>2040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3</v>
      </c>
      <c r="C597" t="s">
        <v>84</v>
      </c>
      <c r="D597" t="s">
        <v>29</v>
      </c>
      <c r="E597" t="s">
        <v>30</v>
      </c>
      <c r="F597" t="s">
        <v>29</v>
      </c>
      <c r="G597" t="s">
        <v>31</v>
      </c>
      <c r="H597" t="s">
        <v>32</v>
      </c>
      <c r="I597">
        <v>2040</v>
      </c>
      <c r="J597">
        <v>6.60215</v>
      </c>
      <c r="K597" t="s">
        <v>29</v>
      </c>
    </row>
    <row r="598" spans="1:12" x14ac:dyDescent="0.45">
      <c r="A598" t="s">
        <v>90</v>
      </c>
      <c r="B598" t="s">
        <v>4</v>
      </c>
      <c r="C598" t="s">
        <v>84</v>
      </c>
      <c r="D598" t="s">
        <v>29</v>
      </c>
      <c r="E598" t="s">
        <v>30</v>
      </c>
      <c r="F598" t="s">
        <v>29</v>
      </c>
      <c r="G598" t="s">
        <v>31</v>
      </c>
      <c r="H598" t="s">
        <v>32</v>
      </c>
      <c r="I598">
        <v>2040</v>
      </c>
      <c r="J598">
        <v>2.1816000000000004</v>
      </c>
      <c r="K598" t="s">
        <v>29</v>
      </c>
    </row>
    <row r="599" spans="1:12" x14ac:dyDescent="0.45">
      <c r="A599" t="s">
        <v>90</v>
      </c>
      <c r="B599" t="s">
        <v>0</v>
      </c>
      <c r="C599" t="s">
        <v>84</v>
      </c>
      <c r="D599" t="s">
        <v>29</v>
      </c>
      <c r="E599" t="s">
        <v>30</v>
      </c>
      <c r="F599" t="s">
        <v>29</v>
      </c>
      <c r="G599" t="s">
        <v>31</v>
      </c>
      <c r="H599" t="s">
        <v>32</v>
      </c>
      <c r="I599">
        <v>2040</v>
      </c>
      <c r="J599">
        <v>5.5442</v>
      </c>
      <c r="K599" t="s">
        <v>29</v>
      </c>
    </row>
    <row r="600" spans="1:12" x14ac:dyDescent="0.45">
      <c r="A600" t="s">
        <v>90</v>
      </c>
      <c r="B600" t="s">
        <v>6</v>
      </c>
      <c r="C600" t="s">
        <v>84</v>
      </c>
      <c r="D600" t="s">
        <v>29</v>
      </c>
      <c r="E600" t="s">
        <v>30</v>
      </c>
      <c r="F600" t="s">
        <v>29</v>
      </c>
      <c r="G600" t="s">
        <v>31</v>
      </c>
      <c r="H600" t="s">
        <v>32</v>
      </c>
      <c r="I600">
        <v>2040</v>
      </c>
      <c r="J600">
        <v>5.6577500000000001</v>
      </c>
      <c r="K600" t="s">
        <v>29</v>
      </c>
    </row>
    <row r="601" spans="1:12" x14ac:dyDescent="0.45">
      <c r="A601" t="s">
        <v>90</v>
      </c>
      <c r="B601" t="s">
        <v>5</v>
      </c>
      <c r="C601" t="s">
        <v>84</v>
      </c>
      <c r="D601" t="s">
        <v>29</v>
      </c>
      <c r="E601" t="s">
        <v>30</v>
      </c>
      <c r="F601" t="s">
        <v>29</v>
      </c>
      <c r="G601" t="s">
        <v>31</v>
      </c>
      <c r="H601" t="s">
        <v>32</v>
      </c>
      <c r="I601">
        <v>2040</v>
      </c>
      <c r="J601">
        <v>8.59145</v>
      </c>
      <c r="K601" t="s">
        <v>29</v>
      </c>
    </row>
    <row r="602" spans="1:12" x14ac:dyDescent="0.45">
      <c r="A602" t="s">
        <v>90</v>
      </c>
      <c r="B602" t="s">
        <v>2</v>
      </c>
      <c r="C602" t="s">
        <v>84</v>
      </c>
      <c r="D602" t="s">
        <v>29</v>
      </c>
      <c r="E602" t="s">
        <v>30</v>
      </c>
      <c r="F602" t="s">
        <v>29</v>
      </c>
      <c r="G602" t="s">
        <v>31</v>
      </c>
      <c r="H602" t="s">
        <v>32</v>
      </c>
      <c r="I602">
        <v>2040</v>
      </c>
      <c r="J602">
        <v>5.8168000000000006</v>
      </c>
      <c r="K602" t="s">
        <v>29</v>
      </c>
    </row>
    <row r="603" spans="1:12" x14ac:dyDescent="0.45">
      <c r="A603" t="s">
        <v>90</v>
      </c>
      <c r="B603" t="s">
        <v>1</v>
      </c>
      <c r="C603" t="s">
        <v>84</v>
      </c>
      <c r="D603" t="s">
        <v>29</v>
      </c>
      <c r="E603" t="s">
        <v>30</v>
      </c>
      <c r="F603" t="s">
        <v>29</v>
      </c>
      <c r="G603" t="s">
        <v>31</v>
      </c>
      <c r="H603" t="s">
        <v>32</v>
      </c>
      <c r="I603">
        <v>2040</v>
      </c>
      <c r="J603">
        <v>16.86035</v>
      </c>
      <c r="K603" t="s">
        <v>29</v>
      </c>
    </row>
    <row r="604" spans="1:12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2040</v>
      </c>
      <c r="J604">
        <v>1.4253499999999999</v>
      </c>
      <c r="K604" t="s">
        <v>33</v>
      </c>
    </row>
    <row r="605" spans="1:12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2040</v>
      </c>
      <c r="J605">
        <v>2.3628</v>
      </c>
      <c r="K605" t="s">
        <v>33</v>
      </c>
    </row>
    <row r="606" spans="1:12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2040</v>
      </c>
      <c r="J606">
        <v>1.87825</v>
      </c>
      <c r="K606" t="s">
        <v>33</v>
      </c>
    </row>
    <row r="607" spans="1:12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2040</v>
      </c>
      <c r="J607">
        <v>1.94885</v>
      </c>
      <c r="K607" t="s">
        <v>33</v>
      </c>
    </row>
    <row r="608" spans="1:12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2040</v>
      </c>
      <c r="J608">
        <v>1.33395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2040</v>
      </c>
      <c r="J609">
        <v>1.9228499999999999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2040</v>
      </c>
      <c r="J610">
        <v>1.3690500000000001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35</v>
      </c>
      <c r="E611" t="s">
        <v>30</v>
      </c>
      <c r="F611" t="s">
        <v>35</v>
      </c>
      <c r="G611" t="s">
        <v>31</v>
      </c>
      <c r="H611" t="s">
        <v>36</v>
      </c>
      <c r="I611">
        <v>2040</v>
      </c>
      <c r="J611">
        <v>5.0498499999999993</v>
      </c>
      <c r="K611" t="s">
        <v>35</v>
      </c>
    </row>
    <row r="612" spans="1:11" x14ac:dyDescent="0.45">
      <c r="A612" t="s">
        <v>90</v>
      </c>
      <c r="B612" t="s">
        <v>4</v>
      </c>
      <c r="C612" t="s">
        <v>84</v>
      </c>
      <c r="D612" t="s">
        <v>35</v>
      </c>
      <c r="E612" t="s">
        <v>30</v>
      </c>
      <c r="F612" t="s">
        <v>35</v>
      </c>
      <c r="G612" t="s">
        <v>31</v>
      </c>
      <c r="H612" t="s">
        <v>36</v>
      </c>
      <c r="I612">
        <v>2040</v>
      </c>
      <c r="J612">
        <v>5.2395999999999994</v>
      </c>
      <c r="K612" t="s">
        <v>35</v>
      </c>
    </row>
    <row r="613" spans="1:11" x14ac:dyDescent="0.45">
      <c r="A613" t="s">
        <v>90</v>
      </c>
      <c r="B613" t="s">
        <v>0</v>
      </c>
      <c r="C613" t="s">
        <v>84</v>
      </c>
      <c r="D613" t="s">
        <v>35</v>
      </c>
      <c r="E613" t="s">
        <v>30</v>
      </c>
      <c r="F613" t="s">
        <v>35</v>
      </c>
      <c r="G613" t="s">
        <v>31</v>
      </c>
      <c r="H613" t="s">
        <v>36</v>
      </c>
      <c r="I613">
        <v>2040</v>
      </c>
      <c r="J613">
        <v>5.2990500000000003</v>
      </c>
      <c r="K613" t="s">
        <v>35</v>
      </c>
    </row>
    <row r="614" spans="1:11" x14ac:dyDescent="0.45">
      <c r="A614" t="s">
        <v>90</v>
      </c>
      <c r="B614" t="s">
        <v>6</v>
      </c>
      <c r="C614" t="s">
        <v>84</v>
      </c>
      <c r="D614" t="s">
        <v>35</v>
      </c>
      <c r="E614" t="s">
        <v>30</v>
      </c>
      <c r="F614" t="s">
        <v>35</v>
      </c>
      <c r="G614" t="s">
        <v>31</v>
      </c>
      <c r="H614" t="s">
        <v>36</v>
      </c>
      <c r="I614">
        <v>2040</v>
      </c>
      <c r="J614">
        <v>4.9135</v>
      </c>
      <c r="K614" t="s">
        <v>35</v>
      </c>
    </row>
    <row r="615" spans="1:11" x14ac:dyDescent="0.45">
      <c r="A615" t="s">
        <v>90</v>
      </c>
      <c r="B615" t="s">
        <v>5</v>
      </c>
      <c r="C615" t="s">
        <v>84</v>
      </c>
      <c r="D615" t="s">
        <v>35</v>
      </c>
      <c r="E615" t="s">
        <v>30</v>
      </c>
      <c r="F615" t="s">
        <v>35</v>
      </c>
      <c r="G615" t="s">
        <v>31</v>
      </c>
      <c r="H615" t="s">
        <v>36</v>
      </c>
      <c r="I615">
        <v>2040</v>
      </c>
      <c r="J615">
        <v>4.6133500000000005</v>
      </c>
      <c r="K615" t="s">
        <v>35</v>
      </c>
    </row>
    <row r="616" spans="1:11" x14ac:dyDescent="0.45">
      <c r="A616" t="s">
        <v>90</v>
      </c>
      <c r="B616" t="s">
        <v>2</v>
      </c>
      <c r="C616" t="s">
        <v>84</v>
      </c>
      <c r="D616" t="s">
        <v>35</v>
      </c>
      <c r="E616" t="s">
        <v>30</v>
      </c>
      <c r="F616" t="s">
        <v>35</v>
      </c>
      <c r="G616" t="s">
        <v>31</v>
      </c>
      <c r="H616" t="s">
        <v>36</v>
      </c>
      <c r="I616">
        <v>2040</v>
      </c>
      <c r="J616">
        <v>5.0349500000000003</v>
      </c>
      <c r="K616" t="s">
        <v>35</v>
      </c>
    </row>
    <row r="617" spans="1:11" x14ac:dyDescent="0.45">
      <c r="A617" t="s">
        <v>90</v>
      </c>
      <c r="B617" t="s">
        <v>1</v>
      </c>
      <c r="C617" t="s">
        <v>84</v>
      </c>
      <c r="D617" t="s">
        <v>35</v>
      </c>
      <c r="E617" t="s">
        <v>30</v>
      </c>
      <c r="F617" t="s">
        <v>35</v>
      </c>
      <c r="G617" t="s">
        <v>31</v>
      </c>
      <c r="H617" t="s">
        <v>36</v>
      </c>
      <c r="I617">
        <v>2040</v>
      </c>
      <c r="J617">
        <v>5.7955500000000004</v>
      </c>
      <c r="K617" t="s">
        <v>35</v>
      </c>
    </row>
    <row r="618" spans="1:11" x14ac:dyDescent="0.45">
      <c r="A618" t="s">
        <v>90</v>
      </c>
      <c r="B618" t="s">
        <v>3</v>
      </c>
      <c r="C618" t="s">
        <v>84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2040</v>
      </c>
      <c r="J618">
        <v>87.863900000000001</v>
      </c>
      <c r="K618" t="s">
        <v>37</v>
      </c>
    </row>
    <row r="619" spans="1:11" x14ac:dyDescent="0.45">
      <c r="A619" t="s">
        <v>90</v>
      </c>
      <c r="B619" t="s">
        <v>4</v>
      </c>
      <c r="C619" t="s">
        <v>84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2040</v>
      </c>
      <c r="J619">
        <v>92.362349999999992</v>
      </c>
      <c r="K619" t="s">
        <v>37</v>
      </c>
    </row>
    <row r="620" spans="1:11" x14ac:dyDescent="0.45">
      <c r="A620" t="s">
        <v>90</v>
      </c>
      <c r="B620" t="s">
        <v>0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2040</v>
      </c>
      <c r="J620">
        <v>86.607200000000006</v>
      </c>
      <c r="K620" t="s">
        <v>37</v>
      </c>
    </row>
    <row r="621" spans="1:11" x14ac:dyDescent="0.45">
      <c r="A621" t="s">
        <v>90</v>
      </c>
      <c r="B621" t="s">
        <v>6</v>
      </c>
      <c r="C621" t="s">
        <v>84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2040</v>
      </c>
      <c r="J621">
        <v>84.286650000000009</v>
      </c>
      <c r="K621" t="s">
        <v>37</v>
      </c>
    </row>
    <row r="622" spans="1:11" x14ac:dyDescent="0.45">
      <c r="A622" t="s">
        <v>90</v>
      </c>
      <c r="B622" t="s">
        <v>5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2040</v>
      </c>
      <c r="J622">
        <v>80.313099999999991</v>
      </c>
      <c r="K622" t="s">
        <v>37</v>
      </c>
    </row>
    <row r="623" spans="1:11" x14ac:dyDescent="0.45">
      <c r="A623" t="s">
        <v>90</v>
      </c>
      <c r="B623" t="s">
        <v>2</v>
      </c>
      <c r="C623" t="s">
        <v>84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2040</v>
      </c>
      <c r="J623">
        <v>91.770399999999995</v>
      </c>
      <c r="K623" t="s">
        <v>37</v>
      </c>
    </row>
    <row r="624" spans="1:11" x14ac:dyDescent="0.45">
      <c r="A624" t="s">
        <v>90</v>
      </c>
      <c r="B624" t="s">
        <v>1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2040</v>
      </c>
      <c r="J624">
        <v>88.534649999999999</v>
      </c>
      <c r="K624" t="s">
        <v>37</v>
      </c>
    </row>
    <row r="625" spans="1:11" x14ac:dyDescent="0.45">
      <c r="A625" t="s">
        <v>90</v>
      </c>
      <c r="B625" t="s">
        <v>3</v>
      </c>
      <c r="C625" t="s">
        <v>84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2040</v>
      </c>
      <c r="J625">
        <v>155.95280000000002</v>
      </c>
      <c r="K625" t="s">
        <v>48</v>
      </c>
    </row>
    <row r="626" spans="1:11" x14ac:dyDescent="0.45">
      <c r="A626" t="s">
        <v>90</v>
      </c>
      <c r="B626" t="s">
        <v>4</v>
      </c>
      <c r="C626" t="s">
        <v>84</v>
      </c>
      <c r="D626" t="s">
        <v>48</v>
      </c>
      <c r="E626" t="s">
        <v>46</v>
      </c>
      <c r="F626" t="s">
        <v>48</v>
      </c>
      <c r="G626" t="s">
        <v>49</v>
      </c>
      <c r="H626" t="s">
        <v>50</v>
      </c>
      <c r="I626">
        <v>2040</v>
      </c>
      <c r="J626">
        <v>527.24610000000007</v>
      </c>
      <c r="K626" t="s">
        <v>48</v>
      </c>
    </row>
    <row r="627" spans="1:11" x14ac:dyDescent="0.45">
      <c r="A627" t="s">
        <v>90</v>
      </c>
      <c r="B627" t="s">
        <v>0</v>
      </c>
      <c r="C627" t="s">
        <v>84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2040</v>
      </c>
      <c r="J627">
        <v>164.74610000000001</v>
      </c>
      <c r="K627" t="s">
        <v>48</v>
      </c>
    </row>
    <row r="628" spans="1:11" x14ac:dyDescent="0.45">
      <c r="A628" t="s">
        <v>90</v>
      </c>
      <c r="B628" t="s">
        <v>6</v>
      </c>
      <c r="C628" t="s">
        <v>84</v>
      </c>
      <c r="D628" t="s">
        <v>48</v>
      </c>
      <c r="E628" t="s">
        <v>46</v>
      </c>
      <c r="F628" t="s">
        <v>48</v>
      </c>
      <c r="G628" t="s">
        <v>49</v>
      </c>
      <c r="H628" t="s">
        <v>50</v>
      </c>
      <c r="I628">
        <v>2040</v>
      </c>
      <c r="J628">
        <v>162.4436</v>
      </c>
      <c r="K628" t="s">
        <v>48</v>
      </c>
    </row>
    <row r="629" spans="1:11" x14ac:dyDescent="0.45">
      <c r="A629" t="s">
        <v>90</v>
      </c>
      <c r="B629" t="s">
        <v>5</v>
      </c>
      <c r="C629" t="s">
        <v>84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2040</v>
      </c>
      <c r="J629">
        <v>153.74495000000002</v>
      </c>
      <c r="K629" t="s">
        <v>48</v>
      </c>
    </row>
    <row r="630" spans="1:11" x14ac:dyDescent="0.45">
      <c r="A630" t="s">
        <v>90</v>
      </c>
      <c r="B630" t="s">
        <v>2</v>
      </c>
      <c r="C630" t="s">
        <v>84</v>
      </c>
      <c r="D630" t="s">
        <v>48</v>
      </c>
      <c r="E630" t="s">
        <v>46</v>
      </c>
      <c r="F630" t="s">
        <v>48</v>
      </c>
      <c r="G630" t="s">
        <v>49</v>
      </c>
      <c r="H630" t="s">
        <v>50</v>
      </c>
      <c r="I630">
        <v>2040</v>
      </c>
      <c r="J630">
        <v>161.86574999999999</v>
      </c>
      <c r="K630" t="s">
        <v>48</v>
      </c>
    </row>
    <row r="631" spans="1:11" x14ac:dyDescent="0.45">
      <c r="A631" t="s">
        <v>90</v>
      </c>
      <c r="B631" t="s">
        <v>1</v>
      </c>
      <c r="C631" t="s">
        <v>84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2040</v>
      </c>
      <c r="J631">
        <v>151.89005</v>
      </c>
      <c r="K631" t="s">
        <v>48</v>
      </c>
    </row>
    <row r="632" spans="1:11" x14ac:dyDescent="0.45">
      <c r="A632" t="s">
        <v>90</v>
      </c>
      <c r="B632" t="s">
        <v>3</v>
      </c>
      <c r="C632" t="s">
        <v>84</v>
      </c>
      <c r="D632" t="s">
        <v>51</v>
      </c>
      <c r="E632" t="s">
        <v>46</v>
      </c>
      <c r="F632" t="s">
        <v>51</v>
      </c>
      <c r="G632" t="s">
        <v>49</v>
      </c>
      <c r="H632" t="s">
        <v>50</v>
      </c>
      <c r="I632">
        <v>2040</v>
      </c>
      <c r="J632">
        <v>10.285350000000001</v>
      </c>
      <c r="K632" t="s">
        <v>51</v>
      </c>
    </row>
    <row r="633" spans="1:11" x14ac:dyDescent="0.45">
      <c r="A633" t="s">
        <v>90</v>
      </c>
      <c r="B633" t="s">
        <v>4</v>
      </c>
      <c r="C633" t="s">
        <v>84</v>
      </c>
      <c r="D633" t="s">
        <v>51</v>
      </c>
      <c r="E633" t="s">
        <v>46</v>
      </c>
      <c r="F633" t="s">
        <v>51</v>
      </c>
      <c r="G633" t="s">
        <v>49</v>
      </c>
      <c r="H633" t="s">
        <v>50</v>
      </c>
      <c r="I633">
        <v>2040</v>
      </c>
      <c r="J633">
        <v>371.63684999999998</v>
      </c>
      <c r="K633" t="s">
        <v>51</v>
      </c>
    </row>
    <row r="634" spans="1:11" x14ac:dyDescent="0.45">
      <c r="A634" t="s">
        <v>90</v>
      </c>
      <c r="B634" t="s">
        <v>0</v>
      </c>
      <c r="C634" t="s">
        <v>84</v>
      </c>
      <c r="D634" t="s">
        <v>51</v>
      </c>
      <c r="E634" t="s">
        <v>46</v>
      </c>
      <c r="F634" t="s">
        <v>51</v>
      </c>
      <c r="G634" t="s">
        <v>49</v>
      </c>
      <c r="H634" t="s">
        <v>50</v>
      </c>
      <c r="I634">
        <v>2040</v>
      </c>
      <c r="J634">
        <v>16.76135</v>
      </c>
      <c r="K634" t="s">
        <v>51</v>
      </c>
    </row>
    <row r="635" spans="1:11" x14ac:dyDescent="0.45">
      <c r="A635" t="s">
        <v>90</v>
      </c>
      <c r="B635" t="s">
        <v>6</v>
      </c>
      <c r="C635" t="s">
        <v>84</v>
      </c>
      <c r="D635" t="s">
        <v>51</v>
      </c>
      <c r="E635" t="s">
        <v>46</v>
      </c>
      <c r="F635" t="s">
        <v>51</v>
      </c>
      <c r="G635" t="s">
        <v>49</v>
      </c>
      <c r="H635" t="s">
        <v>50</v>
      </c>
      <c r="I635">
        <v>2040</v>
      </c>
      <c r="J635">
        <v>15.34695</v>
      </c>
      <c r="K635" t="s">
        <v>51</v>
      </c>
    </row>
    <row r="636" spans="1:11" x14ac:dyDescent="0.45">
      <c r="A636" t="s">
        <v>90</v>
      </c>
      <c r="B636" t="s">
        <v>5</v>
      </c>
      <c r="C636" t="s">
        <v>84</v>
      </c>
      <c r="D636" t="s">
        <v>51</v>
      </c>
      <c r="E636" t="s">
        <v>46</v>
      </c>
      <c r="F636" t="s">
        <v>51</v>
      </c>
      <c r="G636" t="s">
        <v>49</v>
      </c>
      <c r="H636" t="s">
        <v>50</v>
      </c>
      <c r="I636">
        <v>2040</v>
      </c>
      <c r="J636">
        <v>4.2736499999999999</v>
      </c>
      <c r="K636" t="s">
        <v>51</v>
      </c>
    </row>
    <row r="637" spans="1:11" x14ac:dyDescent="0.45">
      <c r="A637" t="s">
        <v>90</v>
      </c>
      <c r="B637" t="s">
        <v>2</v>
      </c>
      <c r="C637" t="s">
        <v>84</v>
      </c>
      <c r="D637" t="s">
        <v>51</v>
      </c>
      <c r="E637" t="s">
        <v>46</v>
      </c>
      <c r="F637" t="s">
        <v>51</v>
      </c>
      <c r="G637" t="s">
        <v>49</v>
      </c>
      <c r="H637" t="s">
        <v>50</v>
      </c>
      <c r="I637">
        <v>2040</v>
      </c>
      <c r="J637">
        <v>11.31795</v>
      </c>
      <c r="K637" t="s">
        <v>51</v>
      </c>
    </row>
    <row r="638" spans="1:11" x14ac:dyDescent="0.45">
      <c r="A638" t="s">
        <v>90</v>
      </c>
      <c r="B638" t="s">
        <v>1</v>
      </c>
      <c r="C638" t="s">
        <v>84</v>
      </c>
      <c r="D638" t="s">
        <v>51</v>
      </c>
      <c r="E638" t="s">
        <v>46</v>
      </c>
      <c r="F638" t="s">
        <v>51</v>
      </c>
      <c r="G638" t="s">
        <v>49</v>
      </c>
      <c r="H638" t="s">
        <v>50</v>
      </c>
      <c r="I638">
        <v>2040</v>
      </c>
      <c r="J638">
        <v>2.1284000000000001</v>
      </c>
      <c r="K638" t="s">
        <v>51</v>
      </c>
    </row>
    <row r="639" spans="1:11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0.61419999999999997</v>
      </c>
      <c r="K639" t="s">
        <v>45</v>
      </c>
    </row>
    <row r="640" spans="1:11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0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0.72924999999999995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0.1082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2.5090000000000003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0.15905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6.9187499999999993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24</v>
      </c>
      <c r="E646" t="s">
        <v>25</v>
      </c>
      <c r="F646" t="s">
        <v>24</v>
      </c>
      <c r="G646" t="s">
        <v>26</v>
      </c>
      <c r="H646" t="s">
        <v>13</v>
      </c>
      <c r="I646">
        <v>2045</v>
      </c>
      <c r="J646">
        <v>5.1700000000000003E-2</v>
      </c>
      <c r="K646" t="s">
        <v>24</v>
      </c>
    </row>
    <row r="647" spans="1:11" x14ac:dyDescent="0.45">
      <c r="A647" t="s">
        <v>90</v>
      </c>
      <c r="B647" t="s">
        <v>4</v>
      </c>
      <c r="C647" t="s">
        <v>84</v>
      </c>
      <c r="D647" t="s">
        <v>24</v>
      </c>
      <c r="E647" t="s">
        <v>25</v>
      </c>
      <c r="F647" t="s">
        <v>24</v>
      </c>
      <c r="G647" t="s">
        <v>26</v>
      </c>
      <c r="H647" t="s">
        <v>13</v>
      </c>
      <c r="I647">
        <v>2045</v>
      </c>
      <c r="J647">
        <v>4.5749999999999999E-2</v>
      </c>
      <c r="K647" t="s">
        <v>24</v>
      </c>
    </row>
    <row r="648" spans="1:11" x14ac:dyDescent="0.45">
      <c r="A648" t="s">
        <v>90</v>
      </c>
      <c r="B648" t="s">
        <v>0</v>
      </c>
      <c r="C648" t="s">
        <v>84</v>
      </c>
      <c r="D648" t="s">
        <v>24</v>
      </c>
      <c r="E648" t="s">
        <v>25</v>
      </c>
      <c r="F648" t="s">
        <v>24</v>
      </c>
      <c r="G648" t="s">
        <v>26</v>
      </c>
      <c r="H648" t="s">
        <v>13</v>
      </c>
      <c r="I648">
        <v>2045</v>
      </c>
      <c r="J648">
        <v>5.1299999999999998E-2</v>
      </c>
      <c r="K648" t="s">
        <v>24</v>
      </c>
    </row>
    <row r="649" spans="1:11" x14ac:dyDescent="0.45">
      <c r="A649" t="s">
        <v>90</v>
      </c>
      <c r="B649" t="s">
        <v>6</v>
      </c>
      <c r="C649" t="s">
        <v>84</v>
      </c>
      <c r="D649" t="s">
        <v>24</v>
      </c>
      <c r="E649" t="s">
        <v>25</v>
      </c>
      <c r="F649" t="s">
        <v>24</v>
      </c>
      <c r="G649" t="s">
        <v>26</v>
      </c>
      <c r="H649" t="s">
        <v>13</v>
      </c>
      <c r="I649">
        <v>2045</v>
      </c>
      <c r="J649">
        <v>4.8750000000000002E-2</v>
      </c>
      <c r="K649" t="s">
        <v>24</v>
      </c>
    </row>
    <row r="650" spans="1:11" x14ac:dyDescent="0.45">
      <c r="A650" t="s">
        <v>90</v>
      </c>
      <c r="B650" t="s">
        <v>5</v>
      </c>
      <c r="C650" t="s">
        <v>84</v>
      </c>
      <c r="D650" t="s">
        <v>24</v>
      </c>
      <c r="E650" t="s">
        <v>25</v>
      </c>
      <c r="F650" t="s">
        <v>24</v>
      </c>
      <c r="G650" t="s">
        <v>26</v>
      </c>
      <c r="H650" t="s">
        <v>13</v>
      </c>
      <c r="I650">
        <v>2045</v>
      </c>
      <c r="J650">
        <v>1.67E-2</v>
      </c>
      <c r="K650" t="s">
        <v>24</v>
      </c>
    </row>
    <row r="651" spans="1:11" x14ac:dyDescent="0.45">
      <c r="A651" t="s">
        <v>90</v>
      </c>
      <c r="B651" t="s">
        <v>2</v>
      </c>
      <c r="C651" t="s">
        <v>84</v>
      </c>
      <c r="D651" t="s">
        <v>24</v>
      </c>
      <c r="E651" t="s">
        <v>25</v>
      </c>
      <c r="F651" t="s">
        <v>24</v>
      </c>
      <c r="G651" t="s">
        <v>26</v>
      </c>
      <c r="H651" t="s">
        <v>13</v>
      </c>
      <c r="I651">
        <v>2045</v>
      </c>
      <c r="J651">
        <v>5.3199999999999997E-2</v>
      </c>
      <c r="K651" t="s">
        <v>24</v>
      </c>
    </row>
    <row r="652" spans="1:11" x14ac:dyDescent="0.45">
      <c r="A652" t="s">
        <v>90</v>
      </c>
      <c r="B652" t="s">
        <v>1</v>
      </c>
      <c r="C652" t="s">
        <v>84</v>
      </c>
      <c r="D652" t="s">
        <v>24</v>
      </c>
      <c r="E652" t="s">
        <v>25</v>
      </c>
      <c r="F652" t="s">
        <v>24</v>
      </c>
      <c r="G652" t="s">
        <v>26</v>
      </c>
      <c r="H652" t="s">
        <v>13</v>
      </c>
      <c r="I652">
        <v>2045</v>
      </c>
      <c r="J652">
        <v>4.385E-2</v>
      </c>
      <c r="K652" t="s">
        <v>24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2045</v>
      </c>
      <c r="J653">
        <v>3.1600000000000003E-2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2045</v>
      </c>
      <c r="J654">
        <v>2.2950000000000002E-2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2045</v>
      </c>
      <c r="J655">
        <v>3.0949999999999998E-2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2045</v>
      </c>
      <c r="J656">
        <v>2.75E-2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2045</v>
      </c>
      <c r="J657">
        <v>3.4500000000000003E-2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2045</v>
      </c>
      <c r="J658">
        <v>3.2149999999999998E-2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2045</v>
      </c>
      <c r="J659">
        <v>2.87E-2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27</v>
      </c>
      <c r="E660" t="s">
        <v>25</v>
      </c>
      <c r="F660" t="s">
        <v>27</v>
      </c>
      <c r="G660" t="s">
        <v>26</v>
      </c>
      <c r="H660" t="s">
        <v>10</v>
      </c>
      <c r="I660">
        <v>2045</v>
      </c>
      <c r="J660">
        <v>7.3000000000000001E-3</v>
      </c>
      <c r="K660" t="s">
        <v>27</v>
      </c>
    </row>
    <row r="661" spans="1:11" x14ac:dyDescent="0.45">
      <c r="A661" t="s">
        <v>90</v>
      </c>
      <c r="B661" t="s">
        <v>4</v>
      </c>
      <c r="C661" t="s">
        <v>84</v>
      </c>
      <c r="D661" t="s">
        <v>27</v>
      </c>
      <c r="E661" t="s">
        <v>25</v>
      </c>
      <c r="F661" t="s">
        <v>27</v>
      </c>
      <c r="G661" t="s">
        <v>26</v>
      </c>
      <c r="H661" t="s">
        <v>10</v>
      </c>
      <c r="I661">
        <v>2045</v>
      </c>
      <c r="J661">
        <v>4.0499999999999998E-3</v>
      </c>
      <c r="K661" t="s">
        <v>27</v>
      </c>
    </row>
    <row r="662" spans="1:11" x14ac:dyDescent="0.45">
      <c r="A662" t="s">
        <v>90</v>
      </c>
      <c r="B662" t="s">
        <v>0</v>
      </c>
      <c r="C662" t="s">
        <v>84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2045</v>
      </c>
      <c r="J662">
        <v>5.5999999999999999E-3</v>
      </c>
      <c r="K662" t="s">
        <v>27</v>
      </c>
    </row>
    <row r="663" spans="1:11" x14ac:dyDescent="0.45">
      <c r="A663" t="s">
        <v>90</v>
      </c>
      <c r="B663" t="s">
        <v>6</v>
      </c>
      <c r="C663" t="s">
        <v>84</v>
      </c>
      <c r="D663" t="s">
        <v>27</v>
      </c>
      <c r="E663" t="s">
        <v>25</v>
      </c>
      <c r="F663" t="s">
        <v>27</v>
      </c>
      <c r="G663" t="s">
        <v>26</v>
      </c>
      <c r="H663" t="s">
        <v>10</v>
      </c>
      <c r="I663">
        <v>2045</v>
      </c>
      <c r="J663">
        <v>4.8999999999999998E-3</v>
      </c>
      <c r="K663" t="s">
        <v>27</v>
      </c>
    </row>
    <row r="664" spans="1:11" x14ac:dyDescent="0.45">
      <c r="A664" t="s">
        <v>90</v>
      </c>
      <c r="B664" t="s">
        <v>5</v>
      </c>
      <c r="C664" t="s">
        <v>84</v>
      </c>
      <c r="D664" t="s">
        <v>27</v>
      </c>
      <c r="E664" t="s">
        <v>25</v>
      </c>
      <c r="F664" t="s">
        <v>27</v>
      </c>
      <c r="G664" t="s">
        <v>26</v>
      </c>
      <c r="H664" t="s">
        <v>10</v>
      </c>
      <c r="I664">
        <v>2045</v>
      </c>
      <c r="J664">
        <v>6.45E-3</v>
      </c>
      <c r="K664" t="s">
        <v>27</v>
      </c>
    </row>
    <row r="665" spans="1:11" x14ac:dyDescent="0.45">
      <c r="A665" t="s">
        <v>90</v>
      </c>
      <c r="B665" t="s">
        <v>2</v>
      </c>
      <c r="C665" t="s">
        <v>84</v>
      </c>
      <c r="D665" t="s">
        <v>27</v>
      </c>
      <c r="E665" t="s">
        <v>25</v>
      </c>
      <c r="F665" t="s">
        <v>27</v>
      </c>
      <c r="G665" t="s">
        <v>26</v>
      </c>
      <c r="H665" t="s">
        <v>10</v>
      </c>
      <c r="I665">
        <v>2045</v>
      </c>
      <c r="J665">
        <v>5.5999999999999999E-3</v>
      </c>
      <c r="K665" t="s">
        <v>27</v>
      </c>
    </row>
    <row r="666" spans="1:11" x14ac:dyDescent="0.45">
      <c r="A666" t="s">
        <v>90</v>
      </c>
      <c r="B666" t="s">
        <v>1</v>
      </c>
      <c r="C666" t="s">
        <v>84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2045</v>
      </c>
      <c r="J666">
        <v>7.4000000000000003E-3</v>
      </c>
      <c r="K666" t="s">
        <v>27</v>
      </c>
    </row>
    <row r="667" spans="1:11" x14ac:dyDescent="0.45">
      <c r="A667" t="s">
        <v>90</v>
      </c>
      <c r="B667" t="s">
        <v>3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2045</v>
      </c>
      <c r="J667">
        <v>8.0500000000000016E-3</v>
      </c>
      <c r="K667" t="s">
        <v>85</v>
      </c>
    </row>
    <row r="668" spans="1:11" x14ac:dyDescent="0.45">
      <c r="A668" t="s">
        <v>90</v>
      </c>
      <c r="B668" t="s">
        <v>4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2045</v>
      </c>
      <c r="J668">
        <v>3.6000000000000004E-2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2045</v>
      </c>
      <c r="J669">
        <v>8.0999999999999996E-3</v>
      </c>
      <c r="K669" t="s">
        <v>85</v>
      </c>
    </row>
    <row r="670" spans="1:11" x14ac:dyDescent="0.45">
      <c r="A670" t="s">
        <v>90</v>
      </c>
      <c r="B670" t="s">
        <v>6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2045</v>
      </c>
      <c r="J670">
        <v>2.0999999999999998E-2</v>
      </c>
      <c r="K670" t="s">
        <v>85</v>
      </c>
    </row>
    <row r="671" spans="1:11" x14ac:dyDescent="0.45">
      <c r="A671" t="s">
        <v>90</v>
      </c>
      <c r="B671" t="s">
        <v>5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2045</v>
      </c>
      <c r="J671">
        <v>5.2499999999999995E-3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2045</v>
      </c>
      <c r="J672">
        <v>0.01</v>
      </c>
      <c r="K672" t="s">
        <v>85</v>
      </c>
    </row>
    <row r="673" spans="1:12" x14ac:dyDescent="0.45">
      <c r="A673" t="s">
        <v>90</v>
      </c>
      <c r="B673" t="s">
        <v>1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2045</v>
      </c>
      <c r="J673">
        <v>2.41E-2</v>
      </c>
      <c r="K673" t="s">
        <v>85</v>
      </c>
    </row>
    <row r="674" spans="1:12" x14ac:dyDescent="0.45">
      <c r="A674" t="s">
        <v>90</v>
      </c>
      <c r="B674" t="s">
        <v>3</v>
      </c>
      <c r="C674" t="s">
        <v>84</v>
      </c>
      <c r="D674" t="s">
        <v>52</v>
      </c>
      <c r="E674" t="s">
        <v>25</v>
      </c>
      <c r="F674" t="s">
        <v>52</v>
      </c>
      <c r="G674" t="s">
        <v>71</v>
      </c>
      <c r="H674" t="s">
        <v>89</v>
      </c>
      <c r="I674">
        <v>2045</v>
      </c>
      <c r="J674">
        <v>0</v>
      </c>
      <c r="K674" t="s">
        <v>52</v>
      </c>
      <c r="L674">
        <v>94</v>
      </c>
    </row>
    <row r="675" spans="1:12" x14ac:dyDescent="0.45">
      <c r="A675" t="s">
        <v>90</v>
      </c>
      <c r="B675" t="s">
        <v>4</v>
      </c>
      <c r="C675" t="s">
        <v>84</v>
      </c>
      <c r="D675" t="s">
        <v>52</v>
      </c>
      <c r="E675" t="s">
        <v>25</v>
      </c>
      <c r="F675" t="s">
        <v>52</v>
      </c>
      <c r="G675" t="s">
        <v>71</v>
      </c>
      <c r="H675" t="s">
        <v>89</v>
      </c>
      <c r="I675">
        <v>2045</v>
      </c>
      <c r="J675">
        <v>0</v>
      </c>
      <c r="K675" t="s">
        <v>52</v>
      </c>
      <c r="L675">
        <v>94</v>
      </c>
    </row>
    <row r="676" spans="1:12" x14ac:dyDescent="0.45">
      <c r="A676" t="s">
        <v>90</v>
      </c>
      <c r="B676" t="s">
        <v>0</v>
      </c>
      <c r="C676" t="s">
        <v>84</v>
      </c>
      <c r="D676" t="s">
        <v>52</v>
      </c>
      <c r="E676" t="s">
        <v>25</v>
      </c>
      <c r="F676" t="s">
        <v>52</v>
      </c>
      <c r="G676" t="s">
        <v>71</v>
      </c>
      <c r="H676" t="s">
        <v>89</v>
      </c>
      <c r="I676">
        <v>2045</v>
      </c>
      <c r="J676">
        <v>0</v>
      </c>
      <c r="K676" t="s">
        <v>52</v>
      </c>
      <c r="L676">
        <v>94</v>
      </c>
    </row>
    <row r="677" spans="1:12" x14ac:dyDescent="0.45">
      <c r="A677" t="s">
        <v>90</v>
      </c>
      <c r="B677" t="s">
        <v>6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2045</v>
      </c>
      <c r="J677">
        <v>0</v>
      </c>
      <c r="K677" t="s">
        <v>52</v>
      </c>
      <c r="L677">
        <v>94</v>
      </c>
    </row>
    <row r="678" spans="1:12" x14ac:dyDescent="0.45">
      <c r="A678" t="s">
        <v>90</v>
      </c>
      <c r="B678" t="s">
        <v>5</v>
      </c>
      <c r="C678" t="s">
        <v>84</v>
      </c>
      <c r="D678" t="s">
        <v>52</v>
      </c>
      <c r="E678" t="s">
        <v>25</v>
      </c>
      <c r="F678" t="s">
        <v>52</v>
      </c>
      <c r="G678" t="s">
        <v>71</v>
      </c>
      <c r="H678" t="s">
        <v>89</v>
      </c>
      <c r="I678">
        <v>2045</v>
      </c>
      <c r="J678">
        <v>0</v>
      </c>
      <c r="K678" t="s">
        <v>52</v>
      </c>
      <c r="L678">
        <v>94</v>
      </c>
    </row>
    <row r="679" spans="1:12" x14ac:dyDescent="0.45">
      <c r="A679" t="s">
        <v>90</v>
      </c>
      <c r="B679" t="s">
        <v>2</v>
      </c>
      <c r="C679" t="s">
        <v>84</v>
      </c>
      <c r="D679" t="s">
        <v>52</v>
      </c>
      <c r="E679" t="s">
        <v>25</v>
      </c>
      <c r="F679" t="s">
        <v>52</v>
      </c>
      <c r="G679" t="s">
        <v>71</v>
      </c>
      <c r="H679" t="s">
        <v>89</v>
      </c>
      <c r="I679">
        <v>2045</v>
      </c>
      <c r="J679">
        <v>0</v>
      </c>
      <c r="K679" t="s">
        <v>52</v>
      </c>
      <c r="L679">
        <v>94</v>
      </c>
    </row>
    <row r="680" spans="1:12" x14ac:dyDescent="0.45">
      <c r="A680" t="s">
        <v>90</v>
      </c>
      <c r="B680" t="s">
        <v>1</v>
      </c>
      <c r="C680" t="s">
        <v>84</v>
      </c>
      <c r="D680" t="s">
        <v>52</v>
      </c>
      <c r="E680" t="s">
        <v>25</v>
      </c>
      <c r="F680" t="s">
        <v>52</v>
      </c>
      <c r="G680" t="s">
        <v>71</v>
      </c>
      <c r="H680" t="s">
        <v>89</v>
      </c>
      <c r="I680">
        <v>2045</v>
      </c>
      <c r="J680">
        <v>0</v>
      </c>
      <c r="K680" t="s">
        <v>52</v>
      </c>
      <c r="L680">
        <v>94</v>
      </c>
    </row>
    <row r="681" spans="1:12" x14ac:dyDescent="0.45">
      <c r="A681" t="s">
        <v>90</v>
      </c>
      <c r="B681" t="s">
        <v>3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2045</v>
      </c>
      <c r="J681">
        <v>0</v>
      </c>
      <c r="K681" t="s">
        <v>53</v>
      </c>
      <c r="L681">
        <v>55</v>
      </c>
    </row>
    <row r="682" spans="1:12" x14ac:dyDescent="0.45">
      <c r="A682" t="s">
        <v>90</v>
      </c>
      <c r="B682" t="s">
        <v>4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2045</v>
      </c>
      <c r="J682">
        <v>5.9999999999999995E-4</v>
      </c>
      <c r="K682" t="s">
        <v>53</v>
      </c>
      <c r="L682">
        <v>55</v>
      </c>
    </row>
    <row r="683" spans="1:12" x14ac:dyDescent="0.45">
      <c r="A683" t="s">
        <v>90</v>
      </c>
      <c r="B683" t="s">
        <v>0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2045</v>
      </c>
      <c r="J683">
        <v>1E-4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2045</v>
      </c>
      <c r="J684">
        <v>2.9999999999999997E-4</v>
      </c>
      <c r="K684" t="s">
        <v>53</v>
      </c>
      <c r="L684">
        <v>55</v>
      </c>
    </row>
    <row r="685" spans="1:12" x14ac:dyDescent="0.45">
      <c r="A685" t="s">
        <v>90</v>
      </c>
      <c r="B685" t="s">
        <v>5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2045</v>
      </c>
      <c r="J685">
        <v>0</v>
      </c>
      <c r="K685" t="s">
        <v>53</v>
      </c>
      <c r="L685">
        <v>55</v>
      </c>
    </row>
    <row r="686" spans="1:12" x14ac:dyDescent="0.45">
      <c r="A686" t="s">
        <v>90</v>
      </c>
      <c r="B686" t="s">
        <v>2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2045</v>
      </c>
      <c r="J686">
        <v>1E-4</v>
      </c>
      <c r="K686" t="s">
        <v>53</v>
      </c>
      <c r="L686">
        <v>55</v>
      </c>
    </row>
    <row r="687" spans="1:12" x14ac:dyDescent="0.45">
      <c r="A687" t="s">
        <v>90</v>
      </c>
      <c r="B687" t="s">
        <v>1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2045</v>
      </c>
      <c r="J687">
        <v>0</v>
      </c>
      <c r="K687" t="s">
        <v>53</v>
      </c>
      <c r="L687">
        <v>55</v>
      </c>
    </row>
    <row r="688" spans="1:12" x14ac:dyDescent="0.45">
      <c r="A688" t="s">
        <v>90</v>
      </c>
      <c r="B688" t="s">
        <v>3</v>
      </c>
      <c r="C688" t="s">
        <v>84</v>
      </c>
      <c r="D688" t="s">
        <v>54</v>
      </c>
      <c r="E688" t="s">
        <v>25</v>
      </c>
      <c r="F688" t="s">
        <v>54</v>
      </c>
      <c r="G688" t="s">
        <v>71</v>
      </c>
      <c r="H688" t="s">
        <v>89</v>
      </c>
      <c r="I688">
        <v>2045</v>
      </c>
      <c r="J688">
        <v>0</v>
      </c>
      <c r="K688" t="s">
        <v>54</v>
      </c>
      <c r="L688">
        <v>70</v>
      </c>
    </row>
    <row r="689" spans="1:12" x14ac:dyDescent="0.45">
      <c r="A689" t="s">
        <v>90</v>
      </c>
      <c r="B689" t="s">
        <v>4</v>
      </c>
      <c r="C689" t="s">
        <v>84</v>
      </c>
      <c r="D689" t="s">
        <v>54</v>
      </c>
      <c r="E689" t="s">
        <v>25</v>
      </c>
      <c r="F689" t="s">
        <v>54</v>
      </c>
      <c r="G689" t="s">
        <v>71</v>
      </c>
      <c r="H689" t="s">
        <v>89</v>
      </c>
      <c r="I689">
        <v>2045</v>
      </c>
      <c r="J689">
        <v>0</v>
      </c>
      <c r="K689" t="s">
        <v>54</v>
      </c>
      <c r="L689">
        <v>70</v>
      </c>
    </row>
    <row r="690" spans="1:12" x14ac:dyDescent="0.45">
      <c r="A690" t="s">
        <v>90</v>
      </c>
      <c r="B690" t="s">
        <v>0</v>
      </c>
      <c r="C690" t="s">
        <v>84</v>
      </c>
      <c r="D690" t="s">
        <v>54</v>
      </c>
      <c r="E690" t="s">
        <v>25</v>
      </c>
      <c r="F690" t="s">
        <v>54</v>
      </c>
      <c r="G690" t="s">
        <v>71</v>
      </c>
      <c r="H690" t="s">
        <v>89</v>
      </c>
      <c r="I690">
        <v>2045</v>
      </c>
      <c r="J690">
        <v>0</v>
      </c>
      <c r="K690" t="s">
        <v>54</v>
      </c>
      <c r="L690">
        <v>70</v>
      </c>
    </row>
    <row r="691" spans="1:12" x14ac:dyDescent="0.45">
      <c r="A691" t="s">
        <v>90</v>
      </c>
      <c r="B691" t="s">
        <v>6</v>
      </c>
      <c r="C691" t="s">
        <v>84</v>
      </c>
      <c r="D691" t="s">
        <v>54</v>
      </c>
      <c r="E691" t="s">
        <v>25</v>
      </c>
      <c r="F691" t="s">
        <v>54</v>
      </c>
      <c r="G691" t="s">
        <v>71</v>
      </c>
      <c r="H691" t="s">
        <v>89</v>
      </c>
      <c r="I691">
        <v>2045</v>
      </c>
      <c r="J691">
        <v>0</v>
      </c>
      <c r="K691" t="s">
        <v>54</v>
      </c>
      <c r="L691">
        <v>70</v>
      </c>
    </row>
    <row r="692" spans="1:12" x14ac:dyDescent="0.45">
      <c r="A692" t="s">
        <v>90</v>
      </c>
      <c r="B692" t="s">
        <v>5</v>
      </c>
      <c r="C692" t="s">
        <v>84</v>
      </c>
      <c r="D692" t="s">
        <v>54</v>
      </c>
      <c r="E692" t="s">
        <v>25</v>
      </c>
      <c r="F692" t="s">
        <v>54</v>
      </c>
      <c r="G692" t="s">
        <v>71</v>
      </c>
      <c r="H692" t="s">
        <v>89</v>
      </c>
      <c r="I692">
        <v>2045</v>
      </c>
      <c r="J692">
        <v>0</v>
      </c>
      <c r="K692" t="s">
        <v>54</v>
      </c>
      <c r="L692">
        <v>70</v>
      </c>
    </row>
    <row r="693" spans="1:12" x14ac:dyDescent="0.45">
      <c r="A693" t="s">
        <v>90</v>
      </c>
      <c r="B693" t="s">
        <v>2</v>
      </c>
      <c r="C693" t="s">
        <v>84</v>
      </c>
      <c r="D693" t="s">
        <v>54</v>
      </c>
      <c r="E693" t="s">
        <v>25</v>
      </c>
      <c r="F693" t="s">
        <v>54</v>
      </c>
      <c r="G693" t="s">
        <v>71</v>
      </c>
      <c r="H693" t="s">
        <v>89</v>
      </c>
      <c r="I693">
        <v>2045</v>
      </c>
      <c r="J693">
        <v>0</v>
      </c>
      <c r="K693" t="s">
        <v>54</v>
      </c>
      <c r="L693">
        <v>70</v>
      </c>
    </row>
    <row r="694" spans="1:12" x14ac:dyDescent="0.45">
      <c r="A694" t="s">
        <v>90</v>
      </c>
      <c r="B694" t="s">
        <v>1</v>
      </c>
      <c r="C694" t="s">
        <v>84</v>
      </c>
      <c r="D694" t="s">
        <v>54</v>
      </c>
      <c r="E694" t="s">
        <v>25</v>
      </c>
      <c r="F694" t="s">
        <v>54</v>
      </c>
      <c r="G694" t="s">
        <v>71</v>
      </c>
      <c r="H694" t="s">
        <v>89</v>
      </c>
      <c r="I694">
        <v>2045</v>
      </c>
      <c r="J694">
        <v>0</v>
      </c>
      <c r="K694" t="s">
        <v>54</v>
      </c>
      <c r="L694">
        <v>70</v>
      </c>
    </row>
    <row r="695" spans="1:12" x14ac:dyDescent="0.45">
      <c r="A695" t="s">
        <v>90</v>
      </c>
      <c r="B695" t="s">
        <v>3</v>
      </c>
      <c r="C695" t="s">
        <v>84</v>
      </c>
      <c r="D695" t="s">
        <v>29</v>
      </c>
      <c r="E695" t="s">
        <v>30</v>
      </c>
      <c r="F695" t="s">
        <v>29</v>
      </c>
      <c r="G695" t="s">
        <v>31</v>
      </c>
      <c r="H695" t="s">
        <v>32</v>
      </c>
      <c r="I695">
        <v>2045</v>
      </c>
      <c r="J695">
        <v>6.9108000000000001</v>
      </c>
      <c r="K695" t="s">
        <v>29</v>
      </c>
    </row>
    <row r="696" spans="1:12" x14ac:dyDescent="0.45">
      <c r="A696" t="s">
        <v>90</v>
      </c>
      <c r="B696" t="s">
        <v>4</v>
      </c>
      <c r="C696" t="s">
        <v>84</v>
      </c>
      <c r="D696" t="s">
        <v>29</v>
      </c>
      <c r="E696" t="s">
        <v>30</v>
      </c>
      <c r="F696" t="s">
        <v>29</v>
      </c>
      <c r="G696" t="s">
        <v>31</v>
      </c>
      <c r="H696" t="s">
        <v>32</v>
      </c>
      <c r="I696">
        <v>2045</v>
      </c>
      <c r="J696">
        <v>2.3449</v>
      </c>
      <c r="K696" t="s">
        <v>29</v>
      </c>
    </row>
    <row r="697" spans="1:12" x14ac:dyDescent="0.45">
      <c r="A697" t="s">
        <v>90</v>
      </c>
      <c r="B697" t="s">
        <v>0</v>
      </c>
      <c r="C697" t="s">
        <v>84</v>
      </c>
      <c r="D697" t="s">
        <v>29</v>
      </c>
      <c r="E697" t="s">
        <v>30</v>
      </c>
      <c r="F697" t="s">
        <v>29</v>
      </c>
      <c r="G697" t="s">
        <v>31</v>
      </c>
      <c r="H697" t="s">
        <v>32</v>
      </c>
      <c r="I697">
        <v>2045</v>
      </c>
      <c r="J697">
        <v>9.1586999999999996</v>
      </c>
      <c r="K697" t="s">
        <v>29</v>
      </c>
    </row>
    <row r="698" spans="1:12" x14ac:dyDescent="0.45">
      <c r="A698" t="s">
        <v>90</v>
      </c>
      <c r="B698" t="s">
        <v>6</v>
      </c>
      <c r="C698" t="s">
        <v>84</v>
      </c>
      <c r="D698" t="s">
        <v>29</v>
      </c>
      <c r="E698" t="s">
        <v>30</v>
      </c>
      <c r="F698" t="s">
        <v>29</v>
      </c>
      <c r="G698" t="s">
        <v>31</v>
      </c>
      <c r="H698" t="s">
        <v>32</v>
      </c>
      <c r="I698">
        <v>2045</v>
      </c>
      <c r="J698">
        <v>6.0046499999999998</v>
      </c>
      <c r="K698" t="s">
        <v>29</v>
      </c>
    </row>
    <row r="699" spans="1:12" x14ac:dyDescent="0.45">
      <c r="A699" t="s">
        <v>90</v>
      </c>
      <c r="B699" t="s">
        <v>5</v>
      </c>
      <c r="C699" t="s">
        <v>84</v>
      </c>
      <c r="D699" t="s">
        <v>29</v>
      </c>
      <c r="E699" t="s">
        <v>30</v>
      </c>
      <c r="F699" t="s">
        <v>29</v>
      </c>
      <c r="G699" t="s">
        <v>31</v>
      </c>
      <c r="H699" t="s">
        <v>32</v>
      </c>
      <c r="I699">
        <v>2045</v>
      </c>
      <c r="J699">
        <v>10.32155</v>
      </c>
      <c r="K699" t="s">
        <v>29</v>
      </c>
    </row>
    <row r="700" spans="1:12" x14ac:dyDescent="0.45">
      <c r="A700" t="s">
        <v>90</v>
      </c>
      <c r="B700" t="s">
        <v>2</v>
      </c>
      <c r="C700" t="s">
        <v>84</v>
      </c>
      <c r="D700" t="s">
        <v>29</v>
      </c>
      <c r="E700" t="s">
        <v>30</v>
      </c>
      <c r="F700" t="s">
        <v>29</v>
      </c>
      <c r="G700" t="s">
        <v>31</v>
      </c>
      <c r="H700" t="s">
        <v>32</v>
      </c>
      <c r="I700">
        <v>2045</v>
      </c>
      <c r="J700">
        <v>6.5330500000000002</v>
      </c>
      <c r="K700" t="s">
        <v>29</v>
      </c>
    </row>
    <row r="701" spans="1:12" x14ac:dyDescent="0.45">
      <c r="A701" t="s">
        <v>90</v>
      </c>
      <c r="B701" t="s">
        <v>1</v>
      </c>
      <c r="C701" t="s">
        <v>84</v>
      </c>
      <c r="D701" t="s">
        <v>29</v>
      </c>
      <c r="E701" t="s">
        <v>30</v>
      </c>
      <c r="F701" t="s">
        <v>29</v>
      </c>
      <c r="G701" t="s">
        <v>31</v>
      </c>
      <c r="H701" t="s">
        <v>32</v>
      </c>
      <c r="I701">
        <v>2045</v>
      </c>
      <c r="J701">
        <v>22.537300000000002</v>
      </c>
      <c r="K701" t="s">
        <v>29</v>
      </c>
    </row>
    <row r="702" spans="1:12" x14ac:dyDescent="0.45">
      <c r="A702" t="s">
        <v>90</v>
      </c>
      <c r="B702" t="s">
        <v>3</v>
      </c>
      <c r="C702" t="s">
        <v>84</v>
      </c>
      <c r="D702" t="s">
        <v>33</v>
      </c>
      <c r="E702" t="s">
        <v>30</v>
      </c>
      <c r="F702" t="s">
        <v>33</v>
      </c>
      <c r="G702" t="s">
        <v>31</v>
      </c>
      <c r="H702" t="s">
        <v>34</v>
      </c>
      <c r="I702">
        <v>2045</v>
      </c>
      <c r="J702">
        <v>1.4182999999999999</v>
      </c>
      <c r="K702" t="s">
        <v>33</v>
      </c>
    </row>
    <row r="703" spans="1:12" x14ac:dyDescent="0.45">
      <c r="A703" t="s">
        <v>90</v>
      </c>
      <c r="B703" t="s">
        <v>4</v>
      </c>
      <c r="C703" t="s">
        <v>84</v>
      </c>
      <c r="D703" t="s">
        <v>33</v>
      </c>
      <c r="E703" t="s">
        <v>30</v>
      </c>
      <c r="F703" t="s">
        <v>33</v>
      </c>
      <c r="G703" t="s">
        <v>31</v>
      </c>
      <c r="H703" t="s">
        <v>34</v>
      </c>
      <c r="I703">
        <v>2045</v>
      </c>
      <c r="J703">
        <v>2.4756</v>
      </c>
      <c r="K703" t="s">
        <v>33</v>
      </c>
    </row>
    <row r="704" spans="1:12" x14ac:dyDescent="0.45">
      <c r="A704" t="s">
        <v>90</v>
      </c>
      <c r="B704" t="s">
        <v>0</v>
      </c>
      <c r="C704" t="s">
        <v>84</v>
      </c>
      <c r="D704" t="s">
        <v>33</v>
      </c>
      <c r="E704" t="s">
        <v>30</v>
      </c>
      <c r="F704" t="s">
        <v>33</v>
      </c>
      <c r="G704" t="s">
        <v>31</v>
      </c>
      <c r="H704" t="s">
        <v>34</v>
      </c>
      <c r="I704">
        <v>2045</v>
      </c>
      <c r="J704">
        <v>1.4248000000000001</v>
      </c>
      <c r="K704" t="s">
        <v>33</v>
      </c>
    </row>
    <row r="705" spans="1:11" x14ac:dyDescent="0.45">
      <c r="A705" t="s">
        <v>90</v>
      </c>
      <c r="B705" t="s">
        <v>6</v>
      </c>
      <c r="C705" t="s">
        <v>84</v>
      </c>
      <c r="D705" t="s">
        <v>33</v>
      </c>
      <c r="E705" t="s">
        <v>30</v>
      </c>
      <c r="F705" t="s">
        <v>33</v>
      </c>
      <c r="G705" t="s">
        <v>31</v>
      </c>
      <c r="H705" t="s">
        <v>34</v>
      </c>
      <c r="I705">
        <v>2045</v>
      </c>
      <c r="J705">
        <v>1.8105500000000001</v>
      </c>
      <c r="K705" t="s">
        <v>33</v>
      </c>
    </row>
    <row r="706" spans="1:11" x14ac:dyDescent="0.45">
      <c r="A706" t="s">
        <v>90</v>
      </c>
      <c r="B706" t="s">
        <v>5</v>
      </c>
      <c r="C706" t="s">
        <v>84</v>
      </c>
      <c r="D706" t="s">
        <v>33</v>
      </c>
      <c r="E706" t="s">
        <v>30</v>
      </c>
      <c r="F706" t="s">
        <v>33</v>
      </c>
      <c r="G706" t="s">
        <v>31</v>
      </c>
      <c r="H706" t="s">
        <v>34</v>
      </c>
      <c r="I706">
        <v>2045</v>
      </c>
      <c r="J706">
        <v>1.2519499999999999</v>
      </c>
      <c r="K706" t="s">
        <v>33</v>
      </c>
    </row>
    <row r="707" spans="1:11" x14ac:dyDescent="0.45">
      <c r="A707" t="s">
        <v>90</v>
      </c>
      <c r="B707" t="s">
        <v>2</v>
      </c>
      <c r="C707" t="s">
        <v>84</v>
      </c>
      <c r="D707" t="s">
        <v>33</v>
      </c>
      <c r="E707" t="s">
        <v>30</v>
      </c>
      <c r="F707" t="s">
        <v>33</v>
      </c>
      <c r="G707" t="s">
        <v>31</v>
      </c>
      <c r="H707" t="s">
        <v>34</v>
      </c>
      <c r="I707">
        <v>2045</v>
      </c>
      <c r="J707">
        <v>1.8179000000000001</v>
      </c>
      <c r="K707" t="s">
        <v>33</v>
      </c>
    </row>
    <row r="708" spans="1:11" x14ac:dyDescent="0.45">
      <c r="A708" t="s">
        <v>90</v>
      </c>
      <c r="B708" t="s">
        <v>1</v>
      </c>
      <c r="C708" t="s">
        <v>84</v>
      </c>
      <c r="D708" t="s">
        <v>33</v>
      </c>
      <c r="E708" t="s">
        <v>30</v>
      </c>
      <c r="F708" t="s">
        <v>33</v>
      </c>
      <c r="G708" t="s">
        <v>31</v>
      </c>
      <c r="H708" t="s">
        <v>34</v>
      </c>
      <c r="I708">
        <v>2045</v>
      </c>
      <c r="J708">
        <v>1.4416</v>
      </c>
      <c r="K708" t="s">
        <v>33</v>
      </c>
    </row>
    <row r="709" spans="1:11" x14ac:dyDescent="0.45">
      <c r="A709" t="s">
        <v>90</v>
      </c>
      <c r="B709" t="s">
        <v>3</v>
      </c>
      <c r="C709" t="s">
        <v>84</v>
      </c>
      <c r="D709" t="s">
        <v>35</v>
      </c>
      <c r="E709" t="s">
        <v>30</v>
      </c>
      <c r="F709" t="s">
        <v>35</v>
      </c>
      <c r="G709" t="s">
        <v>31</v>
      </c>
      <c r="H709" t="s">
        <v>36</v>
      </c>
      <c r="I709">
        <v>2045</v>
      </c>
      <c r="J709">
        <v>4.7785500000000001</v>
      </c>
      <c r="K709" t="s">
        <v>35</v>
      </c>
    </row>
    <row r="710" spans="1:11" x14ac:dyDescent="0.45">
      <c r="A710" t="s">
        <v>90</v>
      </c>
      <c r="B710" t="s">
        <v>4</v>
      </c>
      <c r="C710" t="s">
        <v>84</v>
      </c>
      <c r="D710" t="s">
        <v>35</v>
      </c>
      <c r="E710" t="s">
        <v>30</v>
      </c>
      <c r="F710" t="s">
        <v>35</v>
      </c>
      <c r="G710" t="s">
        <v>31</v>
      </c>
      <c r="H710" t="s">
        <v>36</v>
      </c>
      <c r="I710">
        <v>2045</v>
      </c>
      <c r="J710">
        <v>5.4906499999999996</v>
      </c>
      <c r="K710" t="s">
        <v>35</v>
      </c>
    </row>
    <row r="711" spans="1:11" x14ac:dyDescent="0.45">
      <c r="A711" t="s">
        <v>90</v>
      </c>
      <c r="B711" t="s">
        <v>0</v>
      </c>
      <c r="C711" t="s">
        <v>84</v>
      </c>
      <c r="D711" t="s">
        <v>35</v>
      </c>
      <c r="E711" t="s">
        <v>30</v>
      </c>
      <c r="F711" t="s">
        <v>35</v>
      </c>
      <c r="G711" t="s">
        <v>31</v>
      </c>
      <c r="H711" t="s">
        <v>36</v>
      </c>
      <c r="I711">
        <v>2045</v>
      </c>
      <c r="J711">
        <v>4.6126000000000005</v>
      </c>
      <c r="K711" t="s">
        <v>35</v>
      </c>
    </row>
    <row r="712" spans="1:11" x14ac:dyDescent="0.45">
      <c r="A712" t="s">
        <v>90</v>
      </c>
      <c r="B712" t="s">
        <v>6</v>
      </c>
      <c r="C712" t="s">
        <v>84</v>
      </c>
      <c r="D712" t="s">
        <v>35</v>
      </c>
      <c r="E712" t="s">
        <v>30</v>
      </c>
      <c r="F712" t="s">
        <v>35</v>
      </c>
      <c r="G712" t="s">
        <v>31</v>
      </c>
      <c r="H712" t="s">
        <v>36</v>
      </c>
      <c r="I712">
        <v>2045</v>
      </c>
      <c r="J712">
        <v>5.3256499999999996</v>
      </c>
      <c r="K712" t="s">
        <v>35</v>
      </c>
    </row>
    <row r="713" spans="1:11" x14ac:dyDescent="0.45">
      <c r="A713" t="s">
        <v>90</v>
      </c>
      <c r="B713" t="s">
        <v>5</v>
      </c>
      <c r="C713" t="s">
        <v>84</v>
      </c>
      <c r="D713" t="s">
        <v>35</v>
      </c>
      <c r="E713" t="s">
        <v>30</v>
      </c>
      <c r="F713" t="s">
        <v>35</v>
      </c>
      <c r="G713" t="s">
        <v>31</v>
      </c>
      <c r="H713" t="s">
        <v>36</v>
      </c>
      <c r="I713">
        <v>2045</v>
      </c>
      <c r="J713">
        <v>4.0944000000000003</v>
      </c>
      <c r="K713" t="s">
        <v>35</v>
      </c>
    </row>
    <row r="714" spans="1:11" x14ac:dyDescent="0.45">
      <c r="A714" t="s">
        <v>90</v>
      </c>
      <c r="B714" t="s">
        <v>2</v>
      </c>
      <c r="C714" t="s">
        <v>84</v>
      </c>
      <c r="D714" t="s">
        <v>35</v>
      </c>
      <c r="E714" t="s">
        <v>30</v>
      </c>
      <c r="F714" t="s">
        <v>35</v>
      </c>
      <c r="G714" t="s">
        <v>31</v>
      </c>
      <c r="H714" t="s">
        <v>36</v>
      </c>
      <c r="I714">
        <v>2045</v>
      </c>
      <c r="J714">
        <v>5.3595000000000006</v>
      </c>
      <c r="K714" t="s">
        <v>35</v>
      </c>
    </row>
    <row r="715" spans="1:11" x14ac:dyDescent="0.45">
      <c r="A715" t="s">
        <v>90</v>
      </c>
      <c r="B715" t="s">
        <v>1</v>
      </c>
      <c r="C715" t="s">
        <v>84</v>
      </c>
      <c r="D715" t="s">
        <v>35</v>
      </c>
      <c r="E715" t="s">
        <v>30</v>
      </c>
      <c r="F715" t="s">
        <v>35</v>
      </c>
      <c r="G715" t="s">
        <v>31</v>
      </c>
      <c r="H715" t="s">
        <v>36</v>
      </c>
      <c r="I715">
        <v>2045</v>
      </c>
      <c r="J715">
        <v>4.9245999999999999</v>
      </c>
      <c r="K715" t="s">
        <v>35</v>
      </c>
    </row>
    <row r="716" spans="1:11" x14ac:dyDescent="0.45">
      <c r="A716" t="s">
        <v>90</v>
      </c>
      <c r="B716" t="s">
        <v>3</v>
      </c>
      <c r="C716" t="s">
        <v>84</v>
      </c>
      <c r="D716" t="s">
        <v>37</v>
      </c>
      <c r="E716" t="s">
        <v>30</v>
      </c>
      <c r="F716" t="s">
        <v>37</v>
      </c>
      <c r="G716" t="s">
        <v>31</v>
      </c>
      <c r="H716" t="s">
        <v>38</v>
      </c>
      <c r="I716">
        <v>2045</v>
      </c>
      <c r="J716">
        <v>93.5762</v>
      </c>
      <c r="K716" t="s">
        <v>37</v>
      </c>
    </row>
    <row r="717" spans="1:11" x14ac:dyDescent="0.45">
      <c r="A717" t="s">
        <v>90</v>
      </c>
      <c r="B717" t="s">
        <v>4</v>
      </c>
      <c r="C717" t="s">
        <v>84</v>
      </c>
      <c r="D717" t="s">
        <v>37</v>
      </c>
      <c r="E717" t="s">
        <v>30</v>
      </c>
      <c r="F717" t="s">
        <v>37</v>
      </c>
      <c r="G717" t="s">
        <v>31</v>
      </c>
      <c r="H717" t="s">
        <v>38</v>
      </c>
      <c r="I717">
        <v>2045</v>
      </c>
      <c r="J717">
        <v>101.91849999999999</v>
      </c>
      <c r="K717" t="s">
        <v>37</v>
      </c>
    </row>
    <row r="718" spans="1:11" x14ac:dyDescent="0.45">
      <c r="A718" t="s">
        <v>90</v>
      </c>
      <c r="B718" t="s">
        <v>0</v>
      </c>
      <c r="C718" t="s">
        <v>84</v>
      </c>
      <c r="D718" t="s">
        <v>37</v>
      </c>
      <c r="E718" t="s">
        <v>30</v>
      </c>
      <c r="F718" t="s">
        <v>37</v>
      </c>
      <c r="G718" t="s">
        <v>31</v>
      </c>
      <c r="H718" t="s">
        <v>38</v>
      </c>
      <c r="I718">
        <v>2045</v>
      </c>
      <c r="J718">
        <v>96.995800000000003</v>
      </c>
      <c r="K718" t="s">
        <v>37</v>
      </c>
    </row>
    <row r="719" spans="1:11" x14ac:dyDescent="0.45">
      <c r="A719" t="s">
        <v>90</v>
      </c>
      <c r="B719" t="s">
        <v>6</v>
      </c>
      <c r="C719" t="s">
        <v>84</v>
      </c>
      <c r="D719" t="s">
        <v>37</v>
      </c>
      <c r="E719" t="s">
        <v>30</v>
      </c>
      <c r="F719" t="s">
        <v>37</v>
      </c>
      <c r="G719" t="s">
        <v>31</v>
      </c>
      <c r="H719" t="s">
        <v>38</v>
      </c>
      <c r="I719">
        <v>2045</v>
      </c>
      <c r="J719">
        <v>97.598600000000005</v>
      </c>
      <c r="K719" t="s">
        <v>37</v>
      </c>
    </row>
    <row r="720" spans="1:11" x14ac:dyDescent="0.45">
      <c r="A720" t="s">
        <v>90</v>
      </c>
      <c r="B720" t="s">
        <v>5</v>
      </c>
      <c r="C720" t="s">
        <v>84</v>
      </c>
      <c r="D720" t="s">
        <v>37</v>
      </c>
      <c r="E720" t="s">
        <v>30</v>
      </c>
      <c r="F720" t="s">
        <v>37</v>
      </c>
      <c r="G720" t="s">
        <v>31</v>
      </c>
      <c r="H720" t="s">
        <v>38</v>
      </c>
      <c r="I720">
        <v>2045</v>
      </c>
      <c r="J720">
        <v>79.373799999999989</v>
      </c>
      <c r="K720" t="s">
        <v>37</v>
      </c>
    </row>
    <row r="721" spans="1:11" x14ac:dyDescent="0.45">
      <c r="A721" t="s">
        <v>90</v>
      </c>
      <c r="B721" t="s">
        <v>2</v>
      </c>
      <c r="C721" t="s">
        <v>84</v>
      </c>
      <c r="D721" t="s">
        <v>37</v>
      </c>
      <c r="E721" t="s">
        <v>30</v>
      </c>
      <c r="F721" t="s">
        <v>37</v>
      </c>
      <c r="G721" t="s">
        <v>31</v>
      </c>
      <c r="H721" t="s">
        <v>38</v>
      </c>
      <c r="I721">
        <v>2045</v>
      </c>
      <c r="J721">
        <v>101.27515</v>
      </c>
      <c r="K721" t="s">
        <v>37</v>
      </c>
    </row>
    <row r="722" spans="1:11" x14ac:dyDescent="0.45">
      <c r="A722" t="s">
        <v>90</v>
      </c>
      <c r="B722" t="s">
        <v>1</v>
      </c>
      <c r="C722" t="s">
        <v>84</v>
      </c>
      <c r="D722" t="s">
        <v>37</v>
      </c>
      <c r="E722" t="s">
        <v>30</v>
      </c>
      <c r="F722" t="s">
        <v>37</v>
      </c>
      <c r="G722" t="s">
        <v>31</v>
      </c>
      <c r="H722" t="s">
        <v>38</v>
      </c>
      <c r="I722">
        <v>2045</v>
      </c>
      <c r="J722">
        <v>89.913350000000008</v>
      </c>
      <c r="K722" t="s">
        <v>37</v>
      </c>
    </row>
    <row r="723" spans="1:11" x14ac:dyDescent="0.45">
      <c r="A723" t="s">
        <v>90</v>
      </c>
      <c r="B723" t="s">
        <v>3</v>
      </c>
      <c r="C723" t="s">
        <v>84</v>
      </c>
      <c r="D723" t="s">
        <v>48</v>
      </c>
      <c r="E723" t="s">
        <v>46</v>
      </c>
      <c r="F723" t="s">
        <v>48</v>
      </c>
      <c r="G723" t="s">
        <v>49</v>
      </c>
      <c r="H723" t="s">
        <v>50</v>
      </c>
      <c r="I723">
        <v>2045</v>
      </c>
      <c r="J723">
        <v>156.75184999999999</v>
      </c>
      <c r="K723" t="s">
        <v>48</v>
      </c>
    </row>
    <row r="724" spans="1:11" x14ac:dyDescent="0.45">
      <c r="A724" t="s">
        <v>90</v>
      </c>
      <c r="B724" t="s">
        <v>4</v>
      </c>
      <c r="C724" t="s">
        <v>84</v>
      </c>
      <c r="D724" t="s">
        <v>48</v>
      </c>
      <c r="E724" t="s">
        <v>46</v>
      </c>
      <c r="F724" t="s">
        <v>48</v>
      </c>
      <c r="G724" t="s">
        <v>49</v>
      </c>
      <c r="H724" t="s">
        <v>50</v>
      </c>
      <c r="I724">
        <v>2045</v>
      </c>
      <c r="J724">
        <v>631.73509999999999</v>
      </c>
      <c r="K724" t="s">
        <v>48</v>
      </c>
    </row>
    <row r="725" spans="1:11" x14ac:dyDescent="0.45">
      <c r="A725" t="s">
        <v>90</v>
      </c>
      <c r="B725" t="s">
        <v>0</v>
      </c>
      <c r="C725" t="s">
        <v>84</v>
      </c>
      <c r="D725" t="s">
        <v>48</v>
      </c>
      <c r="E725" t="s">
        <v>46</v>
      </c>
      <c r="F725" t="s">
        <v>48</v>
      </c>
      <c r="G725" t="s">
        <v>49</v>
      </c>
      <c r="H725" t="s">
        <v>50</v>
      </c>
      <c r="I725">
        <v>2045</v>
      </c>
      <c r="J725">
        <v>155.96764999999999</v>
      </c>
      <c r="K725" t="s">
        <v>48</v>
      </c>
    </row>
    <row r="726" spans="1:11" x14ac:dyDescent="0.45">
      <c r="A726" t="s">
        <v>90</v>
      </c>
      <c r="B726" t="s">
        <v>6</v>
      </c>
      <c r="C726" t="s">
        <v>84</v>
      </c>
      <c r="D726" t="s">
        <v>48</v>
      </c>
      <c r="E726" t="s">
        <v>46</v>
      </c>
      <c r="F726" t="s">
        <v>48</v>
      </c>
      <c r="G726" t="s">
        <v>49</v>
      </c>
      <c r="H726" t="s">
        <v>50</v>
      </c>
      <c r="I726">
        <v>2045</v>
      </c>
      <c r="J726">
        <v>164.2841</v>
      </c>
      <c r="K726" t="s">
        <v>48</v>
      </c>
    </row>
    <row r="727" spans="1:11" x14ac:dyDescent="0.45">
      <c r="A727" t="s">
        <v>90</v>
      </c>
      <c r="B727" t="s">
        <v>5</v>
      </c>
      <c r="C727" t="s">
        <v>84</v>
      </c>
      <c r="D727" t="s">
        <v>48</v>
      </c>
      <c r="E727" t="s">
        <v>46</v>
      </c>
      <c r="F727" t="s">
        <v>48</v>
      </c>
      <c r="G727" t="s">
        <v>49</v>
      </c>
      <c r="H727" t="s">
        <v>50</v>
      </c>
      <c r="I727">
        <v>2045</v>
      </c>
      <c r="J727">
        <v>152.2551</v>
      </c>
      <c r="K727" t="s">
        <v>48</v>
      </c>
    </row>
    <row r="728" spans="1:11" x14ac:dyDescent="0.45">
      <c r="A728" t="s">
        <v>90</v>
      </c>
      <c r="B728" t="s">
        <v>2</v>
      </c>
      <c r="C728" t="s">
        <v>84</v>
      </c>
      <c r="D728" t="s">
        <v>48</v>
      </c>
      <c r="E728" t="s">
        <v>46</v>
      </c>
      <c r="F728" t="s">
        <v>48</v>
      </c>
      <c r="G728" t="s">
        <v>49</v>
      </c>
      <c r="H728" t="s">
        <v>50</v>
      </c>
      <c r="I728">
        <v>2045</v>
      </c>
      <c r="J728">
        <v>165.28035</v>
      </c>
      <c r="K728" t="s">
        <v>48</v>
      </c>
    </row>
    <row r="729" spans="1:11" x14ac:dyDescent="0.45">
      <c r="A729" t="s">
        <v>90</v>
      </c>
      <c r="B729" t="s">
        <v>1</v>
      </c>
      <c r="C729" t="s">
        <v>84</v>
      </c>
      <c r="D729" t="s">
        <v>48</v>
      </c>
      <c r="E729" t="s">
        <v>46</v>
      </c>
      <c r="F729" t="s">
        <v>48</v>
      </c>
      <c r="G729" t="s">
        <v>49</v>
      </c>
      <c r="H729" t="s">
        <v>50</v>
      </c>
      <c r="I729">
        <v>2045</v>
      </c>
      <c r="J729">
        <v>147.23054999999999</v>
      </c>
      <c r="K729" t="s">
        <v>48</v>
      </c>
    </row>
    <row r="730" spans="1:11" x14ac:dyDescent="0.45">
      <c r="A730" t="s">
        <v>90</v>
      </c>
      <c r="B730" t="s">
        <v>3</v>
      </c>
      <c r="C730" t="s">
        <v>84</v>
      </c>
      <c r="D730" t="s">
        <v>51</v>
      </c>
      <c r="E730" t="s">
        <v>46</v>
      </c>
      <c r="F730" t="s">
        <v>51</v>
      </c>
      <c r="G730" t="s">
        <v>49</v>
      </c>
      <c r="H730" t="s">
        <v>50</v>
      </c>
      <c r="I730">
        <v>2045</v>
      </c>
      <c r="J730">
        <v>12.250499999999999</v>
      </c>
      <c r="K730" t="s">
        <v>51</v>
      </c>
    </row>
    <row r="731" spans="1:11" x14ac:dyDescent="0.45">
      <c r="A731" t="s">
        <v>90</v>
      </c>
      <c r="B731" t="s">
        <v>4</v>
      </c>
      <c r="C731" t="s">
        <v>84</v>
      </c>
      <c r="D731" t="s">
        <v>51</v>
      </c>
      <c r="E731" t="s">
        <v>46</v>
      </c>
      <c r="F731" t="s">
        <v>51</v>
      </c>
      <c r="G731" t="s">
        <v>49</v>
      </c>
      <c r="H731" t="s">
        <v>50</v>
      </c>
      <c r="I731">
        <v>2045</v>
      </c>
      <c r="J731">
        <v>476.49209999999999</v>
      </c>
      <c r="K731" t="s">
        <v>51</v>
      </c>
    </row>
    <row r="732" spans="1:11" x14ac:dyDescent="0.45">
      <c r="A732" t="s">
        <v>90</v>
      </c>
      <c r="B732" t="s">
        <v>0</v>
      </c>
      <c r="C732" t="s">
        <v>84</v>
      </c>
      <c r="D732" t="s">
        <v>51</v>
      </c>
      <c r="E732" t="s">
        <v>46</v>
      </c>
      <c r="F732" t="s">
        <v>51</v>
      </c>
      <c r="G732" t="s">
        <v>49</v>
      </c>
      <c r="H732" t="s">
        <v>50</v>
      </c>
      <c r="I732">
        <v>2045</v>
      </c>
      <c r="J732">
        <v>9.5977999999999994</v>
      </c>
      <c r="K732" t="s">
        <v>51</v>
      </c>
    </row>
    <row r="733" spans="1:11" x14ac:dyDescent="0.45">
      <c r="A733" t="s">
        <v>90</v>
      </c>
      <c r="B733" t="s">
        <v>6</v>
      </c>
      <c r="C733" t="s">
        <v>84</v>
      </c>
      <c r="D733" t="s">
        <v>51</v>
      </c>
      <c r="E733" t="s">
        <v>46</v>
      </c>
      <c r="F733" t="s">
        <v>51</v>
      </c>
      <c r="G733" t="s">
        <v>49</v>
      </c>
      <c r="H733" t="s">
        <v>50</v>
      </c>
      <c r="I733">
        <v>2045</v>
      </c>
      <c r="J733">
        <v>19.851700000000001</v>
      </c>
      <c r="K733" t="s">
        <v>51</v>
      </c>
    </row>
    <row r="734" spans="1:11" x14ac:dyDescent="0.45">
      <c r="A734" t="s">
        <v>90</v>
      </c>
      <c r="B734" t="s">
        <v>5</v>
      </c>
      <c r="C734" t="s">
        <v>84</v>
      </c>
      <c r="D734" t="s">
        <v>51</v>
      </c>
      <c r="E734" t="s">
        <v>46</v>
      </c>
      <c r="F734" t="s">
        <v>51</v>
      </c>
      <c r="G734" t="s">
        <v>49</v>
      </c>
      <c r="H734" t="s">
        <v>50</v>
      </c>
      <c r="I734">
        <v>2045</v>
      </c>
      <c r="J734">
        <v>2.3030999999999997</v>
      </c>
      <c r="K734" t="s">
        <v>51</v>
      </c>
    </row>
    <row r="735" spans="1:11" x14ac:dyDescent="0.45">
      <c r="A735" t="s">
        <v>90</v>
      </c>
      <c r="B735" t="s">
        <v>2</v>
      </c>
      <c r="C735" t="s">
        <v>84</v>
      </c>
      <c r="D735" t="s">
        <v>51</v>
      </c>
      <c r="E735" t="s">
        <v>46</v>
      </c>
      <c r="F735" t="s">
        <v>51</v>
      </c>
      <c r="G735" t="s">
        <v>49</v>
      </c>
      <c r="H735" t="s">
        <v>50</v>
      </c>
      <c r="I735">
        <v>2045</v>
      </c>
      <c r="J735">
        <v>15.792400000000001</v>
      </c>
      <c r="K735" t="s">
        <v>51</v>
      </c>
    </row>
    <row r="736" spans="1:11" x14ac:dyDescent="0.45">
      <c r="A736" t="s">
        <v>90</v>
      </c>
      <c r="B736" t="s">
        <v>1</v>
      </c>
      <c r="C736" t="s">
        <v>84</v>
      </c>
      <c r="D736" t="s">
        <v>51</v>
      </c>
      <c r="E736" t="s">
        <v>46</v>
      </c>
      <c r="F736" t="s">
        <v>51</v>
      </c>
      <c r="G736" t="s">
        <v>49</v>
      </c>
      <c r="H736" t="s">
        <v>50</v>
      </c>
      <c r="I736">
        <v>2045</v>
      </c>
      <c r="J736">
        <v>-2.8233999999999999</v>
      </c>
      <c r="K736" t="s">
        <v>51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0.92725000000000002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0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1.6554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0.1222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5.0326500000000003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0.153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14.284050000000001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2050</v>
      </c>
      <c r="J744">
        <v>6.3400000000000012E-2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2050</v>
      </c>
      <c r="J745">
        <v>5.3499999999999999E-2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2050</v>
      </c>
      <c r="J746">
        <v>6.4849999999999991E-2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2050</v>
      </c>
      <c r="J747">
        <v>5.7550000000000004E-2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2050</v>
      </c>
      <c r="J748">
        <v>1.9349999999999999E-2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2050</v>
      </c>
      <c r="J749">
        <v>6.0249999999999998E-2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5.6349999999999997E-2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28</v>
      </c>
      <c r="E751" t="s">
        <v>25</v>
      </c>
      <c r="F751" t="s">
        <v>28</v>
      </c>
      <c r="G751" t="s">
        <v>26</v>
      </c>
      <c r="H751" t="s">
        <v>12</v>
      </c>
      <c r="I751">
        <v>2050</v>
      </c>
      <c r="J751">
        <v>4.0500000000000001E-2</v>
      </c>
      <c r="K751" t="s">
        <v>28</v>
      </c>
    </row>
    <row r="752" spans="1:11" x14ac:dyDescent="0.45">
      <c r="A752" t="s">
        <v>90</v>
      </c>
      <c r="B752" t="s">
        <v>4</v>
      </c>
      <c r="C752" t="s">
        <v>84</v>
      </c>
      <c r="D752" t="s">
        <v>28</v>
      </c>
      <c r="E752" t="s">
        <v>25</v>
      </c>
      <c r="F752" t="s">
        <v>28</v>
      </c>
      <c r="G752" t="s">
        <v>26</v>
      </c>
      <c r="H752" t="s">
        <v>12</v>
      </c>
      <c r="I752">
        <v>2050</v>
      </c>
      <c r="J752">
        <v>2.895E-2</v>
      </c>
      <c r="K752" t="s">
        <v>28</v>
      </c>
    </row>
    <row r="753" spans="1:11" x14ac:dyDescent="0.45">
      <c r="A753" t="s">
        <v>90</v>
      </c>
      <c r="B753" t="s">
        <v>0</v>
      </c>
      <c r="C753" t="s">
        <v>84</v>
      </c>
      <c r="D753" t="s">
        <v>28</v>
      </c>
      <c r="E753" t="s">
        <v>25</v>
      </c>
      <c r="F753" t="s">
        <v>28</v>
      </c>
      <c r="G753" t="s">
        <v>26</v>
      </c>
      <c r="H753" t="s">
        <v>12</v>
      </c>
      <c r="I753">
        <v>2050</v>
      </c>
      <c r="J753">
        <v>4.1099999999999998E-2</v>
      </c>
      <c r="K753" t="s">
        <v>28</v>
      </c>
    </row>
    <row r="754" spans="1:11" x14ac:dyDescent="0.45">
      <c r="A754" t="s">
        <v>90</v>
      </c>
      <c r="B754" t="s">
        <v>6</v>
      </c>
      <c r="C754" t="s">
        <v>84</v>
      </c>
      <c r="D754" t="s">
        <v>28</v>
      </c>
      <c r="E754" t="s">
        <v>25</v>
      </c>
      <c r="F754" t="s">
        <v>28</v>
      </c>
      <c r="G754" t="s">
        <v>26</v>
      </c>
      <c r="H754" t="s">
        <v>12</v>
      </c>
      <c r="I754">
        <v>2050</v>
      </c>
      <c r="J754">
        <v>3.465E-2</v>
      </c>
      <c r="K754" t="s">
        <v>28</v>
      </c>
    </row>
    <row r="755" spans="1:11" x14ac:dyDescent="0.45">
      <c r="A755" t="s">
        <v>90</v>
      </c>
      <c r="B755" t="s">
        <v>5</v>
      </c>
      <c r="C755" t="s">
        <v>84</v>
      </c>
      <c r="D755" t="s">
        <v>28</v>
      </c>
      <c r="E755" t="s">
        <v>25</v>
      </c>
      <c r="F755" t="s">
        <v>28</v>
      </c>
      <c r="G755" t="s">
        <v>26</v>
      </c>
      <c r="H755" t="s">
        <v>12</v>
      </c>
      <c r="I755">
        <v>2050</v>
      </c>
      <c r="J755">
        <v>4.6249999999999999E-2</v>
      </c>
      <c r="K755" t="s">
        <v>28</v>
      </c>
    </row>
    <row r="756" spans="1:11" x14ac:dyDescent="0.45">
      <c r="A756" t="s">
        <v>90</v>
      </c>
      <c r="B756" t="s">
        <v>2</v>
      </c>
      <c r="C756" t="s">
        <v>84</v>
      </c>
      <c r="D756" t="s">
        <v>28</v>
      </c>
      <c r="E756" t="s">
        <v>25</v>
      </c>
      <c r="F756" t="s">
        <v>28</v>
      </c>
      <c r="G756" t="s">
        <v>26</v>
      </c>
      <c r="H756" t="s">
        <v>12</v>
      </c>
      <c r="I756">
        <v>2050</v>
      </c>
      <c r="J756">
        <v>3.7000000000000005E-2</v>
      </c>
      <c r="K756" t="s">
        <v>28</v>
      </c>
    </row>
    <row r="757" spans="1:11" x14ac:dyDescent="0.45">
      <c r="A757" t="s">
        <v>90</v>
      </c>
      <c r="B757" t="s">
        <v>1</v>
      </c>
      <c r="C757" t="s">
        <v>84</v>
      </c>
      <c r="D757" t="s">
        <v>28</v>
      </c>
      <c r="E757" t="s">
        <v>25</v>
      </c>
      <c r="F757" t="s">
        <v>28</v>
      </c>
      <c r="G757" t="s">
        <v>26</v>
      </c>
      <c r="H757" t="s">
        <v>12</v>
      </c>
      <c r="I757">
        <v>2050</v>
      </c>
      <c r="J757">
        <v>3.8850000000000003E-2</v>
      </c>
      <c r="K757" t="s">
        <v>28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2050</v>
      </c>
      <c r="J758">
        <v>1.17E-2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2050</v>
      </c>
      <c r="J759">
        <v>6.7499999999999999E-3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2050</v>
      </c>
      <c r="J760">
        <v>9.8999999999999991E-3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2050</v>
      </c>
      <c r="J761">
        <v>7.9000000000000008E-3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2050</v>
      </c>
      <c r="J762">
        <v>1.1650000000000001E-2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2050</v>
      </c>
      <c r="J763">
        <v>8.5000000000000006E-3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2050</v>
      </c>
      <c r="J764">
        <v>1.2800000000000001E-2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2050</v>
      </c>
      <c r="J765">
        <v>1.7250000000000001E-2</v>
      </c>
      <c r="K765" t="s">
        <v>85</v>
      </c>
    </row>
    <row r="766" spans="1:11" x14ac:dyDescent="0.45">
      <c r="A766" t="s">
        <v>90</v>
      </c>
      <c r="B766" t="s">
        <v>4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2050</v>
      </c>
      <c r="J766">
        <v>5.765E-2</v>
      </c>
      <c r="K766" t="s">
        <v>85</v>
      </c>
    </row>
    <row r="767" spans="1:11" x14ac:dyDescent="0.45">
      <c r="A767" t="s">
        <v>90</v>
      </c>
      <c r="B767" t="s">
        <v>0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2050</v>
      </c>
      <c r="J767">
        <v>1.8299999999999997E-2</v>
      </c>
      <c r="K767" t="s">
        <v>85</v>
      </c>
    </row>
    <row r="768" spans="1:11" x14ac:dyDescent="0.45">
      <c r="A768" t="s">
        <v>90</v>
      </c>
      <c r="B768" t="s">
        <v>6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2050</v>
      </c>
      <c r="J768">
        <v>4.3249999999999997E-2</v>
      </c>
      <c r="K768" t="s">
        <v>85</v>
      </c>
    </row>
    <row r="769" spans="1:12" x14ac:dyDescent="0.45">
      <c r="A769" t="s">
        <v>90</v>
      </c>
      <c r="B769" t="s">
        <v>5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2050</v>
      </c>
      <c r="J769">
        <v>1.03E-2</v>
      </c>
      <c r="K769" t="s">
        <v>85</v>
      </c>
    </row>
    <row r="770" spans="1:12" x14ac:dyDescent="0.45">
      <c r="A770" t="s">
        <v>90</v>
      </c>
      <c r="B770" t="s">
        <v>2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2050</v>
      </c>
      <c r="J770">
        <v>4.8149999999999998E-2</v>
      </c>
      <c r="K770" t="s">
        <v>85</v>
      </c>
    </row>
    <row r="771" spans="1:12" x14ac:dyDescent="0.45">
      <c r="A771" t="s">
        <v>90</v>
      </c>
      <c r="B771" t="s">
        <v>1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2050</v>
      </c>
      <c r="J771">
        <v>5.2600000000000001E-2</v>
      </c>
      <c r="K771" t="s">
        <v>85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2050</v>
      </c>
      <c r="J772">
        <v>0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2050</v>
      </c>
      <c r="J773">
        <v>0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2050</v>
      </c>
      <c r="J774">
        <v>0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2050</v>
      </c>
      <c r="J775">
        <v>0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2050</v>
      </c>
      <c r="J776">
        <v>0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2050</v>
      </c>
      <c r="J777">
        <v>0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2050</v>
      </c>
      <c r="J778">
        <v>0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53</v>
      </c>
      <c r="E779" t="s">
        <v>25</v>
      </c>
      <c r="F779" t="s">
        <v>53</v>
      </c>
      <c r="G779" t="s">
        <v>71</v>
      </c>
      <c r="H779" t="s">
        <v>89</v>
      </c>
      <c r="I779">
        <v>2050</v>
      </c>
      <c r="J779">
        <v>1E-4</v>
      </c>
      <c r="K779" t="s">
        <v>53</v>
      </c>
      <c r="L779">
        <v>55</v>
      </c>
    </row>
    <row r="780" spans="1:12" x14ac:dyDescent="0.45">
      <c r="A780" t="s">
        <v>90</v>
      </c>
      <c r="B780" t="s">
        <v>4</v>
      </c>
      <c r="C780" t="s">
        <v>84</v>
      </c>
      <c r="D780" t="s">
        <v>53</v>
      </c>
      <c r="E780" t="s">
        <v>25</v>
      </c>
      <c r="F780" t="s">
        <v>53</v>
      </c>
      <c r="G780" t="s">
        <v>71</v>
      </c>
      <c r="H780" t="s">
        <v>89</v>
      </c>
      <c r="I780">
        <v>2050</v>
      </c>
      <c r="J780">
        <v>6.9999999999999999E-4</v>
      </c>
      <c r="K780" t="s">
        <v>53</v>
      </c>
      <c r="L780">
        <v>55</v>
      </c>
    </row>
    <row r="781" spans="1:12" x14ac:dyDescent="0.45">
      <c r="A781" t="s">
        <v>90</v>
      </c>
      <c r="B781" t="s">
        <v>0</v>
      </c>
      <c r="C781" t="s">
        <v>84</v>
      </c>
      <c r="D781" t="s">
        <v>53</v>
      </c>
      <c r="E781" t="s">
        <v>25</v>
      </c>
      <c r="F781" t="s">
        <v>53</v>
      </c>
      <c r="G781" t="s">
        <v>71</v>
      </c>
      <c r="H781" t="s">
        <v>89</v>
      </c>
      <c r="I781">
        <v>2050</v>
      </c>
      <c r="J781">
        <v>0</v>
      </c>
      <c r="K781" t="s">
        <v>53</v>
      </c>
      <c r="L781">
        <v>55</v>
      </c>
    </row>
    <row r="782" spans="1:12" x14ac:dyDescent="0.45">
      <c r="A782" t="s">
        <v>90</v>
      </c>
      <c r="B782" t="s">
        <v>6</v>
      </c>
      <c r="C782" t="s">
        <v>84</v>
      </c>
      <c r="D782" t="s">
        <v>53</v>
      </c>
      <c r="E782" t="s">
        <v>25</v>
      </c>
      <c r="F782" t="s">
        <v>53</v>
      </c>
      <c r="G782" t="s">
        <v>71</v>
      </c>
      <c r="H782" t="s">
        <v>89</v>
      </c>
      <c r="I782">
        <v>2050</v>
      </c>
      <c r="J782">
        <v>2.0000000000000001E-4</v>
      </c>
      <c r="K782" t="s">
        <v>53</v>
      </c>
      <c r="L782">
        <v>55</v>
      </c>
    </row>
    <row r="783" spans="1:12" x14ac:dyDescent="0.45">
      <c r="A783" t="s">
        <v>90</v>
      </c>
      <c r="B783" t="s">
        <v>5</v>
      </c>
      <c r="C783" t="s">
        <v>84</v>
      </c>
      <c r="D783" t="s">
        <v>53</v>
      </c>
      <c r="E783" t="s">
        <v>25</v>
      </c>
      <c r="F783" t="s">
        <v>53</v>
      </c>
      <c r="G783" t="s">
        <v>71</v>
      </c>
      <c r="H783" t="s">
        <v>89</v>
      </c>
      <c r="I783">
        <v>2050</v>
      </c>
      <c r="J783">
        <v>0</v>
      </c>
      <c r="K783" t="s">
        <v>53</v>
      </c>
      <c r="L783">
        <v>55</v>
      </c>
    </row>
    <row r="784" spans="1:12" x14ac:dyDescent="0.45">
      <c r="A784" t="s">
        <v>90</v>
      </c>
      <c r="B784" t="s">
        <v>2</v>
      </c>
      <c r="C784" t="s">
        <v>84</v>
      </c>
      <c r="D784" t="s">
        <v>53</v>
      </c>
      <c r="E784" t="s">
        <v>25</v>
      </c>
      <c r="F784" t="s">
        <v>53</v>
      </c>
      <c r="G784" t="s">
        <v>71</v>
      </c>
      <c r="H784" t="s">
        <v>89</v>
      </c>
      <c r="I784">
        <v>2050</v>
      </c>
      <c r="J784">
        <v>1E-4</v>
      </c>
      <c r="K784" t="s">
        <v>53</v>
      </c>
      <c r="L784">
        <v>55</v>
      </c>
    </row>
    <row r="785" spans="1:12" x14ac:dyDescent="0.45">
      <c r="A785" t="s">
        <v>90</v>
      </c>
      <c r="B785" t="s">
        <v>1</v>
      </c>
      <c r="C785" t="s">
        <v>84</v>
      </c>
      <c r="D785" t="s">
        <v>53</v>
      </c>
      <c r="E785" t="s">
        <v>25</v>
      </c>
      <c r="F785" t="s">
        <v>53</v>
      </c>
      <c r="G785" t="s">
        <v>71</v>
      </c>
      <c r="H785" t="s">
        <v>89</v>
      </c>
      <c r="I785">
        <v>2050</v>
      </c>
      <c r="J785">
        <v>0</v>
      </c>
      <c r="K785" t="s">
        <v>53</v>
      </c>
      <c r="L785">
        <v>55</v>
      </c>
    </row>
    <row r="786" spans="1:12" x14ac:dyDescent="0.45">
      <c r="A786" t="s">
        <v>90</v>
      </c>
      <c r="B786" t="s">
        <v>3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2050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4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2050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2050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6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2050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5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2050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2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2050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1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2050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84</v>
      </c>
      <c r="D793" t="s">
        <v>29</v>
      </c>
      <c r="E793" t="s">
        <v>30</v>
      </c>
      <c r="F793" t="s">
        <v>29</v>
      </c>
      <c r="G793" t="s">
        <v>31</v>
      </c>
      <c r="H793" t="s">
        <v>32</v>
      </c>
      <c r="I793">
        <v>2050</v>
      </c>
      <c r="J793">
        <v>7.9924499999999998</v>
      </c>
      <c r="K793" t="s">
        <v>29</v>
      </c>
    </row>
    <row r="794" spans="1:12" x14ac:dyDescent="0.45">
      <c r="A794" t="s">
        <v>90</v>
      </c>
      <c r="B794" t="s">
        <v>4</v>
      </c>
      <c r="C794" t="s">
        <v>84</v>
      </c>
      <c r="D794" t="s">
        <v>29</v>
      </c>
      <c r="E794" t="s">
        <v>30</v>
      </c>
      <c r="F794" t="s">
        <v>29</v>
      </c>
      <c r="G794" t="s">
        <v>31</v>
      </c>
      <c r="H794" t="s">
        <v>32</v>
      </c>
      <c r="I794">
        <v>2050</v>
      </c>
      <c r="J794">
        <v>3.6767000000000003</v>
      </c>
      <c r="K794" t="s">
        <v>29</v>
      </c>
    </row>
    <row r="795" spans="1:12" x14ac:dyDescent="0.45">
      <c r="A795" t="s">
        <v>90</v>
      </c>
      <c r="B795" t="s">
        <v>0</v>
      </c>
      <c r="C795" t="s">
        <v>84</v>
      </c>
      <c r="D795" t="s">
        <v>29</v>
      </c>
      <c r="E795" t="s">
        <v>30</v>
      </c>
      <c r="F795" t="s">
        <v>29</v>
      </c>
      <c r="G795" t="s">
        <v>31</v>
      </c>
      <c r="H795" t="s">
        <v>32</v>
      </c>
      <c r="I795">
        <v>2050</v>
      </c>
      <c r="J795">
        <v>17.657350000000001</v>
      </c>
      <c r="K795" t="s">
        <v>29</v>
      </c>
    </row>
    <row r="796" spans="1:12" x14ac:dyDescent="0.45">
      <c r="A796" t="s">
        <v>90</v>
      </c>
      <c r="B796" t="s">
        <v>6</v>
      </c>
      <c r="C796" t="s">
        <v>84</v>
      </c>
      <c r="D796" t="s">
        <v>29</v>
      </c>
      <c r="E796" t="s">
        <v>30</v>
      </c>
      <c r="F796" t="s">
        <v>29</v>
      </c>
      <c r="G796" t="s">
        <v>31</v>
      </c>
      <c r="H796" t="s">
        <v>32</v>
      </c>
      <c r="I796">
        <v>2050</v>
      </c>
      <c r="J796">
        <v>8.1373999999999995</v>
      </c>
      <c r="K796" t="s">
        <v>29</v>
      </c>
    </row>
    <row r="797" spans="1:12" x14ac:dyDescent="0.45">
      <c r="A797" t="s">
        <v>90</v>
      </c>
      <c r="B797" t="s">
        <v>5</v>
      </c>
      <c r="C797" t="s">
        <v>84</v>
      </c>
      <c r="D797" t="s">
        <v>29</v>
      </c>
      <c r="E797" t="s">
        <v>30</v>
      </c>
      <c r="F797" t="s">
        <v>29</v>
      </c>
      <c r="G797" t="s">
        <v>31</v>
      </c>
      <c r="H797" t="s">
        <v>32</v>
      </c>
      <c r="I797">
        <v>2050</v>
      </c>
      <c r="J797">
        <v>12.79175</v>
      </c>
      <c r="K797" t="s">
        <v>29</v>
      </c>
    </row>
    <row r="798" spans="1:12" x14ac:dyDescent="0.45">
      <c r="A798" t="s">
        <v>90</v>
      </c>
      <c r="B798" t="s">
        <v>2</v>
      </c>
      <c r="C798" t="s">
        <v>84</v>
      </c>
      <c r="D798" t="s">
        <v>29</v>
      </c>
      <c r="E798" t="s">
        <v>30</v>
      </c>
      <c r="F798" t="s">
        <v>29</v>
      </c>
      <c r="G798" t="s">
        <v>31</v>
      </c>
      <c r="H798" t="s">
        <v>32</v>
      </c>
      <c r="I798">
        <v>2050</v>
      </c>
      <c r="J798">
        <v>7.6464999999999996</v>
      </c>
      <c r="K798" t="s">
        <v>29</v>
      </c>
    </row>
    <row r="799" spans="1:12" x14ac:dyDescent="0.45">
      <c r="A799" t="s">
        <v>90</v>
      </c>
      <c r="B799" t="s">
        <v>1</v>
      </c>
      <c r="C799" t="s">
        <v>84</v>
      </c>
      <c r="D799" t="s">
        <v>29</v>
      </c>
      <c r="E799" t="s">
        <v>30</v>
      </c>
      <c r="F799" t="s">
        <v>29</v>
      </c>
      <c r="G799" t="s">
        <v>31</v>
      </c>
      <c r="H799" t="s">
        <v>32</v>
      </c>
      <c r="I799">
        <v>2050</v>
      </c>
      <c r="J799">
        <v>21.625300000000003</v>
      </c>
      <c r="K799" t="s">
        <v>29</v>
      </c>
    </row>
    <row r="800" spans="1:12" x14ac:dyDescent="0.45">
      <c r="A800" t="s">
        <v>90</v>
      </c>
      <c r="B800" t="s">
        <v>3</v>
      </c>
      <c r="C800" t="s">
        <v>84</v>
      </c>
      <c r="D800" t="s">
        <v>33</v>
      </c>
      <c r="E800" t="s">
        <v>30</v>
      </c>
      <c r="F800" t="s">
        <v>33</v>
      </c>
      <c r="G800" t="s">
        <v>31</v>
      </c>
      <c r="H800" t="s">
        <v>34</v>
      </c>
      <c r="I800">
        <v>2050</v>
      </c>
      <c r="J800">
        <v>1.5704500000000001</v>
      </c>
      <c r="K800" t="s">
        <v>33</v>
      </c>
    </row>
    <row r="801" spans="1:11" x14ac:dyDescent="0.45">
      <c r="A801" t="s">
        <v>90</v>
      </c>
      <c r="B801" t="s">
        <v>4</v>
      </c>
      <c r="C801" t="s">
        <v>84</v>
      </c>
      <c r="D801" t="s">
        <v>33</v>
      </c>
      <c r="E801" t="s">
        <v>30</v>
      </c>
      <c r="F801" t="s">
        <v>33</v>
      </c>
      <c r="G801" t="s">
        <v>31</v>
      </c>
      <c r="H801" t="s">
        <v>34</v>
      </c>
      <c r="I801">
        <v>2050</v>
      </c>
      <c r="J801">
        <v>2.7322500000000001</v>
      </c>
      <c r="K801" t="s">
        <v>33</v>
      </c>
    </row>
    <row r="802" spans="1:11" x14ac:dyDescent="0.45">
      <c r="A802" t="s">
        <v>90</v>
      </c>
      <c r="B802" t="s">
        <v>0</v>
      </c>
      <c r="C802" t="s">
        <v>84</v>
      </c>
      <c r="D802" t="s">
        <v>33</v>
      </c>
      <c r="E802" t="s">
        <v>30</v>
      </c>
      <c r="F802" t="s">
        <v>33</v>
      </c>
      <c r="G802" t="s">
        <v>31</v>
      </c>
      <c r="H802" t="s">
        <v>34</v>
      </c>
      <c r="I802">
        <v>2050</v>
      </c>
      <c r="J802">
        <v>1.53165</v>
      </c>
      <c r="K802" t="s">
        <v>33</v>
      </c>
    </row>
    <row r="803" spans="1:11" x14ac:dyDescent="0.45">
      <c r="A803" t="s">
        <v>90</v>
      </c>
      <c r="B803" t="s">
        <v>6</v>
      </c>
      <c r="C803" t="s">
        <v>84</v>
      </c>
      <c r="D803" t="s">
        <v>33</v>
      </c>
      <c r="E803" t="s">
        <v>30</v>
      </c>
      <c r="F803" t="s">
        <v>33</v>
      </c>
      <c r="G803" t="s">
        <v>31</v>
      </c>
      <c r="H803" t="s">
        <v>34</v>
      </c>
      <c r="I803">
        <v>2050</v>
      </c>
      <c r="J803">
        <v>2.1814</v>
      </c>
      <c r="K803" t="s">
        <v>33</v>
      </c>
    </row>
    <row r="804" spans="1:11" x14ac:dyDescent="0.45">
      <c r="A804" t="s">
        <v>90</v>
      </c>
      <c r="B804" t="s">
        <v>5</v>
      </c>
      <c r="C804" t="s">
        <v>84</v>
      </c>
      <c r="D804" t="s">
        <v>33</v>
      </c>
      <c r="E804" t="s">
        <v>30</v>
      </c>
      <c r="F804" t="s">
        <v>33</v>
      </c>
      <c r="G804" t="s">
        <v>31</v>
      </c>
      <c r="H804" t="s">
        <v>34</v>
      </c>
      <c r="I804">
        <v>2050</v>
      </c>
      <c r="J804">
        <v>1.59405</v>
      </c>
      <c r="K804" t="s">
        <v>33</v>
      </c>
    </row>
    <row r="805" spans="1:11" x14ac:dyDescent="0.45">
      <c r="A805" t="s">
        <v>90</v>
      </c>
      <c r="B805" t="s">
        <v>2</v>
      </c>
      <c r="C805" t="s">
        <v>84</v>
      </c>
      <c r="D805" t="s">
        <v>33</v>
      </c>
      <c r="E805" t="s">
        <v>30</v>
      </c>
      <c r="F805" t="s">
        <v>33</v>
      </c>
      <c r="G805" t="s">
        <v>31</v>
      </c>
      <c r="H805" t="s">
        <v>34</v>
      </c>
      <c r="I805">
        <v>2050</v>
      </c>
      <c r="J805">
        <v>1.8801999999999999</v>
      </c>
      <c r="K805" t="s">
        <v>33</v>
      </c>
    </row>
    <row r="806" spans="1:11" x14ac:dyDescent="0.45">
      <c r="A806" t="s">
        <v>90</v>
      </c>
      <c r="B806" t="s">
        <v>1</v>
      </c>
      <c r="C806" t="s">
        <v>84</v>
      </c>
      <c r="D806" t="s">
        <v>33</v>
      </c>
      <c r="E806" t="s">
        <v>30</v>
      </c>
      <c r="F806" t="s">
        <v>33</v>
      </c>
      <c r="G806" t="s">
        <v>31</v>
      </c>
      <c r="H806" t="s">
        <v>34</v>
      </c>
      <c r="I806">
        <v>2050</v>
      </c>
      <c r="J806">
        <v>1.7387999999999999</v>
      </c>
      <c r="K806" t="s">
        <v>33</v>
      </c>
    </row>
    <row r="807" spans="1:11" x14ac:dyDescent="0.45">
      <c r="A807" t="s">
        <v>90</v>
      </c>
      <c r="B807" t="s">
        <v>3</v>
      </c>
      <c r="C807" t="s">
        <v>84</v>
      </c>
      <c r="D807" t="s">
        <v>35</v>
      </c>
      <c r="E807" t="s">
        <v>30</v>
      </c>
      <c r="F807" t="s">
        <v>35</v>
      </c>
      <c r="G807" t="s">
        <v>31</v>
      </c>
      <c r="H807" t="s">
        <v>36</v>
      </c>
      <c r="I807">
        <v>2050</v>
      </c>
      <c r="J807">
        <v>4.8777499999999998</v>
      </c>
      <c r="K807" t="s">
        <v>35</v>
      </c>
    </row>
    <row r="808" spans="1:11" x14ac:dyDescent="0.45">
      <c r="A808" t="s">
        <v>90</v>
      </c>
      <c r="B808" t="s">
        <v>4</v>
      </c>
      <c r="C808" t="s">
        <v>84</v>
      </c>
      <c r="D808" t="s">
        <v>35</v>
      </c>
      <c r="E808" t="s">
        <v>30</v>
      </c>
      <c r="F808" t="s">
        <v>35</v>
      </c>
      <c r="G808" t="s">
        <v>31</v>
      </c>
      <c r="H808" t="s">
        <v>36</v>
      </c>
      <c r="I808">
        <v>2050</v>
      </c>
      <c r="J808">
        <v>5.6541999999999994</v>
      </c>
      <c r="K808" t="s">
        <v>35</v>
      </c>
    </row>
    <row r="809" spans="1:11" x14ac:dyDescent="0.45">
      <c r="A809" t="s">
        <v>90</v>
      </c>
      <c r="B809" t="s">
        <v>0</v>
      </c>
      <c r="C809" t="s">
        <v>84</v>
      </c>
      <c r="D809" t="s">
        <v>35</v>
      </c>
      <c r="E809" t="s">
        <v>30</v>
      </c>
      <c r="F809" t="s">
        <v>35</v>
      </c>
      <c r="G809" t="s">
        <v>31</v>
      </c>
      <c r="H809" t="s">
        <v>36</v>
      </c>
      <c r="I809">
        <v>2050</v>
      </c>
      <c r="J809">
        <v>4.1950500000000002</v>
      </c>
      <c r="K809" t="s">
        <v>35</v>
      </c>
    </row>
    <row r="810" spans="1:11" x14ac:dyDescent="0.45">
      <c r="A810" t="s">
        <v>90</v>
      </c>
      <c r="B810" t="s">
        <v>6</v>
      </c>
      <c r="C810" t="s">
        <v>84</v>
      </c>
      <c r="D810" t="s">
        <v>35</v>
      </c>
      <c r="E810" t="s">
        <v>30</v>
      </c>
      <c r="F810" t="s">
        <v>35</v>
      </c>
      <c r="G810" t="s">
        <v>31</v>
      </c>
      <c r="H810" t="s">
        <v>36</v>
      </c>
      <c r="I810">
        <v>2050</v>
      </c>
      <c r="J810">
        <v>5.1727499999999997</v>
      </c>
      <c r="K810" t="s">
        <v>35</v>
      </c>
    </row>
    <row r="811" spans="1:11" x14ac:dyDescent="0.45">
      <c r="A811" t="s">
        <v>90</v>
      </c>
      <c r="B811" t="s">
        <v>5</v>
      </c>
      <c r="C811" t="s">
        <v>84</v>
      </c>
      <c r="D811" t="s">
        <v>35</v>
      </c>
      <c r="E811" t="s">
        <v>30</v>
      </c>
      <c r="F811" t="s">
        <v>35</v>
      </c>
      <c r="G811" t="s">
        <v>31</v>
      </c>
      <c r="H811" t="s">
        <v>36</v>
      </c>
      <c r="I811">
        <v>2050</v>
      </c>
      <c r="J811">
        <v>4.16275</v>
      </c>
      <c r="K811" t="s">
        <v>35</v>
      </c>
    </row>
    <row r="812" spans="1:11" x14ac:dyDescent="0.45">
      <c r="A812" t="s">
        <v>90</v>
      </c>
      <c r="B812" t="s">
        <v>2</v>
      </c>
      <c r="C812" t="s">
        <v>84</v>
      </c>
      <c r="D812" t="s">
        <v>35</v>
      </c>
      <c r="E812" t="s">
        <v>30</v>
      </c>
      <c r="F812" t="s">
        <v>35</v>
      </c>
      <c r="G812" t="s">
        <v>31</v>
      </c>
      <c r="H812" t="s">
        <v>36</v>
      </c>
      <c r="I812">
        <v>2050</v>
      </c>
      <c r="J812">
        <v>5.3207000000000004</v>
      </c>
      <c r="K812" t="s">
        <v>35</v>
      </c>
    </row>
    <row r="813" spans="1:11" x14ac:dyDescent="0.45">
      <c r="A813" t="s">
        <v>90</v>
      </c>
      <c r="B813" t="s">
        <v>1</v>
      </c>
      <c r="C813" t="s">
        <v>84</v>
      </c>
      <c r="D813" t="s">
        <v>35</v>
      </c>
      <c r="E813" t="s">
        <v>30</v>
      </c>
      <c r="F813" t="s">
        <v>35</v>
      </c>
      <c r="G813" t="s">
        <v>31</v>
      </c>
      <c r="H813" t="s">
        <v>36</v>
      </c>
      <c r="I813">
        <v>2050</v>
      </c>
      <c r="J813">
        <v>4.4139499999999998</v>
      </c>
      <c r="K813" t="s">
        <v>35</v>
      </c>
    </row>
    <row r="814" spans="1:11" x14ac:dyDescent="0.45">
      <c r="A814" t="s">
        <v>90</v>
      </c>
      <c r="B814" t="s">
        <v>3</v>
      </c>
      <c r="C814" t="s">
        <v>84</v>
      </c>
      <c r="D814" t="s">
        <v>37</v>
      </c>
      <c r="E814" t="s">
        <v>30</v>
      </c>
      <c r="F814" t="s">
        <v>37</v>
      </c>
      <c r="G814" t="s">
        <v>31</v>
      </c>
      <c r="H814" t="s">
        <v>38</v>
      </c>
      <c r="I814">
        <v>2050</v>
      </c>
      <c r="J814">
        <v>99.286950000000004</v>
      </c>
      <c r="K814" t="s">
        <v>37</v>
      </c>
    </row>
    <row r="815" spans="1:11" x14ac:dyDescent="0.45">
      <c r="A815" t="s">
        <v>90</v>
      </c>
      <c r="B815" t="s">
        <v>4</v>
      </c>
      <c r="C815" t="s">
        <v>84</v>
      </c>
      <c r="D815" t="s">
        <v>37</v>
      </c>
      <c r="E815" t="s">
        <v>30</v>
      </c>
      <c r="F815" t="s">
        <v>37</v>
      </c>
      <c r="G815" t="s">
        <v>31</v>
      </c>
      <c r="H815" t="s">
        <v>38</v>
      </c>
      <c r="I815">
        <v>2050</v>
      </c>
      <c r="J815">
        <v>108.10325</v>
      </c>
      <c r="K815" t="s">
        <v>37</v>
      </c>
    </row>
    <row r="816" spans="1:11" x14ac:dyDescent="0.45">
      <c r="A816" t="s">
        <v>90</v>
      </c>
      <c r="B816" t="s">
        <v>0</v>
      </c>
      <c r="C816" t="s">
        <v>84</v>
      </c>
      <c r="D816" t="s">
        <v>37</v>
      </c>
      <c r="E816" t="s">
        <v>30</v>
      </c>
      <c r="F816" t="s">
        <v>37</v>
      </c>
      <c r="G816" t="s">
        <v>31</v>
      </c>
      <c r="H816" t="s">
        <v>38</v>
      </c>
      <c r="I816">
        <v>2050</v>
      </c>
      <c r="J816">
        <v>100.6613</v>
      </c>
      <c r="K816" t="s">
        <v>37</v>
      </c>
    </row>
    <row r="817" spans="1:11" x14ac:dyDescent="0.45">
      <c r="A817" t="s">
        <v>90</v>
      </c>
      <c r="B817" t="s">
        <v>6</v>
      </c>
      <c r="C817" t="s">
        <v>84</v>
      </c>
      <c r="D817" t="s">
        <v>37</v>
      </c>
      <c r="E817" t="s">
        <v>30</v>
      </c>
      <c r="F817" t="s">
        <v>37</v>
      </c>
      <c r="G817" t="s">
        <v>31</v>
      </c>
      <c r="H817" t="s">
        <v>38</v>
      </c>
      <c r="I817">
        <v>2050</v>
      </c>
      <c r="J817">
        <v>102.87139999999999</v>
      </c>
      <c r="K817" t="s">
        <v>37</v>
      </c>
    </row>
    <row r="818" spans="1:11" x14ac:dyDescent="0.45">
      <c r="A818" t="s">
        <v>90</v>
      </c>
      <c r="B818" t="s">
        <v>5</v>
      </c>
      <c r="C818" t="s">
        <v>84</v>
      </c>
      <c r="D818" t="s">
        <v>37</v>
      </c>
      <c r="E818" t="s">
        <v>30</v>
      </c>
      <c r="F818" t="s">
        <v>37</v>
      </c>
      <c r="G818" t="s">
        <v>31</v>
      </c>
      <c r="H818" t="s">
        <v>38</v>
      </c>
      <c r="I818">
        <v>2050</v>
      </c>
      <c r="J818">
        <v>74.836749999999995</v>
      </c>
      <c r="K818" t="s">
        <v>37</v>
      </c>
    </row>
    <row r="819" spans="1:11" x14ac:dyDescent="0.45">
      <c r="A819" t="s">
        <v>90</v>
      </c>
      <c r="B819" t="s">
        <v>2</v>
      </c>
      <c r="C819" t="s">
        <v>84</v>
      </c>
      <c r="D819" t="s">
        <v>37</v>
      </c>
      <c r="E819" t="s">
        <v>30</v>
      </c>
      <c r="F819" t="s">
        <v>37</v>
      </c>
      <c r="G819" t="s">
        <v>31</v>
      </c>
      <c r="H819" t="s">
        <v>38</v>
      </c>
      <c r="I819">
        <v>2050</v>
      </c>
      <c r="J819">
        <v>106.26400000000001</v>
      </c>
      <c r="K819" t="s">
        <v>37</v>
      </c>
    </row>
    <row r="820" spans="1:11" x14ac:dyDescent="0.45">
      <c r="A820" t="s">
        <v>90</v>
      </c>
      <c r="B820" t="s">
        <v>1</v>
      </c>
      <c r="C820" t="s">
        <v>84</v>
      </c>
      <c r="D820" t="s">
        <v>37</v>
      </c>
      <c r="E820" t="s">
        <v>30</v>
      </c>
      <c r="F820" t="s">
        <v>37</v>
      </c>
      <c r="G820" t="s">
        <v>31</v>
      </c>
      <c r="H820" t="s">
        <v>38</v>
      </c>
      <c r="I820">
        <v>2050</v>
      </c>
      <c r="J820">
        <v>100.87350000000001</v>
      </c>
      <c r="K820" t="s">
        <v>37</v>
      </c>
    </row>
    <row r="821" spans="1:11" x14ac:dyDescent="0.45">
      <c r="A821" t="s">
        <v>90</v>
      </c>
      <c r="B821" t="s">
        <v>3</v>
      </c>
      <c r="C821" t="s">
        <v>84</v>
      </c>
      <c r="D821" t="s">
        <v>48</v>
      </c>
      <c r="E821" t="s">
        <v>46</v>
      </c>
      <c r="F821" t="s">
        <v>48</v>
      </c>
      <c r="G821" t="s">
        <v>49</v>
      </c>
      <c r="H821" t="s">
        <v>50</v>
      </c>
      <c r="I821">
        <v>2050</v>
      </c>
      <c r="J821">
        <v>162.84375</v>
      </c>
      <c r="K821" t="s">
        <v>48</v>
      </c>
    </row>
    <row r="822" spans="1:11" x14ac:dyDescent="0.45">
      <c r="A822" t="s">
        <v>90</v>
      </c>
      <c r="B822" t="s">
        <v>4</v>
      </c>
      <c r="C822" t="s">
        <v>84</v>
      </c>
      <c r="D822" t="s">
        <v>48</v>
      </c>
      <c r="E822" t="s">
        <v>46</v>
      </c>
      <c r="F822" t="s">
        <v>48</v>
      </c>
      <c r="G822" t="s">
        <v>49</v>
      </c>
      <c r="H822" t="s">
        <v>50</v>
      </c>
      <c r="I822">
        <v>2050</v>
      </c>
      <c r="J822">
        <v>636.16184999999996</v>
      </c>
      <c r="K822" t="s">
        <v>48</v>
      </c>
    </row>
    <row r="823" spans="1:11" x14ac:dyDescent="0.45">
      <c r="A823" t="s">
        <v>90</v>
      </c>
      <c r="B823" t="s">
        <v>0</v>
      </c>
      <c r="C823" t="s">
        <v>84</v>
      </c>
      <c r="D823" t="s">
        <v>48</v>
      </c>
      <c r="E823" t="s">
        <v>46</v>
      </c>
      <c r="F823" t="s">
        <v>48</v>
      </c>
      <c r="G823" t="s">
        <v>49</v>
      </c>
      <c r="H823" t="s">
        <v>50</v>
      </c>
      <c r="I823">
        <v>2050</v>
      </c>
      <c r="J823">
        <v>154.24180000000001</v>
      </c>
      <c r="K823" t="s">
        <v>48</v>
      </c>
    </row>
    <row r="824" spans="1:11" x14ac:dyDescent="0.45">
      <c r="A824" t="s">
        <v>90</v>
      </c>
      <c r="B824" t="s">
        <v>6</v>
      </c>
      <c r="C824" t="s">
        <v>84</v>
      </c>
      <c r="D824" t="s">
        <v>48</v>
      </c>
      <c r="E824" t="s">
        <v>46</v>
      </c>
      <c r="F824" t="s">
        <v>48</v>
      </c>
      <c r="G824" t="s">
        <v>49</v>
      </c>
      <c r="H824" t="s">
        <v>50</v>
      </c>
      <c r="I824">
        <v>2050</v>
      </c>
      <c r="J824">
        <v>169.73525000000001</v>
      </c>
      <c r="K824" t="s">
        <v>48</v>
      </c>
    </row>
    <row r="825" spans="1:11" x14ac:dyDescent="0.45">
      <c r="A825" t="s">
        <v>90</v>
      </c>
      <c r="B825" t="s">
        <v>5</v>
      </c>
      <c r="C825" t="s">
        <v>84</v>
      </c>
      <c r="D825" t="s">
        <v>48</v>
      </c>
      <c r="E825" t="s">
        <v>46</v>
      </c>
      <c r="F825" t="s">
        <v>48</v>
      </c>
      <c r="G825" t="s">
        <v>49</v>
      </c>
      <c r="H825" t="s">
        <v>50</v>
      </c>
      <c r="I825">
        <v>2050</v>
      </c>
      <c r="J825">
        <v>150.18565000000001</v>
      </c>
      <c r="K825" t="s">
        <v>48</v>
      </c>
    </row>
    <row r="826" spans="1:11" x14ac:dyDescent="0.45">
      <c r="A826" t="s">
        <v>90</v>
      </c>
      <c r="B826" t="s">
        <v>2</v>
      </c>
      <c r="C826" t="s">
        <v>84</v>
      </c>
      <c r="D826" t="s">
        <v>48</v>
      </c>
      <c r="E826" t="s">
        <v>46</v>
      </c>
      <c r="F826" t="s">
        <v>48</v>
      </c>
      <c r="G826" t="s">
        <v>49</v>
      </c>
      <c r="H826" t="s">
        <v>50</v>
      </c>
      <c r="I826">
        <v>2050</v>
      </c>
      <c r="J826">
        <v>225.67275000000001</v>
      </c>
      <c r="K826" t="s">
        <v>48</v>
      </c>
    </row>
    <row r="827" spans="1:11" x14ac:dyDescent="0.45">
      <c r="A827" t="s">
        <v>90</v>
      </c>
      <c r="B827" t="s">
        <v>1</v>
      </c>
      <c r="C827" t="s">
        <v>84</v>
      </c>
      <c r="D827" t="s">
        <v>48</v>
      </c>
      <c r="E827" t="s">
        <v>46</v>
      </c>
      <c r="F827" t="s">
        <v>48</v>
      </c>
      <c r="G827" t="s">
        <v>49</v>
      </c>
      <c r="H827" t="s">
        <v>50</v>
      </c>
      <c r="I827">
        <v>2050</v>
      </c>
      <c r="J827">
        <v>140.0068</v>
      </c>
      <c r="K827" t="s">
        <v>48</v>
      </c>
    </row>
    <row r="828" spans="1:11" x14ac:dyDescent="0.45">
      <c r="A828" t="s">
        <v>90</v>
      </c>
      <c r="B828" t="s">
        <v>3</v>
      </c>
      <c r="C828" t="s">
        <v>84</v>
      </c>
      <c r="D828" t="s">
        <v>51</v>
      </c>
      <c r="E828" t="s">
        <v>46</v>
      </c>
      <c r="F828" t="s">
        <v>51</v>
      </c>
      <c r="G828" t="s">
        <v>49</v>
      </c>
      <c r="H828" t="s">
        <v>50</v>
      </c>
      <c r="I828">
        <v>2050</v>
      </c>
      <c r="J828">
        <v>15.83755</v>
      </c>
      <c r="K828" t="s">
        <v>51</v>
      </c>
    </row>
    <row r="829" spans="1:11" x14ac:dyDescent="0.45">
      <c r="A829" t="s">
        <v>90</v>
      </c>
      <c r="B829" t="s">
        <v>4</v>
      </c>
      <c r="C829" t="s">
        <v>84</v>
      </c>
      <c r="D829" t="s">
        <v>51</v>
      </c>
      <c r="E829" t="s">
        <v>46</v>
      </c>
      <c r="F829" t="s">
        <v>51</v>
      </c>
      <c r="G829" t="s">
        <v>49</v>
      </c>
      <c r="H829" t="s">
        <v>50</v>
      </c>
      <c r="I829">
        <v>2050</v>
      </c>
      <c r="J829">
        <v>481.65109999999999</v>
      </c>
      <c r="K829" t="s">
        <v>51</v>
      </c>
    </row>
    <row r="830" spans="1:11" x14ac:dyDescent="0.45">
      <c r="A830" t="s">
        <v>90</v>
      </c>
      <c r="B830" t="s">
        <v>0</v>
      </c>
      <c r="C830" t="s">
        <v>84</v>
      </c>
      <c r="D830" t="s">
        <v>51</v>
      </c>
      <c r="E830" t="s">
        <v>46</v>
      </c>
      <c r="F830" t="s">
        <v>51</v>
      </c>
      <c r="G830" t="s">
        <v>49</v>
      </c>
      <c r="H830" t="s">
        <v>50</v>
      </c>
      <c r="I830">
        <v>2050</v>
      </c>
      <c r="J830">
        <v>6.8651</v>
      </c>
      <c r="K830" t="s">
        <v>51</v>
      </c>
    </row>
    <row r="831" spans="1:11" x14ac:dyDescent="0.45">
      <c r="A831" t="s">
        <v>90</v>
      </c>
      <c r="B831" t="s">
        <v>6</v>
      </c>
      <c r="C831" t="s">
        <v>84</v>
      </c>
      <c r="D831" t="s">
        <v>51</v>
      </c>
      <c r="E831" t="s">
        <v>46</v>
      </c>
      <c r="F831" t="s">
        <v>51</v>
      </c>
      <c r="G831" t="s">
        <v>49</v>
      </c>
      <c r="H831" t="s">
        <v>50</v>
      </c>
      <c r="I831">
        <v>2050</v>
      </c>
      <c r="J831">
        <v>25.446399999999997</v>
      </c>
      <c r="K831" t="s">
        <v>51</v>
      </c>
    </row>
    <row r="832" spans="1:11" x14ac:dyDescent="0.45">
      <c r="A832" t="s">
        <v>90</v>
      </c>
      <c r="B832" t="s">
        <v>5</v>
      </c>
      <c r="C832" t="s">
        <v>84</v>
      </c>
      <c r="D832" t="s">
        <v>51</v>
      </c>
      <c r="E832" t="s">
        <v>46</v>
      </c>
      <c r="F832" t="s">
        <v>51</v>
      </c>
      <c r="G832" t="s">
        <v>49</v>
      </c>
      <c r="H832" t="s">
        <v>50</v>
      </c>
      <c r="I832">
        <v>2050</v>
      </c>
      <c r="J832">
        <v>-2.4999999999999967E-2</v>
      </c>
      <c r="K832" t="s">
        <v>51</v>
      </c>
    </row>
    <row r="833" spans="1:11" x14ac:dyDescent="0.45">
      <c r="A833" t="s">
        <v>90</v>
      </c>
      <c r="B833" t="s">
        <v>2</v>
      </c>
      <c r="C833" t="s">
        <v>84</v>
      </c>
      <c r="D833" t="s">
        <v>51</v>
      </c>
      <c r="E833" t="s">
        <v>46</v>
      </c>
      <c r="F833" t="s">
        <v>51</v>
      </c>
      <c r="G833" t="s">
        <v>49</v>
      </c>
      <c r="H833" t="s">
        <v>50</v>
      </c>
      <c r="I833">
        <v>2050</v>
      </c>
      <c r="J833">
        <v>76.102500000000006</v>
      </c>
      <c r="K833" t="s">
        <v>51</v>
      </c>
    </row>
    <row r="834" spans="1:11" x14ac:dyDescent="0.45">
      <c r="A834" t="s">
        <v>90</v>
      </c>
      <c r="B834" t="s">
        <v>1</v>
      </c>
      <c r="C834" t="s">
        <v>84</v>
      </c>
      <c r="D834" t="s">
        <v>51</v>
      </c>
      <c r="E834" t="s">
        <v>46</v>
      </c>
      <c r="F834" t="s">
        <v>51</v>
      </c>
      <c r="G834" t="s">
        <v>49</v>
      </c>
      <c r="H834" t="s">
        <v>50</v>
      </c>
      <c r="I834">
        <v>2050</v>
      </c>
      <c r="J834">
        <v>-11.179449999999999</v>
      </c>
      <c r="K834" t="s">
        <v>51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1.1212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0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1.86355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9.2200000000000004E-2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8.0463000000000005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0.21920000000000001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20.33165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2055</v>
      </c>
      <c r="J842">
        <v>7.3349999999999999E-2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2055</v>
      </c>
      <c r="J843">
        <v>5.7849999999999999E-2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2055</v>
      </c>
      <c r="J844">
        <v>7.6399999999999996E-2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2055</v>
      </c>
      <c r="J845">
        <v>6.9500000000000006E-2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2055</v>
      </c>
      <c r="J846">
        <v>2.1900000000000003E-2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2055</v>
      </c>
      <c r="J847">
        <v>6.8949999999999997E-2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2055</v>
      </c>
      <c r="J848">
        <v>7.4249999999999997E-2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28</v>
      </c>
      <c r="E849" t="s">
        <v>25</v>
      </c>
      <c r="F849" t="s">
        <v>28</v>
      </c>
      <c r="G849" t="s">
        <v>26</v>
      </c>
      <c r="H849" t="s">
        <v>12</v>
      </c>
      <c r="I849">
        <v>2055</v>
      </c>
      <c r="J849">
        <v>4.58E-2</v>
      </c>
      <c r="K849" t="s">
        <v>28</v>
      </c>
    </row>
    <row r="850" spans="1:11" x14ac:dyDescent="0.45">
      <c r="A850" t="s">
        <v>90</v>
      </c>
      <c r="B850" t="s">
        <v>4</v>
      </c>
      <c r="C850" t="s">
        <v>84</v>
      </c>
      <c r="D850" t="s">
        <v>28</v>
      </c>
      <c r="E850" t="s">
        <v>25</v>
      </c>
      <c r="F850" t="s">
        <v>28</v>
      </c>
      <c r="G850" t="s">
        <v>26</v>
      </c>
      <c r="H850" t="s">
        <v>12</v>
      </c>
      <c r="I850">
        <v>2055</v>
      </c>
      <c r="J850">
        <v>3.2350000000000004E-2</v>
      </c>
      <c r="K850" t="s">
        <v>28</v>
      </c>
    </row>
    <row r="851" spans="1:11" x14ac:dyDescent="0.45">
      <c r="A851" t="s">
        <v>90</v>
      </c>
      <c r="B851" t="s">
        <v>0</v>
      </c>
      <c r="C851" t="s">
        <v>84</v>
      </c>
      <c r="D851" t="s">
        <v>28</v>
      </c>
      <c r="E851" t="s">
        <v>25</v>
      </c>
      <c r="F851" t="s">
        <v>28</v>
      </c>
      <c r="G851" t="s">
        <v>26</v>
      </c>
      <c r="H851" t="s">
        <v>12</v>
      </c>
      <c r="I851">
        <v>2055</v>
      </c>
      <c r="J851">
        <v>4.5950000000000005E-2</v>
      </c>
      <c r="K851" t="s">
        <v>28</v>
      </c>
    </row>
    <row r="852" spans="1:11" x14ac:dyDescent="0.45">
      <c r="A852" t="s">
        <v>90</v>
      </c>
      <c r="B852" t="s">
        <v>6</v>
      </c>
      <c r="C852" t="s">
        <v>84</v>
      </c>
      <c r="D852" t="s">
        <v>28</v>
      </c>
      <c r="E852" t="s">
        <v>25</v>
      </c>
      <c r="F852" t="s">
        <v>28</v>
      </c>
      <c r="G852" t="s">
        <v>26</v>
      </c>
      <c r="H852" t="s">
        <v>12</v>
      </c>
      <c r="I852">
        <v>2055</v>
      </c>
      <c r="J852">
        <v>4.1050000000000003E-2</v>
      </c>
      <c r="K852" t="s">
        <v>28</v>
      </c>
    </row>
    <row r="853" spans="1:11" x14ac:dyDescent="0.45">
      <c r="A853" t="s">
        <v>90</v>
      </c>
      <c r="B853" t="s">
        <v>5</v>
      </c>
      <c r="C853" t="s">
        <v>84</v>
      </c>
      <c r="D853" t="s">
        <v>28</v>
      </c>
      <c r="E853" t="s">
        <v>25</v>
      </c>
      <c r="F853" t="s">
        <v>28</v>
      </c>
      <c r="G853" t="s">
        <v>26</v>
      </c>
      <c r="H853" t="s">
        <v>12</v>
      </c>
      <c r="I853">
        <v>2055</v>
      </c>
      <c r="J853">
        <v>6.1649999999999996E-2</v>
      </c>
      <c r="K853" t="s">
        <v>28</v>
      </c>
    </row>
    <row r="854" spans="1:11" x14ac:dyDescent="0.45">
      <c r="A854" t="s">
        <v>90</v>
      </c>
      <c r="B854" t="s">
        <v>2</v>
      </c>
      <c r="C854" t="s">
        <v>84</v>
      </c>
      <c r="D854" t="s">
        <v>28</v>
      </c>
      <c r="E854" t="s">
        <v>25</v>
      </c>
      <c r="F854" t="s">
        <v>28</v>
      </c>
      <c r="G854" t="s">
        <v>26</v>
      </c>
      <c r="H854" t="s">
        <v>12</v>
      </c>
      <c r="I854">
        <v>2055</v>
      </c>
      <c r="J854">
        <v>4.2900000000000001E-2</v>
      </c>
      <c r="K854" t="s">
        <v>28</v>
      </c>
    </row>
    <row r="855" spans="1:11" x14ac:dyDescent="0.45">
      <c r="A855" t="s">
        <v>90</v>
      </c>
      <c r="B855" t="s">
        <v>1</v>
      </c>
      <c r="C855" t="s">
        <v>84</v>
      </c>
      <c r="D855" t="s">
        <v>28</v>
      </c>
      <c r="E855" t="s">
        <v>25</v>
      </c>
      <c r="F855" t="s">
        <v>28</v>
      </c>
      <c r="G855" t="s">
        <v>26</v>
      </c>
      <c r="H855" t="s">
        <v>12</v>
      </c>
      <c r="I855">
        <v>2055</v>
      </c>
      <c r="J855">
        <v>4.8299999999999996E-2</v>
      </c>
      <c r="K855" t="s">
        <v>28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2055</v>
      </c>
      <c r="J856">
        <v>1.77E-2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2055</v>
      </c>
      <c r="J857">
        <v>1.0999999999999999E-2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2055</v>
      </c>
      <c r="J858">
        <v>1.44E-2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2055</v>
      </c>
      <c r="J859">
        <v>1.3850000000000001E-2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2055</v>
      </c>
      <c r="J860">
        <v>2.3350000000000003E-2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2055</v>
      </c>
      <c r="J861">
        <v>1.3299999999999999E-2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2055</v>
      </c>
      <c r="J862">
        <v>2.0249999999999997E-2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2055</v>
      </c>
      <c r="J863">
        <v>3.0449999999999998E-2</v>
      </c>
      <c r="K863" t="s">
        <v>85</v>
      </c>
    </row>
    <row r="864" spans="1:11" x14ac:dyDescent="0.45">
      <c r="A864" t="s">
        <v>90</v>
      </c>
      <c r="B864" t="s">
        <v>4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2055</v>
      </c>
      <c r="J864">
        <v>5.9499999999999997E-2</v>
      </c>
      <c r="K864" t="s">
        <v>85</v>
      </c>
    </row>
    <row r="865" spans="1:12" x14ac:dyDescent="0.45">
      <c r="A865" t="s">
        <v>90</v>
      </c>
      <c r="B865" t="s">
        <v>0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2055</v>
      </c>
      <c r="J865">
        <v>3.4299999999999997E-2</v>
      </c>
      <c r="K865" t="s">
        <v>85</v>
      </c>
    </row>
    <row r="866" spans="1:12" x14ac:dyDescent="0.45">
      <c r="A866" t="s">
        <v>90</v>
      </c>
      <c r="B866" t="s">
        <v>6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2055</v>
      </c>
      <c r="J866">
        <v>7.9199999999999993E-2</v>
      </c>
      <c r="K866" t="s">
        <v>85</v>
      </c>
    </row>
    <row r="867" spans="1:12" x14ac:dyDescent="0.45">
      <c r="A867" t="s">
        <v>90</v>
      </c>
      <c r="B867" t="s">
        <v>5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2055</v>
      </c>
      <c r="J867">
        <v>1.3749999999999998E-2</v>
      </c>
      <c r="K867" t="s">
        <v>85</v>
      </c>
    </row>
    <row r="868" spans="1:12" x14ac:dyDescent="0.45">
      <c r="A868" t="s">
        <v>90</v>
      </c>
      <c r="B868" t="s">
        <v>2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2055</v>
      </c>
      <c r="J868">
        <v>7.7199999999999991E-2</v>
      </c>
      <c r="K868" t="s">
        <v>85</v>
      </c>
    </row>
    <row r="869" spans="1:12" x14ac:dyDescent="0.45">
      <c r="A869" t="s">
        <v>90</v>
      </c>
      <c r="B869" t="s">
        <v>1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2055</v>
      </c>
      <c r="J869">
        <v>8.8150000000000006E-2</v>
      </c>
      <c r="K869" t="s">
        <v>85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52</v>
      </c>
      <c r="E870" t="s">
        <v>25</v>
      </c>
      <c r="F870" t="s">
        <v>52</v>
      </c>
      <c r="G870" t="s">
        <v>71</v>
      </c>
      <c r="H870" t="s">
        <v>89</v>
      </c>
      <c r="I870">
        <v>2055</v>
      </c>
      <c r="J870">
        <v>0</v>
      </c>
      <c r="K870" t="s">
        <v>52</v>
      </c>
      <c r="L870">
        <v>94</v>
      </c>
    </row>
    <row r="871" spans="1:12" x14ac:dyDescent="0.45">
      <c r="A871" t="s">
        <v>90</v>
      </c>
      <c r="B871" t="s">
        <v>4</v>
      </c>
      <c r="C871" t="s">
        <v>84</v>
      </c>
      <c r="D871" t="s">
        <v>52</v>
      </c>
      <c r="E871" t="s">
        <v>25</v>
      </c>
      <c r="F871" t="s">
        <v>52</v>
      </c>
      <c r="G871" t="s">
        <v>71</v>
      </c>
      <c r="H871" t="s">
        <v>89</v>
      </c>
      <c r="I871">
        <v>2055</v>
      </c>
      <c r="J871">
        <v>0</v>
      </c>
      <c r="K871" t="s">
        <v>52</v>
      </c>
      <c r="L871">
        <v>94</v>
      </c>
    </row>
    <row r="872" spans="1:12" x14ac:dyDescent="0.45">
      <c r="A872" t="s">
        <v>90</v>
      </c>
      <c r="B872" t="s">
        <v>0</v>
      </c>
      <c r="C872" t="s">
        <v>84</v>
      </c>
      <c r="D872" t="s">
        <v>52</v>
      </c>
      <c r="E872" t="s">
        <v>25</v>
      </c>
      <c r="F872" t="s">
        <v>52</v>
      </c>
      <c r="G872" t="s">
        <v>71</v>
      </c>
      <c r="H872" t="s">
        <v>89</v>
      </c>
      <c r="I872">
        <v>2055</v>
      </c>
      <c r="J872">
        <v>0</v>
      </c>
      <c r="K872" t="s">
        <v>52</v>
      </c>
      <c r="L872">
        <v>94</v>
      </c>
    </row>
    <row r="873" spans="1:12" x14ac:dyDescent="0.45">
      <c r="A873" t="s">
        <v>90</v>
      </c>
      <c r="B873" t="s">
        <v>6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2055</v>
      </c>
      <c r="J873">
        <v>6.9999999999999999E-4</v>
      </c>
      <c r="K873" t="s">
        <v>52</v>
      </c>
      <c r="L873">
        <v>94</v>
      </c>
    </row>
    <row r="874" spans="1:12" x14ac:dyDescent="0.45">
      <c r="A874" t="s">
        <v>90</v>
      </c>
      <c r="B874" t="s">
        <v>5</v>
      </c>
      <c r="C874" t="s">
        <v>84</v>
      </c>
      <c r="D874" t="s">
        <v>52</v>
      </c>
      <c r="E874" t="s">
        <v>25</v>
      </c>
      <c r="F874" t="s">
        <v>52</v>
      </c>
      <c r="G874" t="s">
        <v>71</v>
      </c>
      <c r="H874" t="s">
        <v>89</v>
      </c>
      <c r="I874">
        <v>2055</v>
      </c>
      <c r="J874">
        <v>0</v>
      </c>
      <c r="K874" t="s">
        <v>52</v>
      </c>
      <c r="L874">
        <v>94</v>
      </c>
    </row>
    <row r="875" spans="1:12" x14ac:dyDescent="0.45">
      <c r="A875" t="s">
        <v>90</v>
      </c>
      <c r="B875" t="s">
        <v>2</v>
      </c>
      <c r="C875" t="s">
        <v>84</v>
      </c>
      <c r="D875" t="s">
        <v>52</v>
      </c>
      <c r="E875" t="s">
        <v>25</v>
      </c>
      <c r="F875" t="s">
        <v>52</v>
      </c>
      <c r="G875" t="s">
        <v>71</v>
      </c>
      <c r="H875" t="s">
        <v>89</v>
      </c>
      <c r="I875">
        <v>2055</v>
      </c>
      <c r="J875">
        <v>0</v>
      </c>
      <c r="K875" t="s">
        <v>52</v>
      </c>
      <c r="L875">
        <v>94</v>
      </c>
    </row>
    <row r="876" spans="1:12" x14ac:dyDescent="0.45">
      <c r="A876" t="s">
        <v>90</v>
      </c>
      <c r="B876" t="s">
        <v>1</v>
      </c>
      <c r="C876" t="s">
        <v>84</v>
      </c>
      <c r="D876" t="s">
        <v>52</v>
      </c>
      <c r="E876" t="s">
        <v>25</v>
      </c>
      <c r="F876" t="s">
        <v>52</v>
      </c>
      <c r="G876" t="s">
        <v>71</v>
      </c>
      <c r="H876" t="s">
        <v>89</v>
      </c>
      <c r="I876">
        <v>2055</v>
      </c>
      <c r="J876">
        <v>0</v>
      </c>
      <c r="K876" t="s">
        <v>52</v>
      </c>
      <c r="L876">
        <v>94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2055</v>
      </c>
      <c r="J877">
        <v>1E-4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2055</v>
      </c>
      <c r="J878">
        <v>8.5000000000000006E-4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2055</v>
      </c>
      <c r="J879">
        <v>0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2055</v>
      </c>
      <c r="J880">
        <v>2.5000000000000001E-4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2055</v>
      </c>
      <c r="J881">
        <v>0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2055</v>
      </c>
      <c r="J882">
        <v>2.0000000000000001E-4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2055</v>
      </c>
      <c r="J883">
        <v>0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2055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4</v>
      </c>
      <c r="C885" t="s">
        <v>84</v>
      </c>
      <c r="D885" t="s">
        <v>54</v>
      </c>
      <c r="E885" t="s">
        <v>25</v>
      </c>
      <c r="F885" t="s">
        <v>54</v>
      </c>
      <c r="G885" t="s">
        <v>71</v>
      </c>
      <c r="H885" t="s">
        <v>89</v>
      </c>
      <c r="I885">
        <v>2055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84</v>
      </c>
      <c r="D886" t="s">
        <v>54</v>
      </c>
      <c r="E886" t="s">
        <v>25</v>
      </c>
      <c r="F886" t="s">
        <v>54</v>
      </c>
      <c r="G886" t="s">
        <v>71</v>
      </c>
      <c r="H886" t="s">
        <v>89</v>
      </c>
      <c r="I886">
        <v>2055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6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2055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5</v>
      </c>
      <c r="C888" t="s">
        <v>84</v>
      </c>
      <c r="D888" t="s">
        <v>54</v>
      </c>
      <c r="E888" t="s">
        <v>25</v>
      </c>
      <c r="F888" t="s">
        <v>54</v>
      </c>
      <c r="G888" t="s">
        <v>71</v>
      </c>
      <c r="H888" t="s">
        <v>89</v>
      </c>
      <c r="I888">
        <v>2055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2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2055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1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2055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2055</v>
      </c>
      <c r="J891">
        <v>8.6547000000000001</v>
      </c>
      <c r="K891" t="s">
        <v>29</v>
      </c>
    </row>
    <row r="892" spans="1:12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2055</v>
      </c>
      <c r="J892">
        <v>4.1312499999999996</v>
      </c>
      <c r="K892" t="s">
        <v>29</v>
      </c>
    </row>
    <row r="893" spans="1:12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2055</v>
      </c>
      <c r="J893">
        <v>20.9406</v>
      </c>
      <c r="K893" t="s">
        <v>29</v>
      </c>
    </row>
    <row r="894" spans="1:12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2055</v>
      </c>
      <c r="J894">
        <v>9.2483499999999985</v>
      </c>
      <c r="K894" t="s">
        <v>29</v>
      </c>
    </row>
    <row r="895" spans="1:12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2055</v>
      </c>
      <c r="J895">
        <v>10.578399999999998</v>
      </c>
      <c r="K895" t="s">
        <v>29</v>
      </c>
    </row>
    <row r="896" spans="1:12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2055</v>
      </c>
      <c r="J896">
        <v>6.8690999999999995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2055</v>
      </c>
      <c r="J897">
        <v>20.022300000000001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33</v>
      </c>
      <c r="E898" t="s">
        <v>30</v>
      </c>
      <c r="F898" t="s">
        <v>33</v>
      </c>
      <c r="G898" t="s">
        <v>31</v>
      </c>
      <c r="H898" t="s">
        <v>34</v>
      </c>
      <c r="I898">
        <v>2055</v>
      </c>
      <c r="J898">
        <v>1.3464499999999999</v>
      </c>
      <c r="K898" t="s">
        <v>33</v>
      </c>
    </row>
    <row r="899" spans="1:11" x14ac:dyDescent="0.45">
      <c r="A899" t="s">
        <v>90</v>
      </c>
      <c r="B899" t="s">
        <v>4</v>
      </c>
      <c r="C899" t="s">
        <v>84</v>
      </c>
      <c r="D899" t="s">
        <v>33</v>
      </c>
      <c r="E899" t="s">
        <v>30</v>
      </c>
      <c r="F899" t="s">
        <v>33</v>
      </c>
      <c r="G899" t="s">
        <v>31</v>
      </c>
      <c r="H899" t="s">
        <v>34</v>
      </c>
      <c r="I899">
        <v>2055</v>
      </c>
      <c r="J899">
        <v>2.6589499999999999</v>
      </c>
      <c r="K899" t="s">
        <v>33</v>
      </c>
    </row>
    <row r="900" spans="1:11" x14ac:dyDescent="0.45">
      <c r="A900" t="s">
        <v>90</v>
      </c>
      <c r="B900" t="s">
        <v>0</v>
      </c>
      <c r="C900" t="s">
        <v>84</v>
      </c>
      <c r="D900" t="s">
        <v>33</v>
      </c>
      <c r="E900" t="s">
        <v>30</v>
      </c>
      <c r="F900" t="s">
        <v>33</v>
      </c>
      <c r="G900" t="s">
        <v>31</v>
      </c>
      <c r="H900" t="s">
        <v>34</v>
      </c>
      <c r="I900">
        <v>2055</v>
      </c>
      <c r="J900">
        <v>1.57935</v>
      </c>
      <c r="K900" t="s">
        <v>33</v>
      </c>
    </row>
    <row r="901" spans="1:11" x14ac:dyDescent="0.45">
      <c r="A901" t="s">
        <v>90</v>
      </c>
      <c r="B901" t="s">
        <v>6</v>
      </c>
      <c r="C901" t="s">
        <v>84</v>
      </c>
      <c r="D901" t="s">
        <v>33</v>
      </c>
      <c r="E901" t="s">
        <v>30</v>
      </c>
      <c r="F901" t="s">
        <v>33</v>
      </c>
      <c r="G901" t="s">
        <v>31</v>
      </c>
      <c r="H901" t="s">
        <v>34</v>
      </c>
      <c r="I901">
        <v>2055</v>
      </c>
      <c r="J901">
        <v>1.5321500000000001</v>
      </c>
      <c r="K901" t="s">
        <v>33</v>
      </c>
    </row>
    <row r="902" spans="1:11" x14ac:dyDescent="0.45">
      <c r="A902" t="s">
        <v>90</v>
      </c>
      <c r="B902" t="s">
        <v>5</v>
      </c>
      <c r="C902" t="s">
        <v>84</v>
      </c>
      <c r="D902" t="s">
        <v>33</v>
      </c>
      <c r="E902" t="s">
        <v>30</v>
      </c>
      <c r="F902" t="s">
        <v>33</v>
      </c>
      <c r="G902" t="s">
        <v>31</v>
      </c>
      <c r="H902" t="s">
        <v>34</v>
      </c>
      <c r="I902">
        <v>2055</v>
      </c>
      <c r="J902">
        <v>1.51485</v>
      </c>
      <c r="K902" t="s">
        <v>33</v>
      </c>
    </row>
    <row r="903" spans="1:11" x14ac:dyDescent="0.45">
      <c r="A903" t="s">
        <v>90</v>
      </c>
      <c r="B903" t="s">
        <v>2</v>
      </c>
      <c r="C903" t="s">
        <v>84</v>
      </c>
      <c r="D903" t="s">
        <v>33</v>
      </c>
      <c r="E903" t="s">
        <v>30</v>
      </c>
      <c r="F903" t="s">
        <v>33</v>
      </c>
      <c r="G903" t="s">
        <v>31</v>
      </c>
      <c r="H903" t="s">
        <v>34</v>
      </c>
      <c r="I903">
        <v>2055</v>
      </c>
      <c r="J903">
        <v>1.8517000000000001</v>
      </c>
      <c r="K903" t="s">
        <v>33</v>
      </c>
    </row>
    <row r="904" spans="1:11" x14ac:dyDescent="0.45">
      <c r="A904" t="s">
        <v>90</v>
      </c>
      <c r="B904" t="s">
        <v>1</v>
      </c>
      <c r="C904" t="s">
        <v>84</v>
      </c>
      <c r="D904" t="s">
        <v>33</v>
      </c>
      <c r="E904" t="s">
        <v>30</v>
      </c>
      <c r="F904" t="s">
        <v>33</v>
      </c>
      <c r="G904" t="s">
        <v>31</v>
      </c>
      <c r="H904" t="s">
        <v>34</v>
      </c>
      <c r="I904">
        <v>2055</v>
      </c>
      <c r="J904">
        <v>1.66615</v>
      </c>
      <c r="K904" t="s">
        <v>33</v>
      </c>
    </row>
    <row r="905" spans="1:11" x14ac:dyDescent="0.45">
      <c r="A905" t="s">
        <v>90</v>
      </c>
      <c r="B905" t="s">
        <v>3</v>
      </c>
      <c r="C905" t="s">
        <v>84</v>
      </c>
      <c r="D905" t="s">
        <v>35</v>
      </c>
      <c r="E905" t="s">
        <v>30</v>
      </c>
      <c r="F905" t="s">
        <v>35</v>
      </c>
      <c r="G905" t="s">
        <v>31</v>
      </c>
      <c r="H905" t="s">
        <v>36</v>
      </c>
      <c r="I905">
        <v>2055</v>
      </c>
      <c r="J905">
        <v>4.5329499999999996</v>
      </c>
      <c r="K905" t="s">
        <v>35</v>
      </c>
    </row>
    <row r="906" spans="1:11" x14ac:dyDescent="0.45">
      <c r="A906" t="s">
        <v>90</v>
      </c>
      <c r="B906" t="s">
        <v>4</v>
      </c>
      <c r="C906" t="s">
        <v>84</v>
      </c>
      <c r="D906" t="s">
        <v>35</v>
      </c>
      <c r="E906" t="s">
        <v>30</v>
      </c>
      <c r="F906" t="s">
        <v>35</v>
      </c>
      <c r="G906" t="s">
        <v>31</v>
      </c>
      <c r="H906" t="s">
        <v>36</v>
      </c>
      <c r="I906">
        <v>2055</v>
      </c>
      <c r="J906">
        <v>5.6654</v>
      </c>
      <c r="K906" t="s">
        <v>35</v>
      </c>
    </row>
    <row r="907" spans="1:11" x14ac:dyDescent="0.45">
      <c r="A907" t="s">
        <v>90</v>
      </c>
      <c r="B907" t="s">
        <v>0</v>
      </c>
      <c r="C907" t="s">
        <v>84</v>
      </c>
      <c r="D907" t="s">
        <v>35</v>
      </c>
      <c r="E907" t="s">
        <v>30</v>
      </c>
      <c r="F907" t="s">
        <v>35</v>
      </c>
      <c r="G907" t="s">
        <v>31</v>
      </c>
      <c r="H907" t="s">
        <v>36</v>
      </c>
      <c r="I907">
        <v>2055</v>
      </c>
      <c r="J907">
        <v>4.3904499999999995</v>
      </c>
      <c r="K907" t="s">
        <v>35</v>
      </c>
    </row>
    <row r="908" spans="1:11" x14ac:dyDescent="0.45">
      <c r="A908" t="s">
        <v>90</v>
      </c>
      <c r="B908" t="s">
        <v>6</v>
      </c>
      <c r="C908" t="s">
        <v>84</v>
      </c>
      <c r="D908" t="s">
        <v>35</v>
      </c>
      <c r="E908" t="s">
        <v>30</v>
      </c>
      <c r="F908" t="s">
        <v>35</v>
      </c>
      <c r="G908" t="s">
        <v>31</v>
      </c>
      <c r="H908" t="s">
        <v>36</v>
      </c>
      <c r="I908">
        <v>2055</v>
      </c>
      <c r="J908">
        <v>4.8427000000000007</v>
      </c>
      <c r="K908" t="s">
        <v>35</v>
      </c>
    </row>
    <row r="909" spans="1:11" x14ac:dyDescent="0.45">
      <c r="A909" t="s">
        <v>90</v>
      </c>
      <c r="B909" t="s">
        <v>5</v>
      </c>
      <c r="C909" t="s">
        <v>84</v>
      </c>
      <c r="D909" t="s">
        <v>35</v>
      </c>
      <c r="E909" t="s">
        <v>30</v>
      </c>
      <c r="F909" t="s">
        <v>35</v>
      </c>
      <c r="G909" t="s">
        <v>31</v>
      </c>
      <c r="H909" t="s">
        <v>36</v>
      </c>
      <c r="I909">
        <v>2055</v>
      </c>
      <c r="J909">
        <v>4.0207499999999996</v>
      </c>
      <c r="K909" t="s">
        <v>35</v>
      </c>
    </row>
    <row r="910" spans="1:11" x14ac:dyDescent="0.45">
      <c r="A910" t="s">
        <v>90</v>
      </c>
      <c r="B910" t="s">
        <v>2</v>
      </c>
      <c r="C910" t="s">
        <v>84</v>
      </c>
      <c r="D910" t="s">
        <v>35</v>
      </c>
      <c r="E910" t="s">
        <v>30</v>
      </c>
      <c r="F910" t="s">
        <v>35</v>
      </c>
      <c r="G910" t="s">
        <v>31</v>
      </c>
      <c r="H910" t="s">
        <v>36</v>
      </c>
      <c r="I910">
        <v>2055</v>
      </c>
      <c r="J910">
        <v>5.03695</v>
      </c>
      <c r="K910" t="s">
        <v>35</v>
      </c>
    </row>
    <row r="911" spans="1:11" x14ac:dyDescent="0.45">
      <c r="A911" t="s">
        <v>90</v>
      </c>
      <c r="B911" t="s">
        <v>1</v>
      </c>
      <c r="C911" t="s">
        <v>84</v>
      </c>
      <c r="D911" t="s">
        <v>35</v>
      </c>
      <c r="E911" t="s">
        <v>30</v>
      </c>
      <c r="F911" t="s">
        <v>35</v>
      </c>
      <c r="G911" t="s">
        <v>31</v>
      </c>
      <c r="H911" t="s">
        <v>36</v>
      </c>
      <c r="I911">
        <v>2055</v>
      </c>
      <c r="J911">
        <v>4.5674000000000001</v>
      </c>
      <c r="K911" t="s">
        <v>35</v>
      </c>
    </row>
    <row r="912" spans="1:11" x14ac:dyDescent="0.45">
      <c r="A912" t="s">
        <v>90</v>
      </c>
      <c r="B912" t="s">
        <v>3</v>
      </c>
      <c r="C912" t="s">
        <v>84</v>
      </c>
      <c r="D912" t="s">
        <v>37</v>
      </c>
      <c r="E912" t="s">
        <v>30</v>
      </c>
      <c r="F912" t="s">
        <v>37</v>
      </c>
      <c r="G912" t="s">
        <v>31</v>
      </c>
      <c r="H912" t="s">
        <v>38</v>
      </c>
      <c r="I912">
        <v>2055</v>
      </c>
      <c r="J912">
        <v>113.702</v>
      </c>
      <c r="K912" t="s">
        <v>37</v>
      </c>
    </row>
    <row r="913" spans="1:11" x14ac:dyDescent="0.45">
      <c r="A913" t="s">
        <v>90</v>
      </c>
      <c r="B913" t="s">
        <v>4</v>
      </c>
      <c r="C913" t="s">
        <v>84</v>
      </c>
      <c r="D913" t="s">
        <v>37</v>
      </c>
      <c r="E913" t="s">
        <v>30</v>
      </c>
      <c r="F913" t="s">
        <v>37</v>
      </c>
      <c r="G913" t="s">
        <v>31</v>
      </c>
      <c r="H913" t="s">
        <v>38</v>
      </c>
      <c r="I913">
        <v>2055</v>
      </c>
      <c r="J913">
        <v>124.46765000000001</v>
      </c>
      <c r="K913" t="s">
        <v>37</v>
      </c>
    </row>
    <row r="914" spans="1:11" x14ac:dyDescent="0.45">
      <c r="A914" t="s">
        <v>90</v>
      </c>
      <c r="B914" t="s">
        <v>0</v>
      </c>
      <c r="C914" t="s">
        <v>84</v>
      </c>
      <c r="D914" t="s">
        <v>37</v>
      </c>
      <c r="E914" t="s">
        <v>30</v>
      </c>
      <c r="F914" t="s">
        <v>37</v>
      </c>
      <c r="G914" t="s">
        <v>31</v>
      </c>
      <c r="H914" t="s">
        <v>38</v>
      </c>
      <c r="I914">
        <v>2055</v>
      </c>
      <c r="J914">
        <v>116.69974999999999</v>
      </c>
      <c r="K914" t="s">
        <v>37</v>
      </c>
    </row>
    <row r="915" spans="1:11" x14ac:dyDescent="0.45">
      <c r="A915" t="s">
        <v>90</v>
      </c>
      <c r="B915" t="s">
        <v>6</v>
      </c>
      <c r="C915" t="s">
        <v>84</v>
      </c>
      <c r="D915" t="s">
        <v>37</v>
      </c>
      <c r="E915" t="s">
        <v>30</v>
      </c>
      <c r="F915" t="s">
        <v>37</v>
      </c>
      <c r="G915" t="s">
        <v>31</v>
      </c>
      <c r="H915" t="s">
        <v>38</v>
      </c>
      <c r="I915">
        <v>2055</v>
      </c>
      <c r="J915">
        <v>116.9101</v>
      </c>
      <c r="K915" t="s">
        <v>37</v>
      </c>
    </row>
    <row r="916" spans="1:11" x14ac:dyDescent="0.45">
      <c r="A916" t="s">
        <v>90</v>
      </c>
      <c r="B916" t="s">
        <v>5</v>
      </c>
      <c r="C916" t="s">
        <v>84</v>
      </c>
      <c r="D916" t="s">
        <v>37</v>
      </c>
      <c r="E916" t="s">
        <v>30</v>
      </c>
      <c r="F916" t="s">
        <v>37</v>
      </c>
      <c r="G916" t="s">
        <v>31</v>
      </c>
      <c r="H916" t="s">
        <v>38</v>
      </c>
      <c r="I916">
        <v>2055</v>
      </c>
      <c r="J916">
        <v>113.1446</v>
      </c>
      <c r="K916" t="s">
        <v>37</v>
      </c>
    </row>
    <row r="917" spans="1:11" x14ac:dyDescent="0.45">
      <c r="A917" t="s">
        <v>90</v>
      </c>
      <c r="B917" t="s">
        <v>2</v>
      </c>
      <c r="C917" t="s">
        <v>84</v>
      </c>
      <c r="D917" t="s">
        <v>37</v>
      </c>
      <c r="E917" t="s">
        <v>30</v>
      </c>
      <c r="F917" t="s">
        <v>37</v>
      </c>
      <c r="G917" t="s">
        <v>31</v>
      </c>
      <c r="H917" t="s">
        <v>38</v>
      </c>
      <c r="I917">
        <v>2055</v>
      </c>
      <c r="J917">
        <v>123.79705</v>
      </c>
      <c r="K917" t="s">
        <v>37</v>
      </c>
    </row>
    <row r="918" spans="1:11" x14ac:dyDescent="0.45">
      <c r="A918" t="s">
        <v>90</v>
      </c>
      <c r="B918" t="s">
        <v>1</v>
      </c>
      <c r="C918" t="s">
        <v>84</v>
      </c>
      <c r="D918" t="s">
        <v>37</v>
      </c>
      <c r="E918" t="s">
        <v>30</v>
      </c>
      <c r="F918" t="s">
        <v>37</v>
      </c>
      <c r="G918" t="s">
        <v>31</v>
      </c>
      <c r="H918" t="s">
        <v>38</v>
      </c>
      <c r="I918">
        <v>2055</v>
      </c>
      <c r="J918">
        <v>116.5746</v>
      </c>
      <c r="K918" t="s">
        <v>37</v>
      </c>
    </row>
    <row r="919" spans="1:11" x14ac:dyDescent="0.45">
      <c r="A919" t="s">
        <v>90</v>
      </c>
      <c r="B919" t="s">
        <v>3</v>
      </c>
      <c r="C919" t="s">
        <v>84</v>
      </c>
      <c r="D919" t="s">
        <v>48</v>
      </c>
      <c r="E919" t="s">
        <v>46</v>
      </c>
      <c r="F919" t="s">
        <v>48</v>
      </c>
      <c r="G919" t="s">
        <v>49</v>
      </c>
      <c r="H919" t="s">
        <v>50</v>
      </c>
      <c r="I919">
        <v>2055</v>
      </c>
      <c r="J919">
        <v>166.54140000000001</v>
      </c>
      <c r="K919" t="s">
        <v>48</v>
      </c>
    </row>
    <row r="920" spans="1:11" x14ac:dyDescent="0.45">
      <c r="A920" t="s">
        <v>90</v>
      </c>
      <c r="B920" t="s">
        <v>4</v>
      </c>
      <c r="C920" t="s">
        <v>84</v>
      </c>
      <c r="D920" t="s">
        <v>48</v>
      </c>
      <c r="E920" t="s">
        <v>46</v>
      </c>
      <c r="F920" t="s">
        <v>48</v>
      </c>
      <c r="G920" t="s">
        <v>49</v>
      </c>
      <c r="H920" t="s">
        <v>50</v>
      </c>
      <c r="I920">
        <v>2055</v>
      </c>
      <c r="J920">
        <v>555.08230000000003</v>
      </c>
      <c r="K920" t="s">
        <v>48</v>
      </c>
    </row>
    <row r="921" spans="1:11" x14ac:dyDescent="0.45">
      <c r="A921" t="s">
        <v>90</v>
      </c>
      <c r="B921" t="s">
        <v>0</v>
      </c>
      <c r="C921" t="s">
        <v>84</v>
      </c>
      <c r="D921" t="s">
        <v>48</v>
      </c>
      <c r="E921" t="s">
        <v>46</v>
      </c>
      <c r="F921" t="s">
        <v>48</v>
      </c>
      <c r="G921" t="s">
        <v>49</v>
      </c>
      <c r="H921" t="s">
        <v>50</v>
      </c>
      <c r="I921">
        <v>2055</v>
      </c>
      <c r="J921">
        <v>157.30734999999999</v>
      </c>
      <c r="K921" t="s">
        <v>48</v>
      </c>
    </row>
    <row r="922" spans="1:11" x14ac:dyDescent="0.45">
      <c r="A922" t="s">
        <v>90</v>
      </c>
      <c r="B922" t="s">
        <v>6</v>
      </c>
      <c r="C922" t="s">
        <v>84</v>
      </c>
      <c r="D922" t="s">
        <v>48</v>
      </c>
      <c r="E922" t="s">
        <v>46</v>
      </c>
      <c r="F922" t="s">
        <v>48</v>
      </c>
      <c r="G922" t="s">
        <v>49</v>
      </c>
      <c r="H922" t="s">
        <v>50</v>
      </c>
      <c r="I922">
        <v>2055</v>
      </c>
      <c r="J922">
        <v>173.18344999999999</v>
      </c>
      <c r="K922" t="s">
        <v>48</v>
      </c>
    </row>
    <row r="923" spans="1:11" x14ac:dyDescent="0.45">
      <c r="A923" t="s">
        <v>90</v>
      </c>
      <c r="B923" t="s">
        <v>5</v>
      </c>
      <c r="C923" t="s">
        <v>84</v>
      </c>
      <c r="D923" t="s">
        <v>48</v>
      </c>
      <c r="E923" t="s">
        <v>46</v>
      </c>
      <c r="F923" t="s">
        <v>48</v>
      </c>
      <c r="G923" t="s">
        <v>49</v>
      </c>
      <c r="H923" t="s">
        <v>50</v>
      </c>
      <c r="I923">
        <v>2055</v>
      </c>
      <c r="J923">
        <v>146.44240000000002</v>
      </c>
      <c r="K923" t="s">
        <v>48</v>
      </c>
    </row>
    <row r="924" spans="1:11" x14ac:dyDescent="0.45">
      <c r="A924" t="s">
        <v>90</v>
      </c>
      <c r="B924" t="s">
        <v>2</v>
      </c>
      <c r="C924" t="s">
        <v>84</v>
      </c>
      <c r="D924" t="s">
        <v>48</v>
      </c>
      <c r="E924" t="s">
        <v>46</v>
      </c>
      <c r="F924" t="s">
        <v>48</v>
      </c>
      <c r="G924" t="s">
        <v>49</v>
      </c>
      <c r="H924" t="s">
        <v>50</v>
      </c>
      <c r="I924">
        <v>2055</v>
      </c>
      <c r="J924">
        <v>220.3981</v>
      </c>
      <c r="K924" t="s">
        <v>48</v>
      </c>
    </row>
    <row r="925" spans="1:11" x14ac:dyDescent="0.45">
      <c r="A925" t="s">
        <v>90</v>
      </c>
      <c r="B925" t="s">
        <v>1</v>
      </c>
      <c r="C925" t="s">
        <v>84</v>
      </c>
      <c r="D925" t="s">
        <v>48</v>
      </c>
      <c r="E925" t="s">
        <v>46</v>
      </c>
      <c r="F925" t="s">
        <v>48</v>
      </c>
      <c r="G925" t="s">
        <v>49</v>
      </c>
      <c r="H925" t="s">
        <v>50</v>
      </c>
      <c r="I925">
        <v>2055</v>
      </c>
      <c r="J925">
        <v>133.58229999999998</v>
      </c>
      <c r="K925" t="s">
        <v>48</v>
      </c>
    </row>
    <row r="926" spans="1:11" x14ac:dyDescent="0.45">
      <c r="A926" t="s">
        <v>90</v>
      </c>
      <c r="B926" t="s">
        <v>3</v>
      </c>
      <c r="C926" t="s">
        <v>84</v>
      </c>
      <c r="D926" t="s">
        <v>51</v>
      </c>
      <c r="E926" t="s">
        <v>46</v>
      </c>
      <c r="F926" t="s">
        <v>51</v>
      </c>
      <c r="G926" t="s">
        <v>49</v>
      </c>
      <c r="H926" t="s">
        <v>50</v>
      </c>
      <c r="I926">
        <v>2055</v>
      </c>
      <c r="J926">
        <v>17.33015</v>
      </c>
      <c r="K926" t="s">
        <v>51</v>
      </c>
    </row>
    <row r="927" spans="1:11" x14ac:dyDescent="0.45">
      <c r="A927" t="s">
        <v>90</v>
      </c>
      <c r="B927" t="s">
        <v>4</v>
      </c>
      <c r="C927" t="s">
        <v>84</v>
      </c>
      <c r="D927" t="s">
        <v>51</v>
      </c>
      <c r="E927" t="s">
        <v>46</v>
      </c>
      <c r="F927" t="s">
        <v>51</v>
      </c>
      <c r="G927" t="s">
        <v>49</v>
      </c>
      <c r="H927" t="s">
        <v>50</v>
      </c>
      <c r="I927">
        <v>2055</v>
      </c>
      <c r="J927">
        <v>400.44754999999998</v>
      </c>
      <c r="K927" t="s">
        <v>51</v>
      </c>
    </row>
    <row r="928" spans="1:11" x14ac:dyDescent="0.45">
      <c r="A928" t="s">
        <v>90</v>
      </c>
      <c r="B928" t="s">
        <v>0</v>
      </c>
      <c r="C928" t="s">
        <v>84</v>
      </c>
      <c r="D928" t="s">
        <v>51</v>
      </c>
      <c r="E928" t="s">
        <v>46</v>
      </c>
      <c r="F928" t="s">
        <v>51</v>
      </c>
      <c r="G928" t="s">
        <v>49</v>
      </c>
      <c r="H928" t="s">
        <v>50</v>
      </c>
      <c r="I928">
        <v>2055</v>
      </c>
      <c r="J928">
        <v>7.6591499999999995</v>
      </c>
      <c r="K928" t="s">
        <v>51</v>
      </c>
    </row>
    <row r="929" spans="1:11" x14ac:dyDescent="0.45">
      <c r="A929" t="s">
        <v>90</v>
      </c>
      <c r="B929" t="s">
        <v>6</v>
      </c>
      <c r="C929" t="s">
        <v>84</v>
      </c>
      <c r="D929" t="s">
        <v>51</v>
      </c>
      <c r="E929" t="s">
        <v>46</v>
      </c>
      <c r="F929" t="s">
        <v>51</v>
      </c>
      <c r="G929" t="s">
        <v>49</v>
      </c>
      <c r="H929" t="s">
        <v>50</v>
      </c>
      <c r="I929">
        <v>2055</v>
      </c>
      <c r="J929">
        <v>26.7651</v>
      </c>
      <c r="K929" t="s">
        <v>51</v>
      </c>
    </row>
    <row r="930" spans="1:11" x14ac:dyDescent="0.45">
      <c r="A930" t="s">
        <v>90</v>
      </c>
      <c r="B930" t="s">
        <v>5</v>
      </c>
      <c r="C930" t="s">
        <v>84</v>
      </c>
      <c r="D930" t="s">
        <v>51</v>
      </c>
      <c r="E930" t="s">
        <v>46</v>
      </c>
      <c r="F930" t="s">
        <v>51</v>
      </c>
      <c r="G930" t="s">
        <v>49</v>
      </c>
      <c r="H930" t="s">
        <v>50</v>
      </c>
      <c r="I930">
        <v>2055</v>
      </c>
      <c r="J930">
        <v>-1.97305</v>
      </c>
      <c r="K930" t="s">
        <v>51</v>
      </c>
    </row>
    <row r="931" spans="1:11" x14ac:dyDescent="0.45">
      <c r="A931" t="s">
        <v>90</v>
      </c>
      <c r="B931" t="s">
        <v>2</v>
      </c>
      <c r="C931" t="s">
        <v>84</v>
      </c>
      <c r="D931" t="s">
        <v>51</v>
      </c>
      <c r="E931" t="s">
        <v>46</v>
      </c>
      <c r="F931" t="s">
        <v>51</v>
      </c>
      <c r="G931" t="s">
        <v>49</v>
      </c>
      <c r="H931" t="s">
        <v>50</v>
      </c>
      <c r="I931">
        <v>2055</v>
      </c>
      <c r="J931">
        <v>69.063900000000004</v>
      </c>
      <c r="K931" t="s">
        <v>51</v>
      </c>
    </row>
    <row r="932" spans="1:11" x14ac:dyDescent="0.45">
      <c r="A932" t="s">
        <v>90</v>
      </c>
      <c r="B932" t="s">
        <v>1</v>
      </c>
      <c r="C932" t="s">
        <v>84</v>
      </c>
      <c r="D932" t="s">
        <v>51</v>
      </c>
      <c r="E932" t="s">
        <v>46</v>
      </c>
      <c r="F932" t="s">
        <v>51</v>
      </c>
      <c r="G932" t="s">
        <v>49</v>
      </c>
      <c r="H932" t="s">
        <v>50</v>
      </c>
      <c r="I932">
        <v>2055</v>
      </c>
      <c r="J932">
        <v>-16.926349999999999</v>
      </c>
      <c r="K932" t="s">
        <v>51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8.7266999999999992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0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1.9355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5.7800000000000004E-2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11.421299999999999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1.093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20.947050000000001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24</v>
      </c>
      <c r="E940" t="s">
        <v>25</v>
      </c>
      <c r="F940" t="s">
        <v>24</v>
      </c>
      <c r="G940" t="s">
        <v>26</v>
      </c>
      <c r="H940" t="s">
        <v>13</v>
      </c>
      <c r="I940">
        <v>2060</v>
      </c>
      <c r="J940">
        <v>8.1499999999999989E-2</v>
      </c>
      <c r="K940" t="s">
        <v>24</v>
      </c>
    </row>
    <row r="941" spans="1:11" x14ac:dyDescent="0.45">
      <c r="A941" t="s">
        <v>90</v>
      </c>
      <c r="B941" t="s">
        <v>4</v>
      </c>
      <c r="C941" t="s">
        <v>84</v>
      </c>
      <c r="D941" t="s">
        <v>24</v>
      </c>
      <c r="E941" t="s">
        <v>25</v>
      </c>
      <c r="F941" t="s">
        <v>24</v>
      </c>
      <c r="G941" t="s">
        <v>26</v>
      </c>
      <c r="H941" t="s">
        <v>13</v>
      </c>
      <c r="I941">
        <v>2060</v>
      </c>
      <c r="J941">
        <v>6.1850000000000002E-2</v>
      </c>
      <c r="K941" t="s">
        <v>24</v>
      </c>
    </row>
    <row r="942" spans="1:11" x14ac:dyDescent="0.45">
      <c r="A942" t="s">
        <v>90</v>
      </c>
      <c r="B942" t="s">
        <v>0</v>
      </c>
      <c r="C942" t="s">
        <v>84</v>
      </c>
      <c r="D942" t="s">
        <v>24</v>
      </c>
      <c r="E942" t="s">
        <v>25</v>
      </c>
      <c r="F942" t="s">
        <v>24</v>
      </c>
      <c r="G942" t="s">
        <v>26</v>
      </c>
      <c r="H942" t="s">
        <v>13</v>
      </c>
      <c r="I942">
        <v>2060</v>
      </c>
      <c r="J942">
        <v>8.5449999999999998E-2</v>
      </c>
      <c r="K942" t="s">
        <v>24</v>
      </c>
    </row>
    <row r="943" spans="1:11" x14ac:dyDescent="0.45">
      <c r="A943" t="s">
        <v>90</v>
      </c>
      <c r="B943" t="s">
        <v>6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2060</v>
      </c>
      <c r="J943">
        <v>7.825E-2</v>
      </c>
      <c r="K943" t="s">
        <v>24</v>
      </c>
    </row>
    <row r="944" spans="1:11" x14ac:dyDescent="0.45">
      <c r="A944" t="s">
        <v>90</v>
      </c>
      <c r="B944" t="s">
        <v>5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2060</v>
      </c>
      <c r="J944">
        <v>2.5599999999999998E-2</v>
      </c>
      <c r="K944" t="s">
        <v>24</v>
      </c>
    </row>
    <row r="945" spans="1:11" x14ac:dyDescent="0.45">
      <c r="A945" t="s">
        <v>90</v>
      </c>
      <c r="B945" t="s">
        <v>2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2060</v>
      </c>
      <c r="J945">
        <v>7.2849999999999998E-2</v>
      </c>
      <c r="K945" t="s">
        <v>24</v>
      </c>
    </row>
    <row r="946" spans="1:11" x14ac:dyDescent="0.45">
      <c r="A946" t="s">
        <v>90</v>
      </c>
      <c r="B946" t="s">
        <v>1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2060</v>
      </c>
      <c r="J946">
        <v>8.5050000000000001E-2</v>
      </c>
      <c r="K946" t="s">
        <v>24</v>
      </c>
    </row>
    <row r="947" spans="1:11" x14ac:dyDescent="0.45">
      <c r="A947" t="s">
        <v>90</v>
      </c>
      <c r="B947" t="s">
        <v>3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2060</v>
      </c>
      <c r="J947">
        <v>5.5050000000000002E-2</v>
      </c>
      <c r="K947" t="s">
        <v>28</v>
      </c>
    </row>
    <row r="948" spans="1:11" x14ac:dyDescent="0.45">
      <c r="A948" t="s">
        <v>90</v>
      </c>
      <c r="B948" t="s">
        <v>4</v>
      </c>
      <c r="C948" t="s">
        <v>84</v>
      </c>
      <c r="D948" t="s">
        <v>28</v>
      </c>
      <c r="E948" t="s">
        <v>25</v>
      </c>
      <c r="F948" t="s">
        <v>28</v>
      </c>
      <c r="G948" t="s">
        <v>26</v>
      </c>
      <c r="H948" t="s">
        <v>12</v>
      </c>
      <c r="I948">
        <v>2060</v>
      </c>
      <c r="J948">
        <v>4.2849999999999999E-2</v>
      </c>
      <c r="K948" t="s">
        <v>28</v>
      </c>
    </row>
    <row r="949" spans="1:11" x14ac:dyDescent="0.45">
      <c r="A949" t="s">
        <v>90</v>
      </c>
      <c r="B949" t="s">
        <v>0</v>
      </c>
      <c r="C949" t="s">
        <v>84</v>
      </c>
      <c r="D949" t="s">
        <v>28</v>
      </c>
      <c r="E949" t="s">
        <v>25</v>
      </c>
      <c r="F949" t="s">
        <v>28</v>
      </c>
      <c r="G949" t="s">
        <v>26</v>
      </c>
      <c r="H949" t="s">
        <v>12</v>
      </c>
      <c r="I949">
        <v>2060</v>
      </c>
      <c r="J949">
        <v>5.2949999999999997E-2</v>
      </c>
      <c r="K949" t="s">
        <v>28</v>
      </c>
    </row>
    <row r="950" spans="1:11" x14ac:dyDescent="0.45">
      <c r="A950" t="s">
        <v>90</v>
      </c>
      <c r="B950" t="s">
        <v>6</v>
      </c>
      <c r="C950" t="s">
        <v>84</v>
      </c>
      <c r="D950" t="s">
        <v>28</v>
      </c>
      <c r="E950" t="s">
        <v>25</v>
      </c>
      <c r="F950" t="s">
        <v>28</v>
      </c>
      <c r="G950" t="s">
        <v>26</v>
      </c>
      <c r="H950" t="s">
        <v>12</v>
      </c>
      <c r="I950">
        <v>2060</v>
      </c>
      <c r="J950">
        <v>4.8850000000000005E-2</v>
      </c>
      <c r="K950" t="s">
        <v>28</v>
      </c>
    </row>
    <row r="951" spans="1:11" x14ac:dyDescent="0.45">
      <c r="A951" t="s">
        <v>90</v>
      </c>
      <c r="B951" t="s">
        <v>5</v>
      </c>
      <c r="C951" t="s">
        <v>84</v>
      </c>
      <c r="D951" t="s">
        <v>28</v>
      </c>
      <c r="E951" t="s">
        <v>25</v>
      </c>
      <c r="F951" t="s">
        <v>28</v>
      </c>
      <c r="G951" t="s">
        <v>26</v>
      </c>
      <c r="H951" t="s">
        <v>12</v>
      </c>
      <c r="I951">
        <v>2060</v>
      </c>
      <c r="J951">
        <v>7.7350000000000002E-2</v>
      </c>
      <c r="K951" t="s">
        <v>28</v>
      </c>
    </row>
    <row r="952" spans="1:11" x14ac:dyDescent="0.45">
      <c r="A952" t="s">
        <v>90</v>
      </c>
      <c r="B952" t="s">
        <v>2</v>
      </c>
      <c r="C952" t="s">
        <v>84</v>
      </c>
      <c r="D952" t="s">
        <v>28</v>
      </c>
      <c r="E952" t="s">
        <v>25</v>
      </c>
      <c r="F952" t="s">
        <v>28</v>
      </c>
      <c r="G952" t="s">
        <v>26</v>
      </c>
      <c r="H952" t="s">
        <v>12</v>
      </c>
      <c r="I952">
        <v>2060</v>
      </c>
      <c r="J952">
        <v>4.8649999999999999E-2</v>
      </c>
      <c r="K952" t="s">
        <v>28</v>
      </c>
    </row>
    <row r="953" spans="1:11" x14ac:dyDescent="0.45">
      <c r="A953" t="s">
        <v>90</v>
      </c>
      <c r="B953" t="s">
        <v>1</v>
      </c>
      <c r="C953" t="s">
        <v>84</v>
      </c>
      <c r="D953" t="s">
        <v>28</v>
      </c>
      <c r="E953" t="s">
        <v>25</v>
      </c>
      <c r="F953" t="s">
        <v>28</v>
      </c>
      <c r="G953" t="s">
        <v>26</v>
      </c>
      <c r="H953" t="s">
        <v>12</v>
      </c>
      <c r="I953">
        <v>2060</v>
      </c>
      <c r="J953">
        <v>5.8700000000000002E-2</v>
      </c>
      <c r="K953" t="s">
        <v>28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2060</v>
      </c>
      <c r="J954">
        <v>2.445E-2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2060</v>
      </c>
      <c r="J955">
        <v>1.5800000000000002E-2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2.0450000000000003E-2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2060</v>
      </c>
      <c r="J957">
        <v>1.9450000000000002E-2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2060</v>
      </c>
      <c r="J958">
        <v>3.8699999999999998E-2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2060</v>
      </c>
      <c r="J959">
        <v>1.7950000000000001E-2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2060</v>
      </c>
      <c r="J960">
        <v>2.8250000000000001E-2</v>
      </c>
      <c r="K960" t="s">
        <v>27</v>
      </c>
    </row>
    <row r="961" spans="1:12" x14ac:dyDescent="0.45">
      <c r="A961" t="s">
        <v>90</v>
      </c>
      <c r="B961" t="s">
        <v>3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2060</v>
      </c>
      <c r="J961">
        <v>4.6949999999999999E-2</v>
      </c>
      <c r="K961" t="s">
        <v>85</v>
      </c>
    </row>
    <row r="962" spans="1:12" x14ac:dyDescent="0.45">
      <c r="A962" t="s">
        <v>90</v>
      </c>
      <c r="B962" t="s">
        <v>4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2060</v>
      </c>
      <c r="J962">
        <v>5.3650000000000003E-2</v>
      </c>
      <c r="K962" t="s">
        <v>85</v>
      </c>
    </row>
    <row r="963" spans="1:12" x14ac:dyDescent="0.45">
      <c r="A963" t="s">
        <v>90</v>
      </c>
      <c r="B963" t="s">
        <v>0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2060</v>
      </c>
      <c r="J963">
        <v>5.2999999999999999E-2</v>
      </c>
      <c r="K963" t="s">
        <v>85</v>
      </c>
    </row>
    <row r="964" spans="1:12" x14ac:dyDescent="0.45">
      <c r="A964" t="s">
        <v>90</v>
      </c>
      <c r="B964" t="s">
        <v>6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2060</v>
      </c>
      <c r="J964">
        <v>0.11830000000000002</v>
      </c>
      <c r="K964" t="s">
        <v>85</v>
      </c>
    </row>
    <row r="965" spans="1:12" x14ac:dyDescent="0.45">
      <c r="A965" t="s">
        <v>90</v>
      </c>
      <c r="B965" t="s">
        <v>5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2060</v>
      </c>
      <c r="J965">
        <v>2.5950000000000001E-2</v>
      </c>
      <c r="K965" t="s">
        <v>85</v>
      </c>
    </row>
    <row r="966" spans="1:12" x14ac:dyDescent="0.45">
      <c r="A966" t="s">
        <v>90</v>
      </c>
      <c r="B966" t="s">
        <v>2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2060</v>
      </c>
      <c r="J966">
        <v>5.91E-2</v>
      </c>
      <c r="K966" t="s">
        <v>85</v>
      </c>
    </row>
    <row r="967" spans="1:12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2060</v>
      </c>
      <c r="J967">
        <v>0.12345</v>
      </c>
      <c r="K967" t="s">
        <v>85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52</v>
      </c>
      <c r="E968" t="s">
        <v>25</v>
      </c>
      <c r="F968" t="s">
        <v>52</v>
      </c>
      <c r="G968" t="s">
        <v>71</v>
      </c>
      <c r="H968" t="s">
        <v>89</v>
      </c>
      <c r="I968">
        <v>2060</v>
      </c>
      <c r="J968">
        <v>0</v>
      </c>
      <c r="K968" t="s">
        <v>52</v>
      </c>
      <c r="L968">
        <v>94</v>
      </c>
    </row>
    <row r="969" spans="1:12" x14ac:dyDescent="0.45">
      <c r="A969" t="s">
        <v>90</v>
      </c>
      <c r="B969" t="s">
        <v>4</v>
      </c>
      <c r="C969" t="s">
        <v>84</v>
      </c>
      <c r="D969" t="s">
        <v>52</v>
      </c>
      <c r="E969" t="s">
        <v>25</v>
      </c>
      <c r="F969" t="s">
        <v>52</v>
      </c>
      <c r="G969" t="s">
        <v>71</v>
      </c>
      <c r="H969" t="s">
        <v>89</v>
      </c>
      <c r="I969">
        <v>2060</v>
      </c>
      <c r="J969">
        <v>0</v>
      </c>
      <c r="K969" t="s">
        <v>52</v>
      </c>
      <c r="L969">
        <v>94</v>
      </c>
    </row>
    <row r="970" spans="1:12" x14ac:dyDescent="0.45">
      <c r="A970" t="s">
        <v>90</v>
      </c>
      <c r="B970" t="s">
        <v>0</v>
      </c>
      <c r="C970" t="s">
        <v>84</v>
      </c>
      <c r="D970" t="s">
        <v>52</v>
      </c>
      <c r="E970" t="s">
        <v>25</v>
      </c>
      <c r="F970" t="s">
        <v>52</v>
      </c>
      <c r="G970" t="s">
        <v>71</v>
      </c>
      <c r="H970" t="s">
        <v>89</v>
      </c>
      <c r="I970">
        <v>2060</v>
      </c>
      <c r="J970">
        <v>0</v>
      </c>
      <c r="K970" t="s">
        <v>52</v>
      </c>
      <c r="L970">
        <v>94</v>
      </c>
    </row>
    <row r="971" spans="1:12" x14ac:dyDescent="0.45">
      <c r="A971" t="s">
        <v>90</v>
      </c>
      <c r="B971" t="s">
        <v>6</v>
      </c>
      <c r="C971" t="s">
        <v>84</v>
      </c>
      <c r="D971" t="s">
        <v>52</v>
      </c>
      <c r="E971" t="s">
        <v>25</v>
      </c>
      <c r="F971" t="s">
        <v>52</v>
      </c>
      <c r="G971" t="s">
        <v>71</v>
      </c>
      <c r="H971" t="s">
        <v>89</v>
      </c>
      <c r="I971">
        <v>2060</v>
      </c>
      <c r="J971">
        <v>2.2000000000000001E-3</v>
      </c>
      <c r="K971" t="s">
        <v>52</v>
      </c>
      <c r="L971">
        <v>94</v>
      </c>
    </row>
    <row r="972" spans="1:12" x14ac:dyDescent="0.45">
      <c r="A972" t="s">
        <v>90</v>
      </c>
      <c r="B972" t="s">
        <v>5</v>
      </c>
      <c r="C972" t="s">
        <v>84</v>
      </c>
      <c r="D972" t="s">
        <v>52</v>
      </c>
      <c r="E972" t="s">
        <v>25</v>
      </c>
      <c r="F972" t="s">
        <v>52</v>
      </c>
      <c r="G972" t="s">
        <v>71</v>
      </c>
      <c r="H972" t="s">
        <v>89</v>
      </c>
      <c r="I972">
        <v>2060</v>
      </c>
      <c r="J972">
        <v>0</v>
      </c>
      <c r="K972" t="s">
        <v>52</v>
      </c>
      <c r="L972">
        <v>94</v>
      </c>
    </row>
    <row r="973" spans="1:12" x14ac:dyDescent="0.45">
      <c r="A973" t="s">
        <v>90</v>
      </c>
      <c r="B973" t="s">
        <v>2</v>
      </c>
      <c r="C973" t="s">
        <v>84</v>
      </c>
      <c r="D973" t="s">
        <v>52</v>
      </c>
      <c r="E973" t="s">
        <v>25</v>
      </c>
      <c r="F973" t="s">
        <v>52</v>
      </c>
      <c r="G973" t="s">
        <v>71</v>
      </c>
      <c r="H973" t="s">
        <v>89</v>
      </c>
      <c r="I973">
        <v>2060</v>
      </c>
      <c r="J973">
        <v>0</v>
      </c>
      <c r="K973" t="s">
        <v>52</v>
      </c>
      <c r="L973">
        <v>94</v>
      </c>
    </row>
    <row r="974" spans="1:12" x14ac:dyDescent="0.45">
      <c r="A974" t="s">
        <v>90</v>
      </c>
      <c r="B974" t="s">
        <v>1</v>
      </c>
      <c r="C974" t="s">
        <v>84</v>
      </c>
      <c r="D974" t="s">
        <v>52</v>
      </c>
      <c r="E974" t="s">
        <v>25</v>
      </c>
      <c r="F974" t="s">
        <v>52</v>
      </c>
      <c r="G974" t="s">
        <v>71</v>
      </c>
      <c r="H974" t="s">
        <v>89</v>
      </c>
      <c r="I974">
        <v>2060</v>
      </c>
      <c r="J974">
        <v>0</v>
      </c>
      <c r="K974" t="s">
        <v>52</v>
      </c>
      <c r="L974">
        <v>94</v>
      </c>
    </row>
    <row r="975" spans="1:12" x14ac:dyDescent="0.45">
      <c r="A975" t="s">
        <v>90</v>
      </c>
      <c r="B975" t="s">
        <v>3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2060</v>
      </c>
      <c r="J975">
        <v>1E-4</v>
      </c>
      <c r="K975" t="s">
        <v>53</v>
      </c>
      <c r="L975">
        <v>55</v>
      </c>
    </row>
    <row r="976" spans="1:12" x14ac:dyDescent="0.45">
      <c r="A976" t="s">
        <v>90</v>
      </c>
      <c r="B976" t="s">
        <v>4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2060</v>
      </c>
      <c r="J976">
        <v>5.9999999999999995E-4</v>
      </c>
      <c r="K976" t="s">
        <v>53</v>
      </c>
      <c r="L976">
        <v>55</v>
      </c>
    </row>
    <row r="977" spans="1:12" x14ac:dyDescent="0.45">
      <c r="A977" t="s">
        <v>90</v>
      </c>
      <c r="B977" t="s">
        <v>0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2060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2060</v>
      </c>
      <c r="J978">
        <v>2.5000000000000001E-4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2060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2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2060</v>
      </c>
      <c r="J980">
        <v>2.9999999999999997E-4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2060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2060</v>
      </c>
      <c r="J982">
        <v>0</v>
      </c>
      <c r="K982" t="s">
        <v>54</v>
      </c>
      <c r="L982">
        <v>70</v>
      </c>
    </row>
    <row r="983" spans="1:12" x14ac:dyDescent="0.45">
      <c r="A983" t="s">
        <v>90</v>
      </c>
      <c r="B983" t="s">
        <v>4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2060</v>
      </c>
      <c r="J983">
        <v>0</v>
      </c>
      <c r="K983" t="s">
        <v>54</v>
      </c>
      <c r="L983">
        <v>70</v>
      </c>
    </row>
    <row r="984" spans="1:12" x14ac:dyDescent="0.45">
      <c r="A984" t="s">
        <v>90</v>
      </c>
      <c r="B984" t="s">
        <v>0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2060</v>
      </c>
      <c r="J984">
        <v>0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2060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2060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2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2060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1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2060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29</v>
      </c>
      <c r="E989" t="s">
        <v>30</v>
      </c>
      <c r="F989" t="s">
        <v>29</v>
      </c>
      <c r="G989" t="s">
        <v>31</v>
      </c>
      <c r="H989" t="s">
        <v>32</v>
      </c>
      <c r="I989">
        <v>2060</v>
      </c>
      <c r="J989">
        <v>12.725249999999999</v>
      </c>
      <c r="K989" t="s">
        <v>29</v>
      </c>
    </row>
    <row r="990" spans="1:12" x14ac:dyDescent="0.45">
      <c r="A990" t="s">
        <v>90</v>
      </c>
      <c r="B990" t="s">
        <v>4</v>
      </c>
      <c r="C990" t="s">
        <v>84</v>
      </c>
      <c r="D990" t="s">
        <v>29</v>
      </c>
      <c r="E990" t="s">
        <v>30</v>
      </c>
      <c r="F990" t="s">
        <v>29</v>
      </c>
      <c r="G990" t="s">
        <v>31</v>
      </c>
      <c r="H990" t="s">
        <v>32</v>
      </c>
      <c r="I990">
        <v>2060</v>
      </c>
      <c r="J990">
        <v>5.2963500000000003</v>
      </c>
      <c r="K990" t="s">
        <v>29</v>
      </c>
    </row>
    <row r="991" spans="1:12" x14ac:dyDescent="0.45">
      <c r="A991" t="s">
        <v>90</v>
      </c>
      <c r="B991" t="s">
        <v>0</v>
      </c>
      <c r="C991" t="s">
        <v>84</v>
      </c>
      <c r="D991" t="s">
        <v>29</v>
      </c>
      <c r="E991" t="s">
        <v>30</v>
      </c>
      <c r="F991" t="s">
        <v>29</v>
      </c>
      <c r="G991" t="s">
        <v>31</v>
      </c>
      <c r="H991" t="s">
        <v>32</v>
      </c>
      <c r="I991">
        <v>2060</v>
      </c>
      <c r="J991">
        <v>28.955849999999998</v>
      </c>
      <c r="K991" t="s">
        <v>29</v>
      </c>
    </row>
    <row r="992" spans="1:12" x14ac:dyDescent="0.45">
      <c r="A992" t="s">
        <v>90</v>
      </c>
      <c r="B992" t="s">
        <v>6</v>
      </c>
      <c r="C992" t="s">
        <v>84</v>
      </c>
      <c r="D992" t="s">
        <v>29</v>
      </c>
      <c r="E992" t="s">
        <v>30</v>
      </c>
      <c r="F992" t="s">
        <v>29</v>
      </c>
      <c r="G992" t="s">
        <v>31</v>
      </c>
      <c r="H992" t="s">
        <v>32</v>
      </c>
      <c r="I992">
        <v>2060</v>
      </c>
      <c r="J992">
        <v>14.686199999999999</v>
      </c>
      <c r="K992" t="s">
        <v>29</v>
      </c>
    </row>
    <row r="993" spans="1:11" x14ac:dyDescent="0.45">
      <c r="A993" t="s">
        <v>90</v>
      </c>
      <c r="B993" t="s">
        <v>5</v>
      </c>
      <c r="C993" t="s">
        <v>84</v>
      </c>
      <c r="D993" t="s">
        <v>29</v>
      </c>
      <c r="E993" t="s">
        <v>30</v>
      </c>
      <c r="F993" t="s">
        <v>29</v>
      </c>
      <c r="G993" t="s">
        <v>31</v>
      </c>
      <c r="H993" t="s">
        <v>32</v>
      </c>
      <c r="I993">
        <v>2060</v>
      </c>
      <c r="J993">
        <v>21.462600000000002</v>
      </c>
      <c r="K993" t="s">
        <v>29</v>
      </c>
    </row>
    <row r="994" spans="1:11" x14ac:dyDescent="0.45">
      <c r="A994" t="s">
        <v>90</v>
      </c>
      <c r="B994" t="s">
        <v>2</v>
      </c>
      <c r="C994" t="s">
        <v>84</v>
      </c>
      <c r="D994" t="s">
        <v>29</v>
      </c>
      <c r="E994" t="s">
        <v>30</v>
      </c>
      <c r="F994" t="s">
        <v>29</v>
      </c>
      <c r="G994" t="s">
        <v>31</v>
      </c>
      <c r="H994" t="s">
        <v>32</v>
      </c>
      <c r="I994">
        <v>2060</v>
      </c>
      <c r="J994">
        <v>13.05955</v>
      </c>
      <c r="K994" t="s">
        <v>29</v>
      </c>
    </row>
    <row r="995" spans="1:11" x14ac:dyDescent="0.45">
      <c r="A995" t="s">
        <v>90</v>
      </c>
      <c r="B995" t="s">
        <v>1</v>
      </c>
      <c r="C995" t="s">
        <v>84</v>
      </c>
      <c r="D995" t="s">
        <v>29</v>
      </c>
      <c r="E995" t="s">
        <v>30</v>
      </c>
      <c r="F995" t="s">
        <v>29</v>
      </c>
      <c r="G995" t="s">
        <v>31</v>
      </c>
      <c r="H995" t="s">
        <v>32</v>
      </c>
      <c r="I995">
        <v>2060</v>
      </c>
      <c r="J995">
        <v>34.522100000000002</v>
      </c>
      <c r="K995" t="s">
        <v>29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2060</v>
      </c>
      <c r="J996">
        <v>1.9051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2060</v>
      </c>
      <c r="J997">
        <v>3.4098000000000002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2060</v>
      </c>
      <c r="J998">
        <v>2.1811500000000001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2060</v>
      </c>
      <c r="J999">
        <v>2.2842500000000001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2060</v>
      </c>
      <c r="J1000">
        <v>1.5146000000000002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2060</v>
      </c>
      <c r="J1001">
        <v>2.3400499999999997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2060</v>
      </c>
      <c r="J1002">
        <v>1.8959000000000001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2060</v>
      </c>
      <c r="J1003">
        <v>5.8452000000000002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2060</v>
      </c>
      <c r="J1004">
        <v>6.6663999999999994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2060</v>
      </c>
      <c r="J1005">
        <v>5.1861999999999995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2060</v>
      </c>
      <c r="J1006">
        <v>5.8754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5.0639500000000002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2060</v>
      </c>
      <c r="J1008">
        <v>6.1361500000000007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2060</v>
      </c>
      <c r="J1009">
        <v>5.5579999999999998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37</v>
      </c>
      <c r="E1010" t="s">
        <v>30</v>
      </c>
      <c r="F1010" t="s">
        <v>37</v>
      </c>
      <c r="G1010" t="s">
        <v>31</v>
      </c>
      <c r="H1010" t="s">
        <v>38</v>
      </c>
      <c r="I1010">
        <v>2060</v>
      </c>
      <c r="J1010">
        <v>175.04315</v>
      </c>
      <c r="K1010" t="s">
        <v>37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37</v>
      </c>
      <c r="E1011" t="s">
        <v>30</v>
      </c>
      <c r="F1011" t="s">
        <v>37</v>
      </c>
      <c r="G1011" t="s">
        <v>31</v>
      </c>
      <c r="H1011" t="s">
        <v>38</v>
      </c>
      <c r="I1011">
        <v>2060</v>
      </c>
      <c r="J1011">
        <v>197.66784999999999</v>
      </c>
      <c r="K1011" t="s">
        <v>37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37</v>
      </c>
      <c r="E1012" t="s">
        <v>30</v>
      </c>
      <c r="F1012" t="s">
        <v>37</v>
      </c>
      <c r="G1012" t="s">
        <v>31</v>
      </c>
      <c r="H1012" t="s">
        <v>38</v>
      </c>
      <c r="I1012">
        <v>2060</v>
      </c>
      <c r="J1012">
        <v>175.08449999999999</v>
      </c>
      <c r="K1012" t="s">
        <v>37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37</v>
      </c>
      <c r="E1013" t="s">
        <v>30</v>
      </c>
      <c r="F1013" t="s">
        <v>37</v>
      </c>
      <c r="G1013" t="s">
        <v>31</v>
      </c>
      <c r="H1013" t="s">
        <v>38</v>
      </c>
      <c r="I1013">
        <v>2060</v>
      </c>
      <c r="J1013">
        <v>179.79354999999998</v>
      </c>
      <c r="K1013" t="s">
        <v>37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37</v>
      </c>
      <c r="E1014" t="s">
        <v>30</v>
      </c>
      <c r="F1014" t="s">
        <v>37</v>
      </c>
      <c r="G1014" t="s">
        <v>31</v>
      </c>
      <c r="H1014" t="s">
        <v>38</v>
      </c>
      <c r="I1014">
        <v>2060</v>
      </c>
      <c r="J1014">
        <v>179.99435</v>
      </c>
      <c r="K1014" t="s">
        <v>37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37</v>
      </c>
      <c r="E1015" t="s">
        <v>30</v>
      </c>
      <c r="F1015" t="s">
        <v>37</v>
      </c>
      <c r="G1015" t="s">
        <v>31</v>
      </c>
      <c r="H1015" t="s">
        <v>38</v>
      </c>
      <c r="I1015">
        <v>2060</v>
      </c>
      <c r="J1015">
        <v>188.26465000000002</v>
      </c>
      <c r="K1015" t="s">
        <v>37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2060</v>
      </c>
      <c r="J1016">
        <v>183.90429999999998</v>
      </c>
      <c r="K1016" t="s">
        <v>37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48</v>
      </c>
      <c r="E1017" t="s">
        <v>46</v>
      </c>
      <c r="F1017" t="s">
        <v>48</v>
      </c>
      <c r="G1017" t="s">
        <v>49</v>
      </c>
      <c r="H1017" t="s">
        <v>50</v>
      </c>
      <c r="I1017">
        <v>2060</v>
      </c>
      <c r="J1017">
        <v>166.47620000000001</v>
      </c>
      <c r="K1017" t="s">
        <v>48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48</v>
      </c>
      <c r="E1018" t="s">
        <v>46</v>
      </c>
      <c r="F1018" t="s">
        <v>48</v>
      </c>
      <c r="G1018" t="s">
        <v>49</v>
      </c>
      <c r="H1018" t="s">
        <v>50</v>
      </c>
      <c r="I1018">
        <v>2060</v>
      </c>
      <c r="J1018">
        <v>445.22315000000003</v>
      </c>
      <c r="K1018" t="s">
        <v>48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48</v>
      </c>
      <c r="E1019" t="s">
        <v>46</v>
      </c>
      <c r="F1019" t="s">
        <v>48</v>
      </c>
      <c r="G1019" t="s">
        <v>49</v>
      </c>
      <c r="H1019" t="s">
        <v>50</v>
      </c>
      <c r="I1019">
        <v>2060</v>
      </c>
      <c r="J1019">
        <v>160.45285000000001</v>
      </c>
      <c r="K1019" t="s">
        <v>48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48</v>
      </c>
      <c r="E1020" t="s">
        <v>46</v>
      </c>
      <c r="F1020" t="s">
        <v>48</v>
      </c>
      <c r="G1020" t="s">
        <v>49</v>
      </c>
      <c r="H1020" t="s">
        <v>50</v>
      </c>
      <c r="I1020">
        <v>2060</v>
      </c>
      <c r="J1020">
        <v>173.83575000000002</v>
      </c>
      <c r="K1020" t="s">
        <v>48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48</v>
      </c>
      <c r="E1021" t="s">
        <v>46</v>
      </c>
      <c r="F1021" t="s">
        <v>48</v>
      </c>
      <c r="G1021" t="s">
        <v>49</v>
      </c>
      <c r="H1021" t="s">
        <v>50</v>
      </c>
      <c r="I1021">
        <v>2060</v>
      </c>
      <c r="J1021">
        <v>142.49600000000001</v>
      </c>
      <c r="K1021" t="s">
        <v>48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48</v>
      </c>
      <c r="E1022" t="s">
        <v>46</v>
      </c>
      <c r="F1022" t="s">
        <v>48</v>
      </c>
      <c r="G1022" t="s">
        <v>49</v>
      </c>
      <c r="H1022" t="s">
        <v>50</v>
      </c>
      <c r="I1022">
        <v>2060</v>
      </c>
      <c r="J1022">
        <v>181.12290000000002</v>
      </c>
      <c r="K1022" t="s">
        <v>48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48</v>
      </c>
      <c r="E1023" t="s">
        <v>46</v>
      </c>
      <c r="F1023" t="s">
        <v>48</v>
      </c>
      <c r="G1023" t="s">
        <v>49</v>
      </c>
      <c r="H1023" t="s">
        <v>50</v>
      </c>
      <c r="I1023">
        <v>2060</v>
      </c>
      <c r="J1023">
        <v>131.50245000000001</v>
      </c>
      <c r="K1023" t="s">
        <v>48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51</v>
      </c>
      <c r="E1024" t="s">
        <v>46</v>
      </c>
      <c r="F1024" t="s">
        <v>51</v>
      </c>
      <c r="G1024" t="s">
        <v>49</v>
      </c>
      <c r="H1024" t="s">
        <v>50</v>
      </c>
      <c r="I1024">
        <v>2060</v>
      </c>
      <c r="J1024">
        <v>14.72095</v>
      </c>
      <c r="K1024" t="s">
        <v>51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51</v>
      </c>
      <c r="E1025" t="s">
        <v>46</v>
      </c>
      <c r="F1025" t="s">
        <v>51</v>
      </c>
      <c r="G1025" t="s">
        <v>49</v>
      </c>
      <c r="H1025" t="s">
        <v>50</v>
      </c>
      <c r="I1025">
        <v>2060</v>
      </c>
      <c r="J1025">
        <v>289.05430000000001</v>
      </c>
      <c r="K1025" t="s">
        <v>51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51</v>
      </c>
      <c r="E1026" t="s">
        <v>46</v>
      </c>
      <c r="F1026" t="s">
        <v>51</v>
      </c>
      <c r="G1026" t="s">
        <v>49</v>
      </c>
      <c r="H1026" t="s">
        <v>50</v>
      </c>
      <c r="I1026">
        <v>2060</v>
      </c>
      <c r="J1026">
        <v>8.1195500000000003</v>
      </c>
      <c r="K1026" t="s">
        <v>51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51</v>
      </c>
      <c r="E1027" t="s">
        <v>46</v>
      </c>
      <c r="F1027" t="s">
        <v>51</v>
      </c>
      <c r="G1027" t="s">
        <v>49</v>
      </c>
      <c r="H1027" t="s">
        <v>50</v>
      </c>
      <c r="I1027">
        <v>2060</v>
      </c>
      <c r="J1027">
        <v>26.178700000000003</v>
      </c>
      <c r="K1027" t="s">
        <v>51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51</v>
      </c>
      <c r="E1028" t="s">
        <v>46</v>
      </c>
      <c r="F1028" t="s">
        <v>51</v>
      </c>
      <c r="G1028" t="s">
        <v>49</v>
      </c>
      <c r="H1028" t="s">
        <v>50</v>
      </c>
      <c r="I1028">
        <v>2060</v>
      </c>
      <c r="J1028">
        <v>-4.6429</v>
      </c>
      <c r="K1028" t="s">
        <v>51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51</v>
      </c>
      <c r="E1029" t="s">
        <v>46</v>
      </c>
      <c r="F1029" t="s">
        <v>51</v>
      </c>
      <c r="G1029" t="s">
        <v>49</v>
      </c>
      <c r="H1029" t="s">
        <v>50</v>
      </c>
      <c r="I1029">
        <v>2060</v>
      </c>
      <c r="J1029">
        <v>27.589849999999998</v>
      </c>
      <c r="K1029" t="s">
        <v>51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2060</v>
      </c>
      <c r="J1030">
        <v>-18.205350000000003</v>
      </c>
      <c r="K1030" t="s">
        <v>51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8.2204999999999995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0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1.5802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4.5199999999999997E-2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9.9694500000000001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0.86955000000000005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19.132550000000002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24</v>
      </c>
      <c r="E1038" t="s">
        <v>25</v>
      </c>
      <c r="F1038" t="s">
        <v>24</v>
      </c>
      <c r="G1038" t="s">
        <v>26</v>
      </c>
      <c r="H1038" t="s">
        <v>13</v>
      </c>
      <c r="I1038">
        <v>2065</v>
      </c>
      <c r="J1038">
        <v>8.7799999999999989E-2</v>
      </c>
      <c r="K1038" t="s">
        <v>24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24</v>
      </c>
      <c r="E1039" t="s">
        <v>25</v>
      </c>
      <c r="F1039" t="s">
        <v>24</v>
      </c>
      <c r="G1039" t="s">
        <v>26</v>
      </c>
      <c r="H1039" t="s">
        <v>13</v>
      </c>
      <c r="I1039">
        <v>2065</v>
      </c>
      <c r="J1039">
        <v>6.54E-2</v>
      </c>
      <c r="K1039" t="s">
        <v>24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24</v>
      </c>
      <c r="E1040" t="s">
        <v>25</v>
      </c>
      <c r="F1040" t="s">
        <v>24</v>
      </c>
      <c r="G1040" t="s">
        <v>26</v>
      </c>
      <c r="H1040" t="s">
        <v>13</v>
      </c>
      <c r="I1040">
        <v>2065</v>
      </c>
      <c r="J1040">
        <v>8.6650000000000005E-2</v>
      </c>
      <c r="K1040" t="s">
        <v>24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24</v>
      </c>
      <c r="E1041" t="s">
        <v>25</v>
      </c>
      <c r="F1041" t="s">
        <v>24</v>
      </c>
      <c r="G1041" t="s">
        <v>26</v>
      </c>
      <c r="H1041" t="s">
        <v>13</v>
      </c>
      <c r="I1041">
        <v>2065</v>
      </c>
      <c r="J1041">
        <v>8.115E-2</v>
      </c>
      <c r="K1041" t="s">
        <v>24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24</v>
      </c>
      <c r="E1042" t="s">
        <v>25</v>
      </c>
      <c r="F1042" t="s">
        <v>24</v>
      </c>
      <c r="G1042" t="s">
        <v>26</v>
      </c>
      <c r="H1042" t="s">
        <v>13</v>
      </c>
      <c r="I1042">
        <v>2065</v>
      </c>
      <c r="J1042">
        <v>2.5950000000000001E-2</v>
      </c>
      <c r="K1042" t="s">
        <v>24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24</v>
      </c>
      <c r="E1043" t="s">
        <v>25</v>
      </c>
      <c r="F1043" t="s">
        <v>24</v>
      </c>
      <c r="G1043" t="s">
        <v>26</v>
      </c>
      <c r="H1043" t="s">
        <v>13</v>
      </c>
      <c r="I1043">
        <v>2065</v>
      </c>
      <c r="J1043">
        <v>7.669999999999999E-2</v>
      </c>
      <c r="K1043" t="s">
        <v>24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24</v>
      </c>
      <c r="E1044" t="s">
        <v>25</v>
      </c>
      <c r="F1044" t="s">
        <v>24</v>
      </c>
      <c r="G1044" t="s">
        <v>26</v>
      </c>
      <c r="H1044" t="s">
        <v>13</v>
      </c>
      <c r="I1044">
        <v>2065</v>
      </c>
      <c r="J1044">
        <v>8.9849999999999999E-2</v>
      </c>
      <c r="K1044" t="s">
        <v>24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28</v>
      </c>
      <c r="E1045" t="s">
        <v>25</v>
      </c>
      <c r="F1045" t="s">
        <v>28</v>
      </c>
      <c r="G1045" t="s">
        <v>26</v>
      </c>
      <c r="H1045" t="s">
        <v>12</v>
      </c>
      <c r="I1045">
        <v>2065</v>
      </c>
      <c r="J1045">
        <v>6.7750000000000005E-2</v>
      </c>
      <c r="K1045" t="s">
        <v>28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28</v>
      </c>
      <c r="E1046" t="s">
        <v>25</v>
      </c>
      <c r="F1046" t="s">
        <v>28</v>
      </c>
      <c r="G1046" t="s">
        <v>26</v>
      </c>
      <c r="H1046" t="s">
        <v>12</v>
      </c>
      <c r="I1046">
        <v>2065</v>
      </c>
      <c r="J1046">
        <v>5.3800000000000001E-2</v>
      </c>
      <c r="K1046" t="s">
        <v>28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28</v>
      </c>
      <c r="E1047" t="s">
        <v>25</v>
      </c>
      <c r="F1047" t="s">
        <v>28</v>
      </c>
      <c r="G1047" t="s">
        <v>26</v>
      </c>
      <c r="H1047" t="s">
        <v>12</v>
      </c>
      <c r="I1047">
        <v>2065</v>
      </c>
      <c r="J1047">
        <v>6.5549999999999997E-2</v>
      </c>
      <c r="K1047" t="s">
        <v>28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28</v>
      </c>
      <c r="E1048" t="s">
        <v>25</v>
      </c>
      <c r="F1048" t="s">
        <v>28</v>
      </c>
      <c r="G1048" t="s">
        <v>26</v>
      </c>
      <c r="H1048" t="s">
        <v>12</v>
      </c>
      <c r="I1048">
        <v>2065</v>
      </c>
      <c r="J1048">
        <v>6.0650000000000003E-2</v>
      </c>
      <c r="K1048" t="s">
        <v>28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28</v>
      </c>
      <c r="E1049" t="s">
        <v>25</v>
      </c>
      <c r="F1049" t="s">
        <v>28</v>
      </c>
      <c r="G1049" t="s">
        <v>26</v>
      </c>
      <c r="H1049" t="s">
        <v>12</v>
      </c>
      <c r="I1049">
        <v>2065</v>
      </c>
      <c r="J1049">
        <v>9.35E-2</v>
      </c>
      <c r="K1049" t="s">
        <v>28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28</v>
      </c>
      <c r="E1050" t="s">
        <v>25</v>
      </c>
      <c r="F1050" t="s">
        <v>28</v>
      </c>
      <c r="G1050" t="s">
        <v>26</v>
      </c>
      <c r="H1050" t="s">
        <v>12</v>
      </c>
      <c r="I1050">
        <v>2065</v>
      </c>
      <c r="J1050">
        <v>5.9749999999999998E-2</v>
      </c>
      <c r="K1050" t="s">
        <v>28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28</v>
      </c>
      <c r="E1051" t="s">
        <v>25</v>
      </c>
      <c r="F1051" t="s">
        <v>28</v>
      </c>
      <c r="G1051" t="s">
        <v>26</v>
      </c>
      <c r="H1051" t="s">
        <v>12</v>
      </c>
      <c r="I1051">
        <v>2065</v>
      </c>
      <c r="J1051">
        <v>7.3649999999999993E-2</v>
      </c>
      <c r="K1051" t="s">
        <v>28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27</v>
      </c>
      <c r="E1052" t="s">
        <v>25</v>
      </c>
      <c r="F1052" t="s">
        <v>27</v>
      </c>
      <c r="G1052" t="s">
        <v>26</v>
      </c>
      <c r="H1052" t="s">
        <v>10</v>
      </c>
      <c r="I1052">
        <v>2065</v>
      </c>
      <c r="J1052">
        <v>2.835E-2</v>
      </c>
      <c r="K1052" t="s">
        <v>27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27</v>
      </c>
      <c r="E1053" t="s">
        <v>25</v>
      </c>
      <c r="F1053" t="s">
        <v>27</v>
      </c>
      <c r="G1053" t="s">
        <v>26</v>
      </c>
      <c r="H1053" t="s">
        <v>10</v>
      </c>
      <c r="I1053">
        <v>2065</v>
      </c>
      <c r="J1053">
        <v>1.9050000000000001E-2</v>
      </c>
      <c r="K1053" t="s">
        <v>27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27</v>
      </c>
      <c r="E1054" t="s">
        <v>25</v>
      </c>
      <c r="F1054" t="s">
        <v>27</v>
      </c>
      <c r="G1054" t="s">
        <v>26</v>
      </c>
      <c r="H1054" t="s">
        <v>10</v>
      </c>
      <c r="I1054">
        <v>2065</v>
      </c>
      <c r="J1054">
        <v>2.4299999999999999E-2</v>
      </c>
      <c r="K1054" t="s">
        <v>27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27</v>
      </c>
      <c r="E1055" t="s">
        <v>25</v>
      </c>
      <c r="F1055" t="s">
        <v>27</v>
      </c>
      <c r="G1055" t="s">
        <v>26</v>
      </c>
      <c r="H1055" t="s">
        <v>10</v>
      </c>
      <c r="I1055">
        <v>2065</v>
      </c>
      <c r="J1055">
        <v>2.2749999999999999E-2</v>
      </c>
      <c r="K1055" t="s">
        <v>27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27</v>
      </c>
      <c r="E1056" t="s">
        <v>25</v>
      </c>
      <c r="F1056" t="s">
        <v>27</v>
      </c>
      <c r="G1056" t="s">
        <v>26</v>
      </c>
      <c r="H1056" t="s">
        <v>10</v>
      </c>
      <c r="I1056">
        <v>2065</v>
      </c>
      <c r="J1056">
        <v>4.5850000000000002E-2</v>
      </c>
      <c r="K1056" t="s">
        <v>27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27</v>
      </c>
      <c r="E1057" t="s">
        <v>25</v>
      </c>
      <c r="F1057" t="s">
        <v>27</v>
      </c>
      <c r="G1057" t="s">
        <v>26</v>
      </c>
      <c r="H1057" t="s">
        <v>10</v>
      </c>
      <c r="I1057">
        <v>2065</v>
      </c>
      <c r="J1057">
        <v>2.095E-2</v>
      </c>
      <c r="K1057" t="s">
        <v>27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27</v>
      </c>
      <c r="E1058" t="s">
        <v>25</v>
      </c>
      <c r="F1058" t="s">
        <v>27</v>
      </c>
      <c r="G1058" t="s">
        <v>26</v>
      </c>
      <c r="H1058" t="s">
        <v>10</v>
      </c>
      <c r="I1058">
        <v>2065</v>
      </c>
      <c r="J1058">
        <v>3.3300000000000003E-2</v>
      </c>
      <c r="K1058" t="s">
        <v>27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85</v>
      </c>
      <c r="E1059" t="s">
        <v>25</v>
      </c>
      <c r="F1059" t="s">
        <v>85</v>
      </c>
      <c r="G1059" t="s">
        <v>26</v>
      </c>
      <c r="H1059" t="s">
        <v>82</v>
      </c>
      <c r="I1059">
        <v>2065</v>
      </c>
      <c r="J1059">
        <v>4.7899999999999998E-2</v>
      </c>
      <c r="K1059" t="s">
        <v>85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85</v>
      </c>
      <c r="E1060" t="s">
        <v>25</v>
      </c>
      <c r="F1060" t="s">
        <v>85</v>
      </c>
      <c r="G1060" t="s">
        <v>26</v>
      </c>
      <c r="H1060" t="s">
        <v>82</v>
      </c>
      <c r="I1060">
        <v>2065</v>
      </c>
      <c r="J1060">
        <v>5.0849999999999999E-2</v>
      </c>
      <c r="K1060" t="s">
        <v>85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85</v>
      </c>
      <c r="E1061" t="s">
        <v>25</v>
      </c>
      <c r="F1061" t="s">
        <v>85</v>
      </c>
      <c r="G1061" t="s">
        <v>26</v>
      </c>
      <c r="H1061" t="s">
        <v>82</v>
      </c>
      <c r="I1061">
        <v>2065</v>
      </c>
      <c r="J1061">
        <v>5.1000000000000004E-2</v>
      </c>
      <c r="K1061" t="s">
        <v>85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85</v>
      </c>
      <c r="E1062" t="s">
        <v>25</v>
      </c>
      <c r="F1062" t="s">
        <v>85</v>
      </c>
      <c r="G1062" t="s">
        <v>26</v>
      </c>
      <c r="H1062" t="s">
        <v>82</v>
      </c>
      <c r="I1062">
        <v>2065</v>
      </c>
      <c r="J1062">
        <v>0.127</v>
      </c>
      <c r="K1062" t="s">
        <v>85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85</v>
      </c>
      <c r="E1063" t="s">
        <v>25</v>
      </c>
      <c r="F1063" t="s">
        <v>85</v>
      </c>
      <c r="G1063" t="s">
        <v>26</v>
      </c>
      <c r="H1063" t="s">
        <v>82</v>
      </c>
      <c r="I1063">
        <v>2065</v>
      </c>
      <c r="J1063">
        <v>3.1350000000000003E-2</v>
      </c>
      <c r="K1063" t="s">
        <v>85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85</v>
      </c>
      <c r="E1064" t="s">
        <v>25</v>
      </c>
      <c r="F1064" t="s">
        <v>85</v>
      </c>
      <c r="G1064" t="s">
        <v>26</v>
      </c>
      <c r="H1064" t="s">
        <v>82</v>
      </c>
      <c r="I1064">
        <v>2065</v>
      </c>
      <c r="J1064">
        <v>5.7599999999999998E-2</v>
      </c>
      <c r="K1064" t="s">
        <v>85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85</v>
      </c>
      <c r="E1065" t="s">
        <v>25</v>
      </c>
      <c r="F1065" t="s">
        <v>85</v>
      </c>
      <c r="G1065" t="s">
        <v>26</v>
      </c>
      <c r="H1065" t="s">
        <v>82</v>
      </c>
      <c r="I1065">
        <v>2065</v>
      </c>
      <c r="J1065">
        <v>0.12135000000000001</v>
      </c>
      <c r="K1065" t="s">
        <v>85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52</v>
      </c>
      <c r="E1066" t="s">
        <v>25</v>
      </c>
      <c r="F1066" t="s">
        <v>52</v>
      </c>
      <c r="G1066" t="s">
        <v>71</v>
      </c>
      <c r="H1066" t="s">
        <v>89</v>
      </c>
      <c r="I1066">
        <v>2065</v>
      </c>
      <c r="J1066">
        <v>0</v>
      </c>
      <c r="K1066" t="s">
        <v>52</v>
      </c>
      <c r="L1066">
        <v>94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52</v>
      </c>
      <c r="E1067" t="s">
        <v>25</v>
      </c>
      <c r="F1067" t="s">
        <v>52</v>
      </c>
      <c r="G1067" t="s">
        <v>71</v>
      </c>
      <c r="H1067" t="s">
        <v>89</v>
      </c>
      <c r="I1067">
        <v>2065</v>
      </c>
      <c r="J1067">
        <v>5.0000000000000002E-5</v>
      </c>
      <c r="K1067" t="s">
        <v>52</v>
      </c>
      <c r="L1067">
        <v>94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52</v>
      </c>
      <c r="E1068" t="s">
        <v>25</v>
      </c>
      <c r="F1068" t="s">
        <v>52</v>
      </c>
      <c r="G1068" t="s">
        <v>71</v>
      </c>
      <c r="H1068" t="s">
        <v>89</v>
      </c>
      <c r="I1068">
        <v>2065</v>
      </c>
      <c r="J1068">
        <v>0</v>
      </c>
      <c r="K1068" t="s">
        <v>52</v>
      </c>
      <c r="L1068">
        <v>94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52</v>
      </c>
      <c r="E1069" t="s">
        <v>25</v>
      </c>
      <c r="F1069" t="s">
        <v>52</v>
      </c>
      <c r="G1069" t="s">
        <v>71</v>
      </c>
      <c r="H1069" t="s">
        <v>89</v>
      </c>
      <c r="I1069">
        <v>2065</v>
      </c>
      <c r="J1069">
        <v>3.0500000000000002E-3</v>
      </c>
      <c r="K1069" t="s">
        <v>52</v>
      </c>
      <c r="L1069">
        <v>94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52</v>
      </c>
      <c r="E1070" t="s">
        <v>25</v>
      </c>
      <c r="F1070" t="s">
        <v>52</v>
      </c>
      <c r="G1070" t="s">
        <v>71</v>
      </c>
      <c r="H1070" t="s">
        <v>89</v>
      </c>
      <c r="I1070">
        <v>2065</v>
      </c>
      <c r="J1070">
        <v>0</v>
      </c>
      <c r="K1070" t="s">
        <v>52</v>
      </c>
      <c r="L1070">
        <v>94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52</v>
      </c>
      <c r="E1071" t="s">
        <v>25</v>
      </c>
      <c r="F1071" t="s">
        <v>52</v>
      </c>
      <c r="G1071" t="s">
        <v>71</v>
      </c>
      <c r="H1071" t="s">
        <v>89</v>
      </c>
      <c r="I1071">
        <v>2065</v>
      </c>
      <c r="J1071">
        <v>0</v>
      </c>
      <c r="K1071" t="s">
        <v>52</v>
      </c>
      <c r="L1071">
        <v>94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52</v>
      </c>
      <c r="E1072" t="s">
        <v>25</v>
      </c>
      <c r="F1072" t="s">
        <v>52</v>
      </c>
      <c r="G1072" t="s">
        <v>71</v>
      </c>
      <c r="H1072" t="s">
        <v>89</v>
      </c>
      <c r="I1072">
        <v>2065</v>
      </c>
      <c r="J1072">
        <v>0</v>
      </c>
      <c r="K1072" t="s">
        <v>52</v>
      </c>
      <c r="L1072">
        <v>94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53</v>
      </c>
      <c r="E1073" t="s">
        <v>25</v>
      </c>
      <c r="F1073" t="s">
        <v>53</v>
      </c>
      <c r="G1073" t="s">
        <v>71</v>
      </c>
      <c r="H1073" t="s">
        <v>89</v>
      </c>
      <c r="I1073">
        <v>2065</v>
      </c>
      <c r="J1073">
        <v>1E-4</v>
      </c>
      <c r="K1073" t="s">
        <v>53</v>
      </c>
      <c r="L1073">
        <v>55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53</v>
      </c>
      <c r="E1074" t="s">
        <v>25</v>
      </c>
      <c r="F1074" t="s">
        <v>53</v>
      </c>
      <c r="G1074" t="s">
        <v>71</v>
      </c>
      <c r="H1074" t="s">
        <v>89</v>
      </c>
      <c r="I1074">
        <v>2065</v>
      </c>
      <c r="J1074">
        <v>5.0000000000000001E-4</v>
      </c>
      <c r="K1074" t="s">
        <v>53</v>
      </c>
      <c r="L1074">
        <v>55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53</v>
      </c>
      <c r="E1075" t="s">
        <v>25</v>
      </c>
      <c r="F1075" t="s">
        <v>53</v>
      </c>
      <c r="G1075" t="s">
        <v>71</v>
      </c>
      <c r="H1075" t="s">
        <v>89</v>
      </c>
      <c r="I1075">
        <v>2065</v>
      </c>
      <c r="J1075">
        <v>0</v>
      </c>
      <c r="K1075" t="s">
        <v>53</v>
      </c>
      <c r="L1075">
        <v>55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53</v>
      </c>
      <c r="E1076" t="s">
        <v>25</v>
      </c>
      <c r="F1076" t="s">
        <v>53</v>
      </c>
      <c r="G1076" t="s">
        <v>71</v>
      </c>
      <c r="H1076" t="s">
        <v>89</v>
      </c>
      <c r="I1076">
        <v>2065</v>
      </c>
      <c r="J1076">
        <v>3.5E-4</v>
      </c>
      <c r="K1076" t="s">
        <v>53</v>
      </c>
      <c r="L1076">
        <v>55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53</v>
      </c>
      <c r="E1077" t="s">
        <v>25</v>
      </c>
      <c r="F1077" t="s">
        <v>53</v>
      </c>
      <c r="G1077" t="s">
        <v>71</v>
      </c>
      <c r="H1077" t="s">
        <v>89</v>
      </c>
      <c r="I1077">
        <v>2065</v>
      </c>
      <c r="J1077">
        <v>0</v>
      </c>
      <c r="K1077" t="s">
        <v>53</v>
      </c>
      <c r="L1077">
        <v>55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53</v>
      </c>
      <c r="E1078" t="s">
        <v>25</v>
      </c>
      <c r="F1078" t="s">
        <v>53</v>
      </c>
      <c r="G1078" t="s">
        <v>71</v>
      </c>
      <c r="H1078" t="s">
        <v>89</v>
      </c>
      <c r="I1078">
        <v>2065</v>
      </c>
      <c r="J1078">
        <v>2.9999999999999997E-4</v>
      </c>
      <c r="K1078" t="s">
        <v>53</v>
      </c>
      <c r="L1078">
        <v>55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53</v>
      </c>
      <c r="E1079" t="s">
        <v>25</v>
      </c>
      <c r="F1079" t="s">
        <v>53</v>
      </c>
      <c r="G1079" t="s">
        <v>71</v>
      </c>
      <c r="H1079" t="s">
        <v>89</v>
      </c>
      <c r="I1079">
        <v>2065</v>
      </c>
      <c r="J1079">
        <v>0</v>
      </c>
      <c r="K1079" t="s">
        <v>53</v>
      </c>
      <c r="L1079">
        <v>55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2065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2065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2065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2065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2065</v>
      </c>
      <c r="J1084">
        <v>0</v>
      </c>
      <c r="K1084" t="s">
        <v>54</v>
      </c>
      <c r="L1084">
        <v>70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2065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2065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29</v>
      </c>
      <c r="E1087" t="s">
        <v>30</v>
      </c>
      <c r="F1087" t="s">
        <v>29</v>
      </c>
      <c r="G1087" t="s">
        <v>31</v>
      </c>
      <c r="H1087" t="s">
        <v>32</v>
      </c>
      <c r="I1087">
        <v>2065</v>
      </c>
      <c r="J1087">
        <v>12.6111</v>
      </c>
      <c r="K1087" t="s">
        <v>29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29</v>
      </c>
      <c r="E1088" t="s">
        <v>30</v>
      </c>
      <c r="F1088" t="s">
        <v>29</v>
      </c>
      <c r="G1088" t="s">
        <v>31</v>
      </c>
      <c r="H1088" t="s">
        <v>32</v>
      </c>
      <c r="I1088">
        <v>2065</v>
      </c>
      <c r="J1088">
        <v>6.2115499999999999</v>
      </c>
      <c r="K1088" t="s">
        <v>29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29</v>
      </c>
      <c r="E1089" t="s">
        <v>30</v>
      </c>
      <c r="F1089" t="s">
        <v>29</v>
      </c>
      <c r="G1089" t="s">
        <v>31</v>
      </c>
      <c r="H1089" t="s">
        <v>32</v>
      </c>
      <c r="I1089">
        <v>2065</v>
      </c>
      <c r="J1089">
        <v>25.764299999999999</v>
      </c>
      <c r="K1089" t="s">
        <v>29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29</v>
      </c>
      <c r="E1090" t="s">
        <v>30</v>
      </c>
      <c r="F1090" t="s">
        <v>29</v>
      </c>
      <c r="G1090" t="s">
        <v>31</v>
      </c>
      <c r="H1090" t="s">
        <v>32</v>
      </c>
      <c r="I1090">
        <v>2065</v>
      </c>
      <c r="J1090">
        <v>15.117049999999999</v>
      </c>
      <c r="K1090" t="s">
        <v>29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29</v>
      </c>
      <c r="E1091" t="s">
        <v>30</v>
      </c>
      <c r="F1091" t="s">
        <v>29</v>
      </c>
      <c r="G1091" t="s">
        <v>31</v>
      </c>
      <c r="H1091" t="s">
        <v>32</v>
      </c>
      <c r="I1091">
        <v>2065</v>
      </c>
      <c r="J1091">
        <v>19.187899999999999</v>
      </c>
      <c r="K1091" t="s">
        <v>29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29</v>
      </c>
      <c r="E1092" t="s">
        <v>30</v>
      </c>
      <c r="F1092" t="s">
        <v>29</v>
      </c>
      <c r="G1092" t="s">
        <v>31</v>
      </c>
      <c r="H1092" t="s">
        <v>32</v>
      </c>
      <c r="I1092">
        <v>2065</v>
      </c>
      <c r="J1092">
        <v>12.338899999999999</v>
      </c>
      <c r="K1092" t="s">
        <v>29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29</v>
      </c>
      <c r="E1093" t="s">
        <v>30</v>
      </c>
      <c r="F1093" t="s">
        <v>29</v>
      </c>
      <c r="G1093" t="s">
        <v>31</v>
      </c>
      <c r="H1093" t="s">
        <v>32</v>
      </c>
      <c r="I1093">
        <v>2065</v>
      </c>
      <c r="J1093">
        <v>34.848349999999996</v>
      </c>
      <c r="K1093" t="s">
        <v>29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2065</v>
      </c>
      <c r="J1094">
        <v>1.8803999999999998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2065</v>
      </c>
      <c r="J1095">
        <v>3.5568999999999997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2065</v>
      </c>
      <c r="J1096">
        <v>2.1503000000000001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2065</v>
      </c>
      <c r="J1097">
        <v>2.2705000000000002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2065</v>
      </c>
      <c r="J1098">
        <v>1.63405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2065</v>
      </c>
      <c r="J1099">
        <v>2.2040999999999999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2065</v>
      </c>
      <c r="J1100">
        <v>1.9075500000000001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2065</v>
      </c>
      <c r="J1101">
        <v>5.5266999999999999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2065</v>
      </c>
      <c r="J1102">
        <v>6.5385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2065</v>
      </c>
      <c r="J1103">
        <v>5.0748999999999995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2065</v>
      </c>
      <c r="J1104">
        <v>5.65855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5.1820000000000004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2065</v>
      </c>
      <c r="J1106">
        <v>5.9593500000000006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2065</v>
      </c>
      <c r="J1107">
        <v>5.8658999999999999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37</v>
      </c>
      <c r="E1108" t="s">
        <v>30</v>
      </c>
      <c r="F1108" t="s">
        <v>37</v>
      </c>
      <c r="G1108" t="s">
        <v>31</v>
      </c>
      <c r="H1108" t="s">
        <v>38</v>
      </c>
      <c r="I1108">
        <v>2065</v>
      </c>
      <c r="J1108">
        <v>208.89075</v>
      </c>
      <c r="K1108" t="s">
        <v>37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37</v>
      </c>
      <c r="E1109" t="s">
        <v>30</v>
      </c>
      <c r="F1109" t="s">
        <v>37</v>
      </c>
      <c r="G1109" t="s">
        <v>31</v>
      </c>
      <c r="H1109" t="s">
        <v>38</v>
      </c>
      <c r="I1109">
        <v>2065</v>
      </c>
      <c r="J1109">
        <v>236.26935</v>
      </c>
      <c r="K1109" t="s">
        <v>37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37</v>
      </c>
      <c r="E1110" t="s">
        <v>30</v>
      </c>
      <c r="F1110" t="s">
        <v>37</v>
      </c>
      <c r="G1110" t="s">
        <v>31</v>
      </c>
      <c r="H1110" t="s">
        <v>38</v>
      </c>
      <c r="I1110">
        <v>2065</v>
      </c>
      <c r="J1110">
        <v>209.59895</v>
      </c>
      <c r="K1110" t="s">
        <v>37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37</v>
      </c>
      <c r="E1111" t="s">
        <v>30</v>
      </c>
      <c r="F1111" t="s">
        <v>37</v>
      </c>
      <c r="G1111" t="s">
        <v>31</v>
      </c>
      <c r="H1111" t="s">
        <v>38</v>
      </c>
      <c r="I1111">
        <v>2065</v>
      </c>
      <c r="J1111">
        <v>216.17214999999999</v>
      </c>
      <c r="K1111" t="s">
        <v>37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37</v>
      </c>
      <c r="E1112" t="s">
        <v>30</v>
      </c>
      <c r="F1112" t="s">
        <v>37</v>
      </c>
      <c r="G1112" t="s">
        <v>31</v>
      </c>
      <c r="H1112" t="s">
        <v>38</v>
      </c>
      <c r="I1112">
        <v>2065</v>
      </c>
      <c r="J1112">
        <v>213.91899999999998</v>
      </c>
      <c r="K1112" t="s">
        <v>37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2065</v>
      </c>
      <c r="J1113">
        <v>223.32920000000001</v>
      </c>
      <c r="K1113" t="s">
        <v>37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2065</v>
      </c>
      <c r="J1114">
        <v>231.2432</v>
      </c>
      <c r="K1114" t="s">
        <v>37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2065</v>
      </c>
      <c r="J1115">
        <v>167.57675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2065</v>
      </c>
      <c r="J1116">
        <v>376.37880000000001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2065</v>
      </c>
      <c r="J1117">
        <v>161.74115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2065</v>
      </c>
      <c r="J1118">
        <v>175.09399999999999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2065</v>
      </c>
      <c r="J1119">
        <v>142.93759999999997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2065</v>
      </c>
      <c r="J1120">
        <v>181.92515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2065</v>
      </c>
      <c r="J1121">
        <v>132.35570000000001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2065</v>
      </c>
      <c r="J1122">
        <v>15.062950000000001</v>
      </c>
      <c r="K1122" t="s">
        <v>51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2065</v>
      </c>
      <c r="J1123">
        <v>218.92615000000001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2065</v>
      </c>
      <c r="J1124">
        <v>8.8506999999999998</v>
      </c>
      <c r="K1124" t="s">
        <v>51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2065</v>
      </c>
      <c r="J1125">
        <v>26.15185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2065</v>
      </c>
      <c r="J1126">
        <v>-3.8224</v>
      </c>
      <c r="K1126" t="s">
        <v>51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26.718350000000001</v>
      </c>
      <c r="K1127" t="s">
        <v>51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2065</v>
      </c>
      <c r="J1128">
        <v>-16.791550000000001</v>
      </c>
      <c r="K1128" t="s">
        <v>51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0.9214</v>
      </c>
      <c r="K1129" t="s">
        <v>45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0</v>
      </c>
      <c r="K1130" t="s">
        <v>45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1.2812000000000001</v>
      </c>
      <c r="K1131" t="s">
        <v>45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3.5200000000000002E-2</v>
      </c>
      <c r="K1132" t="s">
        <v>45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8.4721000000000011</v>
      </c>
      <c r="K1133" t="s">
        <v>45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0.69245000000000001</v>
      </c>
      <c r="K1134" t="s">
        <v>45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17.4054</v>
      </c>
      <c r="K1135" t="s">
        <v>45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24</v>
      </c>
      <c r="E1136" t="s">
        <v>25</v>
      </c>
      <c r="F1136" t="s">
        <v>24</v>
      </c>
      <c r="G1136" t="s">
        <v>26</v>
      </c>
      <c r="H1136" t="s">
        <v>13</v>
      </c>
      <c r="I1136">
        <v>2070</v>
      </c>
      <c r="J1136">
        <v>9.1299999999999992E-2</v>
      </c>
      <c r="K1136" t="s">
        <v>24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24</v>
      </c>
      <c r="E1137" t="s">
        <v>25</v>
      </c>
      <c r="F1137" t="s">
        <v>24</v>
      </c>
      <c r="G1137" t="s">
        <v>26</v>
      </c>
      <c r="H1137" t="s">
        <v>13</v>
      </c>
      <c r="I1137">
        <v>2070</v>
      </c>
      <c r="J1137">
        <v>6.9150000000000003E-2</v>
      </c>
      <c r="K1137" t="s">
        <v>24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24</v>
      </c>
      <c r="E1138" t="s">
        <v>25</v>
      </c>
      <c r="F1138" t="s">
        <v>24</v>
      </c>
      <c r="G1138" t="s">
        <v>26</v>
      </c>
      <c r="H1138" t="s">
        <v>13</v>
      </c>
      <c r="I1138">
        <v>2070</v>
      </c>
      <c r="J1138">
        <v>8.8200000000000001E-2</v>
      </c>
      <c r="K1138" t="s">
        <v>24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24</v>
      </c>
      <c r="E1139" t="s">
        <v>25</v>
      </c>
      <c r="F1139" t="s">
        <v>24</v>
      </c>
      <c r="G1139" t="s">
        <v>26</v>
      </c>
      <c r="H1139" t="s">
        <v>13</v>
      </c>
      <c r="I1139">
        <v>2070</v>
      </c>
      <c r="J1139">
        <v>8.3350000000000007E-2</v>
      </c>
      <c r="K1139" t="s">
        <v>24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24</v>
      </c>
      <c r="E1140" t="s">
        <v>25</v>
      </c>
      <c r="F1140" t="s">
        <v>24</v>
      </c>
      <c r="G1140" t="s">
        <v>26</v>
      </c>
      <c r="H1140" t="s">
        <v>13</v>
      </c>
      <c r="I1140">
        <v>2070</v>
      </c>
      <c r="J1140">
        <v>2.4899999999999999E-2</v>
      </c>
      <c r="K1140" t="s">
        <v>24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24</v>
      </c>
      <c r="E1141" t="s">
        <v>25</v>
      </c>
      <c r="F1141" t="s">
        <v>24</v>
      </c>
      <c r="G1141" t="s">
        <v>26</v>
      </c>
      <c r="H1141" t="s">
        <v>13</v>
      </c>
      <c r="I1141">
        <v>2070</v>
      </c>
      <c r="J1141">
        <v>7.9449999999999993E-2</v>
      </c>
      <c r="K1141" t="s">
        <v>24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24</v>
      </c>
      <c r="E1142" t="s">
        <v>25</v>
      </c>
      <c r="F1142" t="s">
        <v>24</v>
      </c>
      <c r="G1142" t="s">
        <v>26</v>
      </c>
      <c r="H1142" t="s">
        <v>13</v>
      </c>
      <c r="I1142">
        <v>2070</v>
      </c>
      <c r="J1142">
        <v>9.4350000000000003E-2</v>
      </c>
      <c r="K1142" t="s">
        <v>24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28</v>
      </c>
      <c r="E1143" t="s">
        <v>25</v>
      </c>
      <c r="F1143" t="s">
        <v>28</v>
      </c>
      <c r="G1143" t="s">
        <v>26</v>
      </c>
      <c r="H1143" t="s">
        <v>12</v>
      </c>
      <c r="I1143">
        <v>2070</v>
      </c>
      <c r="J1143">
        <v>8.0499999999999988E-2</v>
      </c>
      <c r="K1143" t="s">
        <v>28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28</v>
      </c>
      <c r="E1144" t="s">
        <v>25</v>
      </c>
      <c r="F1144" t="s">
        <v>28</v>
      </c>
      <c r="G1144" t="s">
        <v>26</v>
      </c>
      <c r="H1144" t="s">
        <v>12</v>
      </c>
      <c r="I1144">
        <v>2070</v>
      </c>
      <c r="J1144">
        <v>6.3950000000000007E-2</v>
      </c>
      <c r="K1144" t="s">
        <v>28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28</v>
      </c>
      <c r="E1145" t="s">
        <v>25</v>
      </c>
      <c r="F1145" t="s">
        <v>28</v>
      </c>
      <c r="G1145" t="s">
        <v>26</v>
      </c>
      <c r="H1145" t="s">
        <v>12</v>
      </c>
      <c r="I1145">
        <v>2070</v>
      </c>
      <c r="J1145">
        <v>7.7449999999999991E-2</v>
      </c>
      <c r="K1145" t="s">
        <v>28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28</v>
      </c>
      <c r="E1146" t="s">
        <v>25</v>
      </c>
      <c r="F1146" t="s">
        <v>28</v>
      </c>
      <c r="G1146" t="s">
        <v>26</v>
      </c>
      <c r="H1146" t="s">
        <v>12</v>
      </c>
      <c r="I1146">
        <v>2070</v>
      </c>
      <c r="J1146">
        <v>7.1599999999999997E-2</v>
      </c>
      <c r="K1146" t="s">
        <v>28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28</v>
      </c>
      <c r="E1147" t="s">
        <v>25</v>
      </c>
      <c r="F1147" t="s">
        <v>28</v>
      </c>
      <c r="G1147" t="s">
        <v>26</v>
      </c>
      <c r="H1147" t="s">
        <v>12</v>
      </c>
      <c r="I1147">
        <v>2070</v>
      </c>
      <c r="J1147">
        <v>0.10795</v>
      </c>
      <c r="K1147" t="s">
        <v>28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28</v>
      </c>
      <c r="E1148" t="s">
        <v>25</v>
      </c>
      <c r="F1148" t="s">
        <v>28</v>
      </c>
      <c r="G1148" t="s">
        <v>26</v>
      </c>
      <c r="H1148" t="s">
        <v>12</v>
      </c>
      <c r="I1148">
        <v>2070</v>
      </c>
      <c r="J1148">
        <v>7.1199999999999999E-2</v>
      </c>
      <c r="K1148" t="s">
        <v>28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28</v>
      </c>
      <c r="E1149" t="s">
        <v>25</v>
      </c>
      <c r="F1149" t="s">
        <v>28</v>
      </c>
      <c r="G1149" t="s">
        <v>26</v>
      </c>
      <c r="H1149" t="s">
        <v>12</v>
      </c>
      <c r="I1149">
        <v>2070</v>
      </c>
      <c r="J1149">
        <v>8.695E-2</v>
      </c>
      <c r="K1149" t="s">
        <v>28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27</v>
      </c>
      <c r="E1150" t="s">
        <v>25</v>
      </c>
      <c r="F1150" t="s">
        <v>27</v>
      </c>
      <c r="G1150" t="s">
        <v>26</v>
      </c>
      <c r="H1150" t="s">
        <v>10</v>
      </c>
      <c r="I1150">
        <v>2070</v>
      </c>
      <c r="J1150">
        <v>3.2850000000000004E-2</v>
      </c>
      <c r="K1150" t="s">
        <v>27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27</v>
      </c>
      <c r="E1151" t="s">
        <v>25</v>
      </c>
      <c r="F1151" t="s">
        <v>27</v>
      </c>
      <c r="G1151" t="s">
        <v>26</v>
      </c>
      <c r="H1151" t="s">
        <v>10</v>
      </c>
      <c r="I1151">
        <v>2070</v>
      </c>
      <c r="J1151">
        <v>2.2350000000000002E-2</v>
      </c>
      <c r="K1151" t="s">
        <v>27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27</v>
      </c>
      <c r="E1152" t="s">
        <v>25</v>
      </c>
      <c r="F1152" t="s">
        <v>27</v>
      </c>
      <c r="G1152" t="s">
        <v>26</v>
      </c>
      <c r="H1152" t="s">
        <v>10</v>
      </c>
      <c r="I1152">
        <v>2070</v>
      </c>
      <c r="J1152">
        <v>2.81E-2</v>
      </c>
      <c r="K1152" t="s">
        <v>27</v>
      </c>
    </row>
    <row r="1153" spans="1:12" x14ac:dyDescent="0.45">
      <c r="A1153" t="s">
        <v>90</v>
      </c>
      <c r="B1153" t="s">
        <v>6</v>
      </c>
      <c r="C1153" t="s">
        <v>84</v>
      </c>
      <c r="D1153" t="s">
        <v>27</v>
      </c>
      <c r="E1153" t="s">
        <v>25</v>
      </c>
      <c r="F1153" t="s">
        <v>27</v>
      </c>
      <c r="G1153" t="s">
        <v>26</v>
      </c>
      <c r="H1153" t="s">
        <v>10</v>
      </c>
      <c r="I1153">
        <v>2070</v>
      </c>
      <c r="J1153">
        <v>2.6250000000000002E-2</v>
      </c>
      <c r="K1153" t="s">
        <v>27</v>
      </c>
    </row>
    <row r="1154" spans="1:12" x14ac:dyDescent="0.45">
      <c r="A1154" t="s">
        <v>90</v>
      </c>
      <c r="B1154" t="s">
        <v>5</v>
      </c>
      <c r="C1154" t="s">
        <v>84</v>
      </c>
      <c r="D1154" t="s">
        <v>27</v>
      </c>
      <c r="E1154" t="s">
        <v>25</v>
      </c>
      <c r="F1154" t="s">
        <v>27</v>
      </c>
      <c r="G1154" t="s">
        <v>26</v>
      </c>
      <c r="H1154" t="s">
        <v>10</v>
      </c>
      <c r="I1154">
        <v>2070</v>
      </c>
      <c r="J1154">
        <v>5.2850000000000001E-2</v>
      </c>
      <c r="K1154" t="s">
        <v>27</v>
      </c>
    </row>
    <row r="1155" spans="1:12" x14ac:dyDescent="0.45">
      <c r="A1155" t="s">
        <v>90</v>
      </c>
      <c r="B1155" t="s">
        <v>2</v>
      </c>
      <c r="C1155" t="s">
        <v>84</v>
      </c>
      <c r="D1155" t="s">
        <v>27</v>
      </c>
      <c r="E1155" t="s">
        <v>25</v>
      </c>
      <c r="F1155" t="s">
        <v>27</v>
      </c>
      <c r="G1155" t="s">
        <v>26</v>
      </c>
      <c r="H1155" t="s">
        <v>10</v>
      </c>
      <c r="I1155">
        <v>2070</v>
      </c>
      <c r="J1155">
        <v>2.4649999999999998E-2</v>
      </c>
      <c r="K1155" t="s">
        <v>27</v>
      </c>
    </row>
    <row r="1156" spans="1:12" x14ac:dyDescent="0.45">
      <c r="A1156" t="s">
        <v>90</v>
      </c>
      <c r="B1156" t="s">
        <v>1</v>
      </c>
      <c r="C1156" t="s">
        <v>84</v>
      </c>
      <c r="D1156" t="s">
        <v>27</v>
      </c>
      <c r="E1156" t="s">
        <v>25</v>
      </c>
      <c r="F1156" t="s">
        <v>27</v>
      </c>
      <c r="G1156" t="s">
        <v>26</v>
      </c>
      <c r="H1156" t="s">
        <v>10</v>
      </c>
      <c r="I1156">
        <v>2070</v>
      </c>
      <c r="J1156">
        <v>3.7999999999999999E-2</v>
      </c>
      <c r="K1156" t="s">
        <v>27</v>
      </c>
    </row>
    <row r="1157" spans="1:12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2070</v>
      </c>
      <c r="J1157">
        <v>4.5999999999999999E-2</v>
      </c>
      <c r="K1157" t="s">
        <v>85</v>
      </c>
    </row>
    <row r="1158" spans="1:12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2070</v>
      </c>
      <c r="J1158">
        <v>4.3249999999999997E-2</v>
      </c>
      <c r="K1158" t="s">
        <v>85</v>
      </c>
    </row>
    <row r="1159" spans="1:12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2070</v>
      </c>
      <c r="J1159">
        <v>4.8399999999999999E-2</v>
      </c>
      <c r="K1159" t="s">
        <v>85</v>
      </c>
    </row>
    <row r="1160" spans="1:12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2070</v>
      </c>
      <c r="J1160">
        <v>0.12920000000000001</v>
      </c>
      <c r="K1160" t="s">
        <v>85</v>
      </c>
    </row>
    <row r="1161" spans="1:12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2070</v>
      </c>
      <c r="J1161">
        <v>3.2750000000000001E-2</v>
      </c>
      <c r="K1161" t="s">
        <v>85</v>
      </c>
    </row>
    <row r="1162" spans="1:12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5.525E-2</v>
      </c>
      <c r="K1162" t="s">
        <v>85</v>
      </c>
    </row>
    <row r="1163" spans="1:12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2070</v>
      </c>
      <c r="J1163">
        <v>0.1169</v>
      </c>
      <c r="K1163" t="s">
        <v>85</v>
      </c>
    </row>
    <row r="1164" spans="1:12" x14ac:dyDescent="0.45">
      <c r="A1164" t="s">
        <v>90</v>
      </c>
      <c r="B1164" t="s">
        <v>3</v>
      </c>
      <c r="C1164" t="s">
        <v>84</v>
      </c>
      <c r="D1164" t="s">
        <v>52</v>
      </c>
      <c r="E1164" t="s">
        <v>25</v>
      </c>
      <c r="F1164" t="s">
        <v>52</v>
      </c>
      <c r="G1164" t="s">
        <v>71</v>
      </c>
      <c r="H1164" t="s">
        <v>89</v>
      </c>
      <c r="I1164">
        <v>2070</v>
      </c>
      <c r="J1164">
        <v>0</v>
      </c>
      <c r="K1164" t="s">
        <v>52</v>
      </c>
      <c r="L1164">
        <v>94</v>
      </c>
    </row>
    <row r="1165" spans="1:12" x14ac:dyDescent="0.45">
      <c r="A1165" t="s">
        <v>90</v>
      </c>
      <c r="B1165" t="s">
        <v>4</v>
      </c>
      <c r="C1165" t="s">
        <v>84</v>
      </c>
      <c r="D1165" t="s">
        <v>52</v>
      </c>
      <c r="E1165" t="s">
        <v>25</v>
      </c>
      <c r="F1165" t="s">
        <v>52</v>
      </c>
      <c r="G1165" t="s">
        <v>71</v>
      </c>
      <c r="H1165" t="s">
        <v>89</v>
      </c>
      <c r="I1165">
        <v>2070</v>
      </c>
      <c r="J1165">
        <v>1.9999999999999998E-4</v>
      </c>
      <c r="K1165" t="s">
        <v>52</v>
      </c>
      <c r="L1165">
        <v>94</v>
      </c>
    </row>
    <row r="1166" spans="1:12" x14ac:dyDescent="0.45">
      <c r="A1166" t="s">
        <v>90</v>
      </c>
      <c r="B1166" t="s">
        <v>0</v>
      </c>
      <c r="C1166" t="s">
        <v>84</v>
      </c>
      <c r="D1166" t="s">
        <v>52</v>
      </c>
      <c r="E1166" t="s">
        <v>25</v>
      </c>
      <c r="F1166" t="s">
        <v>52</v>
      </c>
      <c r="G1166" t="s">
        <v>71</v>
      </c>
      <c r="H1166" t="s">
        <v>89</v>
      </c>
      <c r="I1166">
        <v>2070</v>
      </c>
      <c r="J1166">
        <v>0</v>
      </c>
      <c r="K1166" t="s">
        <v>52</v>
      </c>
      <c r="L1166">
        <v>94</v>
      </c>
    </row>
    <row r="1167" spans="1:12" x14ac:dyDescent="0.45">
      <c r="A1167" t="s">
        <v>90</v>
      </c>
      <c r="B1167" t="s">
        <v>6</v>
      </c>
      <c r="C1167" t="s">
        <v>84</v>
      </c>
      <c r="D1167" t="s">
        <v>52</v>
      </c>
      <c r="E1167" t="s">
        <v>25</v>
      </c>
      <c r="F1167" t="s">
        <v>52</v>
      </c>
      <c r="G1167" t="s">
        <v>71</v>
      </c>
      <c r="H1167" t="s">
        <v>89</v>
      </c>
      <c r="I1167">
        <v>2070</v>
      </c>
      <c r="J1167">
        <v>4.0499999999999998E-3</v>
      </c>
      <c r="K1167" t="s">
        <v>52</v>
      </c>
      <c r="L1167">
        <v>94</v>
      </c>
    </row>
    <row r="1168" spans="1:12" x14ac:dyDescent="0.45">
      <c r="A1168" t="s">
        <v>90</v>
      </c>
      <c r="B1168" t="s">
        <v>5</v>
      </c>
      <c r="C1168" t="s">
        <v>84</v>
      </c>
      <c r="D1168" t="s">
        <v>52</v>
      </c>
      <c r="E1168" t="s">
        <v>25</v>
      </c>
      <c r="F1168" t="s">
        <v>52</v>
      </c>
      <c r="G1168" t="s">
        <v>71</v>
      </c>
      <c r="H1168" t="s">
        <v>89</v>
      </c>
      <c r="I1168">
        <v>2070</v>
      </c>
      <c r="J1168">
        <v>0</v>
      </c>
      <c r="K1168" t="s">
        <v>52</v>
      </c>
      <c r="L1168">
        <v>94</v>
      </c>
    </row>
    <row r="1169" spans="1:12" x14ac:dyDescent="0.45">
      <c r="A1169" t="s">
        <v>90</v>
      </c>
      <c r="B1169" t="s">
        <v>2</v>
      </c>
      <c r="C1169" t="s">
        <v>84</v>
      </c>
      <c r="D1169" t="s">
        <v>52</v>
      </c>
      <c r="E1169" t="s">
        <v>25</v>
      </c>
      <c r="F1169" t="s">
        <v>52</v>
      </c>
      <c r="G1169" t="s">
        <v>71</v>
      </c>
      <c r="H1169" t="s">
        <v>89</v>
      </c>
      <c r="I1169">
        <v>2070</v>
      </c>
      <c r="J1169">
        <v>5.0000000000000002E-5</v>
      </c>
      <c r="K1169" t="s">
        <v>52</v>
      </c>
      <c r="L1169">
        <v>94</v>
      </c>
    </row>
    <row r="1170" spans="1:12" x14ac:dyDescent="0.45">
      <c r="A1170" t="s">
        <v>90</v>
      </c>
      <c r="B1170" t="s">
        <v>1</v>
      </c>
      <c r="C1170" t="s">
        <v>84</v>
      </c>
      <c r="D1170" t="s">
        <v>52</v>
      </c>
      <c r="E1170" t="s">
        <v>25</v>
      </c>
      <c r="F1170" t="s">
        <v>52</v>
      </c>
      <c r="G1170" t="s">
        <v>71</v>
      </c>
      <c r="H1170" t="s">
        <v>89</v>
      </c>
      <c r="I1170">
        <v>2070</v>
      </c>
      <c r="J1170">
        <v>0</v>
      </c>
      <c r="K1170" t="s">
        <v>52</v>
      </c>
      <c r="L1170">
        <v>94</v>
      </c>
    </row>
    <row r="1171" spans="1:12" x14ac:dyDescent="0.45">
      <c r="A1171" t="s">
        <v>90</v>
      </c>
      <c r="B1171" t="s">
        <v>3</v>
      </c>
      <c r="C1171" t="s">
        <v>84</v>
      </c>
      <c r="D1171" t="s">
        <v>53</v>
      </c>
      <c r="E1171" t="s">
        <v>25</v>
      </c>
      <c r="F1171" t="s">
        <v>53</v>
      </c>
      <c r="G1171" t="s">
        <v>71</v>
      </c>
      <c r="H1171" t="s">
        <v>89</v>
      </c>
      <c r="I1171">
        <v>2070</v>
      </c>
      <c r="J1171">
        <v>1E-4</v>
      </c>
      <c r="K1171" t="s">
        <v>53</v>
      </c>
      <c r="L1171">
        <v>55</v>
      </c>
    </row>
    <row r="1172" spans="1:12" x14ac:dyDescent="0.45">
      <c r="A1172" t="s">
        <v>90</v>
      </c>
      <c r="B1172" t="s">
        <v>4</v>
      </c>
      <c r="C1172" t="s">
        <v>84</v>
      </c>
      <c r="D1172" t="s">
        <v>53</v>
      </c>
      <c r="E1172" t="s">
        <v>25</v>
      </c>
      <c r="F1172" t="s">
        <v>53</v>
      </c>
      <c r="G1172" t="s">
        <v>71</v>
      </c>
      <c r="H1172" t="s">
        <v>89</v>
      </c>
      <c r="I1172">
        <v>2070</v>
      </c>
      <c r="J1172">
        <v>2.9999999999999997E-4</v>
      </c>
      <c r="K1172" t="s">
        <v>53</v>
      </c>
      <c r="L1172">
        <v>55</v>
      </c>
    </row>
    <row r="1173" spans="1:12" x14ac:dyDescent="0.45">
      <c r="A1173" t="s">
        <v>90</v>
      </c>
      <c r="B1173" t="s">
        <v>0</v>
      </c>
      <c r="C1173" t="s">
        <v>84</v>
      </c>
      <c r="D1173" t="s">
        <v>53</v>
      </c>
      <c r="E1173" t="s">
        <v>25</v>
      </c>
      <c r="F1173" t="s">
        <v>53</v>
      </c>
      <c r="G1173" t="s">
        <v>71</v>
      </c>
      <c r="H1173" t="s">
        <v>89</v>
      </c>
      <c r="I1173">
        <v>2070</v>
      </c>
      <c r="J1173">
        <v>0</v>
      </c>
      <c r="K1173" t="s">
        <v>53</v>
      </c>
      <c r="L1173">
        <v>55</v>
      </c>
    </row>
    <row r="1174" spans="1:12" x14ac:dyDescent="0.45">
      <c r="A1174" t="s">
        <v>90</v>
      </c>
      <c r="B1174" t="s">
        <v>6</v>
      </c>
      <c r="C1174" t="s">
        <v>84</v>
      </c>
      <c r="D1174" t="s">
        <v>53</v>
      </c>
      <c r="E1174" t="s">
        <v>25</v>
      </c>
      <c r="F1174" t="s">
        <v>53</v>
      </c>
      <c r="G1174" t="s">
        <v>71</v>
      </c>
      <c r="H1174" t="s">
        <v>89</v>
      </c>
      <c r="I1174">
        <v>2070</v>
      </c>
      <c r="J1174">
        <v>3.9999999999999996E-4</v>
      </c>
      <c r="K1174" t="s">
        <v>53</v>
      </c>
      <c r="L1174">
        <v>55</v>
      </c>
    </row>
    <row r="1175" spans="1:12" x14ac:dyDescent="0.45">
      <c r="A1175" t="s">
        <v>90</v>
      </c>
      <c r="B1175" t="s">
        <v>5</v>
      </c>
      <c r="C1175" t="s">
        <v>84</v>
      </c>
      <c r="D1175" t="s">
        <v>53</v>
      </c>
      <c r="E1175" t="s">
        <v>25</v>
      </c>
      <c r="F1175" t="s">
        <v>53</v>
      </c>
      <c r="G1175" t="s">
        <v>71</v>
      </c>
      <c r="H1175" t="s">
        <v>89</v>
      </c>
      <c r="I1175">
        <v>2070</v>
      </c>
      <c r="J1175">
        <v>0</v>
      </c>
      <c r="K1175" t="s">
        <v>53</v>
      </c>
      <c r="L1175">
        <v>55</v>
      </c>
    </row>
    <row r="1176" spans="1:12" x14ac:dyDescent="0.45">
      <c r="A1176" t="s">
        <v>90</v>
      </c>
      <c r="B1176" t="s">
        <v>2</v>
      </c>
      <c r="C1176" t="s">
        <v>84</v>
      </c>
      <c r="D1176" t="s">
        <v>53</v>
      </c>
      <c r="E1176" t="s">
        <v>25</v>
      </c>
      <c r="F1176" t="s">
        <v>53</v>
      </c>
      <c r="G1176" t="s">
        <v>71</v>
      </c>
      <c r="H1176" t="s">
        <v>89</v>
      </c>
      <c r="I1176">
        <v>2070</v>
      </c>
      <c r="J1176">
        <v>4.0000000000000002E-4</v>
      </c>
      <c r="K1176" t="s">
        <v>53</v>
      </c>
      <c r="L1176">
        <v>55</v>
      </c>
    </row>
    <row r="1177" spans="1:12" x14ac:dyDescent="0.45">
      <c r="A1177" t="s">
        <v>90</v>
      </c>
      <c r="B1177" t="s">
        <v>1</v>
      </c>
      <c r="C1177" t="s">
        <v>84</v>
      </c>
      <c r="D1177" t="s">
        <v>53</v>
      </c>
      <c r="E1177" t="s">
        <v>25</v>
      </c>
      <c r="F1177" t="s">
        <v>53</v>
      </c>
      <c r="G1177" t="s">
        <v>71</v>
      </c>
      <c r="H1177" t="s">
        <v>89</v>
      </c>
      <c r="I1177">
        <v>2070</v>
      </c>
      <c r="J1177">
        <v>0</v>
      </c>
      <c r="K1177" t="s">
        <v>53</v>
      </c>
      <c r="L1177">
        <v>55</v>
      </c>
    </row>
    <row r="1178" spans="1:12" x14ac:dyDescent="0.45">
      <c r="A1178" t="s">
        <v>90</v>
      </c>
      <c r="B1178" t="s">
        <v>3</v>
      </c>
      <c r="C1178" t="s">
        <v>84</v>
      </c>
      <c r="D1178" t="s">
        <v>54</v>
      </c>
      <c r="E1178" t="s">
        <v>25</v>
      </c>
      <c r="F1178" t="s">
        <v>54</v>
      </c>
      <c r="G1178" t="s">
        <v>71</v>
      </c>
      <c r="H1178" t="s">
        <v>89</v>
      </c>
      <c r="I1178">
        <v>2070</v>
      </c>
      <c r="J1178">
        <v>0</v>
      </c>
      <c r="K1178" t="s">
        <v>54</v>
      </c>
      <c r="L1178">
        <v>70</v>
      </c>
    </row>
    <row r="1179" spans="1:12" x14ac:dyDescent="0.45">
      <c r="A1179" t="s">
        <v>90</v>
      </c>
      <c r="B1179" t="s">
        <v>4</v>
      </c>
      <c r="C1179" t="s">
        <v>84</v>
      </c>
      <c r="D1179" t="s">
        <v>54</v>
      </c>
      <c r="E1179" t="s">
        <v>25</v>
      </c>
      <c r="F1179" t="s">
        <v>54</v>
      </c>
      <c r="G1179" t="s">
        <v>71</v>
      </c>
      <c r="H1179" t="s">
        <v>89</v>
      </c>
      <c r="I1179">
        <v>2070</v>
      </c>
      <c r="J1179">
        <v>0</v>
      </c>
      <c r="K1179" t="s">
        <v>54</v>
      </c>
      <c r="L1179">
        <v>70</v>
      </c>
    </row>
    <row r="1180" spans="1:12" x14ac:dyDescent="0.45">
      <c r="A1180" t="s">
        <v>90</v>
      </c>
      <c r="B1180" t="s">
        <v>0</v>
      </c>
      <c r="C1180" t="s">
        <v>84</v>
      </c>
      <c r="D1180" t="s">
        <v>54</v>
      </c>
      <c r="E1180" t="s">
        <v>25</v>
      </c>
      <c r="F1180" t="s">
        <v>54</v>
      </c>
      <c r="G1180" t="s">
        <v>71</v>
      </c>
      <c r="H1180" t="s">
        <v>89</v>
      </c>
      <c r="I1180">
        <v>2070</v>
      </c>
      <c r="J1180">
        <v>0</v>
      </c>
      <c r="K1180" t="s">
        <v>54</v>
      </c>
      <c r="L1180">
        <v>70</v>
      </c>
    </row>
    <row r="1181" spans="1:12" x14ac:dyDescent="0.45">
      <c r="A1181" t="s">
        <v>90</v>
      </c>
      <c r="B1181" t="s">
        <v>6</v>
      </c>
      <c r="C1181" t="s">
        <v>84</v>
      </c>
      <c r="D1181" t="s">
        <v>54</v>
      </c>
      <c r="E1181" t="s">
        <v>25</v>
      </c>
      <c r="F1181" t="s">
        <v>54</v>
      </c>
      <c r="G1181" t="s">
        <v>71</v>
      </c>
      <c r="H1181" t="s">
        <v>89</v>
      </c>
      <c r="I1181">
        <v>2070</v>
      </c>
      <c r="J1181">
        <v>0</v>
      </c>
      <c r="K1181" t="s">
        <v>54</v>
      </c>
      <c r="L1181">
        <v>70</v>
      </c>
    </row>
    <row r="1182" spans="1:12" x14ac:dyDescent="0.45">
      <c r="A1182" t="s">
        <v>90</v>
      </c>
      <c r="B1182" t="s">
        <v>5</v>
      </c>
      <c r="C1182" t="s">
        <v>84</v>
      </c>
      <c r="D1182" t="s">
        <v>54</v>
      </c>
      <c r="E1182" t="s">
        <v>25</v>
      </c>
      <c r="F1182" t="s">
        <v>54</v>
      </c>
      <c r="G1182" t="s">
        <v>71</v>
      </c>
      <c r="H1182" t="s">
        <v>89</v>
      </c>
      <c r="I1182">
        <v>2070</v>
      </c>
      <c r="J1182">
        <v>0</v>
      </c>
      <c r="K1182" t="s">
        <v>54</v>
      </c>
      <c r="L1182">
        <v>70</v>
      </c>
    </row>
    <row r="1183" spans="1:12" x14ac:dyDescent="0.45">
      <c r="A1183" t="s">
        <v>90</v>
      </c>
      <c r="B1183" t="s">
        <v>2</v>
      </c>
      <c r="C1183" t="s">
        <v>84</v>
      </c>
      <c r="D1183" t="s">
        <v>54</v>
      </c>
      <c r="E1183" t="s">
        <v>25</v>
      </c>
      <c r="F1183" t="s">
        <v>54</v>
      </c>
      <c r="G1183" t="s">
        <v>71</v>
      </c>
      <c r="H1183" t="s">
        <v>89</v>
      </c>
      <c r="I1183">
        <v>2070</v>
      </c>
      <c r="J1183">
        <v>0</v>
      </c>
      <c r="K1183" t="s">
        <v>54</v>
      </c>
      <c r="L1183">
        <v>70</v>
      </c>
    </row>
    <row r="1184" spans="1:12" x14ac:dyDescent="0.45">
      <c r="A1184" t="s">
        <v>90</v>
      </c>
      <c r="B1184" t="s">
        <v>1</v>
      </c>
      <c r="C1184" t="s">
        <v>84</v>
      </c>
      <c r="D1184" t="s">
        <v>54</v>
      </c>
      <c r="E1184" t="s">
        <v>25</v>
      </c>
      <c r="F1184" t="s">
        <v>54</v>
      </c>
      <c r="G1184" t="s">
        <v>71</v>
      </c>
      <c r="H1184" t="s">
        <v>89</v>
      </c>
      <c r="I1184">
        <v>2070</v>
      </c>
      <c r="J1184">
        <v>0</v>
      </c>
      <c r="K1184" t="s">
        <v>54</v>
      </c>
      <c r="L1184">
        <v>70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2070</v>
      </c>
      <c r="J1185">
        <v>12.497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2070</v>
      </c>
      <c r="J1186">
        <v>7.1266999999999996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2070</v>
      </c>
      <c r="J1187">
        <v>22.572700000000001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2070</v>
      </c>
      <c r="J1188">
        <v>15.547899999999998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2070</v>
      </c>
      <c r="J1189">
        <v>16.913249999999998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2070</v>
      </c>
      <c r="J1190">
        <v>11.61825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2070</v>
      </c>
      <c r="J1191">
        <v>35.174599999999998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2070</v>
      </c>
      <c r="J1192">
        <v>1.8557000000000001</v>
      </c>
      <c r="K1192" t="s">
        <v>33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33</v>
      </c>
      <c r="E1193" t="s">
        <v>30</v>
      </c>
      <c r="F1193" t="s">
        <v>33</v>
      </c>
      <c r="G1193" t="s">
        <v>31</v>
      </c>
      <c r="H1193" t="s">
        <v>34</v>
      </c>
      <c r="I1193">
        <v>2070</v>
      </c>
      <c r="J1193">
        <v>3.7039</v>
      </c>
      <c r="K1193" t="s">
        <v>33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2070</v>
      </c>
      <c r="J1194">
        <v>2.1193999999999997</v>
      </c>
      <c r="K1194" t="s">
        <v>33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33</v>
      </c>
      <c r="E1195" t="s">
        <v>30</v>
      </c>
      <c r="F1195" t="s">
        <v>33</v>
      </c>
      <c r="G1195" t="s">
        <v>31</v>
      </c>
      <c r="H1195" t="s">
        <v>34</v>
      </c>
      <c r="I1195">
        <v>2070</v>
      </c>
      <c r="J1195">
        <v>2.2568000000000001</v>
      </c>
      <c r="K1195" t="s">
        <v>33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2070</v>
      </c>
      <c r="J1196">
        <v>1.7535500000000002</v>
      </c>
      <c r="K1196" t="s">
        <v>33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33</v>
      </c>
      <c r="E1197" t="s">
        <v>30</v>
      </c>
      <c r="F1197" t="s">
        <v>33</v>
      </c>
      <c r="G1197" t="s">
        <v>31</v>
      </c>
      <c r="H1197" t="s">
        <v>34</v>
      </c>
      <c r="I1197">
        <v>2070</v>
      </c>
      <c r="J1197">
        <v>2.0681500000000002</v>
      </c>
      <c r="K1197" t="s">
        <v>33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2070</v>
      </c>
      <c r="J1198">
        <v>1.9191499999999999</v>
      </c>
      <c r="K1198" t="s">
        <v>33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2070</v>
      </c>
      <c r="J1199">
        <v>5.2081999999999997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2070</v>
      </c>
      <c r="J1200">
        <v>6.4105500000000006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2070</v>
      </c>
      <c r="J1201">
        <v>4.9635999999999996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2070</v>
      </c>
      <c r="J1202">
        <v>5.4417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2070</v>
      </c>
      <c r="J1203">
        <v>5.3000500000000006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2070</v>
      </c>
      <c r="J1204">
        <v>5.7826500000000003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2070</v>
      </c>
      <c r="J1205">
        <v>6.1738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37</v>
      </c>
      <c r="E1206" t="s">
        <v>30</v>
      </c>
      <c r="F1206" t="s">
        <v>37</v>
      </c>
      <c r="G1206" t="s">
        <v>31</v>
      </c>
      <c r="H1206" t="s">
        <v>38</v>
      </c>
      <c r="I1206">
        <v>2070</v>
      </c>
      <c r="J1206">
        <v>242.73840000000001</v>
      </c>
      <c r="K1206" t="s">
        <v>37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37</v>
      </c>
      <c r="E1207" t="s">
        <v>30</v>
      </c>
      <c r="F1207" t="s">
        <v>37</v>
      </c>
      <c r="G1207" t="s">
        <v>31</v>
      </c>
      <c r="H1207" t="s">
        <v>38</v>
      </c>
      <c r="I1207">
        <v>2070</v>
      </c>
      <c r="J1207">
        <v>274.87090000000001</v>
      </c>
      <c r="K1207" t="s">
        <v>37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2070</v>
      </c>
      <c r="J1208">
        <v>244.11335</v>
      </c>
      <c r="K1208" t="s">
        <v>37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37</v>
      </c>
      <c r="E1209" t="s">
        <v>30</v>
      </c>
      <c r="F1209" t="s">
        <v>37</v>
      </c>
      <c r="G1209" t="s">
        <v>31</v>
      </c>
      <c r="H1209" t="s">
        <v>38</v>
      </c>
      <c r="I1209">
        <v>2070</v>
      </c>
      <c r="J1209">
        <v>252.55079999999998</v>
      </c>
      <c r="K1209" t="s">
        <v>37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37</v>
      </c>
      <c r="E1210" t="s">
        <v>30</v>
      </c>
      <c r="F1210" t="s">
        <v>37</v>
      </c>
      <c r="G1210" t="s">
        <v>31</v>
      </c>
      <c r="H1210" t="s">
        <v>38</v>
      </c>
      <c r="I1210">
        <v>2070</v>
      </c>
      <c r="J1210">
        <v>247.84360000000001</v>
      </c>
      <c r="K1210" t="s">
        <v>37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37</v>
      </c>
      <c r="E1211" t="s">
        <v>30</v>
      </c>
      <c r="F1211" t="s">
        <v>37</v>
      </c>
      <c r="G1211" t="s">
        <v>31</v>
      </c>
      <c r="H1211" t="s">
        <v>38</v>
      </c>
      <c r="I1211">
        <v>2070</v>
      </c>
      <c r="J1211">
        <v>258.39369999999997</v>
      </c>
      <c r="K1211" t="s">
        <v>37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2070</v>
      </c>
      <c r="J1212">
        <v>278.58215000000001</v>
      </c>
      <c r="K1212" t="s">
        <v>37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166.41675000000001</v>
      </c>
      <c r="K1213" t="s">
        <v>48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2070</v>
      </c>
      <c r="J1214">
        <v>317.09090000000003</v>
      </c>
      <c r="K1214" t="s">
        <v>48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2070</v>
      </c>
      <c r="J1215">
        <v>162.8048</v>
      </c>
      <c r="K1215" t="s">
        <v>48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2070</v>
      </c>
      <c r="J1216">
        <v>175.32210000000001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2070</v>
      </c>
      <c r="J1217">
        <v>143.23000000000002</v>
      </c>
      <c r="K1217" t="s">
        <v>48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2070</v>
      </c>
      <c r="J1218">
        <v>182.02760000000001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2070</v>
      </c>
      <c r="J1219">
        <v>133.12430000000001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2070</v>
      </c>
      <c r="J1220">
        <v>13.242650000000001</v>
      </c>
      <c r="K1220" t="s">
        <v>51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2070</v>
      </c>
      <c r="J1221">
        <v>158.39435</v>
      </c>
      <c r="K1221" t="s">
        <v>51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2070</v>
      </c>
      <c r="J1222">
        <v>9.3633999999999986</v>
      </c>
      <c r="K1222" t="s">
        <v>51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2070</v>
      </c>
      <c r="J1223">
        <v>25.126049999999999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2070</v>
      </c>
      <c r="J1224">
        <v>-3.0070999999999999</v>
      </c>
      <c r="K1224" t="s">
        <v>51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2070</v>
      </c>
      <c r="J1225">
        <v>25.202349999999999</v>
      </c>
      <c r="K1225" t="s">
        <v>51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2070</v>
      </c>
      <c r="J1226">
        <v>-15.428650000000001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3.3387500000000001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0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0.97960000000000003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2.8249999999999997E-2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7.0677500000000002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0.51334999999999997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14.96505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24</v>
      </c>
      <c r="E1234" t="s">
        <v>25</v>
      </c>
      <c r="F1234" t="s">
        <v>24</v>
      </c>
      <c r="G1234" t="s">
        <v>26</v>
      </c>
      <c r="H1234" t="s">
        <v>13</v>
      </c>
      <c r="I1234">
        <v>2075</v>
      </c>
      <c r="J1234">
        <v>0.09</v>
      </c>
      <c r="K1234" t="s">
        <v>24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24</v>
      </c>
      <c r="E1235" t="s">
        <v>25</v>
      </c>
      <c r="F1235" t="s">
        <v>24</v>
      </c>
      <c r="G1235" t="s">
        <v>26</v>
      </c>
      <c r="H1235" t="s">
        <v>13</v>
      </c>
      <c r="I1235">
        <v>2075</v>
      </c>
      <c r="J1235">
        <v>6.989999999999999E-2</v>
      </c>
      <c r="K1235" t="s">
        <v>24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24</v>
      </c>
      <c r="E1236" t="s">
        <v>25</v>
      </c>
      <c r="F1236" t="s">
        <v>24</v>
      </c>
      <c r="G1236" t="s">
        <v>26</v>
      </c>
      <c r="H1236" t="s">
        <v>13</v>
      </c>
      <c r="I1236">
        <v>2075</v>
      </c>
      <c r="J1236">
        <v>8.795E-2</v>
      </c>
      <c r="K1236" t="s">
        <v>24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24</v>
      </c>
      <c r="E1237" t="s">
        <v>25</v>
      </c>
      <c r="F1237" t="s">
        <v>24</v>
      </c>
      <c r="G1237" t="s">
        <v>26</v>
      </c>
      <c r="H1237" t="s">
        <v>13</v>
      </c>
      <c r="I1237">
        <v>2075</v>
      </c>
      <c r="J1237">
        <v>8.2449999999999996E-2</v>
      </c>
      <c r="K1237" t="s">
        <v>24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24</v>
      </c>
      <c r="E1238" t="s">
        <v>25</v>
      </c>
      <c r="F1238" t="s">
        <v>24</v>
      </c>
      <c r="G1238" t="s">
        <v>26</v>
      </c>
      <c r="H1238" t="s">
        <v>13</v>
      </c>
      <c r="I1238">
        <v>2075</v>
      </c>
      <c r="J1238">
        <v>2.35E-2</v>
      </c>
      <c r="K1238" t="s">
        <v>24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24</v>
      </c>
      <c r="E1239" t="s">
        <v>25</v>
      </c>
      <c r="F1239" t="s">
        <v>24</v>
      </c>
      <c r="G1239" t="s">
        <v>26</v>
      </c>
      <c r="H1239" t="s">
        <v>13</v>
      </c>
      <c r="I1239">
        <v>2075</v>
      </c>
      <c r="J1239">
        <v>7.8850000000000003E-2</v>
      </c>
      <c r="K1239" t="s">
        <v>24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24</v>
      </c>
      <c r="E1240" t="s">
        <v>25</v>
      </c>
      <c r="F1240" t="s">
        <v>24</v>
      </c>
      <c r="G1240" t="s">
        <v>26</v>
      </c>
      <c r="H1240" t="s">
        <v>13</v>
      </c>
      <c r="I1240">
        <v>2075</v>
      </c>
      <c r="J1240">
        <v>9.64E-2</v>
      </c>
      <c r="K1240" t="s">
        <v>24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28</v>
      </c>
      <c r="E1241" t="s">
        <v>25</v>
      </c>
      <c r="F1241" t="s">
        <v>28</v>
      </c>
      <c r="G1241" t="s">
        <v>26</v>
      </c>
      <c r="H1241" t="s">
        <v>12</v>
      </c>
      <c r="I1241">
        <v>2075</v>
      </c>
      <c r="J1241">
        <v>0.10339999999999999</v>
      </c>
      <c r="K1241" t="s">
        <v>28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28</v>
      </c>
      <c r="E1242" t="s">
        <v>25</v>
      </c>
      <c r="F1242" t="s">
        <v>28</v>
      </c>
      <c r="G1242" t="s">
        <v>26</v>
      </c>
      <c r="H1242" t="s">
        <v>12</v>
      </c>
      <c r="I1242">
        <v>2075</v>
      </c>
      <c r="J1242">
        <v>8.3000000000000004E-2</v>
      </c>
      <c r="K1242" t="s">
        <v>28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28</v>
      </c>
      <c r="E1243" t="s">
        <v>25</v>
      </c>
      <c r="F1243" t="s">
        <v>28</v>
      </c>
      <c r="G1243" t="s">
        <v>26</v>
      </c>
      <c r="H1243" t="s">
        <v>12</v>
      </c>
      <c r="I1243">
        <v>2075</v>
      </c>
      <c r="J1243">
        <v>9.9599999999999994E-2</v>
      </c>
      <c r="K1243" t="s">
        <v>28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28</v>
      </c>
      <c r="E1244" t="s">
        <v>25</v>
      </c>
      <c r="F1244" t="s">
        <v>28</v>
      </c>
      <c r="G1244" t="s">
        <v>26</v>
      </c>
      <c r="H1244" t="s">
        <v>12</v>
      </c>
      <c r="I1244">
        <v>2075</v>
      </c>
      <c r="J1244">
        <v>9.240000000000001E-2</v>
      </c>
      <c r="K1244" t="s">
        <v>28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28</v>
      </c>
      <c r="E1245" t="s">
        <v>25</v>
      </c>
      <c r="F1245" t="s">
        <v>28</v>
      </c>
      <c r="G1245" t="s">
        <v>26</v>
      </c>
      <c r="H1245" t="s">
        <v>12</v>
      </c>
      <c r="I1245">
        <v>2075</v>
      </c>
      <c r="J1245">
        <v>0.12764999999999999</v>
      </c>
      <c r="K1245" t="s">
        <v>28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28</v>
      </c>
      <c r="E1246" t="s">
        <v>25</v>
      </c>
      <c r="F1246" t="s">
        <v>28</v>
      </c>
      <c r="G1246" t="s">
        <v>26</v>
      </c>
      <c r="H1246" t="s">
        <v>12</v>
      </c>
      <c r="I1246">
        <v>2075</v>
      </c>
      <c r="J1246">
        <v>9.1850000000000001E-2</v>
      </c>
      <c r="K1246" t="s">
        <v>28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28</v>
      </c>
      <c r="E1247" t="s">
        <v>25</v>
      </c>
      <c r="F1247" t="s">
        <v>28</v>
      </c>
      <c r="G1247" t="s">
        <v>26</v>
      </c>
      <c r="H1247" t="s">
        <v>12</v>
      </c>
      <c r="I1247">
        <v>2075</v>
      </c>
      <c r="J1247">
        <v>0.11125</v>
      </c>
      <c r="K1247" t="s">
        <v>28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27</v>
      </c>
      <c r="E1248" t="s">
        <v>25</v>
      </c>
      <c r="F1248" t="s">
        <v>27</v>
      </c>
      <c r="G1248" t="s">
        <v>26</v>
      </c>
      <c r="H1248" t="s">
        <v>10</v>
      </c>
      <c r="I1248">
        <v>2075</v>
      </c>
      <c r="J1248">
        <v>3.6400000000000002E-2</v>
      </c>
      <c r="K1248" t="s">
        <v>27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27</v>
      </c>
      <c r="E1249" t="s">
        <v>25</v>
      </c>
      <c r="F1249" t="s">
        <v>27</v>
      </c>
      <c r="G1249" t="s">
        <v>26</v>
      </c>
      <c r="H1249" t="s">
        <v>10</v>
      </c>
      <c r="I1249">
        <v>2075</v>
      </c>
      <c r="J1249">
        <v>2.5500000000000002E-2</v>
      </c>
      <c r="K1249" t="s">
        <v>27</v>
      </c>
    </row>
    <row r="1250" spans="1:12" x14ac:dyDescent="0.45">
      <c r="A1250" t="s">
        <v>90</v>
      </c>
      <c r="B1250" t="s">
        <v>0</v>
      </c>
      <c r="C1250" t="s">
        <v>84</v>
      </c>
      <c r="D1250" t="s">
        <v>27</v>
      </c>
      <c r="E1250" t="s">
        <v>25</v>
      </c>
      <c r="F1250" t="s">
        <v>27</v>
      </c>
      <c r="G1250" t="s">
        <v>26</v>
      </c>
      <c r="H1250" t="s">
        <v>10</v>
      </c>
      <c r="I1250">
        <v>2075</v>
      </c>
      <c r="J1250">
        <v>3.1800000000000002E-2</v>
      </c>
      <c r="K1250" t="s">
        <v>27</v>
      </c>
    </row>
    <row r="1251" spans="1:12" x14ac:dyDescent="0.45">
      <c r="A1251" t="s">
        <v>90</v>
      </c>
      <c r="B1251" t="s">
        <v>6</v>
      </c>
      <c r="C1251" t="s">
        <v>84</v>
      </c>
      <c r="D1251" t="s">
        <v>27</v>
      </c>
      <c r="E1251" t="s">
        <v>25</v>
      </c>
      <c r="F1251" t="s">
        <v>27</v>
      </c>
      <c r="G1251" t="s">
        <v>26</v>
      </c>
      <c r="H1251" t="s">
        <v>10</v>
      </c>
      <c r="I1251">
        <v>2075</v>
      </c>
      <c r="J1251">
        <v>2.9699999999999997E-2</v>
      </c>
      <c r="K1251" t="s">
        <v>27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27</v>
      </c>
      <c r="E1252" t="s">
        <v>25</v>
      </c>
      <c r="F1252" t="s">
        <v>27</v>
      </c>
      <c r="G1252" t="s">
        <v>26</v>
      </c>
      <c r="H1252" t="s">
        <v>10</v>
      </c>
      <c r="I1252">
        <v>2075</v>
      </c>
      <c r="J1252">
        <v>5.4250000000000007E-2</v>
      </c>
      <c r="K1252" t="s">
        <v>27</v>
      </c>
    </row>
    <row r="1253" spans="1:12" x14ac:dyDescent="0.45">
      <c r="A1253" t="s">
        <v>90</v>
      </c>
      <c r="B1253" t="s">
        <v>2</v>
      </c>
      <c r="C1253" t="s">
        <v>84</v>
      </c>
      <c r="D1253" t="s">
        <v>27</v>
      </c>
      <c r="E1253" t="s">
        <v>25</v>
      </c>
      <c r="F1253" t="s">
        <v>27</v>
      </c>
      <c r="G1253" t="s">
        <v>26</v>
      </c>
      <c r="H1253" t="s">
        <v>10</v>
      </c>
      <c r="I1253">
        <v>2075</v>
      </c>
      <c r="J1253">
        <v>2.8049999999999999E-2</v>
      </c>
      <c r="K1253" t="s">
        <v>27</v>
      </c>
    </row>
    <row r="1254" spans="1:12" x14ac:dyDescent="0.45">
      <c r="A1254" t="s">
        <v>90</v>
      </c>
      <c r="B1254" t="s">
        <v>1</v>
      </c>
      <c r="C1254" t="s">
        <v>84</v>
      </c>
      <c r="D1254" t="s">
        <v>27</v>
      </c>
      <c r="E1254" t="s">
        <v>25</v>
      </c>
      <c r="F1254" t="s">
        <v>27</v>
      </c>
      <c r="G1254" t="s">
        <v>26</v>
      </c>
      <c r="H1254" t="s">
        <v>10</v>
      </c>
      <c r="I1254">
        <v>2075</v>
      </c>
      <c r="J1254">
        <v>4.2349999999999999E-2</v>
      </c>
      <c r="K1254" t="s">
        <v>27</v>
      </c>
    </row>
    <row r="1255" spans="1:12" x14ac:dyDescent="0.45">
      <c r="A1255" t="s">
        <v>90</v>
      </c>
      <c r="B1255" t="s">
        <v>3</v>
      </c>
      <c r="C1255" t="s">
        <v>84</v>
      </c>
      <c r="D1255" t="s">
        <v>85</v>
      </c>
      <c r="E1255" t="s">
        <v>25</v>
      </c>
      <c r="F1255" t="s">
        <v>85</v>
      </c>
      <c r="G1255" t="s">
        <v>26</v>
      </c>
      <c r="H1255" t="s">
        <v>82</v>
      </c>
      <c r="I1255">
        <v>2075</v>
      </c>
      <c r="J1255">
        <v>4.3249999999999997E-2</v>
      </c>
      <c r="K1255" t="s">
        <v>85</v>
      </c>
    </row>
    <row r="1256" spans="1:12" x14ac:dyDescent="0.45">
      <c r="A1256" t="s">
        <v>90</v>
      </c>
      <c r="B1256" t="s">
        <v>4</v>
      </c>
      <c r="C1256" t="s">
        <v>84</v>
      </c>
      <c r="D1256" t="s">
        <v>85</v>
      </c>
      <c r="E1256" t="s">
        <v>25</v>
      </c>
      <c r="F1256" t="s">
        <v>85</v>
      </c>
      <c r="G1256" t="s">
        <v>26</v>
      </c>
      <c r="H1256" t="s">
        <v>82</v>
      </c>
      <c r="I1256">
        <v>2075</v>
      </c>
      <c r="J1256">
        <v>4.8050000000000002E-2</v>
      </c>
      <c r="K1256" t="s">
        <v>85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85</v>
      </c>
      <c r="E1257" t="s">
        <v>25</v>
      </c>
      <c r="F1257" t="s">
        <v>85</v>
      </c>
      <c r="G1257" t="s">
        <v>26</v>
      </c>
      <c r="H1257" t="s">
        <v>82</v>
      </c>
      <c r="I1257">
        <v>2075</v>
      </c>
      <c r="J1257">
        <v>4.4900000000000002E-2</v>
      </c>
      <c r="K1257" t="s">
        <v>85</v>
      </c>
    </row>
    <row r="1258" spans="1:12" x14ac:dyDescent="0.45">
      <c r="A1258" t="s">
        <v>90</v>
      </c>
      <c r="B1258" t="s">
        <v>6</v>
      </c>
      <c r="C1258" t="s">
        <v>84</v>
      </c>
      <c r="D1258" t="s">
        <v>85</v>
      </c>
      <c r="E1258" t="s">
        <v>25</v>
      </c>
      <c r="F1258" t="s">
        <v>85</v>
      </c>
      <c r="G1258" t="s">
        <v>26</v>
      </c>
      <c r="H1258" t="s">
        <v>82</v>
      </c>
      <c r="I1258">
        <v>2075</v>
      </c>
      <c r="J1258">
        <v>0.11835</v>
      </c>
      <c r="K1258" t="s">
        <v>85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85</v>
      </c>
      <c r="E1259" t="s">
        <v>25</v>
      </c>
      <c r="F1259" t="s">
        <v>85</v>
      </c>
      <c r="G1259" t="s">
        <v>26</v>
      </c>
      <c r="H1259" t="s">
        <v>82</v>
      </c>
      <c r="I1259">
        <v>2075</v>
      </c>
      <c r="J1259">
        <v>3.2799999999999996E-2</v>
      </c>
      <c r="K1259" t="s">
        <v>85</v>
      </c>
    </row>
    <row r="1260" spans="1:12" x14ac:dyDescent="0.45">
      <c r="A1260" t="s">
        <v>90</v>
      </c>
      <c r="B1260" t="s">
        <v>2</v>
      </c>
      <c r="C1260" t="s">
        <v>84</v>
      </c>
      <c r="D1260" t="s">
        <v>85</v>
      </c>
      <c r="E1260" t="s">
        <v>25</v>
      </c>
      <c r="F1260" t="s">
        <v>85</v>
      </c>
      <c r="G1260" t="s">
        <v>26</v>
      </c>
      <c r="H1260" t="s">
        <v>82</v>
      </c>
      <c r="I1260">
        <v>2075</v>
      </c>
      <c r="J1260">
        <v>5.2400000000000002E-2</v>
      </c>
      <c r="K1260" t="s">
        <v>85</v>
      </c>
    </row>
    <row r="1261" spans="1:12" x14ac:dyDescent="0.45">
      <c r="A1261" t="s">
        <v>90</v>
      </c>
      <c r="B1261" t="s">
        <v>1</v>
      </c>
      <c r="C1261" t="s">
        <v>84</v>
      </c>
      <c r="D1261" t="s">
        <v>85</v>
      </c>
      <c r="E1261" t="s">
        <v>25</v>
      </c>
      <c r="F1261" t="s">
        <v>85</v>
      </c>
      <c r="G1261" t="s">
        <v>26</v>
      </c>
      <c r="H1261" t="s">
        <v>82</v>
      </c>
      <c r="I1261">
        <v>2075</v>
      </c>
      <c r="J1261">
        <v>0.1055</v>
      </c>
      <c r="K1261" t="s">
        <v>85</v>
      </c>
    </row>
    <row r="1262" spans="1:12" x14ac:dyDescent="0.45">
      <c r="A1262" t="s">
        <v>90</v>
      </c>
      <c r="B1262" t="s">
        <v>3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H1262" t="s">
        <v>89</v>
      </c>
      <c r="I1262">
        <v>2075</v>
      </c>
      <c r="J1262">
        <v>0</v>
      </c>
      <c r="K1262" t="s">
        <v>52</v>
      </c>
      <c r="L1262">
        <v>94</v>
      </c>
    </row>
    <row r="1263" spans="1:12" x14ac:dyDescent="0.45">
      <c r="A1263" t="s">
        <v>90</v>
      </c>
      <c r="B1263" t="s">
        <v>4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H1263" t="s">
        <v>89</v>
      </c>
      <c r="I1263">
        <v>2075</v>
      </c>
      <c r="J1263">
        <v>5.9999999999999995E-4</v>
      </c>
      <c r="K1263" t="s">
        <v>52</v>
      </c>
      <c r="L1263">
        <v>94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H1264" t="s">
        <v>89</v>
      </c>
      <c r="I1264">
        <v>2075</v>
      </c>
      <c r="J1264">
        <v>0</v>
      </c>
      <c r="K1264" t="s">
        <v>52</v>
      </c>
      <c r="L1264">
        <v>94</v>
      </c>
    </row>
    <row r="1265" spans="1:12" x14ac:dyDescent="0.45">
      <c r="A1265" t="s">
        <v>90</v>
      </c>
      <c r="B1265" t="s">
        <v>6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2075</v>
      </c>
      <c r="J1265">
        <v>3.7499999999999999E-3</v>
      </c>
      <c r="K1265" t="s">
        <v>52</v>
      </c>
      <c r="L1265">
        <v>94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52</v>
      </c>
      <c r="E1266" t="s">
        <v>25</v>
      </c>
      <c r="F1266" t="s">
        <v>52</v>
      </c>
      <c r="G1266" t="s">
        <v>71</v>
      </c>
      <c r="H1266" t="s">
        <v>89</v>
      </c>
      <c r="I1266">
        <v>2075</v>
      </c>
      <c r="J1266">
        <v>0</v>
      </c>
      <c r="K1266" t="s">
        <v>52</v>
      </c>
      <c r="L1266">
        <v>94</v>
      </c>
    </row>
    <row r="1267" spans="1:12" x14ac:dyDescent="0.45">
      <c r="A1267" t="s">
        <v>90</v>
      </c>
      <c r="B1267" t="s">
        <v>2</v>
      </c>
      <c r="C1267" t="s">
        <v>84</v>
      </c>
      <c r="D1267" t="s">
        <v>52</v>
      </c>
      <c r="E1267" t="s">
        <v>25</v>
      </c>
      <c r="F1267" t="s">
        <v>52</v>
      </c>
      <c r="G1267" t="s">
        <v>71</v>
      </c>
      <c r="H1267" t="s">
        <v>89</v>
      </c>
      <c r="I1267">
        <v>2075</v>
      </c>
      <c r="J1267">
        <v>2.0000000000000001E-4</v>
      </c>
      <c r="K1267" t="s">
        <v>52</v>
      </c>
      <c r="L1267">
        <v>94</v>
      </c>
    </row>
    <row r="1268" spans="1:12" x14ac:dyDescent="0.45">
      <c r="A1268" t="s">
        <v>90</v>
      </c>
      <c r="B1268" t="s">
        <v>1</v>
      </c>
      <c r="C1268" t="s">
        <v>84</v>
      </c>
      <c r="D1268" t="s">
        <v>52</v>
      </c>
      <c r="E1268" t="s">
        <v>25</v>
      </c>
      <c r="F1268" t="s">
        <v>52</v>
      </c>
      <c r="G1268" t="s">
        <v>71</v>
      </c>
      <c r="H1268" t="s">
        <v>89</v>
      </c>
      <c r="I1268">
        <v>2075</v>
      </c>
      <c r="J1268">
        <v>0</v>
      </c>
      <c r="K1268" t="s">
        <v>52</v>
      </c>
      <c r="L1268">
        <v>94</v>
      </c>
    </row>
    <row r="1269" spans="1:12" x14ac:dyDescent="0.45">
      <c r="A1269" t="s">
        <v>90</v>
      </c>
      <c r="B1269" t="s">
        <v>3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H1269" t="s">
        <v>89</v>
      </c>
      <c r="I1269">
        <v>2075</v>
      </c>
      <c r="J1269">
        <v>5.0000000000000002E-5</v>
      </c>
      <c r="K1269" t="s">
        <v>53</v>
      </c>
      <c r="L1269">
        <v>55</v>
      </c>
    </row>
    <row r="1270" spans="1:12" x14ac:dyDescent="0.45">
      <c r="A1270" t="s">
        <v>90</v>
      </c>
      <c r="B1270" t="s">
        <v>4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H1270" t="s">
        <v>89</v>
      </c>
      <c r="I1270">
        <v>2075</v>
      </c>
      <c r="J1270">
        <v>4.0000000000000002E-4</v>
      </c>
      <c r="K1270" t="s">
        <v>53</v>
      </c>
      <c r="L1270">
        <v>55</v>
      </c>
    </row>
    <row r="1271" spans="1:12" x14ac:dyDescent="0.45">
      <c r="A1271" t="s">
        <v>90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H1271" t="s">
        <v>89</v>
      </c>
      <c r="I1271">
        <v>2075</v>
      </c>
      <c r="J1271">
        <v>0</v>
      </c>
      <c r="K1271" t="s">
        <v>53</v>
      </c>
      <c r="L1271">
        <v>55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H1272" t="s">
        <v>89</v>
      </c>
      <c r="I1272">
        <v>2075</v>
      </c>
      <c r="J1272">
        <v>5.0000000000000001E-4</v>
      </c>
      <c r="K1272" t="s">
        <v>53</v>
      </c>
      <c r="L1272">
        <v>55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H1273" t="s">
        <v>89</v>
      </c>
      <c r="I1273">
        <v>2075</v>
      </c>
      <c r="J1273">
        <v>0</v>
      </c>
      <c r="K1273" t="s">
        <v>53</v>
      </c>
      <c r="L1273">
        <v>55</v>
      </c>
    </row>
    <row r="1274" spans="1:12" x14ac:dyDescent="0.45">
      <c r="A1274" t="s">
        <v>90</v>
      </c>
      <c r="B1274" t="s">
        <v>2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H1274" t="s">
        <v>89</v>
      </c>
      <c r="I1274">
        <v>2075</v>
      </c>
      <c r="J1274">
        <v>4.0000000000000002E-4</v>
      </c>
      <c r="K1274" t="s">
        <v>53</v>
      </c>
      <c r="L1274">
        <v>55</v>
      </c>
    </row>
    <row r="1275" spans="1:12" x14ac:dyDescent="0.45">
      <c r="A1275" t="s">
        <v>90</v>
      </c>
      <c r="B1275" t="s">
        <v>1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H1275" t="s">
        <v>89</v>
      </c>
      <c r="I1275">
        <v>2075</v>
      </c>
      <c r="J1275">
        <v>0</v>
      </c>
      <c r="K1275" t="s">
        <v>53</v>
      </c>
      <c r="L1275">
        <v>55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54</v>
      </c>
      <c r="E1276" t="s">
        <v>25</v>
      </c>
      <c r="F1276" t="s">
        <v>54</v>
      </c>
      <c r="G1276" t="s">
        <v>71</v>
      </c>
      <c r="H1276" t="s">
        <v>89</v>
      </c>
      <c r="I1276">
        <v>2075</v>
      </c>
      <c r="J1276">
        <v>0</v>
      </c>
      <c r="K1276" t="s">
        <v>54</v>
      </c>
      <c r="L1276">
        <v>70</v>
      </c>
    </row>
    <row r="1277" spans="1:12" x14ac:dyDescent="0.45">
      <c r="A1277" t="s">
        <v>90</v>
      </c>
      <c r="B1277" t="s">
        <v>4</v>
      </c>
      <c r="C1277" t="s">
        <v>84</v>
      </c>
      <c r="D1277" t="s">
        <v>54</v>
      </c>
      <c r="E1277" t="s">
        <v>25</v>
      </c>
      <c r="F1277" t="s">
        <v>54</v>
      </c>
      <c r="G1277" t="s">
        <v>71</v>
      </c>
      <c r="H1277" t="s">
        <v>89</v>
      </c>
      <c r="I1277">
        <v>2075</v>
      </c>
      <c r="J1277">
        <v>0</v>
      </c>
      <c r="K1277" t="s">
        <v>54</v>
      </c>
      <c r="L1277">
        <v>70</v>
      </c>
    </row>
    <row r="1278" spans="1:12" x14ac:dyDescent="0.45">
      <c r="A1278" t="s">
        <v>90</v>
      </c>
      <c r="B1278" t="s">
        <v>0</v>
      </c>
      <c r="C1278" t="s">
        <v>84</v>
      </c>
      <c r="D1278" t="s">
        <v>54</v>
      </c>
      <c r="E1278" t="s">
        <v>25</v>
      </c>
      <c r="F1278" t="s">
        <v>54</v>
      </c>
      <c r="G1278" t="s">
        <v>71</v>
      </c>
      <c r="H1278" t="s">
        <v>89</v>
      </c>
      <c r="I1278">
        <v>2075</v>
      </c>
      <c r="J1278">
        <v>0</v>
      </c>
      <c r="K1278" t="s">
        <v>54</v>
      </c>
      <c r="L1278">
        <v>70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54</v>
      </c>
      <c r="E1279" t="s">
        <v>25</v>
      </c>
      <c r="F1279" t="s">
        <v>54</v>
      </c>
      <c r="G1279" t="s">
        <v>71</v>
      </c>
      <c r="H1279" t="s">
        <v>89</v>
      </c>
      <c r="I1279">
        <v>2075</v>
      </c>
      <c r="J1279">
        <v>0</v>
      </c>
      <c r="K1279" t="s">
        <v>54</v>
      </c>
      <c r="L1279">
        <v>70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54</v>
      </c>
      <c r="E1280" t="s">
        <v>25</v>
      </c>
      <c r="F1280" t="s">
        <v>54</v>
      </c>
      <c r="G1280" t="s">
        <v>71</v>
      </c>
      <c r="H1280" t="s">
        <v>89</v>
      </c>
      <c r="I1280">
        <v>2075</v>
      </c>
      <c r="J1280">
        <v>0</v>
      </c>
      <c r="K1280" t="s">
        <v>54</v>
      </c>
      <c r="L1280">
        <v>70</v>
      </c>
    </row>
    <row r="1281" spans="1:12" x14ac:dyDescent="0.45">
      <c r="A1281" t="s">
        <v>90</v>
      </c>
      <c r="B1281" t="s">
        <v>2</v>
      </c>
      <c r="C1281" t="s">
        <v>84</v>
      </c>
      <c r="D1281" t="s">
        <v>54</v>
      </c>
      <c r="E1281" t="s">
        <v>25</v>
      </c>
      <c r="F1281" t="s">
        <v>54</v>
      </c>
      <c r="G1281" t="s">
        <v>71</v>
      </c>
      <c r="H1281" t="s">
        <v>89</v>
      </c>
      <c r="I1281">
        <v>2075</v>
      </c>
      <c r="J1281">
        <v>0</v>
      </c>
      <c r="K1281" t="s">
        <v>54</v>
      </c>
      <c r="L1281">
        <v>70</v>
      </c>
    </row>
    <row r="1282" spans="1:12" x14ac:dyDescent="0.45">
      <c r="A1282" t="s">
        <v>90</v>
      </c>
      <c r="B1282" t="s">
        <v>1</v>
      </c>
      <c r="C1282" t="s">
        <v>84</v>
      </c>
      <c r="D1282" t="s">
        <v>54</v>
      </c>
      <c r="E1282" t="s">
        <v>25</v>
      </c>
      <c r="F1282" t="s">
        <v>54</v>
      </c>
      <c r="G1282" t="s">
        <v>71</v>
      </c>
      <c r="H1282" t="s">
        <v>89</v>
      </c>
      <c r="I1282">
        <v>2075</v>
      </c>
      <c r="J1282">
        <v>0</v>
      </c>
      <c r="K1282" t="s">
        <v>54</v>
      </c>
      <c r="L1282">
        <v>70</v>
      </c>
    </row>
    <row r="1283" spans="1:12" x14ac:dyDescent="0.45">
      <c r="A1283" t="s">
        <v>90</v>
      </c>
      <c r="B1283" t="s">
        <v>3</v>
      </c>
      <c r="C1283" t="s">
        <v>84</v>
      </c>
      <c r="D1283" t="s">
        <v>29</v>
      </c>
      <c r="E1283" t="s">
        <v>30</v>
      </c>
      <c r="F1283" t="s">
        <v>29</v>
      </c>
      <c r="G1283" t="s">
        <v>31</v>
      </c>
      <c r="H1283" t="s">
        <v>32</v>
      </c>
      <c r="I1283">
        <v>2075</v>
      </c>
      <c r="J1283">
        <v>13.562349999999999</v>
      </c>
      <c r="K1283" t="s">
        <v>29</v>
      </c>
    </row>
    <row r="1284" spans="1:12" x14ac:dyDescent="0.45">
      <c r="A1284" t="s">
        <v>90</v>
      </c>
      <c r="B1284" t="s">
        <v>4</v>
      </c>
      <c r="C1284" t="s">
        <v>84</v>
      </c>
      <c r="D1284" t="s">
        <v>29</v>
      </c>
      <c r="E1284" t="s">
        <v>30</v>
      </c>
      <c r="F1284" t="s">
        <v>29</v>
      </c>
      <c r="G1284" t="s">
        <v>31</v>
      </c>
      <c r="H1284" t="s">
        <v>32</v>
      </c>
      <c r="I1284">
        <v>2075</v>
      </c>
      <c r="J1284">
        <v>7.1797500000000003</v>
      </c>
      <c r="K1284" t="s">
        <v>29</v>
      </c>
    </row>
    <row r="1285" spans="1:12" x14ac:dyDescent="0.45">
      <c r="A1285" t="s">
        <v>90</v>
      </c>
      <c r="B1285" t="s">
        <v>0</v>
      </c>
      <c r="C1285" t="s">
        <v>84</v>
      </c>
      <c r="D1285" t="s">
        <v>29</v>
      </c>
      <c r="E1285" t="s">
        <v>30</v>
      </c>
      <c r="F1285" t="s">
        <v>29</v>
      </c>
      <c r="G1285" t="s">
        <v>31</v>
      </c>
      <c r="H1285" t="s">
        <v>32</v>
      </c>
      <c r="I1285">
        <v>2075</v>
      </c>
      <c r="J1285">
        <v>23.83595</v>
      </c>
      <c r="K1285" t="s">
        <v>29</v>
      </c>
    </row>
    <row r="1286" spans="1:12" x14ac:dyDescent="0.45">
      <c r="A1286" t="s">
        <v>90</v>
      </c>
      <c r="B1286" t="s">
        <v>6</v>
      </c>
      <c r="C1286" t="s">
        <v>84</v>
      </c>
      <c r="D1286" t="s">
        <v>29</v>
      </c>
      <c r="E1286" t="s">
        <v>30</v>
      </c>
      <c r="F1286" t="s">
        <v>29</v>
      </c>
      <c r="G1286" t="s">
        <v>31</v>
      </c>
      <c r="H1286" t="s">
        <v>32</v>
      </c>
      <c r="I1286">
        <v>2075</v>
      </c>
      <c r="J1286">
        <v>15.43695</v>
      </c>
      <c r="K1286" t="s">
        <v>29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29</v>
      </c>
      <c r="E1287" t="s">
        <v>30</v>
      </c>
      <c r="F1287" t="s">
        <v>29</v>
      </c>
      <c r="G1287" t="s">
        <v>31</v>
      </c>
      <c r="H1287" t="s">
        <v>32</v>
      </c>
      <c r="I1287">
        <v>2075</v>
      </c>
      <c r="J1287">
        <v>16.574300000000001</v>
      </c>
      <c r="K1287" t="s">
        <v>29</v>
      </c>
    </row>
    <row r="1288" spans="1:12" x14ac:dyDescent="0.45">
      <c r="A1288" t="s">
        <v>90</v>
      </c>
      <c r="B1288" t="s">
        <v>2</v>
      </c>
      <c r="C1288" t="s">
        <v>84</v>
      </c>
      <c r="D1288" t="s">
        <v>29</v>
      </c>
      <c r="E1288" t="s">
        <v>30</v>
      </c>
      <c r="F1288" t="s">
        <v>29</v>
      </c>
      <c r="G1288" t="s">
        <v>31</v>
      </c>
      <c r="H1288" t="s">
        <v>32</v>
      </c>
      <c r="I1288">
        <v>2075</v>
      </c>
      <c r="J1288">
        <v>11.212400000000001</v>
      </c>
      <c r="K1288" t="s">
        <v>29</v>
      </c>
    </row>
    <row r="1289" spans="1:12" x14ac:dyDescent="0.45">
      <c r="A1289" t="s">
        <v>90</v>
      </c>
      <c r="B1289" t="s">
        <v>1</v>
      </c>
      <c r="C1289" t="s">
        <v>84</v>
      </c>
      <c r="D1289" t="s">
        <v>29</v>
      </c>
      <c r="E1289" t="s">
        <v>30</v>
      </c>
      <c r="F1289" t="s">
        <v>29</v>
      </c>
      <c r="G1289" t="s">
        <v>31</v>
      </c>
      <c r="H1289" t="s">
        <v>32</v>
      </c>
      <c r="I1289">
        <v>2075</v>
      </c>
      <c r="J1289">
        <v>34.450149999999994</v>
      </c>
      <c r="K1289" t="s">
        <v>29</v>
      </c>
    </row>
    <row r="1290" spans="1:12" x14ac:dyDescent="0.45">
      <c r="A1290" t="s">
        <v>90</v>
      </c>
      <c r="B1290" t="s">
        <v>3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2075</v>
      </c>
      <c r="J1290">
        <v>1.85775</v>
      </c>
      <c r="K1290" t="s">
        <v>33</v>
      </c>
    </row>
    <row r="1291" spans="1:12" x14ac:dyDescent="0.45">
      <c r="A1291" t="s">
        <v>90</v>
      </c>
      <c r="B1291" t="s">
        <v>4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2075</v>
      </c>
      <c r="J1291">
        <v>3.8219000000000003</v>
      </c>
      <c r="K1291" t="s">
        <v>33</v>
      </c>
    </row>
    <row r="1292" spans="1:12" x14ac:dyDescent="0.45">
      <c r="A1292" t="s">
        <v>90</v>
      </c>
      <c r="B1292" t="s">
        <v>0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2075</v>
      </c>
      <c r="J1292">
        <v>2.0685000000000002</v>
      </c>
      <c r="K1292" t="s">
        <v>33</v>
      </c>
    </row>
    <row r="1293" spans="1:12" x14ac:dyDescent="0.45">
      <c r="A1293" t="s">
        <v>90</v>
      </c>
      <c r="B1293" t="s">
        <v>6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2075</v>
      </c>
      <c r="J1293">
        <v>2.2270000000000003</v>
      </c>
      <c r="K1293" t="s">
        <v>33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2075</v>
      </c>
      <c r="J1294">
        <v>1.8342499999999999</v>
      </c>
      <c r="K1294" t="s">
        <v>33</v>
      </c>
    </row>
    <row r="1295" spans="1:12" x14ac:dyDescent="0.45">
      <c r="A1295" t="s">
        <v>90</v>
      </c>
      <c r="B1295" t="s">
        <v>2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2075</v>
      </c>
      <c r="J1295">
        <v>2.1757499999999999</v>
      </c>
      <c r="K1295" t="s">
        <v>33</v>
      </c>
    </row>
    <row r="1296" spans="1:12" x14ac:dyDescent="0.45">
      <c r="A1296" t="s">
        <v>90</v>
      </c>
      <c r="B1296" t="s">
        <v>1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2075</v>
      </c>
      <c r="J1296">
        <v>2.0170500000000002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35</v>
      </c>
      <c r="E1297" t="s">
        <v>30</v>
      </c>
      <c r="F1297" t="s">
        <v>35</v>
      </c>
      <c r="G1297" t="s">
        <v>31</v>
      </c>
      <c r="H1297" t="s">
        <v>36</v>
      </c>
      <c r="I1297">
        <v>2075</v>
      </c>
      <c r="J1297">
        <v>5.0817499999999995</v>
      </c>
      <c r="K1297" t="s">
        <v>35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35</v>
      </c>
      <c r="E1298" t="s">
        <v>30</v>
      </c>
      <c r="F1298" t="s">
        <v>35</v>
      </c>
      <c r="G1298" t="s">
        <v>31</v>
      </c>
      <c r="H1298" t="s">
        <v>36</v>
      </c>
      <c r="I1298">
        <v>2075</v>
      </c>
      <c r="J1298">
        <v>6.6208</v>
      </c>
      <c r="K1298" t="s">
        <v>35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35</v>
      </c>
      <c r="E1299" t="s">
        <v>30</v>
      </c>
      <c r="F1299" t="s">
        <v>35</v>
      </c>
      <c r="G1299" t="s">
        <v>31</v>
      </c>
      <c r="H1299" t="s">
        <v>36</v>
      </c>
      <c r="I1299">
        <v>2075</v>
      </c>
      <c r="J1299">
        <v>5.0854999999999997</v>
      </c>
      <c r="K1299" t="s">
        <v>35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35</v>
      </c>
      <c r="E1300" t="s">
        <v>30</v>
      </c>
      <c r="F1300" t="s">
        <v>35</v>
      </c>
      <c r="G1300" t="s">
        <v>31</v>
      </c>
      <c r="H1300" t="s">
        <v>36</v>
      </c>
      <c r="I1300">
        <v>2075</v>
      </c>
      <c r="J1300">
        <v>5.4064499999999995</v>
      </c>
      <c r="K1300" t="s">
        <v>35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35</v>
      </c>
      <c r="E1301" t="s">
        <v>30</v>
      </c>
      <c r="F1301" t="s">
        <v>35</v>
      </c>
      <c r="G1301" t="s">
        <v>31</v>
      </c>
      <c r="H1301" t="s">
        <v>36</v>
      </c>
      <c r="I1301">
        <v>2075</v>
      </c>
      <c r="J1301">
        <v>5.1056999999999997</v>
      </c>
      <c r="K1301" t="s">
        <v>35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35</v>
      </c>
      <c r="E1302" t="s">
        <v>30</v>
      </c>
      <c r="F1302" t="s">
        <v>35</v>
      </c>
      <c r="G1302" t="s">
        <v>31</v>
      </c>
      <c r="H1302" t="s">
        <v>36</v>
      </c>
      <c r="I1302">
        <v>2075</v>
      </c>
      <c r="J1302">
        <v>5.7862499999999999</v>
      </c>
      <c r="K1302" t="s">
        <v>35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35</v>
      </c>
      <c r="E1303" t="s">
        <v>30</v>
      </c>
      <c r="F1303" t="s">
        <v>35</v>
      </c>
      <c r="G1303" t="s">
        <v>31</v>
      </c>
      <c r="H1303" t="s">
        <v>36</v>
      </c>
      <c r="I1303">
        <v>2075</v>
      </c>
      <c r="J1303">
        <v>6.0717999999999996</v>
      </c>
      <c r="K1303" t="s">
        <v>35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2075</v>
      </c>
      <c r="J1304">
        <v>242.93020000000001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2075</v>
      </c>
      <c r="J1305">
        <v>280.97659999999996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2075</v>
      </c>
      <c r="J1306">
        <v>249.99084999999999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2075</v>
      </c>
      <c r="J1307">
        <v>256.21690000000001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2075</v>
      </c>
      <c r="J1308">
        <v>270.81659999999999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2075</v>
      </c>
      <c r="J1309">
        <v>261.06795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2075</v>
      </c>
      <c r="J1310">
        <v>296.42349999999999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2075</v>
      </c>
      <c r="J1311">
        <v>168.98930000000001</v>
      </c>
      <c r="K1311" t="s">
        <v>48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2075</v>
      </c>
      <c r="J1312">
        <v>296.29084999999998</v>
      </c>
      <c r="K1312" t="s">
        <v>48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2075</v>
      </c>
      <c r="J1313">
        <v>165.07445000000001</v>
      </c>
      <c r="K1313" t="s">
        <v>48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2075</v>
      </c>
      <c r="J1314">
        <v>173.83165</v>
      </c>
      <c r="K1314" t="s">
        <v>48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2075</v>
      </c>
      <c r="J1315">
        <v>144.56099999999998</v>
      </c>
      <c r="K1315" t="s">
        <v>48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2075</v>
      </c>
      <c r="J1316">
        <v>181.26179999999999</v>
      </c>
      <c r="K1316" t="s">
        <v>48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2075</v>
      </c>
      <c r="J1317">
        <v>135.96359999999999</v>
      </c>
      <c r="K1317" t="s">
        <v>48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2075</v>
      </c>
      <c r="J1318">
        <v>14.44685</v>
      </c>
      <c r="K1318" t="s">
        <v>51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2075</v>
      </c>
      <c r="J1319">
        <v>136.9426</v>
      </c>
      <c r="K1319" t="s">
        <v>51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2075</v>
      </c>
      <c r="J1320">
        <v>10.3865</v>
      </c>
      <c r="K1320" t="s">
        <v>51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2075</v>
      </c>
      <c r="J1321">
        <v>23.182299999999998</v>
      </c>
      <c r="K1321" t="s">
        <v>51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2075</v>
      </c>
      <c r="J1322">
        <v>-2.6522999999999999</v>
      </c>
      <c r="K1322" t="s">
        <v>51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2075</v>
      </c>
      <c r="J1323">
        <v>23.7745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2075</v>
      </c>
      <c r="J1324">
        <v>-13.2658</v>
      </c>
      <c r="K1324" t="s">
        <v>51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0.51649999999999996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0.7157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2.0649999999999998E-2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5.9190500000000004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0.36829999999999996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12.9206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24</v>
      </c>
      <c r="E1332" t="s">
        <v>25</v>
      </c>
      <c r="F1332" t="s">
        <v>24</v>
      </c>
      <c r="G1332" t="s">
        <v>26</v>
      </c>
      <c r="H1332" t="s">
        <v>13</v>
      </c>
      <c r="I1332">
        <v>2080</v>
      </c>
      <c r="J1332">
        <v>9.035E-2</v>
      </c>
      <c r="K1332" t="s">
        <v>24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24</v>
      </c>
      <c r="E1333" t="s">
        <v>25</v>
      </c>
      <c r="F1333" t="s">
        <v>24</v>
      </c>
      <c r="G1333" t="s">
        <v>26</v>
      </c>
      <c r="H1333" t="s">
        <v>13</v>
      </c>
      <c r="I1333">
        <v>2080</v>
      </c>
      <c r="J1333">
        <v>7.1200000000000013E-2</v>
      </c>
      <c r="K1333" t="s">
        <v>24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24</v>
      </c>
      <c r="E1334" t="s">
        <v>25</v>
      </c>
      <c r="F1334" t="s">
        <v>24</v>
      </c>
      <c r="G1334" t="s">
        <v>26</v>
      </c>
      <c r="H1334" t="s">
        <v>13</v>
      </c>
      <c r="I1334">
        <v>2080</v>
      </c>
      <c r="J1334">
        <v>8.8800000000000004E-2</v>
      </c>
      <c r="K1334" t="s">
        <v>24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24</v>
      </c>
      <c r="E1335" t="s">
        <v>25</v>
      </c>
      <c r="F1335" t="s">
        <v>24</v>
      </c>
      <c r="G1335" t="s">
        <v>26</v>
      </c>
      <c r="H1335" t="s">
        <v>13</v>
      </c>
      <c r="I1335">
        <v>2080</v>
      </c>
      <c r="J1335">
        <v>8.2549999999999998E-2</v>
      </c>
      <c r="K1335" t="s">
        <v>24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24</v>
      </c>
      <c r="E1336" t="s">
        <v>25</v>
      </c>
      <c r="F1336" t="s">
        <v>24</v>
      </c>
      <c r="G1336" t="s">
        <v>26</v>
      </c>
      <c r="H1336" t="s">
        <v>13</v>
      </c>
      <c r="I1336">
        <v>2080</v>
      </c>
      <c r="J1336">
        <v>2.2749999999999999E-2</v>
      </c>
      <c r="K1336" t="s">
        <v>24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24</v>
      </c>
      <c r="E1337" t="s">
        <v>25</v>
      </c>
      <c r="F1337" t="s">
        <v>24</v>
      </c>
      <c r="G1337" t="s">
        <v>26</v>
      </c>
      <c r="H1337" t="s">
        <v>13</v>
      </c>
      <c r="I1337">
        <v>2080</v>
      </c>
      <c r="J1337">
        <v>7.9350000000000004E-2</v>
      </c>
      <c r="K1337" t="s">
        <v>24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24</v>
      </c>
      <c r="E1338" t="s">
        <v>25</v>
      </c>
      <c r="F1338" t="s">
        <v>24</v>
      </c>
      <c r="G1338" t="s">
        <v>26</v>
      </c>
      <c r="H1338" t="s">
        <v>13</v>
      </c>
      <c r="I1338">
        <v>2080</v>
      </c>
      <c r="J1338">
        <v>9.8349999999999993E-2</v>
      </c>
      <c r="K1338" t="s">
        <v>24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28</v>
      </c>
      <c r="E1339" t="s">
        <v>25</v>
      </c>
      <c r="F1339" t="s">
        <v>28</v>
      </c>
      <c r="G1339" t="s">
        <v>26</v>
      </c>
      <c r="H1339" t="s">
        <v>12</v>
      </c>
      <c r="I1339">
        <v>2080</v>
      </c>
      <c r="J1339">
        <v>0.12429999999999999</v>
      </c>
      <c r="K1339" t="s">
        <v>28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28</v>
      </c>
      <c r="E1340" t="s">
        <v>25</v>
      </c>
      <c r="F1340" t="s">
        <v>28</v>
      </c>
      <c r="G1340" t="s">
        <v>26</v>
      </c>
      <c r="H1340" t="s">
        <v>12</v>
      </c>
      <c r="I1340">
        <v>2080</v>
      </c>
      <c r="J1340">
        <v>0.1013</v>
      </c>
      <c r="K1340" t="s">
        <v>28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28</v>
      </c>
      <c r="E1341" t="s">
        <v>25</v>
      </c>
      <c r="F1341" t="s">
        <v>28</v>
      </c>
      <c r="G1341" t="s">
        <v>26</v>
      </c>
      <c r="H1341" t="s">
        <v>12</v>
      </c>
      <c r="I1341">
        <v>2080</v>
      </c>
      <c r="J1341">
        <v>0.11985</v>
      </c>
      <c r="K1341" t="s">
        <v>28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28</v>
      </c>
      <c r="E1342" t="s">
        <v>25</v>
      </c>
      <c r="F1342" t="s">
        <v>28</v>
      </c>
      <c r="G1342" t="s">
        <v>26</v>
      </c>
      <c r="H1342" t="s">
        <v>12</v>
      </c>
      <c r="I1342">
        <v>2080</v>
      </c>
      <c r="J1342">
        <v>0.11169999999999999</v>
      </c>
      <c r="K1342" t="s">
        <v>28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28</v>
      </c>
      <c r="E1343" t="s">
        <v>25</v>
      </c>
      <c r="F1343" t="s">
        <v>28</v>
      </c>
      <c r="G1343" t="s">
        <v>26</v>
      </c>
      <c r="H1343" t="s">
        <v>12</v>
      </c>
      <c r="I1343">
        <v>2080</v>
      </c>
      <c r="J1343">
        <v>0.1447</v>
      </c>
      <c r="K1343" t="s">
        <v>28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28</v>
      </c>
      <c r="E1344" t="s">
        <v>25</v>
      </c>
      <c r="F1344" t="s">
        <v>28</v>
      </c>
      <c r="G1344" t="s">
        <v>26</v>
      </c>
      <c r="H1344" t="s">
        <v>12</v>
      </c>
      <c r="I1344">
        <v>2080</v>
      </c>
      <c r="J1344">
        <v>0.11094999999999999</v>
      </c>
      <c r="K1344" t="s">
        <v>28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28</v>
      </c>
      <c r="E1345" t="s">
        <v>25</v>
      </c>
      <c r="F1345" t="s">
        <v>28</v>
      </c>
      <c r="G1345" t="s">
        <v>26</v>
      </c>
      <c r="H1345" t="s">
        <v>12</v>
      </c>
      <c r="I1345">
        <v>2080</v>
      </c>
      <c r="J1345">
        <v>0.13275000000000001</v>
      </c>
      <c r="K1345" t="s">
        <v>28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27</v>
      </c>
      <c r="E1346" t="s">
        <v>25</v>
      </c>
      <c r="F1346" t="s">
        <v>27</v>
      </c>
      <c r="G1346" t="s">
        <v>26</v>
      </c>
      <c r="H1346" t="s">
        <v>10</v>
      </c>
      <c r="I1346">
        <v>2080</v>
      </c>
      <c r="J1346">
        <v>4.0349999999999997E-2</v>
      </c>
      <c r="K1346" t="s">
        <v>27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27</v>
      </c>
      <c r="E1347" t="s">
        <v>25</v>
      </c>
      <c r="F1347" t="s">
        <v>27</v>
      </c>
      <c r="G1347" t="s">
        <v>26</v>
      </c>
      <c r="H1347" t="s">
        <v>10</v>
      </c>
      <c r="I1347">
        <v>2080</v>
      </c>
      <c r="J1347">
        <v>2.8999999999999998E-2</v>
      </c>
      <c r="K1347" t="s">
        <v>27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27</v>
      </c>
      <c r="E1348" t="s">
        <v>25</v>
      </c>
      <c r="F1348" t="s">
        <v>27</v>
      </c>
      <c r="G1348" t="s">
        <v>26</v>
      </c>
      <c r="H1348" t="s">
        <v>10</v>
      </c>
      <c r="I1348">
        <v>2080</v>
      </c>
      <c r="J1348">
        <v>3.5650000000000001E-2</v>
      </c>
      <c r="K1348" t="s">
        <v>27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27</v>
      </c>
      <c r="E1349" t="s">
        <v>25</v>
      </c>
      <c r="F1349" t="s">
        <v>27</v>
      </c>
      <c r="G1349" t="s">
        <v>26</v>
      </c>
      <c r="H1349" t="s">
        <v>10</v>
      </c>
      <c r="I1349">
        <v>2080</v>
      </c>
      <c r="J1349">
        <v>3.3399999999999999E-2</v>
      </c>
      <c r="K1349" t="s">
        <v>27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27</v>
      </c>
      <c r="E1350" t="s">
        <v>25</v>
      </c>
      <c r="F1350" t="s">
        <v>27</v>
      </c>
      <c r="G1350" t="s">
        <v>26</v>
      </c>
      <c r="H1350" t="s">
        <v>10</v>
      </c>
      <c r="I1350">
        <v>2080</v>
      </c>
      <c r="J1350">
        <v>5.5800000000000002E-2</v>
      </c>
      <c r="K1350" t="s">
        <v>27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27</v>
      </c>
      <c r="E1351" t="s">
        <v>25</v>
      </c>
      <c r="F1351" t="s">
        <v>27</v>
      </c>
      <c r="G1351" t="s">
        <v>26</v>
      </c>
      <c r="H1351" t="s">
        <v>10</v>
      </c>
      <c r="I1351">
        <v>2080</v>
      </c>
      <c r="J1351">
        <v>3.1600000000000003E-2</v>
      </c>
      <c r="K1351" t="s">
        <v>27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27</v>
      </c>
      <c r="E1352" t="s">
        <v>25</v>
      </c>
      <c r="F1352" t="s">
        <v>27</v>
      </c>
      <c r="G1352" t="s">
        <v>26</v>
      </c>
      <c r="H1352" t="s">
        <v>10</v>
      </c>
      <c r="I1352">
        <v>2080</v>
      </c>
      <c r="J1352">
        <v>4.65E-2</v>
      </c>
      <c r="K1352" t="s">
        <v>27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85</v>
      </c>
      <c r="E1353" t="s">
        <v>25</v>
      </c>
      <c r="F1353" t="s">
        <v>85</v>
      </c>
      <c r="G1353" t="s">
        <v>26</v>
      </c>
      <c r="H1353" t="s">
        <v>82</v>
      </c>
      <c r="I1353">
        <v>2080</v>
      </c>
      <c r="J1353">
        <v>4.0300000000000002E-2</v>
      </c>
      <c r="K1353" t="s">
        <v>85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85</v>
      </c>
      <c r="E1354" t="s">
        <v>25</v>
      </c>
      <c r="F1354" t="s">
        <v>85</v>
      </c>
      <c r="G1354" t="s">
        <v>26</v>
      </c>
      <c r="H1354" t="s">
        <v>82</v>
      </c>
      <c r="I1354">
        <v>2080</v>
      </c>
      <c r="J1354">
        <v>4.9700000000000001E-2</v>
      </c>
      <c r="K1354" t="s">
        <v>85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85</v>
      </c>
      <c r="E1355" t="s">
        <v>25</v>
      </c>
      <c r="F1355" t="s">
        <v>85</v>
      </c>
      <c r="G1355" t="s">
        <v>26</v>
      </c>
      <c r="H1355" t="s">
        <v>82</v>
      </c>
      <c r="I1355">
        <v>2080</v>
      </c>
      <c r="J1355">
        <v>4.2349999999999999E-2</v>
      </c>
      <c r="K1355" t="s">
        <v>85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85</v>
      </c>
      <c r="E1356" t="s">
        <v>25</v>
      </c>
      <c r="F1356" t="s">
        <v>85</v>
      </c>
      <c r="G1356" t="s">
        <v>26</v>
      </c>
      <c r="H1356" t="s">
        <v>82</v>
      </c>
      <c r="I1356">
        <v>2080</v>
      </c>
      <c r="J1356">
        <v>0.10865</v>
      </c>
      <c r="K1356" t="s">
        <v>85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85</v>
      </c>
      <c r="E1357" t="s">
        <v>25</v>
      </c>
      <c r="F1357" t="s">
        <v>85</v>
      </c>
      <c r="G1357" t="s">
        <v>26</v>
      </c>
      <c r="H1357" t="s">
        <v>82</v>
      </c>
      <c r="I1357">
        <v>2080</v>
      </c>
      <c r="J1357">
        <v>3.1300000000000001E-2</v>
      </c>
      <c r="K1357" t="s">
        <v>85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85</v>
      </c>
      <c r="E1358" t="s">
        <v>25</v>
      </c>
      <c r="F1358" t="s">
        <v>85</v>
      </c>
      <c r="G1358" t="s">
        <v>26</v>
      </c>
      <c r="H1358" t="s">
        <v>82</v>
      </c>
      <c r="I1358">
        <v>2080</v>
      </c>
      <c r="J1358">
        <v>5.015E-2</v>
      </c>
      <c r="K1358" t="s">
        <v>85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85</v>
      </c>
      <c r="E1359" t="s">
        <v>25</v>
      </c>
      <c r="F1359" t="s">
        <v>85</v>
      </c>
      <c r="G1359" t="s">
        <v>26</v>
      </c>
      <c r="H1359" t="s">
        <v>82</v>
      </c>
      <c r="I1359">
        <v>2080</v>
      </c>
      <c r="J1359">
        <v>9.6000000000000002E-2</v>
      </c>
      <c r="K1359" t="s">
        <v>85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2080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2080</v>
      </c>
      <c r="J1361">
        <v>1E-3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2080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2080</v>
      </c>
      <c r="J1363">
        <v>3.5500000000000002E-3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2080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2080</v>
      </c>
      <c r="J1365">
        <v>3.5E-4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2080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53</v>
      </c>
      <c r="E1367" t="s">
        <v>25</v>
      </c>
      <c r="F1367" t="s">
        <v>53</v>
      </c>
      <c r="G1367" t="s">
        <v>71</v>
      </c>
      <c r="H1367" t="s">
        <v>89</v>
      </c>
      <c r="I1367">
        <v>2080</v>
      </c>
      <c r="J1367">
        <v>0</v>
      </c>
      <c r="K1367" t="s">
        <v>53</v>
      </c>
      <c r="L1367">
        <v>55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53</v>
      </c>
      <c r="E1368" t="s">
        <v>25</v>
      </c>
      <c r="F1368" t="s">
        <v>53</v>
      </c>
      <c r="G1368" t="s">
        <v>71</v>
      </c>
      <c r="H1368" t="s">
        <v>89</v>
      </c>
      <c r="I1368">
        <v>2080</v>
      </c>
      <c r="J1368">
        <v>5.9999999999999995E-4</v>
      </c>
      <c r="K1368" t="s">
        <v>53</v>
      </c>
      <c r="L1368">
        <v>55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53</v>
      </c>
      <c r="E1369" t="s">
        <v>25</v>
      </c>
      <c r="F1369" t="s">
        <v>53</v>
      </c>
      <c r="G1369" t="s">
        <v>71</v>
      </c>
      <c r="H1369" t="s">
        <v>89</v>
      </c>
      <c r="I1369">
        <v>2080</v>
      </c>
      <c r="J1369">
        <v>0</v>
      </c>
      <c r="K1369" t="s">
        <v>53</v>
      </c>
      <c r="L1369">
        <v>55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53</v>
      </c>
      <c r="E1370" t="s">
        <v>25</v>
      </c>
      <c r="F1370" t="s">
        <v>53</v>
      </c>
      <c r="G1370" t="s">
        <v>71</v>
      </c>
      <c r="H1370" t="s">
        <v>89</v>
      </c>
      <c r="I1370">
        <v>2080</v>
      </c>
      <c r="J1370">
        <v>5.0000000000000001E-4</v>
      </c>
      <c r="K1370" t="s">
        <v>53</v>
      </c>
      <c r="L1370">
        <v>55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53</v>
      </c>
      <c r="E1371" t="s">
        <v>25</v>
      </c>
      <c r="F1371" t="s">
        <v>53</v>
      </c>
      <c r="G1371" t="s">
        <v>71</v>
      </c>
      <c r="H1371" t="s">
        <v>89</v>
      </c>
      <c r="I1371">
        <v>2080</v>
      </c>
      <c r="J1371">
        <v>0</v>
      </c>
      <c r="K1371" t="s">
        <v>53</v>
      </c>
      <c r="L1371">
        <v>55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53</v>
      </c>
      <c r="E1372" t="s">
        <v>25</v>
      </c>
      <c r="F1372" t="s">
        <v>53</v>
      </c>
      <c r="G1372" t="s">
        <v>71</v>
      </c>
      <c r="H1372" t="s">
        <v>89</v>
      </c>
      <c r="I1372">
        <v>2080</v>
      </c>
      <c r="J1372">
        <v>3.5E-4</v>
      </c>
      <c r="K1372" t="s">
        <v>53</v>
      </c>
      <c r="L1372">
        <v>55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53</v>
      </c>
      <c r="E1373" t="s">
        <v>25</v>
      </c>
      <c r="F1373" t="s">
        <v>53</v>
      </c>
      <c r="G1373" t="s">
        <v>71</v>
      </c>
      <c r="H1373" t="s">
        <v>89</v>
      </c>
      <c r="I1373">
        <v>2080</v>
      </c>
      <c r="J1373">
        <v>0</v>
      </c>
      <c r="K1373" t="s">
        <v>53</v>
      </c>
      <c r="L1373">
        <v>55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54</v>
      </c>
      <c r="E1374" t="s">
        <v>25</v>
      </c>
      <c r="F1374" t="s">
        <v>54</v>
      </c>
      <c r="G1374" t="s">
        <v>71</v>
      </c>
      <c r="H1374" t="s">
        <v>89</v>
      </c>
      <c r="I1374">
        <v>2080</v>
      </c>
      <c r="J1374">
        <v>0</v>
      </c>
      <c r="K1374" t="s">
        <v>54</v>
      </c>
      <c r="L1374">
        <v>70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54</v>
      </c>
      <c r="E1375" t="s">
        <v>25</v>
      </c>
      <c r="F1375" t="s">
        <v>54</v>
      </c>
      <c r="G1375" t="s">
        <v>71</v>
      </c>
      <c r="H1375" t="s">
        <v>89</v>
      </c>
      <c r="I1375">
        <v>2080</v>
      </c>
      <c r="J1375">
        <v>0</v>
      </c>
      <c r="K1375" t="s">
        <v>54</v>
      </c>
      <c r="L1375">
        <v>70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54</v>
      </c>
      <c r="E1376" t="s">
        <v>25</v>
      </c>
      <c r="F1376" t="s">
        <v>54</v>
      </c>
      <c r="G1376" t="s">
        <v>71</v>
      </c>
      <c r="H1376" t="s">
        <v>89</v>
      </c>
      <c r="I1376">
        <v>2080</v>
      </c>
      <c r="J1376">
        <v>0</v>
      </c>
      <c r="K1376" t="s">
        <v>54</v>
      </c>
      <c r="L1376">
        <v>70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54</v>
      </c>
      <c r="E1377" t="s">
        <v>25</v>
      </c>
      <c r="F1377" t="s">
        <v>54</v>
      </c>
      <c r="G1377" t="s">
        <v>71</v>
      </c>
      <c r="H1377" t="s">
        <v>89</v>
      </c>
      <c r="I1377">
        <v>2080</v>
      </c>
      <c r="J1377">
        <v>0</v>
      </c>
      <c r="K1377" t="s">
        <v>54</v>
      </c>
      <c r="L1377">
        <v>70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54</v>
      </c>
      <c r="E1378" t="s">
        <v>25</v>
      </c>
      <c r="F1378" t="s">
        <v>54</v>
      </c>
      <c r="G1378" t="s">
        <v>71</v>
      </c>
      <c r="H1378" t="s">
        <v>89</v>
      </c>
      <c r="I1378">
        <v>2080</v>
      </c>
      <c r="J1378">
        <v>0</v>
      </c>
      <c r="K1378" t="s">
        <v>54</v>
      </c>
      <c r="L1378">
        <v>70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54</v>
      </c>
      <c r="E1379" t="s">
        <v>25</v>
      </c>
      <c r="F1379" t="s">
        <v>54</v>
      </c>
      <c r="G1379" t="s">
        <v>71</v>
      </c>
      <c r="H1379" t="s">
        <v>89</v>
      </c>
      <c r="I1379">
        <v>2080</v>
      </c>
      <c r="J1379">
        <v>0</v>
      </c>
      <c r="K1379" t="s">
        <v>54</v>
      </c>
      <c r="L1379">
        <v>70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54</v>
      </c>
      <c r="E1380" t="s">
        <v>25</v>
      </c>
      <c r="F1380" t="s">
        <v>54</v>
      </c>
      <c r="G1380" t="s">
        <v>71</v>
      </c>
      <c r="H1380" t="s">
        <v>89</v>
      </c>
      <c r="I1380">
        <v>2080</v>
      </c>
      <c r="J1380">
        <v>0</v>
      </c>
      <c r="K1380" t="s">
        <v>54</v>
      </c>
      <c r="L1380">
        <v>70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2080</v>
      </c>
      <c r="J1381">
        <v>14.627700000000001</v>
      </c>
      <c r="K1381" t="s">
        <v>29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2080</v>
      </c>
      <c r="J1382">
        <v>7.2326999999999995</v>
      </c>
      <c r="K1382" t="s">
        <v>29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2080</v>
      </c>
      <c r="J1383">
        <v>25.099249999999998</v>
      </c>
      <c r="K1383" t="s">
        <v>29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2080</v>
      </c>
      <c r="J1384">
        <v>15.325950000000001</v>
      </c>
      <c r="K1384" t="s">
        <v>29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16.235250000000001</v>
      </c>
      <c r="K1385" t="s">
        <v>29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2080</v>
      </c>
      <c r="J1386">
        <v>10.8065</v>
      </c>
      <c r="K1386" t="s">
        <v>29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2080</v>
      </c>
      <c r="J1387">
        <v>33.725650000000002</v>
      </c>
      <c r="K1387" t="s">
        <v>29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2080</v>
      </c>
      <c r="J1388">
        <v>1.8597999999999999</v>
      </c>
      <c r="K1388" t="s">
        <v>33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33</v>
      </c>
      <c r="E1389" t="s">
        <v>30</v>
      </c>
      <c r="F1389" t="s">
        <v>33</v>
      </c>
      <c r="G1389" t="s">
        <v>31</v>
      </c>
      <c r="H1389" t="s">
        <v>34</v>
      </c>
      <c r="I1389">
        <v>2080</v>
      </c>
      <c r="J1389">
        <v>3.9399000000000002</v>
      </c>
      <c r="K1389" t="s">
        <v>33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2080</v>
      </c>
      <c r="J1390">
        <v>2.0176500000000002</v>
      </c>
      <c r="K1390" t="s">
        <v>33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2080</v>
      </c>
      <c r="J1391">
        <v>2.1972499999999999</v>
      </c>
      <c r="K1391" t="s">
        <v>33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2080</v>
      </c>
      <c r="J1392">
        <v>1.9149500000000002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2080</v>
      </c>
      <c r="J1393">
        <v>2.28335</v>
      </c>
      <c r="K1393" t="s">
        <v>33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2080</v>
      </c>
      <c r="J1394">
        <v>2.1149</v>
      </c>
      <c r="K1394" t="s">
        <v>33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2080</v>
      </c>
      <c r="J1395">
        <v>4.9551999999999996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2080</v>
      </c>
      <c r="J1396">
        <v>6.8310500000000003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2080</v>
      </c>
      <c r="J1397">
        <v>5.2074499999999997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2080</v>
      </c>
      <c r="J1398">
        <v>5.3712499999999999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2080</v>
      </c>
      <c r="J1399">
        <v>4.9113500000000005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2080</v>
      </c>
      <c r="J1400">
        <v>5.7898499999999995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2080</v>
      </c>
      <c r="J1401">
        <v>5.9697999999999993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2080</v>
      </c>
      <c r="J1402">
        <v>243.12205</v>
      </c>
      <c r="K1402" t="s">
        <v>37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2080</v>
      </c>
      <c r="J1403">
        <v>287.08224999999999</v>
      </c>
      <c r="K1403" t="s">
        <v>37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2080</v>
      </c>
      <c r="J1404">
        <v>255.86834999999999</v>
      </c>
      <c r="K1404" t="s">
        <v>37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2080</v>
      </c>
      <c r="J1405">
        <v>259.88295000000005</v>
      </c>
      <c r="K1405" t="s">
        <v>37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2080</v>
      </c>
      <c r="J1406">
        <v>293.78949999999998</v>
      </c>
      <c r="K1406" t="s">
        <v>37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37</v>
      </c>
      <c r="E1407" t="s">
        <v>30</v>
      </c>
      <c r="F1407" t="s">
        <v>37</v>
      </c>
      <c r="G1407" t="s">
        <v>31</v>
      </c>
      <c r="H1407" t="s">
        <v>38</v>
      </c>
      <c r="I1407">
        <v>2080</v>
      </c>
      <c r="J1407">
        <v>263.74220000000003</v>
      </c>
      <c r="K1407" t="s">
        <v>37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2080</v>
      </c>
      <c r="J1408">
        <v>314.26490000000001</v>
      </c>
      <c r="K1408" t="s">
        <v>37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48</v>
      </c>
      <c r="E1409" t="s">
        <v>46</v>
      </c>
      <c r="F1409" t="s">
        <v>48</v>
      </c>
      <c r="G1409" t="s">
        <v>49</v>
      </c>
      <c r="H1409" t="s">
        <v>50</v>
      </c>
      <c r="I1409">
        <v>2080</v>
      </c>
      <c r="J1409">
        <v>169.57380000000001</v>
      </c>
      <c r="K1409" t="s">
        <v>48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48</v>
      </c>
      <c r="E1410" t="s">
        <v>46</v>
      </c>
      <c r="F1410" t="s">
        <v>48</v>
      </c>
      <c r="G1410" t="s">
        <v>49</v>
      </c>
      <c r="H1410" t="s">
        <v>50</v>
      </c>
      <c r="I1410">
        <v>2080</v>
      </c>
      <c r="J1410">
        <v>279.23340000000002</v>
      </c>
      <c r="K1410" t="s">
        <v>48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48</v>
      </c>
      <c r="E1411" t="s">
        <v>46</v>
      </c>
      <c r="F1411" t="s">
        <v>48</v>
      </c>
      <c r="G1411" t="s">
        <v>49</v>
      </c>
      <c r="H1411" t="s">
        <v>50</v>
      </c>
      <c r="I1411">
        <v>2080</v>
      </c>
      <c r="J1411">
        <v>167.73115000000001</v>
      </c>
      <c r="K1411" t="s">
        <v>48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48</v>
      </c>
      <c r="E1412" t="s">
        <v>46</v>
      </c>
      <c r="F1412" t="s">
        <v>48</v>
      </c>
      <c r="G1412" t="s">
        <v>49</v>
      </c>
      <c r="H1412" t="s">
        <v>50</v>
      </c>
      <c r="I1412">
        <v>2080</v>
      </c>
      <c r="J1412">
        <v>172.62915000000001</v>
      </c>
      <c r="K1412" t="s">
        <v>48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48</v>
      </c>
      <c r="E1413" t="s">
        <v>46</v>
      </c>
      <c r="F1413" t="s">
        <v>48</v>
      </c>
      <c r="G1413" t="s">
        <v>49</v>
      </c>
      <c r="H1413" t="s">
        <v>50</v>
      </c>
      <c r="I1413">
        <v>2080</v>
      </c>
      <c r="J1413">
        <v>145.82765000000001</v>
      </c>
      <c r="K1413" t="s">
        <v>48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48</v>
      </c>
      <c r="E1414" t="s">
        <v>46</v>
      </c>
      <c r="F1414" t="s">
        <v>48</v>
      </c>
      <c r="G1414" t="s">
        <v>49</v>
      </c>
      <c r="H1414" t="s">
        <v>50</v>
      </c>
      <c r="I1414">
        <v>2080</v>
      </c>
      <c r="J1414">
        <v>180.73360000000002</v>
      </c>
      <c r="K1414" t="s">
        <v>48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48</v>
      </c>
      <c r="E1415" t="s">
        <v>46</v>
      </c>
      <c r="F1415" t="s">
        <v>48</v>
      </c>
      <c r="G1415" t="s">
        <v>49</v>
      </c>
      <c r="H1415" t="s">
        <v>50</v>
      </c>
      <c r="I1415">
        <v>2080</v>
      </c>
      <c r="J1415">
        <v>138.46339999999998</v>
      </c>
      <c r="K1415" t="s">
        <v>48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51</v>
      </c>
      <c r="E1416" t="s">
        <v>46</v>
      </c>
      <c r="F1416" t="s">
        <v>51</v>
      </c>
      <c r="G1416" t="s">
        <v>49</v>
      </c>
      <c r="H1416" t="s">
        <v>50</v>
      </c>
      <c r="I1416">
        <v>2080</v>
      </c>
      <c r="J1416">
        <v>13.67375</v>
      </c>
      <c r="K1416" t="s">
        <v>51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51</v>
      </c>
      <c r="E1417" t="s">
        <v>46</v>
      </c>
      <c r="F1417" t="s">
        <v>51</v>
      </c>
      <c r="G1417" t="s">
        <v>49</v>
      </c>
      <c r="H1417" t="s">
        <v>50</v>
      </c>
      <c r="I1417">
        <v>2080</v>
      </c>
      <c r="J1417">
        <v>119.23965000000001</v>
      </c>
      <c r="K1417" t="s">
        <v>51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51</v>
      </c>
      <c r="E1418" t="s">
        <v>46</v>
      </c>
      <c r="F1418" t="s">
        <v>51</v>
      </c>
      <c r="G1418" t="s">
        <v>49</v>
      </c>
      <c r="H1418" t="s">
        <v>50</v>
      </c>
      <c r="I1418">
        <v>2080</v>
      </c>
      <c r="J1418">
        <v>11.7925</v>
      </c>
      <c r="K1418" t="s">
        <v>51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51</v>
      </c>
      <c r="E1419" t="s">
        <v>46</v>
      </c>
      <c r="F1419" t="s">
        <v>51</v>
      </c>
      <c r="G1419" t="s">
        <v>49</v>
      </c>
      <c r="H1419" t="s">
        <v>50</v>
      </c>
      <c r="I1419">
        <v>2080</v>
      </c>
      <c r="J1419">
        <v>21.5078</v>
      </c>
      <c r="K1419" t="s">
        <v>51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51</v>
      </c>
      <c r="E1420" t="s">
        <v>46</v>
      </c>
      <c r="F1420" t="s">
        <v>51</v>
      </c>
      <c r="G1420" t="s">
        <v>49</v>
      </c>
      <c r="H1420" t="s">
        <v>50</v>
      </c>
      <c r="I1420">
        <v>2080</v>
      </c>
      <c r="J1420">
        <v>-2.3464499999999999</v>
      </c>
      <c r="K1420" t="s">
        <v>51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51</v>
      </c>
      <c r="E1421" t="s">
        <v>46</v>
      </c>
      <c r="F1421" t="s">
        <v>51</v>
      </c>
      <c r="G1421" t="s">
        <v>49</v>
      </c>
      <c r="H1421" t="s">
        <v>50</v>
      </c>
      <c r="I1421">
        <v>2080</v>
      </c>
      <c r="J1421">
        <v>22.574649999999998</v>
      </c>
      <c r="K1421" t="s">
        <v>51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51</v>
      </c>
      <c r="E1422" t="s">
        <v>46</v>
      </c>
      <c r="F1422" t="s">
        <v>51</v>
      </c>
      <c r="G1422" t="s">
        <v>49</v>
      </c>
      <c r="H1422" t="s">
        <v>50</v>
      </c>
      <c r="I1422">
        <v>2080</v>
      </c>
      <c r="J1422">
        <v>-11.429349999999999</v>
      </c>
      <c r="K1422" t="s">
        <v>51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0.33699999999999997</v>
      </c>
      <c r="K1423" t="s">
        <v>45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1.7594999999999998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1.115E-2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5.2590000000000003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0.21639999999999998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10.987550000000001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2085</v>
      </c>
      <c r="J1430">
        <v>8.829999999999999E-2</v>
      </c>
      <c r="K1430" t="s">
        <v>24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2085</v>
      </c>
      <c r="J1431">
        <v>6.9250000000000006E-2</v>
      </c>
      <c r="K1431" t="s">
        <v>24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8.7299999999999989E-2</v>
      </c>
      <c r="K1432" t="s">
        <v>24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2085</v>
      </c>
      <c r="J1433">
        <v>8.0949999999999994E-2</v>
      </c>
      <c r="K1433" t="s">
        <v>24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2085</v>
      </c>
      <c r="J1434">
        <v>2.4300000000000002E-2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2085</v>
      </c>
      <c r="J1435">
        <v>7.7850000000000003E-2</v>
      </c>
      <c r="K1435" t="s">
        <v>24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2085</v>
      </c>
      <c r="J1436">
        <v>9.6849999999999992E-2</v>
      </c>
      <c r="K1436" t="s">
        <v>24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2085</v>
      </c>
      <c r="J1437">
        <v>0.14795</v>
      </c>
      <c r="K1437" t="s">
        <v>28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2085</v>
      </c>
      <c r="J1438">
        <v>0.12090000000000001</v>
      </c>
      <c r="K1438" t="s">
        <v>28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2085</v>
      </c>
      <c r="J1439">
        <v>0.14324999999999999</v>
      </c>
      <c r="K1439" t="s">
        <v>28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2085</v>
      </c>
      <c r="J1440">
        <v>0.13419999999999999</v>
      </c>
      <c r="K1440" t="s">
        <v>28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2085</v>
      </c>
      <c r="J1441">
        <v>0.16385</v>
      </c>
      <c r="K1441" t="s">
        <v>28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2085</v>
      </c>
      <c r="J1442">
        <v>0.13169999999999998</v>
      </c>
      <c r="K1442" t="s">
        <v>28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2085</v>
      </c>
      <c r="J1443">
        <v>0.15665000000000001</v>
      </c>
      <c r="K1443" t="s">
        <v>28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27</v>
      </c>
      <c r="E1444" t="s">
        <v>25</v>
      </c>
      <c r="F1444" t="s">
        <v>27</v>
      </c>
      <c r="G1444" t="s">
        <v>26</v>
      </c>
      <c r="H1444" t="s">
        <v>10</v>
      </c>
      <c r="I1444">
        <v>2085</v>
      </c>
      <c r="J1444">
        <v>4.4249999999999998E-2</v>
      </c>
      <c r="K1444" t="s">
        <v>27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27</v>
      </c>
      <c r="E1445" t="s">
        <v>25</v>
      </c>
      <c r="F1445" t="s">
        <v>27</v>
      </c>
      <c r="G1445" t="s">
        <v>26</v>
      </c>
      <c r="H1445" t="s">
        <v>10</v>
      </c>
      <c r="I1445">
        <v>2085</v>
      </c>
      <c r="J1445">
        <v>3.2250000000000001E-2</v>
      </c>
      <c r="K1445" t="s">
        <v>27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2085</v>
      </c>
      <c r="J1446">
        <v>3.9600000000000003E-2</v>
      </c>
      <c r="K1446" t="s">
        <v>27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27</v>
      </c>
      <c r="E1447" t="s">
        <v>25</v>
      </c>
      <c r="F1447" t="s">
        <v>27</v>
      </c>
      <c r="G1447" t="s">
        <v>26</v>
      </c>
      <c r="H1447" t="s">
        <v>10</v>
      </c>
      <c r="I1447">
        <v>2085</v>
      </c>
      <c r="J1447">
        <v>3.705E-2</v>
      </c>
      <c r="K1447" t="s">
        <v>27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27</v>
      </c>
      <c r="E1448" t="s">
        <v>25</v>
      </c>
      <c r="F1448" t="s">
        <v>27</v>
      </c>
      <c r="G1448" t="s">
        <v>26</v>
      </c>
      <c r="H1448" t="s">
        <v>10</v>
      </c>
      <c r="I1448">
        <v>2085</v>
      </c>
      <c r="J1448">
        <v>5.7099999999999998E-2</v>
      </c>
      <c r="K1448" t="s">
        <v>27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27</v>
      </c>
      <c r="E1449" t="s">
        <v>25</v>
      </c>
      <c r="F1449" t="s">
        <v>27</v>
      </c>
      <c r="G1449" t="s">
        <v>26</v>
      </c>
      <c r="H1449" t="s">
        <v>10</v>
      </c>
      <c r="I1449">
        <v>2085</v>
      </c>
      <c r="J1449">
        <v>3.5049999999999998E-2</v>
      </c>
      <c r="K1449" t="s">
        <v>27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27</v>
      </c>
      <c r="E1450" t="s">
        <v>25</v>
      </c>
      <c r="F1450" t="s">
        <v>27</v>
      </c>
      <c r="G1450" t="s">
        <v>26</v>
      </c>
      <c r="H1450" t="s">
        <v>10</v>
      </c>
      <c r="I1450">
        <v>2085</v>
      </c>
      <c r="J1450">
        <v>5.0450000000000002E-2</v>
      </c>
      <c r="K1450" t="s">
        <v>27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85</v>
      </c>
      <c r="E1451" t="s">
        <v>25</v>
      </c>
      <c r="F1451" t="s">
        <v>85</v>
      </c>
      <c r="G1451" t="s">
        <v>26</v>
      </c>
      <c r="H1451" t="s">
        <v>82</v>
      </c>
      <c r="I1451">
        <v>2085</v>
      </c>
      <c r="J1451">
        <v>3.8199999999999998E-2</v>
      </c>
      <c r="K1451" t="s">
        <v>85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85</v>
      </c>
      <c r="E1452" t="s">
        <v>25</v>
      </c>
      <c r="F1452" t="s">
        <v>85</v>
      </c>
      <c r="G1452" t="s">
        <v>26</v>
      </c>
      <c r="H1452" t="s">
        <v>82</v>
      </c>
      <c r="I1452">
        <v>2085</v>
      </c>
      <c r="J1452">
        <v>6.6400000000000001E-2</v>
      </c>
      <c r="K1452" t="s">
        <v>85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85</v>
      </c>
      <c r="E1453" t="s">
        <v>25</v>
      </c>
      <c r="F1453" t="s">
        <v>85</v>
      </c>
      <c r="G1453" t="s">
        <v>26</v>
      </c>
      <c r="H1453" t="s">
        <v>82</v>
      </c>
      <c r="I1453">
        <v>2085</v>
      </c>
      <c r="J1453">
        <v>4.0349999999999997E-2</v>
      </c>
      <c r="K1453" t="s">
        <v>85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85</v>
      </c>
      <c r="E1454" t="s">
        <v>25</v>
      </c>
      <c r="F1454" t="s">
        <v>85</v>
      </c>
      <c r="G1454" t="s">
        <v>26</v>
      </c>
      <c r="H1454" t="s">
        <v>82</v>
      </c>
      <c r="I1454">
        <v>2085</v>
      </c>
      <c r="J1454">
        <v>9.6949999999999995E-2</v>
      </c>
      <c r="K1454" t="s">
        <v>85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85</v>
      </c>
      <c r="E1455" t="s">
        <v>25</v>
      </c>
      <c r="F1455" t="s">
        <v>85</v>
      </c>
      <c r="G1455" t="s">
        <v>26</v>
      </c>
      <c r="H1455" t="s">
        <v>82</v>
      </c>
      <c r="I1455">
        <v>2085</v>
      </c>
      <c r="J1455">
        <v>2.87E-2</v>
      </c>
      <c r="K1455" t="s">
        <v>85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85</v>
      </c>
      <c r="E1456" t="s">
        <v>25</v>
      </c>
      <c r="F1456" t="s">
        <v>85</v>
      </c>
      <c r="G1456" t="s">
        <v>26</v>
      </c>
      <c r="H1456" t="s">
        <v>82</v>
      </c>
      <c r="I1456">
        <v>2085</v>
      </c>
      <c r="J1456">
        <v>5.3849999999999995E-2</v>
      </c>
      <c r="K1456" t="s">
        <v>85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85</v>
      </c>
      <c r="E1457" t="s">
        <v>25</v>
      </c>
      <c r="F1457" t="s">
        <v>85</v>
      </c>
      <c r="G1457" t="s">
        <v>26</v>
      </c>
      <c r="H1457" t="s">
        <v>82</v>
      </c>
      <c r="I1457">
        <v>2085</v>
      </c>
      <c r="J1457">
        <v>8.6900000000000005E-2</v>
      </c>
      <c r="K1457" t="s">
        <v>85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52</v>
      </c>
      <c r="E1458" t="s">
        <v>25</v>
      </c>
      <c r="F1458" t="s">
        <v>52</v>
      </c>
      <c r="G1458" t="s">
        <v>71</v>
      </c>
      <c r="H1458" t="s">
        <v>89</v>
      </c>
      <c r="I1458">
        <v>2085</v>
      </c>
      <c r="J1458">
        <v>0</v>
      </c>
      <c r="K1458" t="s">
        <v>52</v>
      </c>
      <c r="L1458">
        <v>94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52</v>
      </c>
      <c r="E1459" t="s">
        <v>25</v>
      </c>
      <c r="F1459" t="s">
        <v>52</v>
      </c>
      <c r="G1459" t="s">
        <v>71</v>
      </c>
      <c r="H1459" t="s">
        <v>89</v>
      </c>
      <c r="I1459">
        <v>2085</v>
      </c>
      <c r="J1459">
        <v>2.2500000000000003E-3</v>
      </c>
      <c r="K1459" t="s">
        <v>52</v>
      </c>
      <c r="L1459">
        <v>94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52</v>
      </c>
      <c r="E1460" t="s">
        <v>25</v>
      </c>
      <c r="F1460" t="s">
        <v>52</v>
      </c>
      <c r="G1460" t="s">
        <v>71</v>
      </c>
      <c r="H1460" t="s">
        <v>89</v>
      </c>
      <c r="I1460">
        <v>2085</v>
      </c>
      <c r="J1460">
        <v>0</v>
      </c>
      <c r="K1460" t="s">
        <v>52</v>
      </c>
      <c r="L1460">
        <v>94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52</v>
      </c>
      <c r="E1461" t="s">
        <v>25</v>
      </c>
      <c r="F1461" t="s">
        <v>52</v>
      </c>
      <c r="G1461" t="s">
        <v>71</v>
      </c>
      <c r="H1461" t="s">
        <v>89</v>
      </c>
      <c r="I1461">
        <v>2085</v>
      </c>
      <c r="J1461">
        <v>3.6499999999999996E-3</v>
      </c>
      <c r="K1461" t="s">
        <v>52</v>
      </c>
      <c r="L1461">
        <v>94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52</v>
      </c>
      <c r="E1462" t="s">
        <v>25</v>
      </c>
      <c r="F1462" t="s">
        <v>52</v>
      </c>
      <c r="G1462" t="s">
        <v>71</v>
      </c>
      <c r="H1462" t="s">
        <v>89</v>
      </c>
      <c r="I1462">
        <v>2085</v>
      </c>
      <c r="J1462">
        <v>0</v>
      </c>
      <c r="K1462" t="s">
        <v>52</v>
      </c>
      <c r="L1462">
        <v>94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52</v>
      </c>
      <c r="E1463" t="s">
        <v>25</v>
      </c>
      <c r="F1463" t="s">
        <v>52</v>
      </c>
      <c r="G1463" t="s">
        <v>71</v>
      </c>
      <c r="H1463" t="s">
        <v>89</v>
      </c>
      <c r="I1463">
        <v>2085</v>
      </c>
      <c r="J1463">
        <v>9.5E-4</v>
      </c>
      <c r="K1463" t="s">
        <v>52</v>
      </c>
      <c r="L1463">
        <v>94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52</v>
      </c>
      <c r="E1464" t="s">
        <v>25</v>
      </c>
      <c r="F1464" t="s">
        <v>52</v>
      </c>
      <c r="G1464" t="s">
        <v>71</v>
      </c>
      <c r="H1464" t="s">
        <v>89</v>
      </c>
      <c r="I1464">
        <v>2085</v>
      </c>
      <c r="J1464">
        <v>0</v>
      </c>
      <c r="K1464" t="s">
        <v>52</v>
      </c>
      <c r="L1464">
        <v>94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2085</v>
      </c>
      <c r="J1465">
        <v>0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2085</v>
      </c>
      <c r="J1466">
        <v>7.5000000000000002E-4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2085</v>
      </c>
      <c r="J1467">
        <v>0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2085</v>
      </c>
      <c r="J1468">
        <v>5.0000000000000001E-4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2085</v>
      </c>
      <c r="J1469">
        <v>0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2085</v>
      </c>
      <c r="J1470">
        <v>2.9999999999999997E-4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54</v>
      </c>
      <c r="E1472" t="s">
        <v>25</v>
      </c>
      <c r="F1472" t="s">
        <v>54</v>
      </c>
      <c r="G1472" t="s">
        <v>71</v>
      </c>
      <c r="H1472" t="s">
        <v>89</v>
      </c>
      <c r="I1472">
        <v>2085</v>
      </c>
      <c r="J1472">
        <v>0</v>
      </c>
      <c r="K1472" t="s">
        <v>54</v>
      </c>
      <c r="L1472">
        <v>70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54</v>
      </c>
      <c r="E1473" t="s">
        <v>25</v>
      </c>
      <c r="F1473" t="s">
        <v>54</v>
      </c>
      <c r="G1473" t="s">
        <v>71</v>
      </c>
      <c r="H1473" t="s">
        <v>89</v>
      </c>
      <c r="I1473">
        <v>2085</v>
      </c>
      <c r="J1473">
        <v>0</v>
      </c>
      <c r="K1473" t="s">
        <v>54</v>
      </c>
      <c r="L1473">
        <v>70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54</v>
      </c>
      <c r="E1474" t="s">
        <v>25</v>
      </c>
      <c r="F1474" t="s">
        <v>54</v>
      </c>
      <c r="G1474" t="s">
        <v>71</v>
      </c>
      <c r="H1474" t="s">
        <v>89</v>
      </c>
      <c r="I1474">
        <v>2085</v>
      </c>
      <c r="J1474">
        <v>0</v>
      </c>
      <c r="K1474" t="s">
        <v>54</v>
      </c>
      <c r="L1474">
        <v>70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54</v>
      </c>
      <c r="E1475" t="s">
        <v>25</v>
      </c>
      <c r="F1475" t="s">
        <v>54</v>
      </c>
      <c r="G1475" t="s">
        <v>71</v>
      </c>
      <c r="H1475" t="s">
        <v>89</v>
      </c>
      <c r="I1475">
        <v>2085</v>
      </c>
      <c r="J1475">
        <v>0</v>
      </c>
      <c r="K1475" t="s">
        <v>54</v>
      </c>
      <c r="L1475">
        <v>70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54</v>
      </c>
      <c r="E1476" t="s">
        <v>25</v>
      </c>
      <c r="F1476" t="s">
        <v>54</v>
      </c>
      <c r="G1476" t="s">
        <v>71</v>
      </c>
      <c r="H1476" t="s">
        <v>89</v>
      </c>
      <c r="I1476">
        <v>2085</v>
      </c>
      <c r="J1476">
        <v>0</v>
      </c>
      <c r="K1476" t="s">
        <v>54</v>
      </c>
      <c r="L1476">
        <v>70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54</v>
      </c>
      <c r="E1477" t="s">
        <v>25</v>
      </c>
      <c r="F1477" t="s">
        <v>54</v>
      </c>
      <c r="G1477" t="s">
        <v>71</v>
      </c>
      <c r="H1477" t="s">
        <v>89</v>
      </c>
      <c r="I1477">
        <v>2085</v>
      </c>
      <c r="J1477">
        <v>0</v>
      </c>
      <c r="K1477" t="s">
        <v>54</v>
      </c>
      <c r="L1477">
        <v>70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54</v>
      </c>
      <c r="E1478" t="s">
        <v>25</v>
      </c>
      <c r="F1478" t="s">
        <v>54</v>
      </c>
      <c r="G1478" t="s">
        <v>71</v>
      </c>
      <c r="H1478" t="s">
        <v>89</v>
      </c>
      <c r="I1478">
        <v>2085</v>
      </c>
      <c r="J1478">
        <v>0</v>
      </c>
      <c r="K1478" t="s">
        <v>54</v>
      </c>
      <c r="L1478">
        <v>70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2085</v>
      </c>
      <c r="J1479">
        <v>15.284700000000001</v>
      </c>
      <c r="K1479" t="s">
        <v>29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2085</v>
      </c>
      <c r="J1480">
        <v>7.1741000000000001</v>
      </c>
      <c r="K1480" t="s">
        <v>29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2085</v>
      </c>
      <c r="J1481">
        <v>23.323250000000002</v>
      </c>
      <c r="K1481" t="s">
        <v>29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2085</v>
      </c>
      <c r="J1482">
        <v>15.232099999999999</v>
      </c>
      <c r="K1482" t="s">
        <v>29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2085</v>
      </c>
      <c r="J1483">
        <v>16.323450000000001</v>
      </c>
      <c r="K1483" t="s">
        <v>29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2085</v>
      </c>
      <c r="J1484">
        <v>10.06185</v>
      </c>
      <c r="K1484" t="s">
        <v>29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2085</v>
      </c>
      <c r="J1485">
        <v>35.534049999999993</v>
      </c>
      <c r="K1485" t="s">
        <v>29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2085</v>
      </c>
      <c r="J1486">
        <v>1.8835500000000001</v>
      </c>
      <c r="K1486" t="s">
        <v>33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2085</v>
      </c>
      <c r="J1487">
        <v>4.0999499999999998</v>
      </c>
      <c r="K1487" t="s">
        <v>33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2.0796000000000001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2085</v>
      </c>
      <c r="J1489">
        <v>2.1886000000000001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2085</v>
      </c>
      <c r="J1490">
        <v>1.8938000000000001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2085</v>
      </c>
      <c r="J1491">
        <v>2.29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2085</v>
      </c>
      <c r="J1492">
        <v>2.0994000000000002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35</v>
      </c>
      <c r="E1493" t="s">
        <v>30</v>
      </c>
      <c r="F1493" t="s">
        <v>35</v>
      </c>
      <c r="G1493" t="s">
        <v>31</v>
      </c>
      <c r="H1493" t="s">
        <v>36</v>
      </c>
      <c r="I1493">
        <v>2085</v>
      </c>
      <c r="J1493">
        <v>5.0263999999999998</v>
      </c>
      <c r="K1493" t="s">
        <v>35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35</v>
      </c>
      <c r="E1494" t="s">
        <v>30</v>
      </c>
      <c r="F1494" t="s">
        <v>35</v>
      </c>
      <c r="G1494" t="s">
        <v>31</v>
      </c>
      <c r="H1494" t="s">
        <v>36</v>
      </c>
      <c r="I1494">
        <v>2085</v>
      </c>
      <c r="J1494">
        <v>7.0742500000000001</v>
      </c>
      <c r="K1494" t="s">
        <v>35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35</v>
      </c>
      <c r="E1495" t="s">
        <v>30</v>
      </c>
      <c r="F1495" t="s">
        <v>35</v>
      </c>
      <c r="G1495" t="s">
        <v>31</v>
      </c>
      <c r="H1495" t="s">
        <v>36</v>
      </c>
      <c r="I1495">
        <v>2085</v>
      </c>
      <c r="J1495">
        <v>5.1766000000000005</v>
      </c>
      <c r="K1495" t="s">
        <v>35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35</v>
      </c>
      <c r="E1496" t="s">
        <v>30</v>
      </c>
      <c r="F1496" t="s">
        <v>35</v>
      </c>
      <c r="G1496" t="s">
        <v>31</v>
      </c>
      <c r="H1496" t="s">
        <v>36</v>
      </c>
      <c r="I1496">
        <v>2085</v>
      </c>
      <c r="J1496">
        <v>5.36965</v>
      </c>
      <c r="K1496" t="s">
        <v>35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35</v>
      </c>
      <c r="E1497" t="s">
        <v>30</v>
      </c>
      <c r="F1497" t="s">
        <v>35</v>
      </c>
      <c r="G1497" t="s">
        <v>31</v>
      </c>
      <c r="H1497" t="s">
        <v>36</v>
      </c>
      <c r="I1497">
        <v>2085</v>
      </c>
      <c r="J1497">
        <v>4.8847000000000005</v>
      </c>
      <c r="K1497" t="s">
        <v>35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35</v>
      </c>
      <c r="E1498" t="s">
        <v>30</v>
      </c>
      <c r="F1498" t="s">
        <v>35</v>
      </c>
      <c r="G1498" t="s">
        <v>31</v>
      </c>
      <c r="H1498" t="s">
        <v>36</v>
      </c>
      <c r="I1498">
        <v>2085</v>
      </c>
      <c r="J1498">
        <v>5.8544</v>
      </c>
      <c r="K1498" t="s">
        <v>35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35</v>
      </c>
      <c r="E1499" t="s">
        <v>30</v>
      </c>
      <c r="F1499" t="s">
        <v>35</v>
      </c>
      <c r="G1499" t="s">
        <v>31</v>
      </c>
      <c r="H1499" t="s">
        <v>36</v>
      </c>
      <c r="I1499">
        <v>2085</v>
      </c>
      <c r="J1499">
        <v>5.8603500000000004</v>
      </c>
      <c r="K1499" t="s">
        <v>35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2085</v>
      </c>
      <c r="J1500">
        <v>251.51634999999999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2085</v>
      </c>
      <c r="J1501">
        <v>288.87919999999997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2085</v>
      </c>
      <c r="J1502">
        <v>259.85789999999997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2085</v>
      </c>
      <c r="J1503">
        <v>261.11509999999998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2085</v>
      </c>
      <c r="J1504">
        <v>306.5256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264.43470000000002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2085</v>
      </c>
      <c r="J1506">
        <v>359.90930000000003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48</v>
      </c>
      <c r="E1507" t="s">
        <v>46</v>
      </c>
      <c r="F1507" t="s">
        <v>48</v>
      </c>
      <c r="G1507" t="s">
        <v>49</v>
      </c>
      <c r="H1507" t="s">
        <v>50</v>
      </c>
      <c r="I1507">
        <v>2085</v>
      </c>
      <c r="J1507">
        <v>167.40685000000002</v>
      </c>
      <c r="K1507" t="s">
        <v>48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48</v>
      </c>
      <c r="E1508" t="s">
        <v>46</v>
      </c>
      <c r="F1508" t="s">
        <v>48</v>
      </c>
      <c r="G1508" t="s">
        <v>49</v>
      </c>
      <c r="H1508" t="s">
        <v>50</v>
      </c>
      <c r="I1508">
        <v>2085</v>
      </c>
      <c r="J1508">
        <v>272.86969999999997</v>
      </c>
      <c r="K1508" t="s">
        <v>48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48</v>
      </c>
      <c r="E1509" t="s">
        <v>46</v>
      </c>
      <c r="F1509" t="s">
        <v>48</v>
      </c>
      <c r="G1509" t="s">
        <v>49</v>
      </c>
      <c r="H1509" t="s">
        <v>50</v>
      </c>
      <c r="I1509">
        <v>2085</v>
      </c>
      <c r="J1509">
        <v>167.14505</v>
      </c>
      <c r="K1509" t="s">
        <v>48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48</v>
      </c>
      <c r="E1510" t="s">
        <v>46</v>
      </c>
      <c r="F1510" t="s">
        <v>48</v>
      </c>
      <c r="G1510" t="s">
        <v>49</v>
      </c>
      <c r="H1510" t="s">
        <v>50</v>
      </c>
      <c r="I1510">
        <v>2085</v>
      </c>
      <c r="J1510">
        <v>170.43869999999998</v>
      </c>
      <c r="K1510" t="s">
        <v>48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48</v>
      </c>
      <c r="E1511" t="s">
        <v>46</v>
      </c>
      <c r="F1511" t="s">
        <v>48</v>
      </c>
      <c r="G1511" t="s">
        <v>49</v>
      </c>
      <c r="H1511" t="s">
        <v>50</v>
      </c>
      <c r="I1511">
        <v>2085</v>
      </c>
      <c r="J1511">
        <v>146.29840000000002</v>
      </c>
      <c r="K1511" t="s">
        <v>48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48</v>
      </c>
      <c r="E1512" t="s">
        <v>46</v>
      </c>
      <c r="F1512" t="s">
        <v>48</v>
      </c>
      <c r="G1512" t="s">
        <v>49</v>
      </c>
      <c r="H1512" t="s">
        <v>50</v>
      </c>
      <c r="I1512">
        <v>2085</v>
      </c>
      <c r="J1512">
        <v>180.83985000000001</v>
      </c>
      <c r="K1512" t="s">
        <v>48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48</v>
      </c>
      <c r="E1513" t="s">
        <v>46</v>
      </c>
      <c r="F1513" t="s">
        <v>48</v>
      </c>
      <c r="G1513" t="s">
        <v>49</v>
      </c>
      <c r="H1513" t="s">
        <v>50</v>
      </c>
      <c r="I1513">
        <v>2085</v>
      </c>
      <c r="J1513">
        <v>139.65105</v>
      </c>
      <c r="K1513" t="s">
        <v>48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51</v>
      </c>
      <c r="E1514" t="s">
        <v>46</v>
      </c>
      <c r="F1514" t="s">
        <v>51</v>
      </c>
      <c r="G1514" t="s">
        <v>49</v>
      </c>
      <c r="H1514" t="s">
        <v>50</v>
      </c>
      <c r="I1514">
        <v>2085</v>
      </c>
      <c r="J1514">
        <v>12.909800000000001</v>
      </c>
      <c r="K1514" t="s">
        <v>51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51</v>
      </c>
      <c r="E1515" t="s">
        <v>46</v>
      </c>
      <c r="F1515" t="s">
        <v>51</v>
      </c>
      <c r="G1515" t="s">
        <v>49</v>
      </c>
      <c r="H1515" t="s">
        <v>50</v>
      </c>
      <c r="I1515">
        <v>2085</v>
      </c>
      <c r="J1515">
        <v>113.89160000000001</v>
      </c>
      <c r="K1515" t="s">
        <v>51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51</v>
      </c>
      <c r="E1516" t="s">
        <v>46</v>
      </c>
      <c r="F1516" t="s">
        <v>51</v>
      </c>
      <c r="G1516" t="s">
        <v>49</v>
      </c>
      <c r="H1516" t="s">
        <v>50</v>
      </c>
      <c r="I1516">
        <v>2085</v>
      </c>
      <c r="J1516">
        <v>12.728100000000001</v>
      </c>
      <c r="K1516" t="s">
        <v>51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51</v>
      </c>
      <c r="E1517" t="s">
        <v>46</v>
      </c>
      <c r="F1517" t="s">
        <v>51</v>
      </c>
      <c r="G1517" t="s">
        <v>49</v>
      </c>
      <c r="H1517" t="s">
        <v>50</v>
      </c>
      <c r="I1517">
        <v>2085</v>
      </c>
      <c r="J1517">
        <v>20.16865</v>
      </c>
      <c r="K1517" t="s">
        <v>51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51</v>
      </c>
      <c r="E1518" t="s">
        <v>46</v>
      </c>
      <c r="F1518" t="s">
        <v>51</v>
      </c>
      <c r="G1518" t="s">
        <v>49</v>
      </c>
      <c r="H1518" t="s">
        <v>50</v>
      </c>
      <c r="I1518">
        <v>2085</v>
      </c>
      <c r="J1518">
        <v>-1.4628999999999999</v>
      </c>
      <c r="K1518" t="s">
        <v>51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51</v>
      </c>
      <c r="E1519" t="s">
        <v>46</v>
      </c>
      <c r="F1519" t="s">
        <v>51</v>
      </c>
      <c r="G1519" t="s">
        <v>49</v>
      </c>
      <c r="H1519" t="s">
        <v>50</v>
      </c>
      <c r="I1519">
        <v>2085</v>
      </c>
      <c r="J1519">
        <v>23.3931</v>
      </c>
      <c r="K1519" t="s">
        <v>51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51</v>
      </c>
      <c r="E1520" t="s">
        <v>46</v>
      </c>
      <c r="F1520" t="s">
        <v>51</v>
      </c>
      <c r="G1520" t="s">
        <v>49</v>
      </c>
      <c r="H1520" t="s">
        <v>50</v>
      </c>
      <c r="I1520">
        <v>2085</v>
      </c>
      <c r="J1520">
        <v>-9.5896499999999989</v>
      </c>
      <c r="K1520" t="s">
        <v>51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0.19284999999999999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0.85444999999999993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0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4.4215499999999999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5.16E-2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7.5101999999999993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24</v>
      </c>
      <c r="E1528" t="s">
        <v>25</v>
      </c>
      <c r="F1528" t="s">
        <v>24</v>
      </c>
      <c r="G1528" t="s">
        <v>26</v>
      </c>
      <c r="H1528" t="s">
        <v>13</v>
      </c>
      <c r="I1528">
        <v>2090</v>
      </c>
      <c r="J1528">
        <v>8.7650000000000006E-2</v>
      </c>
      <c r="K1528" t="s">
        <v>24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24</v>
      </c>
      <c r="E1529" t="s">
        <v>25</v>
      </c>
      <c r="F1529" t="s">
        <v>24</v>
      </c>
      <c r="G1529" t="s">
        <v>26</v>
      </c>
      <c r="H1529" t="s">
        <v>13</v>
      </c>
      <c r="I1529">
        <v>2090</v>
      </c>
      <c r="J1529">
        <v>6.83E-2</v>
      </c>
      <c r="K1529" t="s">
        <v>24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24</v>
      </c>
      <c r="E1530" t="s">
        <v>25</v>
      </c>
      <c r="F1530" t="s">
        <v>24</v>
      </c>
      <c r="G1530" t="s">
        <v>26</v>
      </c>
      <c r="H1530" t="s">
        <v>13</v>
      </c>
      <c r="I1530">
        <v>2090</v>
      </c>
      <c r="J1530">
        <v>8.6749999999999994E-2</v>
      </c>
      <c r="K1530" t="s">
        <v>24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24</v>
      </c>
      <c r="E1531" t="s">
        <v>25</v>
      </c>
      <c r="F1531" t="s">
        <v>24</v>
      </c>
      <c r="G1531" t="s">
        <v>26</v>
      </c>
      <c r="H1531" t="s">
        <v>13</v>
      </c>
      <c r="I1531">
        <v>2090</v>
      </c>
      <c r="J1531">
        <v>8.0449999999999994E-2</v>
      </c>
      <c r="K1531" t="s">
        <v>24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24</v>
      </c>
      <c r="E1532" t="s">
        <v>25</v>
      </c>
      <c r="F1532" t="s">
        <v>24</v>
      </c>
      <c r="G1532" t="s">
        <v>26</v>
      </c>
      <c r="H1532" t="s">
        <v>13</v>
      </c>
      <c r="I1532">
        <v>2090</v>
      </c>
      <c r="J1532">
        <v>2.5750000000000002E-2</v>
      </c>
      <c r="K1532" t="s">
        <v>24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24</v>
      </c>
      <c r="E1533" t="s">
        <v>25</v>
      </c>
      <c r="F1533" t="s">
        <v>24</v>
      </c>
      <c r="G1533" t="s">
        <v>26</v>
      </c>
      <c r="H1533" t="s">
        <v>13</v>
      </c>
      <c r="I1533">
        <v>2090</v>
      </c>
      <c r="J1533">
        <v>7.7250000000000013E-2</v>
      </c>
      <c r="K1533" t="s">
        <v>24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24</v>
      </c>
      <c r="E1534" t="s">
        <v>25</v>
      </c>
      <c r="F1534" t="s">
        <v>24</v>
      </c>
      <c r="G1534" t="s">
        <v>26</v>
      </c>
      <c r="H1534" t="s">
        <v>13</v>
      </c>
      <c r="I1534">
        <v>2090</v>
      </c>
      <c r="J1534">
        <v>9.6149999999999999E-2</v>
      </c>
      <c r="K1534" t="s">
        <v>24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28</v>
      </c>
      <c r="E1535" t="s">
        <v>25</v>
      </c>
      <c r="F1535" t="s">
        <v>28</v>
      </c>
      <c r="G1535" t="s">
        <v>26</v>
      </c>
      <c r="H1535" t="s">
        <v>12</v>
      </c>
      <c r="I1535">
        <v>2090</v>
      </c>
      <c r="J1535">
        <v>0.17049999999999998</v>
      </c>
      <c r="K1535" t="s">
        <v>28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28</v>
      </c>
      <c r="E1536" t="s">
        <v>25</v>
      </c>
      <c r="F1536" t="s">
        <v>28</v>
      </c>
      <c r="G1536" t="s">
        <v>26</v>
      </c>
      <c r="H1536" t="s">
        <v>12</v>
      </c>
      <c r="I1536">
        <v>2090</v>
      </c>
      <c r="J1536">
        <v>0.13979999999999998</v>
      </c>
      <c r="K1536" t="s">
        <v>28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28</v>
      </c>
      <c r="E1537" t="s">
        <v>25</v>
      </c>
      <c r="F1537" t="s">
        <v>28</v>
      </c>
      <c r="G1537" t="s">
        <v>26</v>
      </c>
      <c r="H1537" t="s">
        <v>12</v>
      </c>
      <c r="I1537">
        <v>2090</v>
      </c>
      <c r="J1537">
        <v>0.1658</v>
      </c>
      <c r="K1537" t="s">
        <v>28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28</v>
      </c>
      <c r="E1538" t="s">
        <v>25</v>
      </c>
      <c r="F1538" t="s">
        <v>28</v>
      </c>
      <c r="G1538" t="s">
        <v>26</v>
      </c>
      <c r="H1538" t="s">
        <v>12</v>
      </c>
      <c r="I1538">
        <v>2090</v>
      </c>
      <c r="J1538">
        <v>0.15594999999999998</v>
      </c>
      <c r="K1538" t="s">
        <v>28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28</v>
      </c>
      <c r="E1539" t="s">
        <v>25</v>
      </c>
      <c r="F1539" t="s">
        <v>28</v>
      </c>
      <c r="G1539" t="s">
        <v>26</v>
      </c>
      <c r="H1539" t="s">
        <v>12</v>
      </c>
      <c r="I1539">
        <v>2090</v>
      </c>
      <c r="J1539">
        <v>0.18104999999999999</v>
      </c>
      <c r="K1539" t="s">
        <v>28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28</v>
      </c>
      <c r="E1540" t="s">
        <v>25</v>
      </c>
      <c r="F1540" t="s">
        <v>28</v>
      </c>
      <c r="G1540" t="s">
        <v>26</v>
      </c>
      <c r="H1540" t="s">
        <v>12</v>
      </c>
      <c r="I1540">
        <v>2090</v>
      </c>
      <c r="J1540">
        <v>0.15165000000000001</v>
      </c>
      <c r="K1540" t="s">
        <v>28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28</v>
      </c>
      <c r="E1541" t="s">
        <v>25</v>
      </c>
      <c r="F1541" t="s">
        <v>28</v>
      </c>
      <c r="G1541" t="s">
        <v>26</v>
      </c>
      <c r="H1541" t="s">
        <v>12</v>
      </c>
      <c r="I1541">
        <v>2090</v>
      </c>
      <c r="J1541">
        <v>0.17854999999999999</v>
      </c>
      <c r="K1541" t="s">
        <v>28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27</v>
      </c>
      <c r="E1542" t="s">
        <v>25</v>
      </c>
      <c r="F1542" t="s">
        <v>27</v>
      </c>
      <c r="G1542" t="s">
        <v>26</v>
      </c>
      <c r="H1542" t="s">
        <v>10</v>
      </c>
      <c r="I1542">
        <v>2090</v>
      </c>
      <c r="J1542">
        <v>4.8299999999999996E-2</v>
      </c>
      <c r="K1542" t="s">
        <v>27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27</v>
      </c>
      <c r="E1543" t="s">
        <v>25</v>
      </c>
      <c r="F1543" t="s">
        <v>27</v>
      </c>
      <c r="G1543" t="s">
        <v>26</v>
      </c>
      <c r="H1543" t="s">
        <v>10</v>
      </c>
      <c r="I1543">
        <v>2090</v>
      </c>
      <c r="J1543">
        <v>3.5549999999999998E-2</v>
      </c>
      <c r="K1543" t="s">
        <v>27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27</v>
      </c>
      <c r="E1544" t="s">
        <v>25</v>
      </c>
      <c r="F1544" t="s">
        <v>27</v>
      </c>
      <c r="G1544" t="s">
        <v>26</v>
      </c>
      <c r="H1544" t="s">
        <v>10</v>
      </c>
      <c r="I1544">
        <v>2090</v>
      </c>
      <c r="J1544">
        <v>4.3749999999999997E-2</v>
      </c>
      <c r="K1544" t="s">
        <v>27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27</v>
      </c>
      <c r="E1545" t="s">
        <v>25</v>
      </c>
      <c r="F1545" t="s">
        <v>27</v>
      </c>
      <c r="G1545" t="s">
        <v>26</v>
      </c>
      <c r="H1545" t="s">
        <v>10</v>
      </c>
      <c r="I1545">
        <v>2090</v>
      </c>
      <c r="J1545">
        <v>4.0849999999999997E-2</v>
      </c>
      <c r="K1545" t="s">
        <v>27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27</v>
      </c>
      <c r="E1546" t="s">
        <v>25</v>
      </c>
      <c r="F1546" t="s">
        <v>27</v>
      </c>
      <c r="G1546" t="s">
        <v>26</v>
      </c>
      <c r="H1546" t="s">
        <v>10</v>
      </c>
      <c r="I1546">
        <v>2090</v>
      </c>
      <c r="J1546">
        <v>5.9249999999999997E-2</v>
      </c>
      <c r="K1546" t="s">
        <v>27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27</v>
      </c>
      <c r="E1547" t="s">
        <v>25</v>
      </c>
      <c r="F1547" t="s">
        <v>27</v>
      </c>
      <c r="G1547" t="s">
        <v>26</v>
      </c>
      <c r="H1547" t="s">
        <v>10</v>
      </c>
      <c r="I1547">
        <v>2090</v>
      </c>
      <c r="J1547">
        <v>3.8449999999999998E-2</v>
      </c>
      <c r="K1547" t="s">
        <v>27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27</v>
      </c>
      <c r="E1548" t="s">
        <v>25</v>
      </c>
      <c r="F1548" t="s">
        <v>27</v>
      </c>
      <c r="G1548" t="s">
        <v>26</v>
      </c>
      <c r="H1548" t="s">
        <v>10</v>
      </c>
      <c r="I1548">
        <v>2090</v>
      </c>
      <c r="J1548">
        <v>5.4399999999999997E-2</v>
      </c>
      <c r="K1548" t="s">
        <v>27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85</v>
      </c>
      <c r="E1549" t="s">
        <v>25</v>
      </c>
      <c r="F1549" t="s">
        <v>85</v>
      </c>
      <c r="G1549" t="s">
        <v>26</v>
      </c>
      <c r="H1549" t="s">
        <v>82</v>
      </c>
      <c r="I1549">
        <v>2090</v>
      </c>
      <c r="J1549">
        <v>3.585E-2</v>
      </c>
      <c r="K1549" t="s">
        <v>85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85</v>
      </c>
      <c r="E1550" t="s">
        <v>25</v>
      </c>
      <c r="F1550" t="s">
        <v>85</v>
      </c>
      <c r="G1550" t="s">
        <v>26</v>
      </c>
      <c r="H1550" t="s">
        <v>82</v>
      </c>
      <c r="I1550">
        <v>2090</v>
      </c>
      <c r="J1550">
        <v>7.9000000000000001E-2</v>
      </c>
      <c r="K1550" t="s">
        <v>85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85</v>
      </c>
      <c r="E1551" t="s">
        <v>25</v>
      </c>
      <c r="F1551" t="s">
        <v>85</v>
      </c>
      <c r="G1551" t="s">
        <v>26</v>
      </c>
      <c r="H1551" t="s">
        <v>82</v>
      </c>
      <c r="I1551">
        <v>2090</v>
      </c>
      <c r="J1551">
        <v>3.7650000000000003E-2</v>
      </c>
      <c r="K1551" t="s">
        <v>85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85</v>
      </c>
      <c r="E1552" t="s">
        <v>25</v>
      </c>
      <c r="F1552" t="s">
        <v>85</v>
      </c>
      <c r="G1552" t="s">
        <v>26</v>
      </c>
      <c r="H1552" t="s">
        <v>82</v>
      </c>
      <c r="I1552">
        <v>2090</v>
      </c>
      <c r="J1552">
        <v>8.6249999999999993E-2</v>
      </c>
      <c r="K1552" t="s">
        <v>85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85</v>
      </c>
      <c r="E1553" t="s">
        <v>25</v>
      </c>
      <c r="F1553" t="s">
        <v>85</v>
      </c>
      <c r="G1553" t="s">
        <v>26</v>
      </c>
      <c r="H1553" t="s">
        <v>82</v>
      </c>
      <c r="I1553">
        <v>2090</v>
      </c>
      <c r="J1553">
        <v>2.5149999999999999E-2</v>
      </c>
      <c r="K1553" t="s">
        <v>85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85</v>
      </c>
      <c r="E1554" t="s">
        <v>25</v>
      </c>
      <c r="F1554" t="s">
        <v>85</v>
      </c>
      <c r="G1554" t="s">
        <v>26</v>
      </c>
      <c r="H1554" t="s">
        <v>82</v>
      </c>
      <c r="I1554">
        <v>2090</v>
      </c>
      <c r="J1554">
        <v>5.7000000000000002E-2</v>
      </c>
      <c r="K1554" t="s">
        <v>85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85</v>
      </c>
      <c r="E1555" t="s">
        <v>25</v>
      </c>
      <c r="F1555" t="s">
        <v>85</v>
      </c>
      <c r="G1555" t="s">
        <v>26</v>
      </c>
      <c r="H1555" t="s">
        <v>82</v>
      </c>
      <c r="I1555">
        <v>2090</v>
      </c>
      <c r="J1555">
        <v>6.4500000000000002E-2</v>
      </c>
      <c r="K1555" t="s">
        <v>85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52</v>
      </c>
      <c r="E1556" t="s">
        <v>25</v>
      </c>
      <c r="F1556" t="s">
        <v>52</v>
      </c>
      <c r="G1556" t="s">
        <v>71</v>
      </c>
      <c r="H1556" t="s">
        <v>89</v>
      </c>
      <c r="I1556">
        <v>2090</v>
      </c>
      <c r="J1556">
        <v>0</v>
      </c>
      <c r="K1556" t="s">
        <v>52</v>
      </c>
      <c r="L1556">
        <v>94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52</v>
      </c>
      <c r="E1557" t="s">
        <v>25</v>
      </c>
      <c r="F1557" t="s">
        <v>52</v>
      </c>
      <c r="G1557" t="s">
        <v>71</v>
      </c>
      <c r="H1557" t="s">
        <v>89</v>
      </c>
      <c r="I1557">
        <v>2090</v>
      </c>
      <c r="J1557">
        <v>3.8500000000000001E-3</v>
      </c>
      <c r="K1557" t="s">
        <v>52</v>
      </c>
      <c r="L1557">
        <v>94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52</v>
      </c>
      <c r="E1558" t="s">
        <v>25</v>
      </c>
      <c r="F1558" t="s">
        <v>52</v>
      </c>
      <c r="G1558" t="s">
        <v>71</v>
      </c>
      <c r="H1558" t="s">
        <v>89</v>
      </c>
      <c r="I1558">
        <v>2090</v>
      </c>
      <c r="J1558">
        <v>0</v>
      </c>
      <c r="K1558" t="s">
        <v>52</v>
      </c>
      <c r="L1558">
        <v>94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2090</v>
      </c>
      <c r="J1559">
        <v>3.8500000000000001E-3</v>
      </c>
      <c r="K1559" t="s">
        <v>52</v>
      </c>
      <c r="L1559">
        <v>94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52</v>
      </c>
      <c r="E1560" t="s">
        <v>25</v>
      </c>
      <c r="F1560" t="s">
        <v>52</v>
      </c>
      <c r="G1560" t="s">
        <v>71</v>
      </c>
      <c r="H1560" t="s">
        <v>89</v>
      </c>
      <c r="I1560">
        <v>2090</v>
      </c>
      <c r="J1560">
        <v>0</v>
      </c>
      <c r="K1560" t="s">
        <v>52</v>
      </c>
      <c r="L1560">
        <v>94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52</v>
      </c>
      <c r="E1561" t="s">
        <v>25</v>
      </c>
      <c r="F1561" t="s">
        <v>52</v>
      </c>
      <c r="G1561" t="s">
        <v>71</v>
      </c>
      <c r="H1561" t="s">
        <v>89</v>
      </c>
      <c r="I1561">
        <v>2090</v>
      </c>
      <c r="J1561">
        <v>1.5999999999999999E-3</v>
      </c>
      <c r="K1561" t="s">
        <v>52</v>
      </c>
      <c r="L1561">
        <v>94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52</v>
      </c>
      <c r="E1562" t="s">
        <v>25</v>
      </c>
      <c r="F1562" t="s">
        <v>52</v>
      </c>
      <c r="G1562" t="s">
        <v>71</v>
      </c>
      <c r="H1562" t="s">
        <v>89</v>
      </c>
      <c r="I1562">
        <v>2090</v>
      </c>
      <c r="J1562">
        <v>0</v>
      </c>
      <c r="K1562" t="s">
        <v>52</v>
      </c>
      <c r="L1562">
        <v>94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2090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2090</v>
      </c>
      <c r="J1564">
        <v>9.5E-4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2090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2090</v>
      </c>
      <c r="J1566">
        <v>4.0000000000000002E-4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2090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2090</v>
      </c>
      <c r="J1568">
        <v>2.0000000000000001E-4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2090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54</v>
      </c>
      <c r="E1570" t="s">
        <v>25</v>
      </c>
      <c r="F1570" t="s">
        <v>54</v>
      </c>
      <c r="G1570" t="s">
        <v>71</v>
      </c>
      <c r="H1570" t="s">
        <v>89</v>
      </c>
      <c r="I1570">
        <v>2090</v>
      </c>
      <c r="J1570">
        <v>0</v>
      </c>
      <c r="K1570" t="s">
        <v>54</v>
      </c>
      <c r="L1570">
        <v>70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54</v>
      </c>
      <c r="E1571" t="s">
        <v>25</v>
      </c>
      <c r="F1571" t="s">
        <v>54</v>
      </c>
      <c r="G1571" t="s">
        <v>71</v>
      </c>
      <c r="H1571" t="s">
        <v>89</v>
      </c>
      <c r="I1571">
        <v>2090</v>
      </c>
      <c r="J1571">
        <v>0</v>
      </c>
      <c r="K1571" t="s">
        <v>54</v>
      </c>
      <c r="L1571">
        <v>70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54</v>
      </c>
      <c r="E1572" t="s">
        <v>25</v>
      </c>
      <c r="F1572" t="s">
        <v>54</v>
      </c>
      <c r="G1572" t="s">
        <v>71</v>
      </c>
      <c r="H1572" t="s">
        <v>89</v>
      </c>
      <c r="I1572">
        <v>2090</v>
      </c>
      <c r="J1572">
        <v>0</v>
      </c>
      <c r="K1572" t="s">
        <v>54</v>
      </c>
      <c r="L1572">
        <v>70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54</v>
      </c>
      <c r="E1573" t="s">
        <v>25</v>
      </c>
      <c r="F1573" t="s">
        <v>54</v>
      </c>
      <c r="G1573" t="s">
        <v>71</v>
      </c>
      <c r="H1573" t="s">
        <v>89</v>
      </c>
      <c r="I1573">
        <v>2090</v>
      </c>
      <c r="J1573">
        <v>0</v>
      </c>
      <c r="K1573" t="s">
        <v>54</v>
      </c>
      <c r="L1573">
        <v>70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54</v>
      </c>
      <c r="E1574" t="s">
        <v>25</v>
      </c>
      <c r="F1574" t="s">
        <v>54</v>
      </c>
      <c r="G1574" t="s">
        <v>71</v>
      </c>
      <c r="H1574" t="s">
        <v>89</v>
      </c>
      <c r="I1574">
        <v>2090</v>
      </c>
      <c r="J1574">
        <v>0</v>
      </c>
      <c r="K1574" t="s">
        <v>54</v>
      </c>
      <c r="L1574">
        <v>70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2090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54</v>
      </c>
      <c r="E1576" t="s">
        <v>25</v>
      </c>
      <c r="F1576" t="s">
        <v>54</v>
      </c>
      <c r="G1576" t="s">
        <v>71</v>
      </c>
      <c r="H1576" t="s">
        <v>89</v>
      </c>
      <c r="I1576">
        <v>2090</v>
      </c>
      <c r="J1576">
        <v>0</v>
      </c>
      <c r="K1576" t="s">
        <v>54</v>
      </c>
      <c r="L1576">
        <v>70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29</v>
      </c>
      <c r="E1577" t="s">
        <v>30</v>
      </c>
      <c r="F1577" t="s">
        <v>29</v>
      </c>
      <c r="G1577" t="s">
        <v>31</v>
      </c>
      <c r="H1577" t="s">
        <v>32</v>
      </c>
      <c r="I1577">
        <v>2090</v>
      </c>
      <c r="J1577">
        <v>15.941649999999999</v>
      </c>
      <c r="K1577" t="s">
        <v>29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29</v>
      </c>
      <c r="E1578" t="s">
        <v>30</v>
      </c>
      <c r="F1578" t="s">
        <v>29</v>
      </c>
      <c r="G1578" t="s">
        <v>31</v>
      </c>
      <c r="H1578" t="s">
        <v>32</v>
      </c>
      <c r="I1578">
        <v>2090</v>
      </c>
      <c r="J1578">
        <v>7.1154500000000001</v>
      </c>
      <c r="K1578" t="s">
        <v>29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29</v>
      </c>
      <c r="E1579" t="s">
        <v>30</v>
      </c>
      <c r="F1579" t="s">
        <v>29</v>
      </c>
      <c r="G1579" t="s">
        <v>31</v>
      </c>
      <c r="H1579" t="s">
        <v>32</v>
      </c>
      <c r="I1579">
        <v>2090</v>
      </c>
      <c r="J1579">
        <v>21.547249999999998</v>
      </c>
      <c r="K1579" t="s">
        <v>29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29</v>
      </c>
      <c r="E1580" t="s">
        <v>30</v>
      </c>
      <c r="F1580" t="s">
        <v>29</v>
      </c>
      <c r="G1580" t="s">
        <v>31</v>
      </c>
      <c r="H1580" t="s">
        <v>32</v>
      </c>
      <c r="I1580">
        <v>2090</v>
      </c>
      <c r="J1580">
        <v>15.138300000000001</v>
      </c>
      <c r="K1580" t="s">
        <v>29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29</v>
      </c>
      <c r="E1581" t="s">
        <v>30</v>
      </c>
      <c r="F1581" t="s">
        <v>29</v>
      </c>
      <c r="G1581" t="s">
        <v>31</v>
      </c>
      <c r="H1581" t="s">
        <v>32</v>
      </c>
      <c r="I1581">
        <v>2090</v>
      </c>
      <c r="J1581">
        <v>16.411549999999998</v>
      </c>
      <c r="K1581" t="s">
        <v>29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29</v>
      </c>
      <c r="E1582" t="s">
        <v>30</v>
      </c>
      <c r="F1582" t="s">
        <v>29</v>
      </c>
      <c r="G1582" t="s">
        <v>31</v>
      </c>
      <c r="H1582" t="s">
        <v>32</v>
      </c>
      <c r="I1582">
        <v>2090</v>
      </c>
      <c r="J1582">
        <v>9.3171999999999997</v>
      </c>
      <c r="K1582" t="s">
        <v>29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29</v>
      </c>
      <c r="E1583" t="s">
        <v>30</v>
      </c>
      <c r="F1583" t="s">
        <v>29</v>
      </c>
      <c r="G1583" t="s">
        <v>31</v>
      </c>
      <c r="H1583" t="s">
        <v>32</v>
      </c>
      <c r="I1583">
        <v>2090</v>
      </c>
      <c r="J1583">
        <v>37.342399999999998</v>
      </c>
      <c r="K1583" t="s">
        <v>29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33</v>
      </c>
      <c r="E1584" t="s">
        <v>30</v>
      </c>
      <c r="F1584" t="s">
        <v>33</v>
      </c>
      <c r="G1584" t="s">
        <v>31</v>
      </c>
      <c r="H1584" t="s">
        <v>34</v>
      </c>
      <c r="I1584">
        <v>2090</v>
      </c>
      <c r="J1584">
        <v>1.9073500000000001</v>
      </c>
      <c r="K1584" t="s">
        <v>33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33</v>
      </c>
      <c r="E1585" t="s">
        <v>30</v>
      </c>
      <c r="F1585" t="s">
        <v>33</v>
      </c>
      <c r="G1585" t="s">
        <v>31</v>
      </c>
      <c r="H1585" t="s">
        <v>34</v>
      </c>
      <c r="I1585">
        <v>2090</v>
      </c>
      <c r="J1585">
        <v>4.2600999999999996</v>
      </c>
      <c r="K1585" t="s">
        <v>33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33</v>
      </c>
      <c r="E1586" t="s">
        <v>30</v>
      </c>
      <c r="F1586" t="s">
        <v>33</v>
      </c>
      <c r="G1586" t="s">
        <v>31</v>
      </c>
      <c r="H1586" t="s">
        <v>34</v>
      </c>
      <c r="I1586">
        <v>2090</v>
      </c>
      <c r="J1586">
        <v>2.1415499999999996</v>
      </c>
      <c r="K1586" t="s">
        <v>33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33</v>
      </c>
      <c r="E1587" t="s">
        <v>30</v>
      </c>
      <c r="F1587" t="s">
        <v>33</v>
      </c>
      <c r="G1587" t="s">
        <v>31</v>
      </c>
      <c r="H1587" t="s">
        <v>34</v>
      </c>
      <c r="I1587">
        <v>2090</v>
      </c>
      <c r="J1587">
        <v>2.1798999999999999</v>
      </c>
      <c r="K1587" t="s">
        <v>33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33</v>
      </c>
      <c r="E1588" t="s">
        <v>30</v>
      </c>
      <c r="F1588" t="s">
        <v>33</v>
      </c>
      <c r="G1588" t="s">
        <v>31</v>
      </c>
      <c r="H1588" t="s">
        <v>34</v>
      </c>
      <c r="I1588">
        <v>2090</v>
      </c>
      <c r="J1588">
        <v>1.8727</v>
      </c>
      <c r="K1588" t="s">
        <v>33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33</v>
      </c>
      <c r="E1589" t="s">
        <v>30</v>
      </c>
      <c r="F1589" t="s">
        <v>33</v>
      </c>
      <c r="G1589" t="s">
        <v>31</v>
      </c>
      <c r="H1589" t="s">
        <v>34</v>
      </c>
      <c r="I1589">
        <v>2090</v>
      </c>
      <c r="J1589">
        <v>2.2967</v>
      </c>
      <c r="K1589" t="s">
        <v>33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33</v>
      </c>
      <c r="E1590" t="s">
        <v>30</v>
      </c>
      <c r="F1590" t="s">
        <v>33</v>
      </c>
      <c r="G1590" t="s">
        <v>31</v>
      </c>
      <c r="H1590" t="s">
        <v>34</v>
      </c>
      <c r="I1590">
        <v>2090</v>
      </c>
      <c r="J1590">
        <v>2.0839499999999997</v>
      </c>
      <c r="K1590" t="s">
        <v>33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2090</v>
      </c>
      <c r="J1592">
        <v>7.31745</v>
      </c>
      <c r="K1592" t="s">
        <v>35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2090</v>
      </c>
      <c r="J1593">
        <v>5.1458000000000004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2090</v>
      </c>
      <c r="J1594">
        <v>5.3680500000000002</v>
      </c>
      <c r="K1594" t="s">
        <v>35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2090</v>
      </c>
      <c r="J1595">
        <v>4.8580500000000004</v>
      </c>
      <c r="K1595" t="s">
        <v>35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2090</v>
      </c>
      <c r="J1596">
        <v>5.9189499999999997</v>
      </c>
      <c r="K1596" t="s">
        <v>35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2090</v>
      </c>
      <c r="J1597">
        <v>5.7508499999999998</v>
      </c>
      <c r="K1597" t="s">
        <v>35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2090</v>
      </c>
      <c r="J1598">
        <v>259.91070000000002</v>
      </c>
      <c r="K1598" t="s">
        <v>37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2090</v>
      </c>
      <c r="J1599">
        <v>290.67615000000001</v>
      </c>
      <c r="K1599" t="s">
        <v>37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2090</v>
      </c>
      <c r="J1600">
        <v>263.84739999999999</v>
      </c>
      <c r="K1600" t="s">
        <v>37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2090</v>
      </c>
      <c r="J1601">
        <v>262.34730000000002</v>
      </c>
      <c r="K1601" t="s">
        <v>37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2090</v>
      </c>
      <c r="J1602">
        <v>319.26165000000003</v>
      </c>
      <c r="K1602" t="s">
        <v>37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265.12720000000002</v>
      </c>
      <c r="K1603" t="s">
        <v>37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2090</v>
      </c>
      <c r="J1604">
        <v>405.55369999999999</v>
      </c>
      <c r="K1604" t="s">
        <v>37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2090</v>
      </c>
      <c r="J1605">
        <v>165.11525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2090</v>
      </c>
      <c r="J1606">
        <v>265.74620000000004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2090</v>
      </c>
      <c r="J1607">
        <v>166.59415000000001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168.30914999999999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2090</v>
      </c>
      <c r="J1609">
        <v>147.47415000000001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2090</v>
      </c>
      <c r="J1610">
        <v>180.47045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2090</v>
      </c>
      <c r="J1611">
        <v>142.52695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2090</v>
      </c>
      <c r="J1612">
        <v>12.014200000000001</v>
      </c>
      <c r="K1612" t="s">
        <v>51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2090</v>
      </c>
      <c r="J1613">
        <v>107.7569</v>
      </c>
      <c r="K1613" t="s">
        <v>51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2090</v>
      </c>
      <c r="J1614">
        <v>13.6921</v>
      </c>
      <c r="K1614" t="s">
        <v>51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2090</v>
      </c>
      <c r="J1615">
        <v>18.8719</v>
      </c>
      <c r="K1615" t="s">
        <v>51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2090</v>
      </c>
      <c r="J1616">
        <v>0.12760000000000002</v>
      </c>
      <c r="K1616" t="s">
        <v>51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2090</v>
      </c>
      <c r="J1617">
        <v>23.7164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2090</v>
      </c>
      <c r="J1618">
        <v>-6.0677000000000003</v>
      </c>
      <c r="K1618" t="s">
        <v>51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9.9000000000000005E-2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0.96640000000000004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0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4.1811000000000007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2.1650000000000003E-2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3.1690499999999999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24</v>
      </c>
      <c r="E1626" t="s">
        <v>25</v>
      </c>
      <c r="F1626" t="s">
        <v>24</v>
      </c>
      <c r="G1626" t="s">
        <v>26</v>
      </c>
      <c r="H1626" t="s">
        <v>13</v>
      </c>
      <c r="I1626">
        <v>2095</v>
      </c>
      <c r="J1626">
        <v>8.4650000000000003E-2</v>
      </c>
      <c r="K1626" t="s">
        <v>24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24</v>
      </c>
      <c r="E1627" t="s">
        <v>25</v>
      </c>
      <c r="F1627" t="s">
        <v>24</v>
      </c>
      <c r="G1627" t="s">
        <v>26</v>
      </c>
      <c r="H1627" t="s">
        <v>13</v>
      </c>
      <c r="I1627">
        <v>2095</v>
      </c>
      <c r="J1627">
        <v>6.6799999999999998E-2</v>
      </c>
      <c r="K1627" t="s">
        <v>24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24</v>
      </c>
      <c r="E1628" t="s">
        <v>25</v>
      </c>
      <c r="F1628" t="s">
        <v>24</v>
      </c>
      <c r="G1628" t="s">
        <v>26</v>
      </c>
      <c r="H1628" t="s">
        <v>13</v>
      </c>
      <c r="I1628">
        <v>2095</v>
      </c>
      <c r="J1628">
        <v>8.4199999999999997E-2</v>
      </c>
      <c r="K1628" t="s">
        <v>24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24</v>
      </c>
      <c r="E1629" t="s">
        <v>25</v>
      </c>
      <c r="F1629" t="s">
        <v>24</v>
      </c>
      <c r="G1629" t="s">
        <v>26</v>
      </c>
      <c r="H1629" t="s">
        <v>13</v>
      </c>
      <c r="I1629">
        <v>2095</v>
      </c>
      <c r="J1629">
        <v>7.8149999999999997E-2</v>
      </c>
      <c r="K1629" t="s">
        <v>24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2095</v>
      </c>
      <c r="J1630">
        <v>2.6499999999999999E-2</v>
      </c>
      <c r="K1630" t="s">
        <v>24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24</v>
      </c>
      <c r="E1631" t="s">
        <v>25</v>
      </c>
      <c r="F1631" t="s">
        <v>24</v>
      </c>
      <c r="G1631" t="s">
        <v>26</v>
      </c>
      <c r="H1631" t="s">
        <v>13</v>
      </c>
      <c r="I1631">
        <v>2095</v>
      </c>
      <c r="J1631">
        <v>7.5399999999999995E-2</v>
      </c>
      <c r="K1631" t="s">
        <v>24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24</v>
      </c>
      <c r="E1632" t="s">
        <v>25</v>
      </c>
      <c r="F1632" t="s">
        <v>24</v>
      </c>
      <c r="G1632" t="s">
        <v>26</v>
      </c>
      <c r="H1632" t="s">
        <v>13</v>
      </c>
      <c r="I1632">
        <v>2095</v>
      </c>
      <c r="J1632">
        <v>9.2599999999999988E-2</v>
      </c>
      <c r="K1632" t="s">
        <v>24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28</v>
      </c>
      <c r="E1633" t="s">
        <v>25</v>
      </c>
      <c r="F1633" t="s">
        <v>28</v>
      </c>
      <c r="G1633" t="s">
        <v>26</v>
      </c>
      <c r="H1633" t="s">
        <v>12</v>
      </c>
      <c r="I1633">
        <v>2095</v>
      </c>
      <c r="J1633">
        <v>0.18325</v>
      </c>
      <c r="K1633" t="s">
        <v>28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28</v>
      </c>
      <c r="E1634" t="s">
        <v>25</v>
      </c>
      <c r="F1634" t="s">
        <v>28</v>
      </c>
      <c r="G1634" t="s">
        <v>26</v>
      </c>
      <c r="H1634" t="s">
        <v>12</v>
      </c>
      <c r="I1634">
        <v>2095</v>
      </c>
      <c r="J1634">
        <v>0.15110000000000001</v>
      </c>
      <c r="K1634" t="s">
        <v>28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28</v>
      </c>
      <c r="E1635" t="s">
        <v>25</v>
      </c>
      <c r="F1635" t="s">
        <v>28</v>
      </c>
      <c r="G1635" t="s">
        <v>26</v>
      </c>
      <c r="H1635" t="s">
        <v>12</v>
      </c>
      <c r="I1635">
        <v>2095</v>
      </c>
      <c r="J1635">
        <v>0.17925000000000002</v>
      </c>
      <c r="K1635" t="s">
        <v>28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28</v>
      </c>
      <c r="E1636" t="s">
        <v>25</v>
      </c>
      <c r="F1636" t="s">
        <v>28</v>
      </c>
      <c r="G1636" t="s">
        <v>26</v>
      </c>
      <c r="H1636" t="s">
        <v>12</v>
      </c>
      <c r="I1636">
        <v>2095</v>
      </c>
      <c r="J1636">
        <v>0.16970000000000002</v>
      </c>
      <c r="K1636" t="s">
        <v>28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28</v>
      </c>
      <c r="E1637" t="s">
        <v>25</v>
      </c>
      <c r="F1637" t="s">
        <v>28</v>
      </c>
      <c r="G1637" t="s">
        <v>26</v>
      </c>
      <c r="H1637" t="s">
        <v>12</v>
      </c>
      <c r="I1637">
        <v>2095</v>
      </c>
      <c r="J1637">
        <v>0.19195000000000001</v>
      </c>
      <c r="K1637" t="s">
        <v>28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28</v>
      </c>
      <c r="E1638" t="s">
        <v>25</v>
      </c>
      <c r="F1638" t="s">
        <v>28</v>
      </c>
      <c r="G1638" t="s">
        <v>26</v>
      </c>
      <c r="H1638" t="s">
        <v>12</v>
      </c>
      <c r="I1638">
        <v>2095</v>
      </c>
      <c r="J1638">
        <v>0.1641</v>
      </c>
      <c r="K1638" t="s">
        <v>28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28</v>
      </c>
      <c r="E1639" t="s">
        <v>25</v>
      </c>
      <c r="F1639" t="s">
        <v>28</v>
      </c>
      <c r="G1639" t="s">
        <v>26</v>
      </c>
      <c r="H1639" t="s">
        <v>12</v>
      </c>
      <c r="I1639">
        <v>2095</v>
      </c>
      <c r="J1639">
        <v>0.191</v>
      </c>
      <c r="K1639" t="s">
        <v>28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27</v>
      </c>
      <c r="E1640" t="s">
        <v>25</v>
      </c>
      <c r="F1640" t="s">
        <v>27</v>
      </c>
      <c r="G1640" t="s">
        <v>26</v>
      </c>
      <c r="H1640" t="s">
        <v>10</v>
      </c>
      <c r="I1640">
        <v>2095</v>
      </c>
      <c r="J1640">
        <v>5.1650000000000001E-2</v>
      </c>
      <c r="K1640" t="s">
        <v>27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27</v>
      </c>
      <c r="E1641" t="s">
        <v>25</v>
      </c>
      <c r="F1641" t="s">
        <v>27</v>
      </c>
      <c r="G1641" t="s">
        <v>26</v>
      </c>
      <c r="H1641" t="s">
        <v>10</v>
      </c>
      <c r="I1641">
        <v>2095</v>
      </c>
      <c r="J1641">
        <v>3.8199999999999998E-2</v>
      </c>
      <c r="K1641" t="s">
        <v>27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27</v>
      </c>
      <c r="E1642" t="s">
        <v>25</v>
      </c>
      <c r="F1642" t="s">
        <v>27</v>
      </c>
      <c r="G1642" t="s">
        <v>26</v>
      </c>
      <c r="H1642" t="s">
        <v>10</v>
      </c>
      <c r="I1642">
        <v>2095</v>
      </c>
      <c r="J1642">
        <v>4.7450000000000006E-2</v>
      </c>
      <c r="K1642" t="s">
        <v>27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27</v>
      </c>
      <c r="E1643" t="s">
        <v>25</v>
      </c>
      <c r="F1643" t="s">
        <v>27</v>
      </c>
      <c r="G1643" t="s">
        <v>26</v>
      </c>
      <c r="H1643" t="s">
        <v>10</v>
      </c>
      <c r="I1643">
        <v>2095</v>
      </c>
      <c r="J1643">
        <v>4.4149999999999995E-2</v>
      </c>
      <c r="K1643" t="s">
        <v>27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27</v>
      </c>
      <c r="E1644" t="s">
        <v>25</v>
      </c>
      <c r="F1644" t="s">
        <v>27</v>
      </c>
      <c r="G1644" t="s">
        <v>26</v>
      </c>
      <c r="H1644" t="s">
        <v>10</v>
      </c>
      <c r="I1644">
        <v>2095</v>
      </c>
      <c r="J1644">
        <v>6.0999999999999999E-2</v>
      </c>
      <c r="K1644" t="s">
        <v>27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27</v>
      </c>
      <c r="E1645" t="s">
        <v>25</v>
      </c>
      <c r="F1645" t="s">
        <v>27</v>
      </c>
      <c r="G1645" t="s">
        <v>26</v>
      </c>
      <c r="H1645" t="s">
        <v>10</v>
      </c>
      <c r="I1645">
        <v>2095</v>
      </c>
      <c r="J1645">
        <v>4.1249999999999995E-2</v>
      </c>
      <c r="K1645" t="s">
        <v>27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27</v>
      </c>
      <c r="E1646" t="s">
        <v>25</v>
      </c>
      <c r="F1646" t="s">
        <v>27</v>
      </c>
      <c r="G1646" t="s">
        <v>26</v>
      </c>
      <c r="H1646" t="s">
        <v>10</v>
      </c>
      <c r="I1646">
        <v>2095</v>
      </c>
      <c r="J1646">
        <v>5.7499999999999996E-2</v>
      </c>
      <c r="K1646" t="s">
        <v>27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85</v>
      </c>
      <c r="E1647" t="s">
        <v>25</v>
      </c>
      <c r="F1647" t="s">
        <v>85</v>
      </c>
      <c r="G1647" t="s">
        <v>26</v>
      </c>
      <c r="H1647" t="s">
        <v>82</v>
      </c>
      <c r="I1647">
        <v>2095</v>
      </c>
      <c r="J1647">
        <v>3.6199999999999996E-2</v>
      </c>
      <c r="K1647" t="s">
        <v>85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85</v>
      </c>
      <c r="E1648" t="s">
        <v>25</v>
      </c>
      <c r="F1648" t="s">
        <v>85</v>
      </c>
      <c r="G1648" t="s">
        <v>26</v>
      </c>
      <c r="H1648" t="s">
        <v>82</v>
      </c>
      <c r="I1648">
        <v>2095</v>
      </c>
      <c r="J1648">
        <v>0.107</v>
      </c>
      <c r="K1648" t="s">
        <v>85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85</v>
      </c>
      <c r="E1649" t="s">
        <v>25</v>
      </c>
      <c r="F1649" t="s">
        <v>85</v>
      </c>
      <c r="G1649" t="s">
        <v>26</v>
      </c>
      <c r="H1649" t="s">
        <v>82</v>
      </c>
      <c r="I1649">
        <v>2095</v>
      </c>
      <c r="J1649">
        <v>3.85E-2</v>
      </c>
      <c r="K1649" t="s">
        <v>85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85</v>
      </c>
      <c r="E1650" t="s">
        <v>25</v>
      </c>
      <c r="F1650" t="s">
        <v>85</v>
      </c>
      <c r="G1650" t="s">
        <v>26</v>
      </c>
      <c r="H1650" t="s">
        <v>82</v>
      </c>
      <c r="I1650">
        <v>2095</v>
      </c>
      <c r="J1650">
        <v>7.5249999999999997E-2</v>
      </c>
      <c r="K1650" t="s">
        <v>85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85</v>
      </c>
      <c r="E1651" t="s">
        <v>25</v>
      </c>
      <c r="F1651" t="s">
        <v>85</v>
      </c>
      <c r="G1651" t="s">
        <v>26</v>
      </c>
      <c r="H1651" t="s">
        <v>82</v>
      </c>
      <c r="I1651">
        <v>2095</v>
      </c>
      <c r="J1651">
        <v>2.615E-2</v>
      </c>
      <c r="K1651" t="s">
        <v>85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85</v>
      </c>
      <c r="E1652" t="s">
        <v>25</v>
      </c>
      <c r="F1652" t="s">
        <v>85</v>
      </c>
      <c r="G1652" t="s">
        <v>26</v>
      </c>
      <c r="H1652" t="s">
        <v>82</v>
      </c>
      <c r="I1652">
        <v>2095</v>
      </c>
      <c r="J1652">
        <v>5.885E-2</v>
      </c>
      <c r="K1652" t="s">
        <v>85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85</v>
      </c>
      <c r="E1653" t="s">
        <v>25</v>
      </c>
      <c r="F1653" t="s">
        <v>85</v>
      </c>
      <c r="G1653" t="s">
        <v>26</v>
      </c>
      <c r="H1653" t="s">
        <v>82</v>
      </c>
      <c r="I1653">
        <v>2095</v>
      </c>
      <c r="J1653">
        <v>2.955E-2</v>
      </c>
      <c r="K1653" t="s">
        <v>85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52</v>
      </c>
      <c r="E1654" t="s">
        <v>25</v>
      </c>
      <c r="F1654" t="s">
        <v>52</v>
      </c>
      <c r="G1654" t="s">
        <v>71</v>
      </c>
      <c r="H1654" t="s">
        <v>89</v>
      </c>
      <c r="I1654">
        <v>2095</v>
      </c>
      <c r="J1654">
        <v>0</v>
      </c>
      <c r="K1654" t="s">
        <v>52</v>
      </c>
      <c r="L1654">
        <v>94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52</v>
      </c>
      <c r="E1655" t="s">
        <v>25</v>
      </c>
      <c r="F1655" t="s">
        <v>52</v>
      </c>
      <c r="G1655" t="s">
        <v>71</v>
      </c>
      <c r="H1655" t="s">
        <v>89</v>
      </c>
      <c r="I1655">
        <v>2095</v>
      </c>
      <c r="J1655">
        <v>8.9499999999999996E-3</v>
      </c>
      <c r="K1655" t="s">
        <v>52</v>
      </c>
      <c r="L1655">
        <v>94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52</v>
      </c>
      <c r="E1656" t="s">
        <v>25</v>
      </c>
      <c r="F1656" t="s">
        <v>52</v>
      </c>
      <c r="G1656" t="s">
        <v>71</v>
      </c>
      <c r="H1656" t="s">
        <v>89</v>
      </c>
      <c r="I1656">
        <v>2095</v>
      </c>
      <c r="J1656">
        <v>0</v>
      </c>
      <c r="K1656" t="s">
        <v>52</v>
      </c>
      <c r="L1656">
        <v>94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52</v>
      </c>
      <c r="E1657" t="s">
        <v>25</v>
      </c>
      <c r="F1657" t="s">
        <v>52</v>
      </c>
      <c r="G1657" t="s">
        <v>71</v>
      </c>
      <c r="H1657" t="s">
        <v>89</v>
      </c>
      <c r="I1657">
        <v>2095</v>
      </c>
      <c r="J1657">
        <v>5.7999999999999996E-3</v>
      </c>
      <c r="K1657" t="s">
        <v>52</v>
      </c>
      <c r="L1657">
        <v>94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52</v>
      </c>
      <c r="E1658" t="s">
        <v>25</v>
      </c>
      <c r="F1658" t="s">
        <v>52</v>
      </c>
      <c r="G1658" t="s">
        <v>71</v>
      </c>
      <c r="H1658" t="s">
        <v>89</v>
      </c>
      <c r="I1658">
        <v>2095</v>
      </c>
      <c r="J1658">
        <v>0</v>
      </c>
      <c r="K1658" t="s">
        <v>52</v>
      </c>
      <c r="L1658">
        <v>94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52</v>
      </c>
      <c r="E1659" t="s">
        <v>25</v>
      </c>
      <c r="F1659" t="s">
        <v>52</v>
      </c>
      <c r="G1659" t="s">
        <v>71</v>
      </c>
      <c r="H1659" t="s">
        <v>89</v>
      </c>
      <c r="I1659">
        <v>2095</v>
      </c>
      <c r="J1659">
        <v>3.8000000000000004E-3</v>
      </c>
      <c r="K1659" t="s">
        <v>52</v>
      </c>
      <c r="L1659">
        <v>94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52</v>
      </c>
      <c r="E1660" t="s">
        <v>25</v>
      </c>
      <c r="F1660" t="s">
        <v>52</v>
      </c>
      <c r="G1660" t="s">
        <v>71</v>
      </c>
      <c r="H1660" t="s">
        <v>89</v>
      </c>
      <c r="I1660">
        <v>2095</v>
      </c>
      <c r="J1660">
        <v>0</v>
      </c>
      <c r="K1660" t="s">
        <v>52</v>
      </c>
      <c r="L1660">
        <v>94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53</v>
      </c>
      <c r="E1661" t="s">
        <v>25</v>
      </c>
      <c r="F1661" t="s">
        <v>53</v>
      </c>
      <c r="G1661" t="s">
        <v>71</v>
      </c>
      <c r="H1661" t="s">
        <v>89</v>
      </c>
      <c r="I1661">
        <v>2095</v>
      </c>
      <c r="J1661">
        <v>0</v>
      </c>
      <c r="K1661" t="s">
        <v>53</v>
      </c>
      <c r="L1661">
        <v>55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53</v>
      </c>
      <c r="E1662" t="s">
        <v>25</v>
      </c>
      <c r="F1662" t="s">
        <v>53</v>
      </c>
      <c r="G1662" t="s">
        <v>71</v>
      </c>
      <c r="H1662" t="s">
        <v>89</v>
      </c>
      <c r="I1662">
        <v>2095</v>
      </c>
      <c r="J1662">
        <v>1.0500000000000002E-3</v>
      </c>
      <c r="K1662" t="s">
        <v>53</v>
      </c>
      <c r="L1662">
        <v>55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53</v>
      </c>
      <c r="E1663" t="s">
        <v>25</v>
      </c>
      <c r="F1663" t="s">
        <v>53</v>
      </c>
      <c r="G1663" t="s">
        <v>71</v>
      </c>
      <c r="H1663" t="s">
        <v>89</v>
      </c>
      <c r="I1663">
        <v>2095</v>
      </c>
      <c r="J1663">
        <v>0</v>
      </c>
      <c r="K1663" t="s">
        <v>53</v>
      </c>
      <c r="L1663">
        <v>55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53</v>
      </c>
      <c r="E1664" t="s">
        <v>25</v>
      </c>
      <c r="F1664" t="s">
        <v>53</v>
      </c>
      <c r="G1664" t="s">
        <v>71</v>
      </c>
      <c r="H1664" t="s">
        <v>89</v>
      </c>
      <c r="I1664">
        <v>2095</v>
      </c>
      <c r="J1664">
        <v>3.5E-4</v>
      </c>
      <c r="K1664" t="s">
        <v>53</v>
      </c>
      <c r="L1664">
        <v>55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53</v>
      </c>
      <c r="E1665" t="s">
        <v>25</v>
      </c>
      <c r="F1665" t="s">
        <v>53</v>
      </c>
      <c r="G1665" t="s">
        <v>71</v>
      </c>
      <c r="H1665" t="s">
        <v>89</v>
      </c>
      <c r="I1665">
        <v>2095</v>
      </c>
      <c r="J1665">
        <v>0</v>
      </c>
      <c r="K1665" t="s">
        <v>53</v>
      </c>
      <c r="L1665">
        <v>55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53</v>
      </c>
      <c r="E1666" t="s">
        <v>25</v>
      </c>
      <c r="F1666" t="s">
        <v>53</v>
      </c>
      <c r="G1666" t="s">
        <v>71</v>
      </c>
      <c r="H1666" t="s">
        <v>89</v>
      </c>
      <c r="I1666">
        <v>2095</v>
      </c>
      <c r="J1666">
        <v>1E-4</v>
      </c>
      <c r="K1666" t="s">
        <v>53</v>
      </c>
      <c r="L1666">
        <v>55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53</v>
      </c>
      <c r="E1667" t="s">
        <v>25</v>
      </c>
      <c r="F1667" t="s">
        <v>53</v>
      </c>
      <c r="G1667" t="s">
        <v>71</v>
      </c>
      <c r="H1667" t="s">
        <v>89</v>
      </c>
      <c r="I1667">
        <v>2095</v>
      </c>
      <c r="J1667">
        <v>0</v>
      </c>
      <c r="K1667" t="s">
        <v>53</v>
      </c>
      <c r="L1667">
        <v>55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2095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2095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2095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2095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2095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2095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2095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29</v>
      </c>
      <c r="E1675" t="s">
        <v>30</v>
      </c>
      <c r="F1675" t="s">
        <v>29</v>
      </c>
      <c r="G1675" t="s">
        <v>31</v>
      </c>
      <c r="H1675" t="s">
        <v>32</v>
      </c>
      <c r="I1675">
        <v>2095</v>
      </c>
      <c r="J1675">
        <v>15.99475</v>
      </c>
      <c r="K1675" t="s">
        <v>29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29</v>
      </c>
      <c r="E1676" t="s">
        <v>30</v>
      </c>
      <c r="F1676" t="s">
        <v>29</v>
      </c>
      <c r="G1676" t="s">
        <v>31</v>
      </c>
      <c r="H1676" t="s">
        <v>32</v>
      </c>
      <c r="I1676">
        <v>2095</v>
      </c>
      <c r="J1676">
        <v>7.3076499999999998</v>
      </c>
      <c r="K1676" t="s">
        <v>29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29</v>
      </c>
      <c r="E1677" t="s">
        <v>30</v>
      </c>
      <c r="F1677" t="s">
        <v>29</v>
      </c>
      <c r="G1677" t="s">
        <v>31</v>
      </c>
      <c r="H1677" t="s">
        <v>32</v>
      </c>
      <c r="I1677">
        <v>2095</v>
      </c>
      <c r="J1677">
        <v>22.268699999999999</v>
      </c>
      <c r="K1677" t="s">
        <v>29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29</v>
      </c>
      <c r="E1678" t="s">
        <v>30</v>
      </c>
      <c r="F1678" t="s">
        <v>29</v>
      </c>
      <c r="G1678" t="s">
        <v>31</v>
      </c>
      <c r="H1678" t="s">
        <v>32</v>
      </c>
      <c r="I1678">
        <v>2095</v>
      </c>
      <c r="J1678">
        <v>15.0703</v>
      </c>
      <c r="K1678" t="s">
        <v>29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2095</v>
      </c>
      <c r="J1679">
        <v>16.4863</v>
      </c>
      <c r="K1679" t="s">
        <v>29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2095</v>
      </c>
      <c r="J1680">
        <v>10.18595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2095</v>
      </c>
      <c r="J1681">
        <v>41.003249999999994</v>
      </c>
      <c r="K1681" t="s">
        <v>29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33</v>
      </c>
      <c r="E1682" t="s">
        <v>30</v>
      </c>
      <c r="F1682" t="s">
        <v>33</v>
      </c>
      <c r="G1682" t="s">
        <v>31</v>
      </c>
      <c r="H1682" t="s">
        <v>34</v>
      </c>
      <c r="I1682">
        <v>2095</v>
      </c>
      <c r="J1682">
        <v>1.81115</v>
      </c>
      <c r="K1682" t="s">
        <v>33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33</v>
      </c>
      <c r="E1683" t="s">
        <v>30</v>
      </c>
      <c r="F1683" t="s">
        <v>33</v>
      </c>
      <c r="G1683" t="s">
        <v>31</v>
      </c>
      <c r="H1683" t="s">
        <v>34</v>
      </c>
      <c r="I1683">
        <v>2095</v>
      </c>
      <c r="J1683">
        <v>4.2486499999999996</v>
      </c>
      <c r="K1683" t="s">
        <v>33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33</v>
      </c>
      <c r="E1684" t="s">
        <v>30</v>
      </c>
      <c r="F1684" t="s">
        <v>33</v>
      </c>
      <c r="G1684" t="s">
        <v>31</v>
      </c>
      <c r="H1684" t="s">
        <v>34</v>
      </c>
      <c r="I1684">
        <v>2095</v>
      </c>
      <c r="J1684">
        <v>1.9457</v>
      </c>
      <c r="K1684" t="s">
        <v>33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33</v>
      </c>
      <c r="E1685" t="s">
        <v>30</v>
      </c>
      <c r="F1685" t="s">
        <v>33</v>
      </c>
      <c r="G1685" t="s">
        <v>31</v>
      </c>
      <c r="H1685" t="s">
        <v>34</v>
      </c>
      <c r="I1685">
        <v>2095</v>
      </c>
      <c r="J1685">
        <v>2.117</v>
      </c>
      <c r="K1685" t="s">
        <v>33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33</v>
      </c>
      <c r="E1686" t="s">
        <v>30</v>
      </c>
      <c r="F1686" t="s">
        <v>33</v>
      </c>
      <c r="G1686" t="s">
        <v>31</v>
      </c>
      <c r="H1686" t="s">
        <v>34</v>
      </c>
      <c r="I1686">
        <v>2095</v>
      </c>
      <c r="J1686">
        <v>1.7038500000000001</v>
      </c>
      <c r="K1686" t="s">
        <v>33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33</v>
      </c>
      <c r="E1687" t="s">
        <v>30</v>
      </c>
      <c r="F1687" t="s">
        <v>33</v>
      </c>
      <c r="G1687" t="s">
        <v>31</v>
      </c>
      <c r="H1687" t="s">
        <v>34</v>
      </c>
      <c r="I1687">
        <v>2095</v>
      </c>
      <c r="J1687">
        <v>2.3285</v>
      </c>
      <c r="K1687" t="s">
        <v>33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33</v>
      </c>
      <c r="E1688" t="s">
        <v>30</v>
      </c>
      <c r="F1688" t="s">
        <v>33</v>
      </c>
      <c r="G1688" t="s">
        <v>31</v>
      </c>
      <c r="H1688" t="s">
        <v>34</v>
      </c>
      <c r="I1688">
        <v>2095</v>
      </c>
      <c r="J1688">
        <v>1.94255</v>
      </c>
      <c r="K1688" t="s">
        <v>33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2095</v>
      </c>
      <c r="J1689">
        <v>5.0595999999999997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2095</v>
      </c>
      <c r="J1690">
        <v>7.4690499999999993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2095</v>
      </c>
      <c r="J1691">
        <v>5.0733999999999995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2095</v>
      </c>
      <c r="J1692">
        <v>5.4055999999999997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2095</v>
      </c>
      <c r="J1693">
        <v>4.3528500000000001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5.9424000000000001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2095</v>
      </c>
      <c r="J1695">
        <v>5.3330500000000001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2095</v>
      </c>
      <c r="J1696">
        <v>261.23194999999998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2095</v>
      </c>
      <c r="J1697">
        <v>300.19495000000001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2095</v>
      </c>
      <c r="J1698">
        <v>267.02665000000002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2095</v>
      </c>
      <c r="J1699">
        <v>273.11149999999998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2095</v>
      </c>
      <c r="J1700">
        <v>340.33254999999997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2095</v>
      </c>
      <c r="J1701">
        <v>275.90345000000002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2095</v>
      </c>
      <c r="J1702">
        <v>320.20389999999998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2095</v>
      </c>
      <c r="J1703">
        <v>162.83645000000001</v>
      </c>
      <c r="K1703" t="s">
        <v>48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48</v>
      </c>
      <c r="E1704" t="s">
        <v>46</v>
      </c>
      <c r="F1704" t="s">
        <v>48</v>
      </c>
      <c r="G1704" t="s">
        <v>49</v>
      </c>
      <c r="H1704" t="s">
        <v>50</v>
      </c>
      <c r="I1704">
        <v>2095</v>
      </c>
      <c r="J1704">
        <v>253.56675000000001</v>
      </c>
      <c r="K1704" t="s">
        <v>48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48</v>
      </c>
      <c r="E1705" t="s">
        <v>46</v>
      </c>
      <c r="F1705" t="s">
        <v>48</v>
      </c>
      <c r="G1705" t="s">
        <v>49</v>
      </c>
      <c r="H1705" t="s">
        <v>50</v>
      </c>
      <c r="I1705">
        <v>2095</v>
      </c>
      <c r="J1705">
        <v>165.92155</v>
      </c>
      <c r="K1705" t="s">
        <v>48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48</v>
      </c>
      <c r="E1706" t="s">
        <v>46</v>
      </c>
      <c r="F1706" t="s">
        <v>48</v>
      </c>
      <c r="G1706" t="s">
        <v>49</v>
      </c>
      <c r="H1706" t="s">
        <v>50</v>
      </c>
      <c r="I1706">
        <v>2095</v>
      </c>
      <c r="J1706">
        <v>165.43335000000002</v>
      </c>
      <c r="K1706" t="s">
        <v>48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48</v>
      </c>
      <c r="E1707" t="s">
        <v>46</v>
      </c>
      <c r="F1707" t="s">
        <v>48</v>
      </c>
      <c r="G1707" t="s">
        <v>49</v>
      </c>
      <c r="H1707" t="s">
        <v>50</v>
      </c>
      <c r="I1707">
        <v>2095</v>
      </c>
      <c r="J1707">
        <v>147.01249999999999</v>
      </c>
      <c r="K1707" t="s">
        <v>48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48</v>
      </c>
      <c r="E1708" t="s">
        <v>46</v>
      </c>
      <c r="F1708" t="s">
        <v>48</v>
      </c>
      <c r="G1708" t="s">
        <v>49</v>
      </c>
      <c r="H1708" t="s">
        <v>50</v>
      </c>
      <c r="I1708">
        <v>2095</v>
      </c>
      <c r="J1708">
        <v>177.61490000000001</v>
      </c>
      <c r="K1708" t="s">
        <v>48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48</v>
      </c>
      <c r="E1709" t="s">
        <v>46</v>
      </c>
      <c r="F1709" t="s">
        <v>48</v>
      </c>
      <c r="G1709" t="s">
        <v>49</v>
      </c>
      <c r="H1709" t="s">
        <v>50</v>
      </c>
      <c r="I1709">
        <v>2095</v>
      </c>
      <c r="J1709">
        <v>145.90805</v>
      </c>
      <c r="K1709" t="s">
        <v>48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2095</v>
      </c>
      <c r="J1710">
        <v>10.869949999999999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97.211849999999998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2095</v>
      </c>
      <c r="J1712">
        <v>14.1777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2095</v>
      </c>
      <c r="J1713">
        <v>16.734100000000002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2095</v>
      </c>
      <c r="J1714">
        <v>0.45965000000000006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2095</v>
      </c>
      <c r="J1715">
        <v>21.679449999999999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2095</v>
      </c>
      <c r="J1716">
        <v>-1.6537999999999999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1.6199999999999999E-2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1.25E-3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0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4.0674000000000001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0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1.6875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24</v>
      </c>
      <c r="E1724" t="s">
        <v>25</v>
      </c>
      <c r="F1724" t="s">
        <v>24</v>
      </c>
      <c r="G1724" t="s">
        <v>26</v>
      </c>
      <c r="H1724" t="s">
        <v>13</v>
      </c>
      <c r="I1724">
        <v>2100</v>
      </c>
      <c r="J1724">
        <v>8.1449999999999995E-2</v>
      </c>
      <c r="K1724" t="s">
        <v>24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24</v>
      </c>
      <c r="E1725" t="s">
        <v>25</v>
      </c>
      <c r="F1725" t="s">
        <v>24</v>
      </c>
      <c r="G1725" t="s">
        <v>26</v>
      </c>
      <c r="H1725" t="s">
        <v>13</v>
      </c>
      <c r="I1725">
        <v>2100</v>
      </c>
      <c r="J1725">
        <v>6.5950000000000009E-2</v>
      </c>
      <c r="K1725" t="s">
        <v>24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24</v>
      </c>
      <c r="E1726" t="s">
        <v>25</v>
      </c>
      <c r="F1726" t="s">
        <v>24</v>
      </c>
      <c r="G1726" t="s">
        <v>26</v>
      </c>
      <c r="H1726" t="s">
        <v>13</v>
      </c>
      <c r="I1726">
        <v>2100</v>
      </c>
      <c r="J1726">
        <v>8.1850000000000006E-2</v>
      </c>
      <c r="K1726" t="s">
        <v>24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24</v>
      </c>
      <c r="E1727" t="s">
        <v>25</v>
      </c>
      <c r="F1727" t="s">
        <v>24</v>
      </c>
      <c r="G1727" t="s">
        <v>26</v>
      </c>
      <c r="H1727" t="s">
        <v>13</v>
      </c>
      <c r="I1727">
        <v>2100</v>
      </c>
      <c r="J1727">
        <v>7.6249999999999998E-2</v>
      </c>
      <c r="K1727" t="s">
        <v>24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24</v>
      </c>
      <c r="E1728" t="s">
        <v>25</v>
      </c>
      <c r="F1728" t="s">
        <v>24</v>
      </c>
      <c r="G1728" t="s">
        <v>26</v>
      </c>
      <c r="H1728" t="s">
        <v>13</v>
      </c>
      <c r="I1728">
        <v>2100</v>
      </c>
      <c r="J1728">
        <v>2.7150000000000001E-2</v>
      </c>
      <c r="K1728" t="s">
        <v>24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24</v>
      </c>
      <c r="E1729" t="s">
        <v>25</v>
      </c>
      <c r="F1729" t="s">
        <v>24</v>
      </c>
      <c r="G1729" t="s">
        <v>26</v>
      </c>
      <c r="H1729" t="s">
        <v>13</v>
      </c>
      <c r="I1729">
        <v>2100</v>
      </c>
      <c r="J1729">
        <v>7.3149999999999993E-2</v>
      </c>
      <c r="K1729" t="s">
        <v>24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24</v>
      </c>
      <c r="E1730" t="s">
        <v>25</v>
      </c>
      <c r="F1730" t="s">
        <v>24</v>
      </c>
      <c r="G1730" t="s">
        <v>26</v>
      </c>
      <c r="H1730" t="s">
        <v>13</v>
      </c>
      <c r="I1730">
        <v>2100</v>
      </c>
      <c r="J1730">
        <v>8.9499999999999996E-2</v>
      </c>
      <c r="K1730" t="s">
        <v>24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28</v>
      </c>
      <c r="E1731" t="s">
        <v>25</v>
      </c>
      <c r="F1731" t="s">
        <v>28</v>
      </c>
      <c r="G1731" t="s">
        <v>26</v>
      </c>
      <c r="H1731" t="s">
        <v>12</v>
      </c>
      <c r="I1731">
        <v>2100</v>
      </c>
      <c r="J1731">
        <v>0.1958</v>
      </c>
      <c r="K1731" t="s">
        <v>28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28</v>
      </c>
      <c r="E1732" t="s">
        <v>25</v>
      </c>
      <c r="F1732" t="s">
        <v>28</v>
      </c>
      <c r="G1732" t="s">
        <v>26</v>
      </c>
      <c r="H1732" t="s">
        <v>12</v>
      </c>
      <c r="I1732">
        <v>2100</v>
      </c>
      <c r="J1732">
        <v>0.16194999999999998</v>
      </c>
      <c r="K1732" t="s">
        <v>28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28</v>
      </c>
      <c r="E1733" t="s">
        <v>25</v>
      </c>
      <c r="F1733" t="s">
        <v>28</v>
      </c>
      <c r="G1733" t="s">
        <v>26</v>
      </c>
      <c r="H1733" t="s">
        <v>12</v>
      </c>
      <c r="I1733">
        <v>2100</v>
      </c>
      <c r="J1733">
        <v>0.19235000000000002</v>
      </c>
      <c r="K1733" t="s">
        <v>28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28</v>
      </c>
      <c r="E1734" t="s">
        <v>25</v>
      </c>
      <c r="F1734" t="s">
        <v>28</v>
      </c>
      <c r="G1734" t="s">
        <v>26</v>
      </c>
      <c r="H1734" t="s">
        <v>12</v>
      </c>
      <c r="I1734">
        <v>2100</v>
      </c>
      <c r="J1734">
        <v>0.18279999999999999</v>
      </c>
      <c r="K1734" t="s">
        <v>28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28</v>
      </c>
      <c r="E1735" t="s">
        <v>25</v>
      </c>
      <c r="F1735" t="s">
        <v>28</v>
      </c>
      <c r="G1735" t="s">
        <v>26</v>
      </c>
      <c r="H1735" t="s">
        <v>12</v>
      </c>
      <c r="I1735">
        <v>2100</v>
      </c>
      <c r="J1735">
        <v>0.20200000000000001</v>
      </c>
      <c r="K1735" t="s">
        <v>28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28</v>
      </c>
      <c r="E1736" t="s">
        <v>25</v>
      </c>
      <c r="F1736" t="s">
        <v>28</v>
      </c>
      <c r="G1736" t="s">
        <v>26</v>
      </c>
      <c r="H1736" t="s">
        <v>12</v>
      </c>
      <c r="I1736">
        <v>2100</v>
      </c>
      <c r="J1736">
        <v>0.17675000000000002</v>
      </c>
      <c r="K1736" t="s">
        <v>28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28</v>
      </c>
      <c r="E1737" t="s">
        <v>25</v>
      </c>
      <c r="F1737" t="s">
        <v>28</v>
      </c>
      <c r="G1737" t="s">
        <v>26</v>
      </c>
      <c r="H1737" t="s">
        <v>12</v>
      </c>
      <c r="I1737">
        <v>2100</v>
      </c>
      <c r="J1737">
        <v>0.20315</v>
      </c>
      <c r="K1737" t="s">
        <v>28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27</v>
      </c>
      <c r="E1738" t="s">
        <v>25</v>
      </c>
      <c r="F1738" t="s">
        <v>27</v>
      </c>
      <c r="G1738" t="s">
        <v>26</v>
      </c>
      <c r="H1738" t="s">
        <v>10</v>
      </c>
      <c r="I1738">
        <v>2100</v>
      </c>
      <c r="J1738">
        <v>5.4949999999999999E-2</v>
      </c>
      <c r="K1738" t="s">
        <v>27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27</v>
      </c>
      <c r="E1739" t="s">
        <v>25</v>
      </c>
      <c r="F1739" t="s">
        <v>27</v>
      </c>
      <c r="G1739" t="s">
        <v>26</v>
      </c>
      <c r="H1739" t="s">
        <v>10</v>
      </c>
      <c r="I1739">
        <v>2100</v>
      </c>
      <c r="J1739">
        <v>4.0349999999999997E-2</v>
      </c>
      <c r="K1739" t="s">
        <v>27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27</v>
      </c>
      <c r="E1740" t="s">
        <v>25</v>
      </c>
      <c r="F1740" t="s">
        <v>27</v>
      </c>
      <c r="G1740" t="s">
        <v>26</v>
      </c>
      <c r="H1740" t="s">
        <v>10</v>
      </c>
      <c r="I1740">
        <v>2100</v>
      </c>
      <c r="J1740">
        <v>5.0950000000000002E-2</v>
      </c>
      <c r="K1740" t="s">
        <v>27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27</v>
      </c>
      <c r="E1741" t="s">
        <v>25</v>
      </c>
      <c r="F1741" t="s">
        <v>27</v>
      </c>
      <c r="G1741" t="s">
        <v>26</v>
      </c>
      <c r="H1741" t="s">
        <v>10</v>
      </c>
      <c r="I1741">
        <v>2100</v>
      </c>
      <c r="J1741">
        <v>4.7050000000000002E-2</v>
      </c>
      <c r="K1741" t="s">
        <v>27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27</v>
      </c>
      <c r="E1742" t="s">
        <v>25</v>
      </c>
      <c r="F1742" t="s">
        <v>27</v>
      </c>
      <c r="G1742" t="s">
        <v>26</v>
      </c>
      <c r="H1742" t="s">
        <v>10</v>
      </c>
      <c r="I1742">
        <v>2100</v>
      </c>
      <c r="J1742">
        <v>6.2600000000000003E-2</v>
      </c>
      <c r="K1742" t="s">
        <v>27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27</v>
      </c>
      <c r="E1743" t="s">
        <v>25</v>
      </c>
      <c r="F1743" t="s">
        <v>27</v>
      </c>
      <c r="G1743" t="s">
        <v>26</v>
      </c>
      <c r="H1743" t="s">
        <v>10</v>
      </c>
      <c r="I1743">
        <v>2100</v>
      </c>
      <c r="J1743">
        <v>4.4149999999999995E-2</v>
      </c>
      <c r="K1743" t="s">
        <v>27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27</v>
      </c>
      <c r="E1744" t="s">
        <v>25</v>
      </c>
      <c r="F1744" t="s">
        <v>27</v>
      </c>
      <c r="G1744" t="s">
        <v>26</v>
      </c>
      <c r="H1744" t="s">
        <v>10</v>
      </c>
      <c r="I1744">
        <v>2100</v>
      </c>
      <c r="J1744">
        <v>6.0450000000000004E-2</v>
      </c>
      <c r="K1744" t="s">
        <v>27</v>
      </c>
    </row>
    <row r="1745" spans="1:12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2100</v>
      </c>
      <c r="J1745">
        <v>3.6250000000000004E-2</v>
      </c>
      <c r="K1745" t="s">
        <v>85</v>
      </c>
    </row>
    <row r="1746" spans="1:12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0.1305</v>
      </c>
      <c r="K1746" t="s">
        <v>85</v>
      </c>
    </row>
    <row r="1747" spans="1:12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2100</v>
      </c>
      <c r="J1747">
        <v>3.8349999999999995E-2</v>
      </c>
      <c r="K1747" t="s">
        <v>85</v>
      </c>
    </row>
    <row r="1748" spans="1:12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2100</v>
      </c>
      <c r="J1748">
        <v>6.6900000000000001E-2</v>
      </c>
      <c r="K1748" t="s">
        <v>85</v>
      </c>
    </row>
    <row r="1749" spans="1:12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2100</v>
      </c>
      <c r="J1749">
        <v>2.7200000000000002E-2</v>
      </c>
      <c r="K1749" t="s">
        <v>85</v>
      </c>
    </row>
    <row r="1750" spans="1:12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2100</v>
      </c>
      <c r="J1750">
        <v>6.0999999999999999E-2</v>
      </c>
      <c r="K1750" t="s">
        <v>85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2100</v>
      </c>
      <c r="J1751">
        <v>1.6449999999999999E-2</v>
      </c>
      <c r="K1751" t="s">
        <v>85</v>
      </c>
    </row>
    <row r="1752" spans="1:12" x14ac:dyDescent="0.45">
      <c r="A1752" t="s">
        <v>90</v>
      </c>
      <c r="B1752" t="s">
        <v>3</v>
      </c>
      <c r="C1752" t="s">
        <v>84</v>
      </c>
      <c r="D1752" t="s">
        <v>52</v>
      </c>
      <c r="E1752" t="s">
        <v>25</v>
      </c>
      <c r="F1752" t="s">
        <v>52</v>
      </c>
      <c r="G1752" t="s">
        <v>71</v>
      </c>
      <c r="H1752" t="s">
        <v>89</v>
      </c>
      <c r="I1752">
        <v>2100</v>
      </c>
      <c r="J1752">
        <v>0</v>
      </c>
      <c r="K1752" t="s">
        <v>52</v>
      </c>
      <c r="L1752">
        <v>94</v>
      </c>
    </row>
    <row r="1753" spans="1:12" x14ac:dyDescent="0.45">
      <c r="A1753" t="s">
        <v>90</v>
      </c>
      <c r="B1753" t="s">
        <v>4</v>
      </c>
      <c r="C1753" t="s">
        <v>84</v>
      </c>
      <c r="D1753" t="s">
        <v>52</v>
      </c>
      <c r="E1753" t="s">
        <v>25</v>
      </c>
      <c r="F1753" t="s">
        <v>52</v>
      </c>
      <c r="G1753" t="s">
        <v>71</v>
      </c>
      <c r="H1753" t="s">
        <v>89</v>
      </c>
      <c r="I1753">
        <v>2100</v>
      </c>
      <c r="J1753">
        <v>1.84E-2</v>
      </c>
      <c r="K1753" t="s">
        <v>52</v>
      </c>
      <c r="L1753">
        <v>94</v>
      </c>
    </row>
    <row r="1754" spans="1:12" x14ac:dyDescent="0.45">
      <c r="A1754" t="s">
        <v>90</v>
      </c>
      <c r="B1754" t="s">
        <v>0</v>
      </c>
      <c r="C1754" t="s">
        <v>84</v>
      </c>
      <c r="D1754" t="s">
        <v>52</v>
      </c>
      <c r="E1754" t="s">
        <v>25</v>
      </c>
      <c r="F1754" t="s">
        <v>52</v>
      </c>
      <c r="G1754" t="s">
        <v>71</v>
      </c>
      <c r="H1754" t="s">
        <v>89</v>
      </c>
      <c r="I1754">
        <v>2100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6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2100</v>
      </c>
      <c r="J1755">
        <v>7.7499999999999999E-3</v>
      </c>
      <c r="K1755" t="s">
        <v>52</v>
      </c>
      <c r="L1755">
        <v>94</v>
      </c>
    </row>
    <row r="1756" spans="1:12" x14ac:dyDescent="0.45">
      <c r="A1756" t="s">
        <v>90</v>
      </c>
      <c r="B1756" t="s">
        <v>5</v>
      </c>
      <c r="C1756" t="s">
        <v>84</v>
      </c>
      <c r="D1756" t="s">
        <v>52</v>
      </c>
      <c r="E1756" t="s">
        <v>25</v>
      </c>
      <c r="F1756" t="s">
        <v>52</v>
      </c>
      <c r="G1756" t="s">
        <v>71</v>
      </c>
      <c r="H1756" t="s">
        <v>89</v>
      </c>
      <c r="I1756">
        <v>2100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2</v>
      </c>
      <c r="C1757" t="s">
        <v>84</v>
      </c>
      <c r="D1757" t="s">
        <v>52</v>
      </c>
      <c r="E1757" t="s">
        <v>25</v>
      </c>
      <c r="F1757" t="s">
        <v>52</v>
      </c>
      <c r="G1757" t="s">
        <v>71</v>
      </c>
      <c r="H1757" t="s">
        <v>89</v>
      </c>
      <c r="I1757">
        <v>2100</v>
      </c>
      <c r="J1757">
        <v>6.5000000000000006E-3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52</v>
      </c>
      <c r="E1758" t="s">
        <v>25</v>
      </c>
      <c r="F1758" t="s">
        <v>52</v>
      </c>
      <c r="G1758" t="s">
        <v>71</v>
      </c>
      <c r="H1758" t="s">
        <v>89</v>
      </c>
      <c r="I1758">
        <v>2100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3</v>
      </c>
      <c r="C1759" t="s">
        <v>84</v>
      </c>
      <c r="D1759" t="s">
        <v>53</v>
      </c>
      <c r="E1759" t="s">
        <v>25</v>
      </c>
      <c r="F1759" t="s">
        <v>53</v>
      </c>
      <c r="G1759" t="s">
        <v>71</v>
      </c>
      <c r="H1759" t="s">
        <v>89</v>
      </c>
      <c r="I1759">
        <v>2100</v>
      </c>
      <c r="J1759">
        <v>0</v>
      </c>
      <c r="K1759" t="s">
        <v>53</v>
      </c>
      <c r="L1759">
        <v>55</v>
      </c>
    </row>
    <row r="1760" spans="1:12" x14ac:dyDescent="0.45">
      <c r="A1760" t="s">
        <v>90</v>
      </c>
      <c r="B1760" t="s">
        <v>4</v>
      </c>
      <c r="C1760" t="s">
        <v>84</v>
      </c>
      <c r="D1760" t="s">
        <v>53</v>
      </c>
      <c r="E1760" t="s">
        <v>25</v>
      </c>
      <c r="F1760" t="s">
        <v>53</v>
      </c>
      <c r="G1760" t="s">
        <v>71</v>
      </c>
      <c r="H1760" t="s">
        <v>89</v>
      </c>
      <c r="I1760">
        <v>2100</v>
      </c>
      <c r="J1760">
        <v>1.1999999999999999E-3</v>
      </c>
      <c r="K1760" t="s">
        <v>53</v>
      </c>
      <c r="L1760">
        <v>55</v>
      </c>
    </row>
    <row r="1761" spans="1:12" x14ac:dyDescent="0.45">
      <c r="A1761" t="s">
        <v>90</v>
      </c>
      <c r="B1761" t="s">
        <v>0</v>
      </c>
      <c r="C1761" t="s">
        <v>84</v>
      </c>
      <c r="D1761" t="s">
        <v>53</v>
      </c>
      <c r="E1761" t="s">
        <v>25</v>
      </c>
      <c r="F1761" t="s">
        <v>53</v>
      </c>
      <c r="G1761" t="s">
        <v>71</v>
      </c>
      <c r="H1761" t="s">
        <v>89</v>
      </c>
      <c r="I1761">
        <v>2100</v>
      </c>
      <c r="J1761">
        <v>0</v>
      </c>
      <c r="K1761" t="s">
        <v>53</v>
      </c>
      <c r="L1761">
        <v>55</v>
      </c>
    </row>
    <row r="1762" spans="1:12" x14ac:dyDescent="0.45">
      <c r="A1762" t="s">
        <v>90</v>
      </c>
      <c r="B1762" t="s">
        <v>6</v>
      </c>
      <c r="C1762" t="s">
        <v>84</v>
      </c>
      <c r="D1762" t="s">
        <v>53</v>
      </c>
      <c r="E1762" t="s">
        <v>25</v>
      </c>
      <c r="F1762" t="s">
        <v>53</v>
      </c>
      <c r="G1762" t="s">
        <v>71</v>
      </c>
      <c r="H1762" t="s">
        <v>89</v>
      </c>
      <c r="I1762">
        <v>2100</v>
      </c>
      <c r="J1762">
        <v>2.9999999999999997E-4</v>
      </c>
      <c r="K1762" t="s">
        <v>53</v>
      </c>
      <c r="L1762">
        <v>55</v>
      </c>
    </row>
    <row r="1763" spans="1:12" x14ac:dyDescent="0.45">
      <c r="A1763" t="s">
        <v>90</v>
      </c>
      <c r="B1763" t="s">
        <v>5</v>
      </c>
      <c r="C1763" t="s">
        <v>84</v>
      </c>
      <c r="D1763" t="s">
        <v>53</v>
      </c>
      <c r="E1763" t="s">
        <v>25</v>
      </c>
      <c r="F1763" t="s">
        <v>53</v>
      </c>
      <c r="G1763" t="s">
        <v>71</v>
      </c>
      <c r="H1763" t="s">
        <v>89</v>
      </c>
      <c r="I1763">
        <v>2100</v>
      </c>
      <c r="J1763">
        <v>0</v>
      </c>
      <c r="K1763" t="s">
        <v>53</v>
      </c>
      <c r="L1763">
        <v>55</v>
      </c>
    </row>
    <row r="1764" spans="1:12" x14ac:dyDescent="0.45">
      <c r="A1764" t="s">
        <v>90</v>
      </c>
      <c r="B1764" t="s">
        <v>2</v>
      </c>
      <c r="C1764" t="s">
        <v>84</v>
      </c>
      <c r="D1764" t="s">
        <v>53</v>
      </c>
      <c r="E1764" t="s">
        <v>25</v>
      </c>
      <c r="F1764" t="s">
        <v>53</v>
      </c>
      <c r="G1764" t="s">
        <v>71</v>
      </c>
      <c r="H1764" t="s">
        <v>89</v>
      </c>
      <c r="I1764">
        <v>2100</v>
      </c>
      <c r="J1764">
        <v>1E-4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53</v>
      </c>
      <c r="E1765" t="s">
        <v>25</v>
      </c>
      <c r="F1765" t="s">
        <v>53</v>
      </c>
      <c r="G1765" t="s">
        <v>71</v>
      </c>
      <c r="H1765" t="s">
        <v>89</v>
      </c>
      <c r="I1765">
        <v>2100</v>
      </c>
      <c r="J1765">
        <v>0</v>
      </c>
      <c r="K1765" t="s">
        <v>53</v>
      </c>
      <c r="L1765">
        <v>55</v>
      </c>
    </row>
    <row r="1766" spans="1:12" x14ac:dyDescent="0.45">
      <c r="A1766" t="s">
        <v>90</v>
      </c>
      <c r="B1766" t="s">
        <v>3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H1766" t="s">
        <v>89</v>
      </c>
      <c r="I1766">
        <v>2100</v>
      </c>
      <c r="J1766">
        <v>0</v>
      </c>
      <c r="K1766" t="s">
        <v>54</v>
      </c>
      <c r="L1766">
        <v>70</v>
      </c>
    </row>
    <row r="1767" spans="1:12" x14ac:dyDescent="0.45">
      <c r="A1767" t="s">
        <v>90</v>
      </c>
      <c r="B1767" t="s">
        <v>4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H1767" t="s">
        <v>89</v>
      </c>
      <c r="I1767">
        <v>2100</v>
      </c>
      <c r="J1767">
        <v>0</v>
      </c>
      <c r="K1767" t="s">
        <v>54</v>
      </c>
      <c r="L1767">
        <v>70</v>
      </c>
    </row>
    <row r="1768" spans="1:12" x14ac:dyDescent="0.45">
      <c r="A1768" t="s">
        <v>90</v>
      </c>
      <c r="B1768" t="s">
        <v>0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H1768" t="s">
        <v>89</v>
      </c>
      <c r="I1768">
        <v>2100</v>
      </c>
      <c r="J1768">
        <v>0</v>
      </c>
      <c r="K1768" t="s">
        <v>54</v>
      </c>
      <c r="L1768">
        <v>70</v>
      </c>
    </row>
    <row r="1769" spans="1:12" x14ac:dyDescent="0.45">
      <c r="A1769" t="s">
        <v>90</v>
      </c>
      <c r="B1769" t="s">
        <v>6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H1769" t="s">
        <v>89</v>
      </c>
      <c r="I1769">
        <v>2100</v>
      </c>
      <c r="J1769">
        <v>0</v>
      </c>
      <c r="K1769" t="s">
        <v>54</v>
      </c>
      <c r="L1769">
        <v>70</v>
      </c>
    </row>
    <row r="1770" spans="1:12" x14ac:dyDescent="0.45">
      <c r="A1770" t="s">
        <v>90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H1770" t="s">
        <v>89</v>
      </c>
      <c r="I1770">
        <v>2100</v>
      </c>
      <c r="J1770">
        <v>0</v>
      </c>
      <c r="K1770" t="s">
        <v>54</v>
      </c>
      <c r="L1770">
        <v>70</v>
      </c>
    </row>
    <row r="1771" spans="1:12" x14ac:dyDescent="0.45">
      <c r="A1771" t="s">
        <v>90</v>
      </c>
      <c r="B1771" t="s">
        <v>2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H1771" t="s">
        <v>89</v>
      </c>
      <c r="I1771">
        <v>2100</v>
      </c>
      <c r="J1771">
        <v>0</v>
      </c>
      <c r="K1771" t="s">
        <v>54</v>
      </c>
      <c r="L1771">
        <v>70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H1772" t="s">
        <v>89</v>
      </c>
      <c r="I1772">
        <v>2100</v>
      </c>
      <c r="J1772">
        <v>0</v>
      </c>
      <c r="K1772" t="s">
        <v>54</v>
      </c>
      <c r="L1772">
        <v>70</v>
      </c>
    </row>
    <row r="1773" spans="1:12" x14ac:dyDescent="0.45">
      <c r="A1773" t="s">
        <v>90</v>
      </c>
      <c r="B1773" t="s">
        <v>3</v>
      </c>
      <c r="C1773" t="s">
        <v>84</v>
      </c>
      <c r="D1773" t="s">
        <v>29</v>
      </c>
      <c r="E1773" t="s">
        <v>30</v>
      </c>
      <c r="F1773" t="s">
        <v>29</v>
      </c>
      <c r="G1773" t="s">
        <v>31</v>
      </c>
      <c r="H1773" t="s">
        <v>32</v>
      </c>
      <c r="I1773">
        <v>2100</v>
      </c>
      <c r="J1773">
        <v>16.047899999999998</v>
      </c>
      <c r="K1773" t="s">
        <v>29</v>
      </c>
    </row>
    <row r="1774" spans="1:12" x14ac:dyDescent="0.45">
      <c r="A1774" t="s">
        <v>90</v>
      </c>
      <c r="B1774" t="s">
        <v>4</v>
      </c>
      <c r="C1774" t="s">
        <v>84</v>
      </c>
      <c r="D1774" t="s">
        <v>29</v>
      </c>
      <c r="E1774" t="s">
        <v>30</v>
      </c>
      <c r="F1774" t="s">
        <v>29</v>
      </c>
      <c r="G1774" t="s">
        <v>31</v>
      </c>
      <c r="H1774" t="s">
        <v>32</v>
      </c>
      <c r="I1774">
        <v>2100</v>
      </c>
      <c r="J1774">
        <v>7.4998000000000005</v>
      </c>
      <c r="K1774" t="s">
        <v>29</v>
      </c>
    </row>
    <row r="1775" spans="1:12" x14ac:dyDescent="0.45">
      <c r="A1775" t="s">
        <v>90</v>
      </c>
      <c r="B1775" t="s">
        <v>0</v>
      </c>
      <c r="C1775" t="s">
        <v>84</v>
      </c>
      <c r="D1775" t="s">
        <v>29</v>
      </c>
      <c r="E1775" t="s">
        <v>30</v>
      </c>
      <c r="F1775" t="s">
        <v>29</v>
      </c>
      <c r="G1775" t="s">
        <v>31</v>
      </c>
      <c r="H1775" t="s">
        <v>32</v>
      </c>
      <c r="I1775">
        <v>2100</v>
      </c>
      <c r="J1775">
        <v>22.99005</v>
      </c>
      <c r="K1775" t="s">
        <v>29</v>
      </c>
    </row>
    <row r="1776" spans="1:12" x14ac:dyDescent="0.45">
      <c r="A1776" t="s">
        <v>90</v>
      </c>
      <c r="B1776" t="s">
        <v>6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2100</v>
      </c>
      <c r="J1776">
        <v>15.00235</v>
      </c>
      <c r="K1776" t="s">
        <v>29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2100</v>
      </c>
      <c r="J1777">
        <v>16.561</v>
      </c>
      <c r="K1777" t="s">
        <v>29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2100</v>
      </c>
      <c r="J1778">
        <v>11.05475</v>
      </c>
      <c r="K1778" t="s">
        <v>29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2100</v>
      </c>
      <c r="J1779">
        <v>44.664050000000003</v>
      </c>
      <c r="K1779" t="s">
        <v>29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1.7150500000000002</v>
      </c>
      <c r="K1780" t="s">
        <v>33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33</v>
      </c>
      <c r="E1781" t="s">
        <v>30</v>
      </c>
      <c r="F1781" t="s">
        <v>33</v>
      </c>
      <c r="G1781" t="s">
        <v>31</v>
      </c>
      <c r="H1781" t="s">
        <v>34</v>
      </c>
      <c r="I1781">
        <v>2100</v>
      </c>
      <c r="J1781">
        <v>4.2371499999999997</v>
      </c>
      <c r="K1781" t="s">
        <v>33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33</v>
      </c>
      <c r="E1782" t="s">
        <v>30</v>
      </c>
      <c r="F1782" t="s">
        <v>33</v>
      </c>
      <c r="G1782" t="s">
        <v>31</v>
      </c>
      <c r="H1782" t="s">
        <v>34</v>
      </c>
      <c r="I1782">
        <v>2100</v>
      </c>
      <c r="J1782">
        <v>1.7498</v>
      </c>
      <c r="K1782" t="s">
        <v>33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33</v>
      </c>
      <c r="E1783" t="s">
        <v>30</v>
      </c>
      <c r="F1783" t="s">
        <v>33</v>
      </c>
      <c r="G1783" t="s">
        <v>31</v>
      </c>
      <c r="H1783" t="s">
        <v>34</v>
      </c>
      <c r="I1783">
        <v>2100</v>
      </c>
      <c r="J1783">
        <v>2.0540000000000003</v>
      </c>
      <c r="K1783" t="s">
        <v>33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33</v>
      </c>
      <c r="E1784" t="s">
        <v>30</v>
      </c>
      <c r="F1784" t="s">
        <v>33</v>
      </c>
      <c r="G1784" t="s">
        <v>31</v>
      </c>
      <c r="H1784" t="s">
        <v>34</v>
      </c>
      <c r="I1784">
        <v>2100</v>
      </c>
      <c r="J1784">
        <v>1.53505</v>
      </c>
      <c r="K1784" t="s">
        <v>33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33</v>
      </c>
      <c r="E1785" t="s">
        <v>30</v>
      </c>
      <c r="F1785" t="s">
        <v>33</v>
      </c>
      <c r="G1785" t="s">
        <v>31</v>
      </c>
      <c r="H1785" t="s">
        <v>34</v>
      </c>
      <c r="I1785">
        <v>2100</v>
      </c>
      <c r="J1785">
        <v>2.3602499999999997</v>
      </c>
      <c r="K1785" t="s">
        <v>33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33</v>
      </c>
      <c r="E1786" t="s">
        <v>30</v>
      </c>
      <c r="F1786" t="s">
        <v>33</v>
      </c>
      <c r="G1786" t="s">
        <v>31</v>
      </c>
      <c r="H1786" t="s">
        <v>34</v>
      </c>
      <c r="I1786">
        <v>2100</v>
      </c>
      <c r="J1786">
        <v>1.8012000000000001</v>
      </c>
      <c r="K1786" t="s">
        <v>33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35</v>
      </c>
      <c r="E1787" t="s">
        <v>30</v>
      </c>
      <c r="F1787" t="s">
        <v>35</v>
      </c>
      <c r="G1787" t="s">
        <v>31</v>
      </c>
      <c r="H1787" t="s">
        <v>36</v>
      </c>
      <c r="I1787">
        <v>2100</v>
      </c>
      <c r="J1787">
        <v>5.0215499999999995</v>
      </c>
      <c r="K1787" t="s">
        <v>35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35</v>
      </c>
      <c r="E1788" t="s">
        <v>30</v>
      </c>
      <c r="F1788" t="s">
        <v>35</v>
      </c>
      <c r="G1788" t="s">
        <v>31</v>
      </c>
      <c r="H1788" t="s">
        <v>36</v>
      </c>
      <c r="I1788">
        <v>2100</v>
      </c>
      <c r="J1788">
        <v>7.6207000000000003</v>
      </c>
      <c r="K1788" t="s">
        <v>35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2100</v>
      </c>
      <c r="J1789">
        <v>5.0011000000000001</v>
      </c>
      <c r="K1789" t="s">
        <v>35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35</v>
      </c>
      <c r="E1790" t="s">
        <v>30</v>
      </c>
      <c r="F1790" t="s">
        <v>35</v>
      </c>
      <c r="G1790" t="s">
        <v>31</v>
      </c>
      <c r="H1790" t="s">
        <v>36</v>
      </c>
      <c r="I1790">
        <v>2100</v>
      </c>
      <c r="J1790">
        <v>5.4432</v>
      </c>
      <c r="K1790" t="s">
        <v>35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35</v>
      </c>
      <c r="E1791" t="s">
        <v>30</v>
      </c>
      <c r="F1791" t="s">
        <v>35</v>
      </c>
      <c r="G1791" t="s">
        <v>31</v>
      </c>
      <c r="H1791" t="s">
        <v>36</v>
      </c>
      <c r="I1791">
        <v>2100</v>
      </c>
      <c r="J1791">
        <v>3.8476499999999998</v>
      </c>
      <c r="K1791" t="s">
        <v>35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35</v>
      </c>
      <c r="E1792" t="s">
        <v>30</v>
      </c>
      <c r="F1792" t="s">
        <v>35</v>
      </c>
      <c r="G1792" t="s">
        <v>31</v>
      </c>
      <c r="H1792" t="s">
        <v>36</v>
      </c>
      <c r="I1792">
        <v>2100</v>
      </c>
      <c r="J1792">
        <v>5.9658999999999995</v>
      </c>
      <c r="K1792" t="s">
        <v>35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2100</v>
      </c>
      <c r="J1793">
        <v>4.9152500000000003</v>
      </c>
      <c r="K1793" t="s">
        <v>35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2100</v>
      </c>
      <c r="J1794">
        <v>262.55314999999996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2100</v>
      </c>
      <c r="J1795">
        <v>309.71379999999999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2100</v>
      </c>
      <c r="J1796">
        <v>270.20580000000001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283.87569999999999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2100</v>
      </c>
      <c r="J1798">
        <v>361.40345000000002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2100</v>
      </c>
      <c r="J1799">
        <v>286.67975000000001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2100</v>
      </c>
      <c r="J1800">
        <v>234.85415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160.4794</v>
      </c>
      <c r="K1801" t="s">
        <v>48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48</v>
      </c>
      <c r="E1802" t="s">
        <v>46</v>
      </c>
      <c r="F1802" t="s">
        <v>48</v>
      </c>
      <c r="G1802" t="s">
        <v>49</v>
      </c>
      <c r="H1802" t="s">
        <v>50</v>
      </c>
      <c r="I1802">
        <v>2100</v>
      </c>
      <c r="J1802">
        <v>244.40230000000003</v>
      </c>
      <c r="K1802" t="s">
        <v>48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2100</v>
      </c>
      <c r="J1803">
        <v>164.68530000000001</v>
      </c>
      <c r="K1803" t="s">
        <v>48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48</v>
      </c>
      <c r="E1804" t="s">
        <v>46</v>
      </c>
      <c r="F1804" t="s">
        <v>48</v>
      </c>
      <c r="G1804" t="s">
        <v>49</v>
      </c>
      <c r="H1804" t="s">
        <v>50</v>
      </c>
      <c r="I1804">
        <v>2100</v>
      </c>
      <c r="J1804">
        <v>162.8621</v>
      </c>
      <c r="K1804" t="s">
        <v>48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2100</v>
      </c>
      <c r="J1805">
        <v>146.13650000000001</v>
      </c>
      <c r="K1805" t="s">
        <v>48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48</v>
      </c>
      <c r="E1806" t="s">
        <v>46</v>
      </c>
      <c r="F1806" t="s">
        <v>48</v>
      </c>
      <c r="G1806" t="s">
        <v>49</v>
      </c>
      <c r="H1806" t="s">
        <v>50</v>
      </c>
      <c r="I1806">
        <v>2100</v>
      </c>
      <c r="J1806">
        <v>175.58010000000002</v>
      </c>
      <c r="K1806" t="s">
        <v>48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2100</v>
      </c>
      <c r="J1807">
        <v>146.143</v>
      </c>
      <c r="K1807" t="s">
        <v>48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9.6465999999999994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89.64425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14.0901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14.87945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0.39439999999999997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20.473599999999998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-0.39594999999999997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9.4899999999999998E-2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0.1774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0.2382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0.43140000000000001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0.74629999999999996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1.43E-2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1.83E-2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2.2100000000000002E-2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2.6800000000000001E-2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0.03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3.4200000000000001E-2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4.07E-2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1.6199999999999999E-2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2.1100000000000001E-2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1.9199999999999998E-2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1.7600000000000001E-2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1.8200000000000001E-2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2.4400000000000002E-2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2.8500000000000001E-2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1E-4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5.0000000000000001E-4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1.6999999999999999E-3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3.8999999999999998E-3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8.8999999999999999E-3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1E-4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1.2999999999999999E-3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4.1999999999999997E-3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1.8987999999999998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2.8576000000000001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5.5000000000000005E-3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5.5000000000000005E-3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5.5000000000000005E-3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1.6499999999999997E-2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3.85E-2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1.3511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3.5651000000000002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3.1457000000000002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5.367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7.0838000000000001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7.4763000000000002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8.7202999999999999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1.9661999999999999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1.615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1.7063999999999999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2.1709999999999998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1.9769000000000001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2.6179000000000001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2.0156999999999998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2.2633000000000001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2.8098999999999998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3.3917999999999999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3.9051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4.1246999999999998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4.9743000000000004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3.1892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4.4941000000000004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4.8894000000000002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5.0796999999999999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5.641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5.3113999999999999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175.74879999999999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174.17500000000001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159.6277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158.4812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155.78460000000001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154.30719999999999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151.11609999999999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13.957599999999999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18.988299999999999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10.1265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10.780200000000001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10.55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12.7875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12.8865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1.49E-2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1.83E-2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2.2200000000000001E-2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2.9899999999999999E-2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3.5499999999999997E-2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3.8199999999999998E-2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4.1099999999999998E-2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1.7600000000000001E-2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2.2200000000000001E-2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2.1999999999999999E-2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2.07E-2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2.2200000000000001E-2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2.9899999999999999E-2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3.5900000000000001E-2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1E-4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2.0000000000000001E-4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5.9999999999999995E-4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1.4E-3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2.5999999999999999E-3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1.9458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2.6978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3.2618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4.3146000000000004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4.5965999999999996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5.9501999999999997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7.3225999999999996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5.5000000000000005E-3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1.1000000000000001E-2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1.6499999999999997E-2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2.2000000000000002E-2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4.4000000000000004E-2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7.6999999999999999E-2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1.3511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4.2782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2.5712000000000002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2.1154000000000002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4.1441999999999997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3.4339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2.8203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1.9661999999999999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1.603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1.4175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1.5760000000000001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1.661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1.7467999999999999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1.841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2.0156999999999998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2.2612000000000001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2.3734000000000002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3.0924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3.2919999999999998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3.6415999999999999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3.9622999999999999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3.1892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4.6092000000000004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5.0312999999999999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5.5602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6.0583999999999998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175.60409999999999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173.21449999999999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174.99260000000001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182.92169999999999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185.8965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194.43350000000001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195.38499999999999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13.8072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18.0793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21.968399999999999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29.657399999999999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32.673499999999997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43.744799999999998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47.146099999999997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0.12479999999999999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0.1694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0.2964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0.49730000000000002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1.52E-2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1.8800000000000001E-2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2.3099999999999999E-2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2.75E-2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3.1399999999999997E-2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3.61E-2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4.3099999999999999E-2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1.7899999999999999E-2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2.2800000000000001E-2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2.29E-2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1.9E-2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1.8800000000000001E-2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2.4899999999999999E-2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3.09E-2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1E-4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5.0000000000000001E-4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1.9E-3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4.1999999999999997E-3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1.03E-2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1.1999999999999999E-3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3.5000000000000001E-3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7.1000000000000004E-3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1.9645999999999999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2.7165999999999997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3.2993999999999999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5.5000000000000005E-3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5.5000000000000005E-3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5.5000000000000005E-3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5.5000000000000005E-3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1.6499999999999997E-2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2.75E-2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1.3511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4.2782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2.5712000000000002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8.2174999999999994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11.3034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1.9661999999999999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1.603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1.4175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2.0849000000000002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2.6640999999999999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2.0156999999999998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2.2612000000000001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2.3734000000000002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3.4872000000000001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4.0233999999999996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4.2594000000000003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5.1487999999999996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3.1892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4.6092000000000004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5.8960999999999997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5.1154000000000002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175.64570000000001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173.73509999999999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176.04580000000001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166.33009999999999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163.02000000000001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161.02000000000001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157.22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13.841799999999999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18.129100000000001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22.085699999999999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14.1172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13.4542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15.9315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16.117999999999999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4.1099999999999998E-2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4.8800000000000003E-2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0.2114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0.26469999999999999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1.47E-2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1.8800000000000001E-2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2.23E-2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2.8400000000000002E-2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3.3399999999999999E-2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3.8399999999999997E-2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4.5499999999999999E-2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1.67E-2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2.1999999999999999E-2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2.1999999999999999E-2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1.95E-2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1.9800000000000002E-2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2.81E-2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3.5999999999999997E-2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1E-4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4.0000000000000002E-4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1.1000000000000001E-3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2.8999999999999998E-3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5.5999999999999999E-3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1E-4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1.9176000000000002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2.7729999999999997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3.2523999999999997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5.5000000000000005E-3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5.5000000000000005E-3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5.5000000000000005E-3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1.6499999999999997E-2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3.85E-2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1.3511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4.2782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2.5712000000000002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3.4333999999999998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6.8171999999999997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5.7111999999999998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1.9661999999999999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1.603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1.4175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2.2206999999999999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2.1526000000000001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2.0146000000000002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2.0156999999999998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2.2612000000000001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2.3734000000000002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3.6726999999999999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3.9340999999999999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4.1013000000000002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5.0133999999999999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3.1892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4.6092000000000004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5.6050000000000004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6.1375999999999999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6.4734999999999996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175.25890000000001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173.90729999999999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175.9906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164.62129999999999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162.01220000000001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159.07329999999999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155.11109999999999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13.4611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18.291899999999998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22.0152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12.023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11.9206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14.4655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15.454499999999999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0.24440000000000001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0.50380000000000003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1.0972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1.6634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1.2586999999999999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1.4500000000000001E-2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1.8200000000000001E-2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2.93E-2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3.2099999999999997E-2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3.32E-2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3.8600000000000002E-2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4.36E-2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1.5699999999999999E-2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2.0899999999999998E-2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2.5100000000000001E-2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2.7199999999999998E-2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3.2000000000000001E-2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3.4099999999999998E-2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3.56E-2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1E-4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5.0000000000000001E-4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1.4E-3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1.9E-3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6.6E-3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1.06E-2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1.8E-3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4.4000000000000003E-3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8.6999999999999994E-3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1.26E-2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1.29E-2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2.0116000000000001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2.9327999999999999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5.5000000000000005E-3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1.6499999999999997E-2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3.2999999999999995E-2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2.75E-2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3.85E-2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7.1499999999999994E-2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0.1265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1.3511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3.5651000000000002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0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0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5.2774999999999999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10.8195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1.9661999999999999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1.615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3.9855999999999998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4.6886999999999999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5.4470999999999998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2.0156999999999998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2.2633000000000001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0.78639999999999999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3.5508000000000002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4.4855999999999998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4.9785000000000004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3.1892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4.4941000000000004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5.56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8.0112000000000005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3.7957999999999998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176.46809999999999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176.7336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169.5821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171.70760000000001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172.01300000000001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161.02330000000001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154.86349999999999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14.650399999999999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20.556699999999999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19.3126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22.266999999999999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23.139700000000001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15.4323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11.8912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1.46E-2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1.8499999999999999E-2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2.1899999999999999E-2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2.8500000000000001E-2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3.3599999999999998E-2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3.6600000000000001E-2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1.6199999999999999E-2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2.1000000000000001E-2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2.1000000000000001E-2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1.8700000000000001E-2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1.9400000000000001E-2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2.6499999999999999E-2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3.2300000000000002E-2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1E-4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4.0000000000000002E-4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1.1000000000000001E-3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2.7000000000000001E-3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4.4000000000000003E-3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1.9176000000000002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2.867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3.2430000000000003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1.5416000000000001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0.16919999999999999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9.4000000000000004E-3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9.4000000000000004E-3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5.5000000000000005E-3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5.5000000000000005E-3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5.5000000000000005E-3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1.6499999999999997E-2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3.2999999999999995E-2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6.0500000000000005E-2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1.3511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3.5651000000000002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2.8376000000000001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2.1943000000000001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5.9964000000000004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3.6823000000000001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1.9661999999999999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1.615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1.3788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1.5017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1.5983000000000001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2.0156999999999998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2.2633000000000001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2.4053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3.262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3.7614000000000001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3.9350000000000001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4.7306999999999997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3.1892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4.4941000000000004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5.2838000000000003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5.2546999999999997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6.1520999999999999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6.2039999999999997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175.22280000000001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173.554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174.9956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170.4616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165.70670000000001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164.91829999999999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163.2336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13.434100000000001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18.377099999999999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21.7165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17.762799999999999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13.9306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15.8422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16.4787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0.1623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0.32090000000000002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1.0188999999999999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1.3147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2.2347999999999999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1.32E-2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1.6299999999999999E-2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1.7899999999999999E-2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2.1100000000000001E-2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2.52E-2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2.7799999999999998E-2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3.2199999999999999E-2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1.61E-2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2.0799999999999999E-2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1.7899999999999999E-2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1.6500000000000001E-2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1.5599999999999999E-2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1.9900000000000001E-2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2.9100000000000001E-2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1E-4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8.9999999999999998E-4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2.8E-3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7.7999999999999996E-3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5.0000000000000001E-3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1.5E-3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4.8999999999999998E-3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1.12E-2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1.7600000000000001E-2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2.5399999999999999E-2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1.8894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2.8388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5.5000000000000005E-3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5.5000000000000005E-3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5.5000000000000005E-3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5.5000000000000005E-3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5.5000000000000005E-3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5.5000000000000005E-3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1.3511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3.5651000000000002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28.259699999999999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24.4223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35.164099999999998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1.9661999999999999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1.615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9.1289999999999996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9.7355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11.7827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2.0156999999999998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2.2633000000000001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5.9455999999999998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2.2160000000000002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5.7712000000000003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6.9189999999999996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8.0222999999999995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3.1892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4.4941000000000004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6.2022000000000004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6.0152000000000001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10.097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3.2585000000000002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3.4138999999999999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175.5436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174.88239999999999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157.9922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156.3331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155.5763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155.6808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151.89250000000001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13.7745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18.831900000000001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8.6494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8.2187000000000001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8.3461999999999996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12.1435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11.749700000000001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6.2799999999999995E-2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0.22059999999999999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0.44819999999999999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0.76239999999999997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1.1082000000000001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1.2937000000000001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10.542199999999999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9.4329999999999998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1.0271999999999999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0.74180000000000001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0.56269999999999998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0.36749999999999999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0.20949999999999999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0.1076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1.9300000000000001E-2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1.3100000000000001E-2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1.55E-2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2.1999999999999999E-2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3.0200000000000001E-2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4.0899999999999999E-2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5.1200000000000002E-2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6.2700000000000006E-2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7.2700000000000001E-2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8.1199999999999994E-2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8.8099999999999998E-2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9.1700000000000004E-2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9.0300000000000005E-2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9.0399999999999994E-2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8.8099999999999998E-2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8.7400000000000005E-2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8.4199999999999997E-2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8.0699999999999994E-2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1.7000000000000001E-2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2.0199999999999999E-2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2.1700000000000001E-2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2.4500000000000001E-2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2.52E-2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3.2000000000000001E-2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4.0300000000000002E-2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4.48E-2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5.4800000000000001E-2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6.7400000000000002E-2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7.9799999999999996E-2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0.10249999999999999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0.1234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0.1469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0.1691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0.18149999999999999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0.19350000000000001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4.0000000000000002E-4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1.4E-3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3.8999999999999998E-3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7.1999999999999998E-3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1.15E-2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1.7500000000000002E-2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2.3900000000000001E-2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2.8000000000000001E-2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3.2500000000000001E-2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3.5999999999999997E-2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3.9699999999999999E-2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4.3400000000000001E-2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4.7300000000000002E-2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5.0599999999999999E-2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5.3900000000000003E-2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5.9999999999999995E-4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1.1999999999999999E-3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2.3E-3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4.1999999999999997E-3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8.2000000000000007E-3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1.7299999999999999E-2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2.9700000000000001E-2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4.3799999999999999E-2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4.5400000000000003E-2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4.41E-2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4.1700000000000001E-2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3.9E-2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3.7100000000000001E-2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3.49E-2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3.5200000000000002E-2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3.5200000000000002E-2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7.1000000000000004E-3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1E-4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65.189400000000006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61.921999999999997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82.555199999999999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79.682100000000005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87.122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93.372500000000002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99.019000000000005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111.72839999999999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175.65369999999999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208.1696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240.68549999999999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240.43770000000001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240.19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246.29499999999999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252.4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256.17939999999999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259.9588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185.23089999999999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210.1405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152.6874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152.3152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153.69239999999999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155.68860000000001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162.71520000000001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165.72389999999999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165.92570000000001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166.9271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165.71440000000001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168.3048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169.333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167.5445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165.62029999999999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163.3262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160.9015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23.836099999999998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64.900400000000005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7.9414999999999996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7.5510999999999999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7.9295999999999998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9.8742999999999999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15.8916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16.715399999999999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14.288600000000001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14.5322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12.6632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13.8675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13.5268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13.132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12.5943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11.428800000000001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10.1328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1.2500000000000001E-2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1.49E-2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2.2700000000000001E-2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3.0200000000000001E-2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3.95E-2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4.5600000000000002E-2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5.3199999999999997E-2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5.74E-2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6.1600000000000002E-2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6.5100000000000005E-2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6.83E-2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6.8599999999999994E-2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6.9500000000000006E-2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6.7000000000000004E-2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6.5299999999999997E-2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6.3399999999999998E-2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6.2399999999999997E-2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1.77E-2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2.0500000000000001E-2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0.02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1.9900000000000001E-2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1.84E-2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2.1499999999999998E-2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2.6800000000000001E-2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3.1600000000000003E-2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4.2000000000000003E-2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5.2699999999999997E-2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6.2300000000000001E-2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8.0500000000000002E-2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9.8199999999999996E-2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0.11650000000000001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0.1341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0.1439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0.1535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4.0000000000000002E-4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1.1999999999999999E-3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2.5000000000000001E-3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4.0000000000000001E-3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6.7999999999999996E-3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1.12E-2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1.6199999999999999E-2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1.9400000000000001E-2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2.24E-2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2.53E-2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2.86E-2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3.1600000000000003E-2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3.4500000000000003E-2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3.6799999999999999E-2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3.8699999999999998E-2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6.9999999999999999E-4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2.8999999999999998E-3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8.6999999999999994E-3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1.9400000000000001E-2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3.5000000000000003E-2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5.5599999999999997E-2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5.8099999999999999E-2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5.9499999999999997E-2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5.8099999999999999E-2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5.0099999999999999E-2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5.4800000000000001E-2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5.5500000000000001E-2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7.3800000000000004E-2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8.77E-2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0.1171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0.14169999999999999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7.1000000000000004E-3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2.9999999999999997E-4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2.9999999999999997E-4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5.9999999999999995E-4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1.2999999999999999E-3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2.2000000000000001E-3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4.5999999999999999E-3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7.7999999999999996E-3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1E-4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1E-4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2.9999999999999997E-4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4.0000000000000002E-4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5.0000000000000001E-4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6.9999999999999999E-4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8.0000000000000004E-4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5.9999999999999995E-4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5.0000000000000001E-4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2.9999999999999997E-4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4.0000000000000002E-4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5.9999999999999995E-4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6.9999999999999999E-4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8.9999999999999998E-4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1.1999999999999999E-3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65.189400000000006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71.6417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82.322000000000003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82.177400000000006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92.134299999999996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101.5192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107.2972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123.56440000000001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196.03030000000001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233.6643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271.29840000000002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277.58589999999998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283.87329999999997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285.35829999999999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286.8433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296.0446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305.24590000000001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179.82310000000001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218.9076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314.62520000000001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410.36320000000001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522.87440000000004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619.7518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619.75660000000005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541.37840000000006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456.21719999999999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385.661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323.63330000000002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298.6823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278.41930000000002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273.75819999999999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267.8032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257.096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248.24770000000001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18.4297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67.89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161.95509999999999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256.32990000000001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367.73390000000001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465.54899999999998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466.8295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388.87740000000002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302.54320000000001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230.53550000000001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167.09399999999999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140.90199999999999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119.40470000000001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115.08880000000001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109.4522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99.993899999999996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92.355000000000004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5.8599999999999999E-2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1.08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2.1162000000000001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2.0731000000000002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2.2896000000000001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1.8596999999999999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1.4932000000000001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1.1428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0.82769999999999999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0.48330000000000001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0.20050000000000001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1.2571000000000001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2.5000000000000001E-3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1.3100000000000001E-2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1.55E-2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2.3E-2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3.0300000000000001E-2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4.0599999999999997E-2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5.0799999999999998E-2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6.4199999999999993E-2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7.5600000000000001E-2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8.5900000000000004E-2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8.7400000000000005E-2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8.8700000000000001E-2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8.8300000000000003E-2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8.8900000000000007E-2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8.6999999999999994E-2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8.6099999999999996E-2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8.3500000000000005E-2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8.1000000000000003E-2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1.7000000000000001E-2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1.9699999999999999E-2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1.9300000000000001E-2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1.9E-2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2.1999999999999999E-2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3.09E-2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4.0899999999999999E-2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4.4900000000000002E-2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5.28E-2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6.5199999999999994E-2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7.6600000000000001E-2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9.8500000000000004E-2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0.1187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0.14180000000000001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0.16400000000000001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0.17710000000000001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0.18990000000000001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4.0000000000000002E-4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1.1999999999999999E-3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3.0999999999999999E-3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5.3E-3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8.6999999999999994E-3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1.4E-2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2.0400000000000001E-2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2.4299999999999999E-2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2.8199999999999999E-2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3.2000000000000001E-2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3.5799999999999998E-2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3.9600000000000003E-2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4.3499999999999997E-2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4.7100000000000003E-2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5.0500000000000003E-2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6.9999999999999999E-4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2.8E-3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8.2000000000000007E-3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3.8999999999999998E-3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8.3999999999999995E-3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1.8599999999999998E-2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3.39E-2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5.16E-2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4.9700000000000001E-2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4.7100000000000003E-2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4.2700000000000002E-2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3.9300000000000002E-2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3.7400000000000003E-2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3.4500000000000003E-2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3.4700000000000002E-2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3.4099999999999998E-2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7.0000000000000001E-3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2.9999999999999997E-4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1E-4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2.0000000000000001E-4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2.0000000000000001E-4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0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65.189400000000006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71.6417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82.322000000000003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68.520799999999994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86.9435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95.804100000000005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100.61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115.91070000000001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174.76320000000001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209.32820000000001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243.8931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248.1831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252.47300000000001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256.3689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260.2647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267.13749999999999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274.0102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187.37700000000001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226.36359999999999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309.54079999999999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386.78370000000001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157.5317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154.5147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153.29519999999999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156.68510000000001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160.0386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161.48230000000001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162.65690000000001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164.25239999999999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166.48089999999999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165.78139999999999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165.3244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164.08029999999999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162.04060000000001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25.981100000000001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74.888499999999993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155.9478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241.84379999999999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11.5038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8.4640000000000004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6.1853999999999996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7.2142999999999997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7.7514000000000003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8.6387999999999998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9.27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9.6090999999999998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10.582000000000001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11.415100000000001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12.4856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12.426299999999999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11.563499999999999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1.35E-2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0.12520000000000001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0.22059999999999999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0.2379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0.17730000000000001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0.1091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8.5199999999999998E-2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6.6400000000000001E-2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5.4199999999999998E-2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4.0399999999999998E-2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2.1899999999999999E-2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1.3100000000000001E-2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1.55E-2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2.3E-2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2.92E-2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3.8600000000000002E-2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4.9000000000000002E-2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6.1600000000000002E-2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7.3499999999999996E-2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8.6099999999999996E-2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8.77E-2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8.7599999999999997E-2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8.5999999999999993E-2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8.5599999999999996E-2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8.3699999999999997E-2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8.2900000000000001E-2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8.0199999999999994E-2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7.7600000000000002E-2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1.7000000000000001E-2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1.9699999999999999E-2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1.9300000000000001E-2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2.06E-2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2.2499999999999999E-2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2.93E-2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3.7699999999999997E-2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4.2599999999999999E-2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5.0700000000000002E-2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6.3100000000000003E-2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7.4099999999999999E-2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9.5100000000000004E-2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0.1143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0.13689999999999999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0.15859999999999999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0.1716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0.18379999999999999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4.0000000000000002E-4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1.2999999999999999E-3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3.0000000000000001E-3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5.4000000000000003E-3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8.8000000000000005E-3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1.4500000000000001E-2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2.0799999999999999E-2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2.4400000000000002E-2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2.8000000000000001E-2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3.1399999999999997E-2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3.49E-2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3.85E-2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4.2299999999999997E-2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4.5499999999999999E-2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4.8300000000000003E-2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6.9999999999999999E-4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2.8E-3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2.3E-3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1.0200000000000001E-2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3.0800000000000001E-2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5.8700000000000002E-2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8.0500000000000002E-2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9.0800000000000006E-2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8.5800000000000001E-2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8.0600000000000005E-2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7.5399999999999995E-2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7.0800000000000002E-2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6.5799999999999997E-2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5.9499999999999997E-2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5.5E-2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5.0599999999999999E-2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7.0000000000000001E-3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2.9999999999999997E-4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2.0000000000000001E-4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5.9999999999999995E-4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8.0000000000000004E-4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6.9999999999999999E-4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6.9999999999999999E-4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6.9999999999999999E-4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5.0000000000000001E-4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4.0000000000000002E-4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2.9999999999999997E-4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1E-4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1E-4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2.0000000000000001E-4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2.0000000000000001E-4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2.0000000000000001E-4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65.189400000000006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71.6417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82.322000000000003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56.825000000000003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80.382400000000004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95.475800000000007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100.7205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112.4838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180.77109999999999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216.25239999999999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251.7337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256.35910000000001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260.98450000000003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264.11110000000002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267.23770000000002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277.30810000000002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287.37849999999997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184.65799999999999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224.7448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310.31110000000001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162.33269999999999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154.3074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156.0436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158.77809999999999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158.14320000000001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154.73320000000001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155.4913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156.31870000000001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157.2268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158.04910000000001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158.0009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157.5523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155.9091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153.92590000000001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23.262599999999999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73.269199999999998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156.71729999999999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18.4297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10.2516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12.2431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14.301500000000001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12.0854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7.2900999999999998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7.0811000000000002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6.9683000000000002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7.7285000000000004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8.3806999999999992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9.4019999999999992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9.9984000000000002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9.1746999999999996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7.9919000000000002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1.83E-2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0.28289999999999998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1.0223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2.3599000000000001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4.6130000000000004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7.3281999999999998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10.881399999999999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9.6701999999999995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8.1347000000000005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7.2126999999999999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6.3540000000000001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5.7531999999999996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5.2724000000000002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4.8718000000000004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4.5837000000000003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1.23E-2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1.04E-2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1.15E-2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1.38E-2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1.66E-2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1.6400000000000001E-2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1.8499999999999999E-2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2.1000000000000001E-2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2.47E-2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2.53E-2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2.4299999999999999E-2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2.3E-2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2.24E-2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2.3800000000000002E-2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2.52E-2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2.5399999999999999E-2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2.5600000000000001E-2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1.7000000000000001E-2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2.2100000000000002E-2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2.29E-2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2.6200000000000001E-2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2.5100000000000001E-2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3.49E-2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4.7199999999999999E-2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6.0499999999999998E-2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7.6700000000000004E-2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9.2399999999999996E-2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0.1067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0.12640000000000001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0.14369999999999999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0.16170000000000001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0.17799999999999999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0.188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0.1971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5.0000000000000001E-4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8.0000000000000004E-4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3.0000000000000001E-3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6.4000000000000003E-3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1.2E-2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2.1600000000000001E-2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3.6499999999999998E-2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4.36E-2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5.0599999999999999E-2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5.2200000000000003E-2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5.3699999999999998E-2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5.57E-2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5.8299999999999998E-2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5.9900000000000002E-2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6.1400000000000003E-2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5.9999999999999995E-4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6.9999999999999999E-4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1.1999999999999999E-3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2.2000000000000001E-3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3.8E-3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5.7000000000000002E-3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8.3000000000000001E-3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1.43E-2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1.8700000000000001E-2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1.9900000000000001E-2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2.1999999999999999E-2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2.23E-2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2.1999999999999999E-2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2.1899999999999999E-2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2.5499999999999998E-2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2.8500000000000001E-2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6.7000000000000002E-3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2.0000000000000001E-4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1E-4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1E-4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1E-4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65.189400000000006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58.661700000000003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68.229900000000001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75.018900000000002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79.469300000000004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76.842299999999994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75.689099999999996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112.3095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177.87960000000001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207.03749999999999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236.19540000000001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256.12860000000001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276.06169999999997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288.7824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301.50299999999999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319.31810000000002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337.13319999999999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187.51249999999999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230.9323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170.39089999999999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152.0455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153.4837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152.3665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150.9195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147.62090000000001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143.70830000000001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144.12559999999999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144.59350000000001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145.2799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146.15780000000001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146.69710000000001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147.4879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147.7004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147.3622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26.1374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85.734200000000001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25.0868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5.2401999999999997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4.0330000000000004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2.4401999999999999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0.60460000000000003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-0.91349999999999998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-3.4131999999999998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-2.5537000000000001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-1.5226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-1.7958000000000001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-1.8573999999999999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-0.88460000000000005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0.34100000000000003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1.2934000000000001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1.7183999999999999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1.6500000000000001E-2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7.9899999999999999E-2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0.16969999999999999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0.15379999999999999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0.2198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0.94879999999999998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0.8669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0.70199999999999996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0.51349999999999996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0.36969999999999997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0.2087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4.7300000000000002E-2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1.9300000000000001E-2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1.3299999999999999E-2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1.5900000000000001E-2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2.24E-2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3.1199999999999999E-2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4.2099999999999999E-2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5.2900000000000003E-2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6.2199999999999998E-2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7.0199999999999999E-2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7.4099999999999999E-2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7.7399999999999997E-2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7.9699999999999993E-2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7.9000000000000001E-2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7.9100000000000004E-2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7.7299999999999994E-2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7.6300000000000007E-2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7.3899999999999993E-2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7.1199999999999999E-2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1.6799999999999999E-2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1.9900000000000001E-2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2.1000000000000001E-2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2.3300000000000001E-2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2.5100000000000001E-2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3.2099999999999997E-2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3.8699999999999998E-2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4.3400000000000001E-2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4.8599999999999997E-2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5.9200000000000003E-2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7.0400000000000004E-2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9.06E-2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0.1094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0.12939999999999999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0.1484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0.1598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0.17150000000000001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4.0000000000000002E-4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1.4E-3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3.3E-3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5.4999999999999997E-3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8.5000000000000006E-3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1.3599999999999999E-2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1.8499999999999999E-2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2.1399999999999999E-2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2.5000000000000001E-2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2.8299999999999999E-2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3.1699999999999999E-2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3.49E-2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3.7999999999999999E-2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4.0399999999999998E-2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4.2999999999999997E-2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5.9999999999999995E-4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1.4E-3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2.2000000000000001E-3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4.3E-3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4.19E-2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7.4999999999999997E-2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5.7599999999999998E-2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5.6000000000000001E-2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5.3699999999999998E-2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5.0999999999999997E-2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5.11E-2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5.3100000000000001E-2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5.3999999999999999E-2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5.5100000000000003E-2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7.1000000000000004E-3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2.0000000000000001E-4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1E-4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5.0000000000000001E-4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8.9999999999999998E-4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2.5000000000000001E-3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4.4000000000000003E-3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1E-4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2.0000000000000001E-4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2.9999999999999997E-4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2.9999999999999997E-4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4.0000000000000002E-4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4.0000000000000002E-4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2.9999999999999997E-4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2.9999999999999997E-4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2.0000000000000001E-4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1E-4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65.189400000000006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67.219700000000003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81.729200000000006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81.053100000000001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91.525800000000004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100.8032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105.5977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122.996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186.6404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221.33600000000001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256.03149999999999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258.7167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261.40190000000001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261.93950000000001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262.47710000000001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273.22559999999999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283.9742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185.17009999999999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214.815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199.4316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179.27549999999999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161.99209999999999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165.64240000000001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216.03020000000001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218.52930000000001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181.78569999999999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182.87049999999999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183.2484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182.38509999999999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181.73820000000001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180.80359999999999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179.68530000000001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176.453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174.0772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23.773399999999999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69.313699999999997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52.578800000000001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30.2822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10.978999999999999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15.277699999999999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65.797300000000007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66.323400000000007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26.9057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26.2241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24.8889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23.600899999999999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22.523299999999999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22.659700000000001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22.591899999999999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20.352399999999999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18.9816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3.0499999999999999E-2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0.626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2.7054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6.9082999999999997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14.0783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20.159600000000001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21.542400000000001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19.755600000000001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18.028400000000001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15.5373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13.571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11.670400000000001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8.2973999999999997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3.3874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1.6537999999999999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1.2999999999999999E-2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1.55E-2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2.18E-2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2.9100000000000001E-2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3.9199999999999999E-2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5.0099999999999999E-2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6.4500000000000002E-2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7.9399999999999998E-2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9.2200000000000004E-2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9.7500000000000003E-2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0.1019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0.10349999999999999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0.1052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0.1032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0.1022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9.8199999999999996E-2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9.4500000000000001E-2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1.72E-2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2.1100000000000001E-2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2.3800000000000002E-2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2.3800000000000002E-2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3.2800000000000003E-2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4.4200000000000003E-2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5.0900000000000001E-2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6.1899999999999997E-2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7.6899999999999996E-2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9.11E-2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0.1172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0.1401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0.1653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0.18859999999999999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0.20169999999999999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0.2142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4.0000000000000002E-4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1.4E-3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4.1000000000000003E-3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7.9000000000000008E-3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1.41E-2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2.1499999999999998E-2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2.9700000000000001E-2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3.5000000000000003E-2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3.9699999999999999E-2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4.3999999999999997E-2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4.82E-2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5.21E-2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5.6099999999999997E-2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5.9400000000000001E-2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6.2300000000000001E-2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5.0000000000000001E-4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1.1999999999999999E-3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3.3E-3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9.2999999999999992E-3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2.3599999999999999E-2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5.1299999999999998E-2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8.5599999999999996E-2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0.1232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0.12280000000000001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0.1195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0.10879999999999999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0.1008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9.2700000000000005E-2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7.1999999999999995E-2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3.2800000000000003E-2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1.7500000000000002E-2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6.8999999999999999E-3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65.189400000000006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58.546300000000002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78.862399999999994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82.082499999999996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90.008200000000002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89.726200000000006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98.991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118.2259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183.56209999999999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230.09540000000001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276.62880000000001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295.81920000000002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315.00959999999998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360.05939999999998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405.10919999999999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322.42540000000002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239.74160000000001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175.97409999999999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182.61089999999999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153.50620000000001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151.9213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151.5275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147.38740000000001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140.5154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134.11359999999999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131.2441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132.06639999999999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132.82480000000001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135.85720000000001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138.40889999999999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139.52269999999999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142.19390000000001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146.1704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146.61340000000001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14.572800000000001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36.434899999999999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6.9074999999999998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4.3578999999999999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1.9323999999999999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-2.7136999999999998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-10.7445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-16.460999999999999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-18.557200000000002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-17.207000000000001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-15.882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-13.5608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-11.7067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-9.9397000000000002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-6.6220999999999997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-1.589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-9.8199999999999996E-2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1.47E-2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0.12659999999999999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0.46600000000000003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0.74450000000000005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0.94869999999999999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6.9112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7.008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0.81559999999999999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5.9356999999999998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0.4703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0.30649999999999999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0.1762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9.0399999999999994E-2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1.3100000000000001E-2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1.32E-2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1.5599999999999999E-2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2.1899999999999999E-2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3.0599999999999999E-2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4.1300000000000003E-2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5.2200000000000003E-2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6.4100000000000004E-2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7.3999999999999996E-2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8.1799999999999998E-2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8.7499999999999994E-2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9.0899999999999995E-2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8.9700000000000002E-2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9.0300000000000005E-2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8.8499999999999995E-2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8.7900000000000006E-2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8.5099999999999995E-2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8.2199999999999995E-2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1.7000000000000001E-2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2.01E-2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2.1600000000000001E-2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2.4E-2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2.5000000000000001E-2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3.1800000000000002E-2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4.07E-2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4.6800000000000001E-2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5.5300000000000002E-2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6.8099999999999994E-2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8.1199999999999994E-2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0.1043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0.12520000000000001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0.14899999999999999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0.1719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0.185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0.1981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4.0000000000000002E-4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1.2999999999999999E-3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3.8999999999999998E-3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7.4000000000000003E-3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1.1900000000000001E-2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1.7899999999999999E-2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2.5000000000000001E-2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2.87E-2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3.32E-2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3.6799999999999999E-2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4.1000000000000002E-2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4.5100000000000001E-2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4.9299999999999997E-2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5.2699999999999997E-2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5.6000000000000001E-2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5.9999999999999995E-4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1.4E-3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2.2000000000000001E-3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3.7000000000000002E-3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7.9000000000000008E-3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1.72E-2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3.1199999999999999E-2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5.0099999999999999E-2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5.04E-2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4.7899999999999998E-2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4.1599999999999998E-2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3.9300000000000002E-2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3.6799999999999999E-2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3.7199999999999997E-2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3.73E-2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7.1000000000000004E-3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1E-4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65.189400000000006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61.805500000000002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81.849900000000005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80.075100000000006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88.605800000000002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93.779899999999998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100.3021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115.6756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174.43260000000001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209.61189999999999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244.79130000000001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245.42269999999999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246.05410000000001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256.73770000000002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267.42140000000001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266.28449999999998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265.14749999999998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187.4872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215.13630000000001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202.61009999999999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153.75880000000001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156.12100000000001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157.8151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163.959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167.35890000000001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167.02670000000001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168.22640000000001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167.1191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169.6738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169.81460000000001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167.26920000000001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164.61019999999999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162.3467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160.0573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26.0899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69.956999999999994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57.881599999999999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8.8164999999999996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10.0207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11.7135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16.842500000000001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17.944900000000001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15.1533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15.5937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13.822100000000001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15.026199999999999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13.8207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12.6876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11.434100000000001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10.3111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9.1603999999999992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1.3100000000000001E-2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1.55E-2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2.3E-2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3.0700000000000002E-2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3.9600000000000003E-2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4.5900000000000003E-2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5.3800000000000001E-2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5.8299999999999998E-2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6.2100000000000002E-2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6.5699999999999995E-2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7.0000000000000007E-2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7.1199999999999999E-2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7.2900000000000006E-2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7.1499999999999994E-2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7.1300000000000002E-2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7.0199999999999999E-2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6.9500000000000006E-2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1.7000000000000001E-2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1.9699999999999999E-2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1.9699999999999999E-2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1.95E-2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1.8700000000000001E-2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2.2100000000000002E-2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2.7699999999999999E-2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3.3099999999999997E-2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4.3700000000000003E-2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5.4899999999999997E-2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6.5600000000000006E-2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8.5500000000000007E-2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0.10440000000000001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0.12529999999999999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0.14549999999999999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0.1583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0.1704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4.0000000000000002E-4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1.1999999999999999E-3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2.5000000000000001E-3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4.1000000000000003E-3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6.7000000000000002E-3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1.0800000000000001E-2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1.54E-2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1.8700000000000001E-2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2.23E-2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2.5700000000000001E-2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2.9399999999999999E-2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3.2899999999999999E-2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3.6600000000000001E-2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3.9600000000000003E-2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4.2000000000000003E-2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6.9999999999999999E-4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2.8999999999999998E-3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8.8000000000000005E-3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1.9800000000000002E-2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3.6999999999999998E-2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5.9700000000000003E-2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6.0900000000000003E-2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4.7800000000000002E-2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4.36E-2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3.6400000000000002E-2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4.1300000000000003E-2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4.3900000000000002E-2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5.8999999999999997E-2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7.0300000000000001E-2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9.69E-2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0.1193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7.1000000000000004E-3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2.9999999999999997E-4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2.9999999999999997E-4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1.4E-3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3.2000000000000002E-3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5.4999999999999997E-3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1.3299999999999999E-2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2.9000000000000001E-2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1E-4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1E-4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2.9999999999999997E-4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4.0000000000000002E-4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5.9999999999999995E-4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6.9999999999999999E-4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8.9999999999999998E-4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5.9999999999999995E-4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5.0000000000000001E-4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2.9999999999999997E-4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4.0000000000000002E-4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5.9999999999999995E-4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8.0000000000000004E-4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1.1000000000000001E-3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1.1999999999999999E-3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65.189400000000006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74.065200000000004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82.773700000000005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82.451099999999997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92.590400000000002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102.31780000000001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108.9093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125.37090000000001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199.30539999999999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238.87440000000001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278.4434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284.3673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290.2912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292.40010000000001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294.50900000000001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304.34530000000001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314.18169999999998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183.1653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222.11969999999999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313.30070000000001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416.0831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531.61779999999999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643.71839999999997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652.56709999999998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568.78620000000001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434.22910000000002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367.09660000000002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310.54849999999999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293.89940000000001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280.04750000000001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271.9812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263.68920000000003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250.03749999999999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240.55690000000001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21.769200000000001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71.170299999999997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160.74610000000001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261.9248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375.53980000000001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487.43520000000001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496.47269999999997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412.01769999999999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275.56540000000001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207.3168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149.69470000000001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132.98320000000001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119.0746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112.6944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106.0616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94.4298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86.933499999999995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1.18E-2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0.77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1.6411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1.6539999999999999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1.5813999999999999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1.3007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1.0691999999999999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0.81640000000000001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0.60370000000000001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3.0356999999999998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1.5084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0.67569999999999997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1.3100000000000001E-2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1.55E-2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2.3E-2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3.0200000000000001E-2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3.9399999999999998E-2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5.1799999999999999E-2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6.5500000000000003E-2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7.7200000000000005E-2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8.5000000000000006E-2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8.5900000000000004E-2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8.77E-2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8.7599999999999997E-2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8.8700000000000001E-2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8.7599999999999997E-2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8.7400000000000005E-2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8.4900000000000003E-2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8.2699999999999996E-2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1.7000000000000001E-2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1.9699999999999999E-2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1.9400000000000001E-2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1.9199999999999998E-2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1.9699999999999999E-2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3.1E-2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4.1300000000000003E-2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4.7E-2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5.3100000000000001E-2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6.59E-2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7.8299999999999995E-2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0.1007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0.1447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0.1676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0.18140000000000001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0.1948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4.0000000000000002E-4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1.2999999999999999E-3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3.3E-3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5.8999999999999999E-3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9.4999999999999998E-3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1.4800000000000001E-2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2.0500000000000001E-2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2.4299999999999999E-2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2.8000000000000001E-2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3.1600000000000003E-2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3.5499999999999997E-2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3.9600000000000003E-2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4.3999999999999997E-2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4.7800000000000002E-2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5.1400000000000001E-2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6.9999999999999999E-4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2.8E-3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8.0999999999999996E-3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3.8E-3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7.9000000000000008E-3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1.7999999999999999E-2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3.4700000000000002E-2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5.4399999999999997E-2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5.2299999999999999E-2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4.9700000000000001E-2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4.5400000000000003E-2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4.3299999999999998E-2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4.0800000000000003E-2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4.2299999999999997E-2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4.2599999999999999E-2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7.0000000000000001E-3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2.9999999999999997E-4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1E-4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2.0000000000000001E-4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2.0000000000000001E-4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0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65.189400000000006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74.065200000000004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82.773700000000005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69.908299999999997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86.270899999999997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98.604600000000005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101.2509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117.4888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175.4058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209.86969999999999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244.33359999999999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251.79859999999999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259.26369999999997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263.34690000000001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267.43009999999998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266.91579999999999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266.40140000000002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181.7328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218.93430000000001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306.75700000000001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390.79160000000002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180.8733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156.6541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154.72980000000001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157.92959999999999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160.86709999999999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162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162.95269999999999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165.8965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168.98140000000001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168.5087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167.8639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167.7628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167.33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20.337299999999999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67.532899999999998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153.2842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245.67339999999999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34.719900000000003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10.3201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7.3075000000000001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8.1039999999999992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8.4877000000000002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9.0625999999999998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9.4567999999999994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11.1639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13.003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14.0411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14.8986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15.9291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16.616700000000002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3.8999999999999998E-3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3.5000000000000001E-3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5.0000000000000001E-3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6.4999999999999997E-3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7.1000000000000004E-3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6.4999999999999997E-3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5.1999999999999998E-3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4.0000000000000001E-3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2.3E-3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8.9999999999999998E-4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4.0000000000000002E-4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1.3100000000000001E-2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1.55E-2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2.3E-2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2.9600000000000001E-2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3.9600000000000003E-2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4.8500000000000001E-2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5.7500000000000002E-2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6.5500000000000003E-2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7.0400000000000004E-2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7.46E-2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7.9100000000000004E-2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7.8899999999999998E-2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7.9500000000000001E-2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7.8200000000000006E-2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7.8E-2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7.6100000000000001E-2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7.4899999999999994E-2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1.7000000000000001E-2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1.9699999999999999E-2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1.9599999999999999E-2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2.0199999999999999E-2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2.0299999999999999E-2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2.69E-2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3.3300000000000003E-2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3.95E-2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4.7E-2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5.8200000000000002E-2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6.9099999999999995E-2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8.9700000000000002E-2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0.1091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0.13150000000000001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0.15329999999999999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0.1678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0.18179999999999999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4.0000000000000002E-4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1.1999999999999999E-3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3.0999999999999999E-3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5.3E-3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8.3999999999999995E-3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1.32E-2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1.8100000000000002E-2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2.1100000000000001E-2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2.4500000000000001E-2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2.8000000000000001E-2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3.1899999999999998E-2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3.56E-2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3.9399999999999998E-2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4.2799999999999998E-2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4.58E-2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6.9999999999999999E-4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2.8E-3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1.9E-3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3.8999999999999998E-3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1.1900000000000001E-2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3.6200000000000003E-2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7.7899999999999997E-2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0.14580000000000001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0.16819999999999999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0.17780000000000001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0.1613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0.14649999999999999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0.12809999999999999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0.113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9.5500000000000002E-2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8.3199999999999996E-2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7.1000000000000004E-3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2.9999999999999997E-4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2.9999999999999997E-4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1.1999999999999999E-3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3.8E-3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5.3E-3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7.4000000000000003E-3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6.7999999999999996E-3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6.4000000000000003E-3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6.7999999999999996E-3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7.3000000000000001E-3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1.1299999999999999E-2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1.54E-2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1E-4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2.0000000000000001E-4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2.9999999999999997E-4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2.9999999999999997E-4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2.0000000000000001E-4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2.9999999999999997E-4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2.9999999999999997E-4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5.0000000000000001E-4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5.9999999999999995E-4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8.0000000000000004E-4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8.9999999999999998E-4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8.9999999999999998E-4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6.9999999999999999E-4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5.9999999999999995E-4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65.189400000000006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74.065200000000004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82.773700000000005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71.927199999999999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88.190899999999999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99.721400000000003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105.0223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121.3364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178.816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216.09190000000001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253.36789999999999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256.07470000000001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258.78140000000002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258.1191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257.45690000000002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268.91489999999999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280.37290000000002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185.23990000000001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223.60409999999999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309.3972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162.822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162.875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169.4949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180.69239999999999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188.22370000000001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192.9383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194.69669999999999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194.32550000000001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190.4365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187.20920000000001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182.87649999999999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179.066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174.95760000000001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171.79830000000001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23.8447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72.200500000000005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155.92500000000001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19.071200000000001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18.773299999999999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25.2379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35.438299999999998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41.444800000000001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45.067300000000003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45.2226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43.283799999999999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38.636099999999999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34.634900000000002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30.935300000000002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27.7454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24.293500000000002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21.766999999999999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5.7999999999999996E-3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0.26290000000000002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1.0305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2.6581000000000001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5.4523000000000001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8.7644000000000002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11.9612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10.268700000000001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8.8094999999999999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6.9227999999999996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5.4840999999999998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4.7648000000000001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3.5707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3.4904000000000002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3.5510999999999999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1.2200000000000001E-2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1.04E-2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1.1599999999999999E-2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1.3899999999999999E-2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1.6899999999999998E-2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1.7000000000000001E-2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2.0199999999999999E-2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2.2800000000000001E-2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2.6499999999999999E-2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2.6599999999999999E-2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2.5499999999999998E-2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2.4E-2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2.3099999999999999E-2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2.4799999999999999E-2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2.63E-2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2.76E-2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2.87E-2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1.7100000000000001E-2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2.2200000000000001E-2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2.3599999999999999E-2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2.6700000000000002E-2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2.5999999999999999E-2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3.6200000000000003E-2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5.0099999999999999E-2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6.2799999999999995E-2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7.8E-2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9.4600000000000004E-2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0.10920000000000001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0.12889999999999999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0.1457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0.16600000000000001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0.18410000000000001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0.19589999999999999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0.2069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1E-4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5.0000000000000001E-4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8.9999999999999998E-4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3.0000000000000001E-3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6.4999999999999997E-3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1.2500000000000001E-2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2.5100000000000001E-2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4.0899999999999999E-2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4.8099999999999997E-2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5.5100000000000003E-2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5.6300000000000003E-2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5.79E-2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5.8500000000000003E-2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6.0199999999999997E-2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6.2100000000000002E-2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6.3799999999999996E-2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5.9999999999999995E-4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6.9999999999999999E-4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1.2999999999999999E-3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2.5999999999999999E-3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5.1999999999999998E-3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1.0500000000000001E-2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1.9199999999999998E-2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3.7600000000000001E-2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4.3999999999999997E-2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4.5600000000000002E-2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4.36E-2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4.0300000000000002E-2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3.5400000000000001E-2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2.8400000000000002E-2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2.6800000000000001E-2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2.5899999999999999E-2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6.7000000000000002E-3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2.0000000000000001E-4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1E-4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1E-4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2.0000000000000001E-4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65.189400000000006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58.235999999999997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67.398499999999999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74.374300000000005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81.156899999999993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81.905299999999997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78.530100000000004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113.97969999999999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182.10910000000001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220.8005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259.49180000000001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285.50459999999998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311.51729999999998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324.2688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337.02030000000002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361.34699999999998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385.6737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186.51050000000001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232.55189999999999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180.9623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152.35050000000001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153.8767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152.1437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149.45179999999999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145.26390000000001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141.28370000000001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141.74959999999999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141.8665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143.84209999999999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145.4975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145.8997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147.46039999999999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146.3246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144.91079999999999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25.145099999999999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87.467100000000002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35.748899999999999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5.4874999999999998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4.2304000000000004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2.1659999999999999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-0.65459999999999996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-3.0326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-5.8726000000000003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-5.0911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-4.4916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-3.5087999999999999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-2.8355000000000001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-2.0411999999999999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-8.5800000000000001E-2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-0.37409999999999999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-0.92959999999999998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1.24E-2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6.1899999999999997E-2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0.16089999999999999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0.1535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0.21859999999999999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1.2372000000000001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0.87219999999999998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0.68289999999999995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0.51319999999999999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0.3669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0.22409999999999999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5.5899999999999998E-2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2.4E-2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1.3100000000000001E-2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1.5599999999999999E-2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2.2200000000000001E-2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3.1099999999999999E-2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4.2500000000000003E-2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5.3499999999999999E-2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6.0699999999999997E-2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6.7699999999999996E-2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7.1599999999999997E-2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7.5999999999999998E-2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7.9200000000000007E-2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7.8700000000000006E-2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7.9600000000000004E-2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7.8399999999999997E-2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7.8200000000000006E-2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7.6899999999999996E-2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7.51E-2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1.7000000000000001E-2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2.1499999999999998E-2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2.35E-2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2.5000000000000001E-2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3.2199999999999999E-2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3.7400000000000003E-2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4.24E-2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4.87E-2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6.0299999999999999E-2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7.1999999999999995E-2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9.3100000000000002E-2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0.1125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0.13400000000000001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0.15490000000000001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0.16839999999999999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0.182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4.0000000000000002E-4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1.4E-3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3.3E-3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5.7000000000000002E-3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8.5000000000000006E-3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1.2999999999999999E-2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1.7399999999999999E-2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2.0500000000000001E-2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2.4299999999999999E-2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2.7799999999999998E-2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3.15E-2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3.5200000000000002E-2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3.8899999999999997E-2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4.2099999999999999E-2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4.53E-2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5.9999999999999995E-4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1.4E-3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2.3999999999999998E-3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4.1999999999999997E-3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5.4399999999999997E-2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7.9399999999999998E-2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6.0600000000000001E-2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5.9200000000000003E-2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5.6800000000000003E-2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5.3800000000000001E-2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5.1400000000000001E-2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5.6599999999999998E-2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6.0900000000000003E-2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6.3700000000000007E-2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6.6900000000000001E-2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7.1000000000000004E-3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2.0000000000000001E-4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4.0000000000000002E-4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5.9999999999999995E-4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1.4E-3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2.3E-3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5.1000000000000004E-3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8.6E-3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1E-4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2.9999999999999997E-4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2.9999999999999997E-4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4.0000000000000002E-4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4.0000000000000002E-4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4.0000000000000002E-4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2.9999999999999997E-4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2.0000000000000001E-4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1E-4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1E-4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65.189400000000006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68.104100000000003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82.145399999999995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81.378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92.015000000000001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101.7471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106.9303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124.5981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189.88890000000001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225.32239999999999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260.7559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263.41919999999999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266.08249999999998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266.92989999999998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267.77730000000003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278.5813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289.38529999999997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182.1865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213.5993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199.12690000000001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188.80670000000001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160.8903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164.7362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235.31530000000001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222.26689999999999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180.46010000000001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180.97980000000001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180.80680000000001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180.13849999999999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179.72900000000001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180.87610000000001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181.25559999999999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178.77680000000001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177.083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20.790600000000001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67.566699999999997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51.815600000000003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40.185499999999998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11.08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15.742599999999999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86.407700000000006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71.804400000000001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28.274000000000001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27.212599999999998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25.515799999999999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23.9481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22.626000000000001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24.1265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24.840900000000001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23.006499999999999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21.965599999999998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3.1399999999999997E-2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0.57440000000000002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2.5790999999999999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6.9291999999999998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14.489800000000001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20.503699999999998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20.351700000000001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18.509499999999999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16.782399999999999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14.392799999999999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12.270200000000001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10.3047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6.7229999999999999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2.9506999999999999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1.7212000000000001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1.26E-2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1.46E-2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1.9900000000000001E-2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2.58E-2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3.4500000000000003E-2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4.36E-2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5.6300000000000003E-2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6.9099999999999995E-2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7.7899999999999997E-2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8.2199999999999995E-2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8.6800000000000002E-2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8.9300000000000004E-2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9.1499999999999998E-2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9.0499999999999997E-2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9.01E-2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8.6999999999999994E-2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8.4500000000000006E-2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1.6500000000000001E-2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1.9199999999999998E-2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2.18E-2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2.1100000000000001E-2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2.8799999999999999E-2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3.8600000000000002E-2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4.5699999999999998E-2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5.5500000000000001E-2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7.0400000000000004E-2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8.2799999999999999E-2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0.1053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0.12540000000000001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0.14799999999999999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0.16850000000000001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0.18029999999999999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0.19209999999999999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4.0000000000000002E-4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1.2999999999999999E-3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3.5999999999999999E-3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6.7999999999999996E-3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1.2500000000000001E-2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1.9E-2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2.6800000000000001E-2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3.1600000000000003E-2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3.6299999999999999E-2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4.07E-2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4.48E-2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4.8800000000000003E-2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5.2699999999999997E-2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5.5599999999999997E-2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5.8599999999999999E-2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5.0000000000000001E-4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1.1999999999999999E-3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3.2000000000000002E-3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9.5999999999999992E-3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2.5100000000000001E-2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5.57E-2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9.0700000000000003E-2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0.1237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0.11990000000000001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0.1143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0.1022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9.1200000000000003E-2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8.1100000000000005E-2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5.7000000000000002E-2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2.63E-2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1.54E-2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7.0000000000000001E-3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1E-4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65.189400000000006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56.783900000000003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80.387799999999999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81.8172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88.5929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90.100499999999997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104.5163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114.9233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184.2465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232.39099999999999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280.53550000000001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297.02780000000001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313.52019999999999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359.75920000000002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405.9982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317.98239999999998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229.9667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183.22300000000001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208.29580000000001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154.6575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152.88929999999999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151.7894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147.0737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139.4982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133.05099999999999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131.76079999999999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132.64500000000001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133.4238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136.07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138.5179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139.77940000000001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142.86000000000001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145.64570000000001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145.67259999999999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21.840299999999999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61.112099999999998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7.1406999999999998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4.8080999999999996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2.0859000000000001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-2.9331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-11.6144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-17.3917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-17.8535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-16.376100000000001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-14.975300000000001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-12.970800000000001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-11.151999999999999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-9.2395999999999994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-5.5133000000000001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-1.7185999999999999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-0.69369999999999998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1.6400000000000001E-2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1.26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5.7183999999999999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8.8125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1.3100000000000001E-2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1.55E-2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2.1899999999999999E-2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3.0099999999999998E-2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4.1300000000000003E-2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5.2200000000000003E-2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6.5199999999999994E-2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1.7100000000000001E-2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2.01E-2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2.1000000000000001E-2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2.1999999999999999E-2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2.3699999999999999E-2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3.1399999999999997E-2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4.1200000000000001E-2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2.9999999999999997E-4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1.1999999999999999E-3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3.8999999999999998E-3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7.4000000000000003E-3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1.21E-2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6.9999999999999999E-4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2E-3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3.5999999999999999E-3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3.8999999999999998E-3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8.3999999999999995E-3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1.7600000000000001E-2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7.1000000000000004E-3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2.0000000000000001E-4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1E-4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65.189400000000006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77.500299999999996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82.902199999999993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78.710599999999999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88.645499999999998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95.361699999999999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99.554900000000004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187.89789999999999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220.75829999999999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247.6277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238.40010000000001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173.4177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160.94970000000001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162.97229999999999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26.502300000000002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74.837699999999998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102.193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92.980800000000002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27.1129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14.5421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15.7835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1.35E-2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1.6400000000000001E-2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2.29E-2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3.2199999999999999E-2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4.3900000000000002E-2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5.1499999999999997E-2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5.9499999999999997E-2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1.77E-2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2.06E-2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2.1100000000000001E-2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2.1899999999999999E-2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1.9699999999999999E-2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2.3800000000000002E-2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3.0200000000000001E-2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2.9999999999999997E-4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1E-3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2.5000000000000001E-3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4.3E-3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7.1999999999999998E-3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6.9999999999999999E-4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3.0999999999999999E-3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9.1000000000000004E-3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2.0299999999999999E-2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3.8899999999999997E-2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6.4199999999999993E-2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7.4999999999999997E-3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2.9999999999999997E-4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1E-4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1E-4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2.9999999999999997E-4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4.0000000000000002E-4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5.9999999999999995E-4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6.9999999999999999E-4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65.189400000000006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72.377499999999998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82.771500000000003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82.830299999999994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92.866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102.78789999999999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109.7967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182.3982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225.98779999999999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324.00310000000002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426.50599999999997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544.52340000000004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672.81629999999996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688.48479999999995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20.988099999999999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74.408600000000007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171.91030000000001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273.09059999999999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388.31439999999998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515.83659999999998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532.76379999999995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1.09E-2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5.45E-2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0.6885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1.6697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1.38E-2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1.6899999999999998E-2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2.3800000000000002E-2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3.1E-2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0.04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5.3600000000000002E-2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6.8199999999999997E-2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1.7999999999999999E-2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2.12E-2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2.1999999999999999E-2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1.9800000000000002E-2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1.9699999999999999E-2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3.1300000000000001E-2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4.1599999999999998E-2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2.9999999999999997E-4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1.4E-3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3.7000000000000002E-3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6.7000000000000002E-3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1.09E-2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6.9999999999999999E-4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3.0999999999999999E-3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8.3999999999999995E-3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3.8E-3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8.3000000000000001E-3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1.95E-2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7.4999999999999997E-3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2.9999999999999997E-4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1E-4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2.0000000000000001E-4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2.0000000000000001E-4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65.189400000000006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72.377499999999998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82.771500000000003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72.098399999999998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88.740700000000004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98.1875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100.71259999999999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186.51589999999999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231.8982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327.97640000000001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401.41649999999998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166.47219999999999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155.28120000000001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153.75380000000001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25.101400000000002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79.852999999999994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174.95189999999999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255.88939999999999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20.0685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8.8755000000000006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6.4226999999999999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1.34E-2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1.6E-2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2.3800000000000002E-2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3.2099999999999997E-2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4.2099999999999999E-2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4.9500000000000002E-2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5.7599999999999998E-2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1.7399999999999999E-2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2.0400000000000001E-2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2.06E-2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0.02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2.41E-2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0.03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4.0000000000000002E-4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1.2999999999999999E-3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2.7000000000000001E-3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4.4999999999999997E-3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7.4000000000000003E-3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6.9999999999999999E-4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3.0999999999999999E-3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8.0999999999999996E-3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1.67E-2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3.0099999999999998E-2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5.0299999999999997E-2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7.1999999999999998E-3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2.9999999999999997E-4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1E-4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2.0000000000000001E-4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2.9999999999999997E-4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5.0000000000000001E-4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5.9999999999999995E-4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65.189400000000006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72.377499999999998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82.771500000000003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81.690399999999997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91.021900000000002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99.722300000000004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106.0673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183.3706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228.07069999999999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325.3426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406.03300000000002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525.79790000000003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661.57830000000001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654.89229999999998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21.974299999999999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76.053700000000006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172.32409999999999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254.64590000000001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373.77949999999998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511.53539999999998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505.67809999999997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0.18940000000000001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0.96760000000000002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2.6619000000000002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5.5389999999999997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1.1900000000000001E-2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9.9000000000000008E-3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1.0999999999999999E-2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1.3599999999999999E-2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1.5900000000000001E-2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1.54E-2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1.7999999999999999E-2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1.6500000000000001E-2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2.1000000000000001E-2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2.18E-2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2.47E-2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2.3699999999999999E-2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3.2099999999999997E-2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4.53E-2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1E-4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5.0000000000000001E-4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8.9999999999999998E-4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2.8E-3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6.0000000000000001E-3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1.1299999999999999E-2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6.9999999999999999E-4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6.9999999999999999E-4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1.2999999999999999E-3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2.5999999999999999E-3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5.3E-3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1.01E-2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2.9999999999999997E-4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1E-4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2.0000000000000001E-4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2.0000000000000001E-4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65.189400000000006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58.802100000000003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68.122600000000006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74.635099999999994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83.389700000000005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82.111599999999996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73.984399999999994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186.3766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234.495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189.76589999999999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152.69929999999999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153.61320000000001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151.7688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148.9983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25.007899999999999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89.203199999999995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44.600299999999997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5.9809999999999999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4.3169000000000004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2.0644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-0.99070000000000003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8.0000000000000002E-3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5.21E-2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0.15720000000000001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0.1525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1.3100000000000001E-2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1.5599999999999999E-2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2.23E-2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3.1199999999999999E-2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4.2700000000000002E-2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5.3900000000000003E-2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5.9799999999999999E-2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1.7000000000000001E-2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2.01E-2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2.1399999999999999E-2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2.35E-2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2.5100000000000001E-2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3.2300000000000002E-2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3.6600000000000001E-2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4.0000000000000002E-4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1.4E-3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3.5000000000000001E-3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5.8999999999999999E-3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8.6E-3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5.9999999999999995E-4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1.4E-3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2.3999999999999998E-3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4.1000000000000003E-3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7.0300000000000001E-2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7.1000000000000004E-3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2.0000000000000001E-4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1E-4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65.189400000000006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68.018500000000003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82.321299999999994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81.553299999999993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92.3934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102.4658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107.283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185.2193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217.27879999999999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202.143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192.5949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161.73939999999999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167.018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268.05919999999998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23.8233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70.721599999999995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54.6937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44.0428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11.555899999999999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16.426500000000001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116.2975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3.1199999999999999E-2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0.57399999999999995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2.6166999999999998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7.0990000000000002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14.5366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1.26E-2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1.47E-2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2.01E-2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2.6200000000000001E-2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3.4700000000000002E-2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4.41E-2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5.6399999999999999E-2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1.6400000000000001E-2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1.9E-2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1.9599999999999999E-2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2.1399999999999999E-2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2.1000000000000001E-2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2.86E-2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3.9100000000000003E-2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4.0000000000000002E-4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1.2999999999999999E-3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3.7000000000000002E-3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7.0000000000000001E-3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1.3100000000000001E-2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5.9999999999999995E-4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1.1999999999999999E-3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3.0999999999999999E-3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9.2999999999999992E-3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2.46E-2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5.3900000000000003E-2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7.0000000000000001E-3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1E-4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65.189400000000006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60.598199999999999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81.006500000000003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81.538899999999998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88.476399999999998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90.472200000000001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102.756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181.5889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209.38409999999999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155.60730000000001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153.13319999999999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151.9907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146.92089999999999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139.0044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20.200099999999999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62.383699999999997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8.2071000000000005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4.9410999999999996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2.1709000000000001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-3.0064000000000002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-11.6784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2025-09-16T16:36:23Z</dcterms:modified>
</cp:coreProperties>
</file>