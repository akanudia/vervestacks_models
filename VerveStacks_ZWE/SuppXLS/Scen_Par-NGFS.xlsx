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8F2B9501-FA93-481B-AC89-8F1DE20A88B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<sst xmlns="http://schemas.openxmlformats.org/spreadsheetml/2006/main" count="58717" uniqueCount="92">
  <si>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</si>
  <si>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</si>
  <si>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</si>
  <si>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</si>
  <si>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</si>
  <si>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</si>
  <si>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</si>
  <si>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</si>
  <si>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</si>
  <si>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</si>
  <si>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</si>
  <si>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</si>
  <si>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</si>
  <si>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</si>
  <si>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</si>
  <si>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</si>
  <si>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</si>
  <si>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</si>
  <si>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</si>
  <si>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</si>
  <si>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</si>
  <si>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</si>
  <si>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</si>
  <si>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</si>
  <si>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</si>
  <si>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</si>
  <si>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</si>
  <si>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</si>
  <si>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</si>
  <si>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</si>
  <si>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</si>
  <si>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</si>
  <si>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</si>
  <si>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</si>
  <si>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</si>
  <si>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</si>
  <si>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</si>
  <si>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</si>
  <si>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</si>
  <si>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</si>
  <si>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</si>
  <si>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</si>
  <si>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</si>
  <si>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</si>
  <si>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</si>
  <si>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</si>
  <si>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</si>
  <si>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</si>
  <si>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</si>
  <si>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</si>
  <si>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</si>
  <si>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</si>
  <si>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</si>
  <si>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</si>
  <si>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</si>
  <si>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</si>
  <si>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</si>
  <si>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</si>
  <si>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</si>
  <si>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</si>
  <si>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</si>
  <si>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</si>
  <si>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</si>
  <si>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</si>
  <si>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</si>
  <si>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</si>
  <si>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</si>
  <si>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</si>
  <si>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</si>
  <si>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</si>
  <si>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</si>
  <si>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</si>
  <si>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</si>
  <si>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</si>
  <si>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</si>
  <si>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</si>
  <si>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</si>
  <si>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</si>
  <si>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</si>
  <si>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</si>
  <si>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</si>
  <si>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</si>
  <si>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</si>
  <si>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</si>
  <si>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ZWE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</si>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</sst>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9.7299999999999969</c:v>
                </c:pt>
                <c:pt idx="1">
                  <c:v>11.474798061389336</c:v>
                </c:pt>
                <c:pt idx="2">
                  <c:v>13.738319870759286</c:v>
                </c:pt>
                <c:pt idx="3">
                  <c:v>16.300500807754439</c:v>
                </c:pt>
                <c:pt idx="4">
                  <c:v>19.255654281098543</c:v>
                </c:pt>
                <c:pt idx="5">
                  <c:v>22.871001615508881</c:v>
                </c:pt>
                <c:pt idx="6">
                  <c:v>28.042520193861062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2.4899999999999998</c:v>
                </c:pt>
                <c:pt idx="1">
                  <c:v>3.4593570767807584</c:v>
                </c:pt>
                <c:pt idx="2">
                  <c:v>4.1881344434165895</c:v>
                </c:pt>
                <c:pt idx="3">
                  <c:v>5.5424190564292326</c:v>
                </c:pt>
                <c:pt idx="4">
                  <c:v>5.9103268578476715</c:v>
                </c:pt>
                <c:pt idx="5">
                  <c:v>7.6706537156953418</c:v>
                </c:pt>
                <c:pt idx="6">
                  <c:v>9.4691150169596039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9.7299999999999986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9.7299999999999969</v>
      </c>
      <c r="S12" s="8">
        <f t="shared" ref="S12:X12" si="0">SUM(S17:S20)</f>
        <v>11.474798061389336</v>
      </c>
      <c r="T12" s="8">
        <f t="shared" si="0"/>
        <v>13.738319870759286</v>
      </c>
      <c r="U12" s="8">
        <f t="shared" si="0"/>
        <v>16.300500807754439</v>
      </c>
      <c r="V12" s="8">
        <f t="shared" si="0"/>
        <v>19.255654281098543</v>
      </c>
      <c r="W12" s="8">
        <f t="shared" si="0"/>
        <v>22.871001615508881</v>
      </c>
      <c r="X12" s="8">
        <f t="shared" si="0"/>
        <v>28.042520193861062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1E-4</v>
      </c>
      <c r="H16" s="10">
        <f>SUMIFS(ngfs_median!$J$2:$J$17119,ngfs_median!$B$2:$B$17119,Veda!$C$5,ngfs_median!$H$2:$H$17119,Veda!$Q16,ngfs_median!$I$2:$I$17119,Veda!H$15)</f>
        <v>6.9999999999999999E-4</v>
      </c>
      <c r="I16" s="10">
        <f>SUMIFS(ngfs_median!$J$2:$J$17119,ngfs_median!$B$2:$B$17119,Veda!$C$5,ngfs_median!$H$2:$H$17119,Veda!$Q16,ngfs_median!$I$2:$I$17119,Veda!I$15)</f>
        <v>2.8999999999999998E-3</v>
      </c>
      <c r="J16" s="10">
        <f>SUMIFS(ngfs_median!$J$2:$J$17119,ngfs_median!$B$2:$B$17119,Veda!$C$5,ngfs_median!$H$2:$H$17119,Veda!$Q16,ngfs_median!$I$2:$I$17119,Veda!J$15)</f>
        <v>8.7500000000000008E-3</v>
      </c>
      <c r="K16" s="10">
        <f>SUMIFS(ngfs_median!$J$2:$J$17119,ngfs_median!$B$2:$B$17119,Veda!$C$5,ngfs_median!$H$2:$H$17119,Veda!$Q16,ngfs_median!$I$2:$I$17119,Veda!K$15)</f>
        <v>1.9599999999999999E-2</v>
      </c>
      <c r="L16" s="10">
        <f>SUMIFS(ngfs_median!$J$2:$J$17119,ngfs_median!$B$2:$B$17119,Veda!$C$5,ngfs_median!$H$2:$H$17119,Veda!$Q16,ngfs_median!$I$2:$I$17119,Veda!L$15)</f>
        <v>3.6000000000000004E-2</v>
      </c>
      <c r="M16" s="10">
        <f>SUMIFS(ngfs_median!$J$2:$J$17119,ngfs_median!$B$2:$B$17119,Veda!$C$5,ngfs_median!$H$2:$H$17119,Veda!$Q16,ngfs_median!$I$2:$I$17119,Veda!M$15)</f>
        <v>5.765E-2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0.61111111111111105</v>
      </c>
      <c r="U16" s="6">
        <f t="shared" si="2"/>
        <v>2.2361111111111116</v>
      </c>
      <c r="V16" s="6">
        <f t="shared" si="2"/>
        <v>5.25</v>
      </c>
      <c r="W16" s="6">
        <f t="shared" si="2"/>
        <v>9.8055555555555571</v>
      </c>
      <c r="X16" s="6">
        <f t="shared" si="2"/>
        <v>15.819444444444445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</v>
      </c>
      <c r="H17" s="10">
        <f>SUMIFS(ngfs_median!$J$2:$J$17119,ngfs_median!$B$2:$B$17119,Veda!$C$5,ngfs_median!$H$2:$H$17119,Veda!$Q17,ngfs_median!$I$2:$I$17119,Veda!H$15)</f>
        <v>0</v>
      </c>
      <c r="I17" s="10">
        <f>SUMIFS(ngfs_median!$J$2:$J$17119,ngfs_median!$B$2:$B$17119,Veda!$C$5,ngfs_median!$H$2:$H$17119,Veda!$Q17,ngfs_median!$I$2:$I$17119,Veda!I$15)</f>
        <v>3.5E-4</v>
      </c>
      <c r="J17" s="10">
        <f>SUMIFS(ngfs_median!$J$2:$J$17119,ngfs_median!$B$2:$B$17119,Veda!$C$5,ngfs_median!$H$2:$H$17119,Veda!$Q17,ngfs_median!$I$2:$I$17119,Veda!J$15)</f>
        <v>1.0999999999999998E-3</v>
      </c>
      <c r="K17" s="10">
        <f>SUMIFS(ngfs_median!$J$2:$J$17119,ngfs_median!$B$2:$B$17119,Veda!$C$5,ngfs_median!$H$2:$H$17119,Veda!$Q17,ngfs_median!$I$2:$I$17119,Veda!K$15)</f>
        <v>2.5000000000000001E-3</v>
      </c>
      <c r="L17" s="10">
        <f>SUMIFS(ngfs_median!$J$2:$J$17119,ngfs_median!$B$2:$B$17119,Veda!$C$5,ngfs_median!$H$2:$H$17119,Veda!$Q17,ngfs_median!$I$2:$I$17119,Veda!L$15)</f>
        <v>4.0499999999999998E-3</v>
      </c>
      <c r="M17" s="10">
        <f>SUMIFS(ngfs_median!$J$2:$J$17119,ngfs_median!$B$2:$B$17119,Veda!$C$5,ngfs_median!$H$2:$H$17119,Veda!$Q17,ngfs_median!$I$2:$I$17119,Veda!M$15)</f>
        <v>6.7499999999999999E-3</v>
      </c>
      <c r="Q17" s="12" t="s">
        <v>10</v>
      </c>
      <c r="R17" s="6">
        <f>$Q$10*G17/SUM($G$17:$G$19)</f>
        <v>0</v>
      </c>
      <c r="S17" s="6">
        <f>R17</f>
        <v>0</v>
      </c>
      <c r="T17" s="6">
        <f t="shared" ref="T17:X17" si="3">S17</f>
        <v>0</v>
      </c>
      <c r="U17" s="6">
        <f t="shared" si="3"/>
        <v>0</v>
      </c>
      <c r="V17" s="6">
        <f t="shared" si="3"/>
        <v>0</v>
      </c>
      <c r="W17" s="6">
        <f t="shared" si="3"/>
        <v>0</v>
      </c>
      <c r="X17" s="6">
        <f t="shared" si="3"/>
        <v>0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1.7649999999999999E-2</v>
      </c>
      <c r="H18" s="10">
        <f>SUMIFS(ngfs_median!$J$2:$J$17119,ngfs_median!$B$2:$B$17119,Veda!$C$5,ngfs_median!$H$2:$H$17119,Veda!$Q18,ngfs_median!$I$2:$I$17119,Veda!H$15)</f>
        <v>2.0549999999999999E-2</v>
      </c>
      <c r="I18" s="10">
        <f>SUMIFS(ngfs_median!$J$2:$J$17119,ngfs_median!$B$2:$B$17119,Veda!$C$5,ngfs_median!$H$2:$H$17119,Veda!$Q18,ngfs_median!$I$2:$I$17119,Veda!I$15)</f>
        <v>2.0549999999999999E-2</v>
      </c>
      <c r="J18" s="10">
        <f>SUMIFS(ngfs_median!$J$2:$J$17119,ngfs_median!$B$2:$B$17119,Veda!$C$5,ngfs_median!$H$2:$H$17119,Veda!$Q18,ngfs_median!$I$2:$I$17119,Veda!J$15)</f>
        <v>2.0299999999999999E-2</v>
      </c>
      <c r="K18" s="10">
        <f>SUMIFS(ngfs_median!$J$2:$J$17119,ngfs_median!$B$2:$B$17119,Veda!$C$5,ngfs_median!$H$2:$H$17119,Veda!$Q18,ngfs_median!$I$2:$I$17119,Veda!K$15)</f>
        <v>1.9200000000000002E-2</v>
      </c>
      <c r="L18" s="10">
        <f>SUMIFS(ngfs_median!$J$2:$J$17119,ngfs_median!$B$2:$B$17119,Veda!$C$5,ngfs_median!$H$2:$H$17119,Veda!$Q18,ngfs_median!$I$2:$I$17119,Veda!L$15)</f>
        <v>2.2950000000000002E-2</v>
      </c>
      <c r="M18" s="10">
        <f>SUMIFS(ngfs_median!$J$2:$J$17119,ngfs_median!$B$2:$B$17119,Veda!$C$5,ngfs_median!$H$2:$H$17119,Veda!$Q18,ngfs_median!$I$2:$I$17119,Veda!M$15)</f>
        <v>2.895E-2</v>
      </c>
      <c r="Q18" s="12" t="s">
        <v>12</v>
      </c>
      <c r="R18" s="6">
        <f>$Q$10*G18/SUM($G$17:$G$19)</f>
        <v>5.5487722132471715</v>
      </c>
      <c r="S18" s="6">
        <f t="shared" ref="S18:X19" si="4">R18*H18/G18</f>
        <v>6.460468497576735</v>
      </c>
      <c r="T18" s="6">
        <f t="shared" si="4"/>
        <v>6.4604684975767341</v>
      </c>
      <c r="U18" s="6">
        <f t="shared" si="4"/>
        <v>6.3818739903069446</v>
      </c>
      <c r="V18" s="6">
        <f t="shared" si="4"/>
        <v>6.0360581583198698</v>
      </c>
      <c r="W18" s="6">
        <f t="shared" si="4"/>
        <v>7.2149757673667185</v>
      </c>
      <c r="X18" s="6">
        <f t="shared" si="4"/>
        <v>9.1012439418416768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1.3299999999999999E-2</v>
      </c>
      <c r="H19" s="10">
        <f>SUMIFS(ngfs_median!$J$2:$J$17119,ngfs_median!$B$2:$B$17119,Veda!$C$5,ngfs_median!$H$2:$H$17119,Veda!$Q19,ngfs_median!$I$2:$I$17119,Veda!H$15)</f>
        <v>1.5949999999999999E-2</v>
      </c>
      <c r="I19" s="10">
        <f>SUMIFS(ngfs_median!$J$2:$J$17119,ngfs_median!$B$2:$B$17119,Veda!$C$5,ngfs_median!$H$2:$H$17119,Veda!$Q19,ngfs_median!$I$2:$I$17119,Veda!I$15)</f>
        <v>2.2800000000000001E-2</v>
      </c>
      <c r="J19" s="10">
        <f>SUMIFS(ngfs_median!$J$2:$J$17119,ngfs_median!$B$2:$B$17119,Veda!$C$5,ngfs_median!$H$2:$H$17119,Veda!$Q19,ngfs_median!$I$2:$I$17119,Veda!J$15)</f>
        <v>3.0450000000000001E-2</v>
      </c>
      <c r="K19" s="10">
        <f>SUMIFS(ngfs_median!$J$2:$J$17119,ngfs_median!$B$2:$B$17119,Veda!$C$5,ngfs_median!$H$2:$H$17119,Veda!$Q19,ngfs_median!$I$2:$I$17119,Veda!K$15)</f>
        <v>3.9550000000000002E-2</v>
      </c>
      <c r="L19" s="10">
        <f>SUMIFS(ngfs_median!$J$2:$J$17119,ngfs_median!$B$2:$B$17119,Veda!$C$5,ngfs_median!$H$2:$H$17119,Veda!$Q19,ngfs_median!$I$2:$I$17119,Veda!L$15)</f>
        <v>4.5749999999999999E-2</v>
      </c>
      <c r="M19" s="10">
        <f>SUMIFS(ngfs_median!$J$2:$J$17119,ngfs_median!$B$2:$B$17119,Veda!$C$5,ngfs_median!$H$2:$H$17119,Veda!$Q19,ngfs_median!$I$2:$I$17119,Veda!M$15)</f>
        <v>5.3499999999999999E-2</v>
      </c>
      <c r="Q19" s="12" t="s">
        <v>13</v>
      </c>
      <c r="R19" s="6">
        <f>$Q$10*G19/SUM($G$17:$G$19)</f>
        <v>4.1812277867528262</v>
      </c>
      <c r="S19" s="6">
        <f t="shared" si="4"/>
        <v>5.0143295638126002</v>
      </c>
      <c r="T19" s="6">
        <f t="shared" si="4"/>
        <v>7.1678190630048464</v>
      </c>
      <c r="U19" s="6">
        <f t="shared" si="4"/>
        <v>9.5728109854604195</v>
      </c>
      <c r="V19" s="6">
        <f t="shared" si="4"/>
        <v>12.433651050080774</v>
      </c>
      <c r="W19" s="6">
        <f t="shared" si="4"/>
        <v>14.382794830371564</v>
      </c>
      <c r="X19" s="6">
        <f t="shared" si="4"/>
        <v>16.819224555735055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</v>
      </c>
      <c r="T20" s="6">
        <f t="shared" si="5"/>
        <v>0.11003231017770597</v>
      </c>
      <c r="U20" s="6">
        <f t="shared" si="5"/>
        <v>0.34581583198707588</v>
      </c>
      <c r="V20" s="6">
        <f t="shared" si="5"/>
        <v>0.7859450726978997</v>
      </c>
      <c r="W20" s="6">
        <f t="shared" si="5"/>
        <v>1.2732310177705974</v>
      </c>
      <c r="X20" s="6">
        <f t="shared" si="5"/>
        <v>2.1220516962843292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2.4899999999999998</v>
      </c>
      <c r="D22" s="12" t="s">
        <v>79</v>
      </c>
      <c r="G22" s="8">
        <f>G35/$G$35*$B22</f>
        <v>2.4899999999999998</v>
      </c>
      <c r="H22" s="8">
        <f t="shared" ref="H22:M22" si="6">H35/$G$35*$B22</f>
        <v>3.4593570767807584</v>
      </c>
      <c r="I22" s="8">
        <f t="shared" si="6"/>
        <v>4.1881344434165895</v>
      </c>
      <c r="J22" s="8">
        <f t="shared" si="6"/>
        <v>5.5424190564292326</v>
      </c>
      <c r="K22" s="8">
        <f t="shared" si="6"/>
        <v>5.9103268578476715</v>
      </c>
      <c r="L22" s="8">
        <f t="shared" si="6"/>
        <v>7.6706537156953418</v>
      </c>
      <c r="M22" s="8">
        <f t="shared" si="6"/>
        <v>9.4691150169596039</v>
      </c>
      <c r="Q22" t="s">
        <v>64</v>
      </c>
      <c r="T22" s="8">
        <f>I35*1000</f>
        <v>3272.8</v>
      </c>
      <c r="U22" s="8">
        <f>J35*1000</f>
        <v>4331.1000000000004</v>
      </c>
      <c r="V22" s="8">
        <f>K35*1000</f>
        <v>4618.5999999999995</v>
      </c>
      <c r="W22" s="8">
        <f>L35*1000</f>
        <v>5994.1999999999989</v>
      </c>
      <c r="X22" s="8">
        <f>M35*1000</f>
        <v>7399.5999999999995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2.2999999999999998</v>
      </c>
      <c r="S26" s="3">
        <f>AVERAGEIFS(historical_data_long!$D$3:$D$9999,historical_data_long!$B$3:$B$9999,"&gt;2017",historical_data_long!$A$3:$A$9999,$O26)</f>
        <v>1.92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0.4</v>
      </c>
      <c r="S27" s="3">
        <f>AVERAGEIFS(historical_data_long!$D$3:$D$9999,historical_data_long!$B$3:$B$9999,"&gt;2017",historical_data_long!$A$3:$A$9999,$O27)</f>
        <v>0.4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1.9458</v>
      </c>
      <c r="H35" s="11">
        <f>SUMIFS(ngfs_median!$J$2:$J$17119,ngfs_median!$B$2:$B$17119,Veda!$C$5,ngfs_median!$D$2:$D$17119,Veda!$D22,ngfs_median!$I$2:$I$17119,Veda!H$15)</f>
        <v>2.7033</v>
      </c>
      <c r="I35" s="11">
        <f>SUMIFS(ngfs_median!$J$2:$J$17119,ngfs_median!$B$2:$B$17119,Veda!$C$5,ngfs_median!$D$2:$D$17119,Veda!$D22,ngfs_median!$I$2:$I$17119,Veda!I$15)</f>
        <v>3.2728000000000002</v>
      </c>
      <c r="J35" s="11">
        <f>SUMIFS(ngfs_median!$J$2:$J$17119,ngfs_median!$B$2:$B$17119,Veda!$C$5,ngfs_median!$D$2:$D$17119,Veda!$D22,ngfs_median!$I$2:$I$17119,Veda!J$15)</f>
        <v>4.3311000000000002</v>
      </c>
      <c r="K35" s="11">
        <f>SUMIFS(ngfs_median!$J$2:$J$17119,ngfs_median!$B$2:$B$17119,Veda!$C$5,ngfs_median!$D$2:$D$17119,Veda!$D22,ngfs_median!$I$2:$I$17119,Veda!K$15)</f>
        <v>4.6185999999999998</v>
      </c>
      <c r="L35" s="11">
        <f>SUMIFS(ngfs_median!$J$2:$J$17119,ngfs_median!$B$2:$B$17119,Veda!$C$5,ngfs_median!$D$2:$D$17119,Veda!$D22,ngfs_median!$I$2:$I$17119,Veda!L$15)</f>
        <v>5.9941999999999993</v>
      </c>
      <c r="M35" s="11">
        <f>SUMIFS(ngfs_median!$J$2:$J$17119,ngfs_median!$B$2:$B$17119,Veda!$C$5,ngfs_median!$D$2:$D$17119,Veda!$D22,ngfs_median!$I$2:$I$17119,Veda!M$15)</f>
        <v>7.3995999999999995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3.73</v>
      </c>
    </row>
    <row r="4" spans="1:4" x14ac:dyDescent="0.45">
      <c r="A4" t="s">
        <v>36</v>
      </c>
      <c r="B4">
        <v>2000</v>
      </c>
      <c r="C4" t="s">
        <v>74</v>
      </c>
      <c r="D4">
        <v>0</v>
      </c>
    </row>
    <row r="5" spans="1:4" x14ac:dyDescent="0.45">
      <c r="A5" t="s">
        <v>56</v>
      </c>
      <c r="B5">
        <v>2000</v>
      </c>
      <c r="C5" t="s">
        <v>74</v>
      </c>
      <c r="D5">
        <v>3.19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7.0000000000000007E-2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4.91</v>
      </c>
    </row>
    <row r="13" spans="1:4" x14ac:dyDescent="0.45">
      <c r="A13" t="s">
        <v>36</v>
      </c>
      <c r="B13">
        <v>2001</v>
      </c>
      <c r="C13" t="s">
        <v>74</v>
      </c>
      <c r="D13">
        <v>0</v>
      </c>
    </row>
    <row r="14" spans="1:4" x14ac:dyDescent="0.45">
      <c r="A14" t="s">
        <v>56</v>
      </c>
      <c r="B14">
        <v>2001</v>
      </c>
      <c r="C14" t="s">
        <v>74</v>
      </c>
      <c r="D14">
        <v>2.96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0.03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4.76</v>
      </c>
    </row>
    <row r="22" spans="1:4" x14ac:dyDescent="0.45">
      <c r="A22" t="s">
        <v>36</v>
      </c>
      <c r="B22">
        <v>2002</v>
      </c>
      <c r="C22" t="s">
        <v>74</v>
      </c>
      <c r="D22">
        <v>0</v>
      </c>
    </row>
    <row r="23" spans="1:4" x14ac:dyDescent="0.45">
      <c r="A23" t="s">
        <v>56</v>
      </c>
      <c r="B23">
        <v>2002</v>
      </c>
      <c r="C23" t="s">
        <v>74</v>
      </c>
      <c r="D23">
        <v>3.81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0.01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3.44</v>
      </c>
    </row>
    <row r="31" spans="1:4" x14ac:dyDescent="0.45">
      <c r="A31" t="s">
        <v>36</v>
      </c>
      <c r="B31">
        <v>2003</v>
      </c>
      <c r="C31" t="s">
        <v>74</v>
      </c>
      <c r="D31">
        <v>0</v>
      </c>
    </row>
    <row r="32" spans="1:4" x14ac:dyDescent="0.45">
      <c r="A32" t="s">
        <v>56</v>
      </c>
      <c r="B32">
        <v>2003</v>
      </c>
      <c r="C32" t="s">
        <v>74</v>
      </c>
      <c r="D32">
        <v>5.34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0.01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4.2</v>
      </c>
    </row>
    <row r="40" spans="1:4" x14ac:dyDescent="0.45">
      <c r="A40" t="s">
        <v>36</v>
      </c>
      <c r="B40">
        <v>2004</v>
      </c>
      <c r="C40" t="s">
        <v>74</v>
      </c>
      <c r="D40">
        <v>0</v>
      </c>
    </row>
    <row r="41" spans="1:4" x14ac:dyDescent="0.45">
      <c r="A41" t="s">
        <v>56</v>
      </c>
      <c r="B41">
        <v>2004</v>
      </c>
      <c r="C41" t="s">
        <v>74</v>
      </c>
      <c r="D41">
        <v>5.5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0.02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4.43</v>
      </c>
    </row>
    <row r="49" spans="1:4" x14ac:dyDescent="0.45">
      <c r="A49" t="s">
        <v>36</v>
      </c>
      <c r="B49">
        <v>2005</v>
      </c>
      <c r="C49" t="s">
        <v>74</v>
      </c>
      <c r="D49">
        <v>0</v>
      </c>
    </row>
    <row r="50" spans="1:4" x14ac:dyDescent="0.45">
      <c r="A50" t="s">
        <v>56</v>
      </c>
      <c r="B50">
        <v>2005</v>
      </c>
      <c r="C50" t="s">
        <v>74</v>
      </c>
      <c r="D50">
        <v>4.91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0.02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0.1</v>
      </c>
    </row>
    <row r="57" spans="1:4" x14ac:dyDescent="0.45">
      <c r="A57" t="s">
        <v>34</v>
      </c>
      <c r="B57">
        <v>2006</v>
      </c>
      <c r="C57" t="s">
        <v>74</v>
      </c>
      <c r="D57">
        <v>2.5299999999999998</v>
      </c>
    </row>
    <row r="58" spans="1:4" x14ac:dyDescent="0.45">
      <c r="A58" t="s">
        <v>36</v>
      </c>
      <c r="B58">
        <v>2006</v>
      </c>
      <c r="C58" t="s">
        <v>74</v>
      </c>
      <c r="D58">
        <v>0</v>
      </c>
    </row>
    <row r="59" spans="1:4" x14ac:dyDescent="0.45">
      <c r="A59" t="s">
        <v>56</v>
      </c>
      <c r="B59">
        <v>2006</v>
      </c>
      <c r="C59" t="s">
        <v>74</v>
      </c>
      <c r="D59">
        <v>5.31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0.04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0.06</v>
      </c>
    </row>
    <row r="66" spans="1:4" x14ac:dyDescent="0.45">
      <c r="A66" t="s">
        <v>34</v>
      </c>
      <c r="B66">
        <v>2007</v>
      </c>
      <c r="C66" t="s">
        <v>74</v>
      </c>
      <c r="D66">
        <v>2.13</v>
      </c>
    </row>
    <row r="67" spans="1:4" x14ac:dyDescent="0.45">
      <c r="A67" t="s">
        <v>36</v>
      </c>
      <c r="B67">
        <v>2007</v>
      </c>
      <c r="C67" t="s">
        <v>74</v>
      </c>
      <c r="D67">
        <v>0</v>
      </c>
    </row>
    <row r="68" spans="1:4" x14ac:dyDescent="0.45">
      <c r="A68" t="s">
        <v>56</v>
      </c>
      <c r="B68">
        <v>2007</v>
      </c>
      <c r="C68" t="s">
        <v>74</v>
      </c>
      <c r="D68">
        <v>5.38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0.03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0.08</v>
      </c>
    </row>
    <row r="75" spans="1:4" x14ac:dyDescent="0.45">
      <c r="A75" t="s">
        <v>34</v>
      </c>
      <c r="B75">
        <v>2008</v>
      </c>
      <c r="C75" t="s">
        <v>74</v>
      </c>
      <c r="D75">
        <v>1.81</v>
      </c>
    </row>
    <row r="76" spans="1:4" x14ac:dyDescent="0.45">
      <c r="A76" t="s">
        <v>36</v>
      </c>
      <c r="B76">
        <v>2008</v>
      </c>
      <c r="C76" t="s">
        <v>74</v>
      </c>
      <c r="D76">
        <v>0</v>
      </c>
    </row>
    <row r="77" spans="1:4" x14ac:dyDescent="0.45">
      <c r="A77" t="s">
        <v>56</v>
      </c>
      <c r="B77">
        <v>2008</v>
      </c>
      <c r="C77" t="s">
        <v>74</v>
      </c>
      <c r="D77">
        <v>5.71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0.03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0.06</v>
      </c>
    </row>
    <row r="84" spans="1:4" x14ac:dyDescent="0.45">
      <c r="A84" t="s">
        <v>34</v>
      </c>
      <c r="B84">
        <v>2009</v>
      </c>
      <c r="C84" t="s">
        <v>74</v>
      </c>
      <c r="D84">
        <v>1.75</v>
      </c>
    </row>
    <row r="85" spans="1:4" x14ac:dyDescent="0.45">
      <c r="A85" t="s">
        <v>36</v>
      </c>
      <c r="B85">
        <v>2009</v>
      </c>
      <c r="C85" t="s">
        <v>74</v>
      </c>
      <c r="D85">
        <v>0</v>
      </c>
    </row>
    <row r="86" spans="1:4" x14ac:dyDescent="0.45">
      <c r="A86" t="s">
        <v>56</v>
      </c>
      <c r="B86">
        <v>2009</v>
      </c>
      <c r="C86" t="s">
        <v>74</v>
      </c>
      <c r="D86">
        <v>5.46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0.02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7.0000000000000007E-2</v>
      </c>
    </row>
    <row r="93" spans="1:4" x14ac:dyDescent="0.45">
      <c r="A93" t="s">
        <v>34</v>
      </c>
      <c r="B93">
        <v>2010</v>
      </c>
      <c r="C93" t="s">
        <v>74</v>
      </c>
      <c r="D93">
        <v>2.75</v>
      </c>
    </row>
    <row r="94" spans="1:4" x14ac:dyDescent="0.45">
      <c r="A94" t="s">
        <v>36</v>
      </c>
      <c r="B94">
        <v>2010</v>
      </c>
      <c r="C94" t="s">
        <v>74</v>
      </c>
      <c r="D94">
        <v>0</v>
      </c>
    </row>
    <row r="95" spans="1:4" x14ac:dyDescent="0.45">
      <c r="A95" t="s">
        <v>56</v>
      </c>
      <c r="B95">
        <v>2010</v>
      </c>
      <c r="C95" t="s">
        <v>74</v>
      </c>
      <c r="D95">
        <v>5.8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0.02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0.09</v>
      </c>
    </row>
    <row r="102" spans="1:4" x14ac:dyDescent="0.45">
      <c r="A102" t="s">
        <v>34</v>
      </c>
      <c r="B102">
        <v>2011</v>
      </c>
      <c r="C102" t="s">
        <v>74</v>
      </c>
      <c r="D102">
        <v>3.84</v>
      </c>
    </row>
    <row r="103" spans="1:4" x14ac:dyDescent="0.45">
      <c r="A103" t="s">
        <v>36</v>
      </c>
      <c r="B103">
        <v>2011</v>
      </c>
      <c r="C103" t="s">
        <v>74</v>
      </c>
      <c r="D103">
        <v>0</v>
      </c>
    </row>
    <row r="104" spans="1:4" x14ac:dyDescent="0.45">
      <c r="A104" t="s">
        <v>56</v>
      </c>
      <c r="B104">
        <v>2011</v>
      </c>
      <c r="C104" t="s">
        <v>74</v>
      </c>
      <c r="D104">
        <v>5.2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0.04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0.12</v>
      </c>
    </row>
    <row r="111" spans="1:4" x14ac:dyDescent="0.45">
      <c r="A111" t="s">
        <v>34</v>
      </c>
      <c r="B111">
        <v>2012</v>
      </c>
      <c r="C111" t="s">
        <v>74</v>
      </c>
      <c r="D111">
        <v>3.59</v>
      </c>
    </row>
    <row r="112" spans="1:4" x14ac:dyDescent="0.45">
      <c r="A112" t="s">
        <v>36</v>
      </c>
      <c r="B112">
        <v>2012</v>
      </c>
      <c r="C112" t="s">
        <v>74</v>
      </c>
      <c r="D112">
        <v>0</v>
      </c>
    </row>
    <row r="113" spans="1:4" x14ac:dyDescent="0.45">
      <c r="A113" t="s">
        <v>56</v>
      </c>
      <c r="B113">
        <v>2012</v>
      </c>
      <c r="C113" t="s">
        <v>74</v>
      </c>
      <c r="D113">
        <v>5.39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0.05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0.13</v>
      </c>
    </row>
    <row r="120" spans="1:4" x14ac:dyDescent="0.45">
      <c r="A120" t="s">
        <v>34</v>
      </c>
      <c r="B120">
        <v>2013</v>
      </c>
      <c r="C120" t="s">
        <v>74</v>
      </c>
      <c r="D120">
        <v>4.3499999999999996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0.06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0.01</v>
      </c>
    </row>
    <row r="129" spans="1:4" x14ac:dyDescent="0.45">
      <c r="A129" t="s">
        <v>34</v>
      </c>
      <c r="B129">
        <v>2014</v>
      </c>
      <c r="C129" t="s">
        <v>74</v>
      </c>
      <c r="D129">
        <v>4.4000000000000004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5.43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0.02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0.04</v>
      </c>
    </row>
    <row r="138" spans="1:4" x14ac:dyDescent="0.45">
      <c r="A138" t="s">
        <v>34</v>
      </c>
      <c r="B138">
        <v>2015</v>
      </c>
      <c r="C138" t="s">
        <v>74</v>
      </c>
      <c r="D138">
        <v>4.54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4.99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0.01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0.23</v>
      </c>
    </row>
    <row r="147" spans="1:4" x14ac:dyDescent="0.45">
      <c r="A147" t="s">
        <v>34</v>
      </c>
      <c r="B147">
        <v>2016</v>
      </c>
      <c r="C147" t="s">
        <v>74</v>
      </c>
      <c r="D147">
        <v>3.91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2.98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0.04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0.01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0.15</v>
      </c>
    </row>
    <row r="156" spans="1:4" x14ac:dyDescent="0.45">
      <c r="A156" t="s">
        <v>34</v>
      </c>
      <c r="B156">
        <v>2017</v>
      </c>
      <c r="C156" t="s">
        <v>74</v>
      </c>
      <c r="D156">
        <v>3.38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3.97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0.04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0.01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0.19</v>
      </c>
    </row>
    <row r="165" spans="1:4" x14ac:dyDescent="0.45">
      <c r="A165" t="s">
        <v>34</v>
      </c>
      <c r="B165">
        <v>2018</v>
      </c>
      <c r="C165" t="s">
        <v>74</v>
      </c>
      <c r="D165">
        <v>4.13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5.05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0.05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0.02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0.19</v>
      </c>
    </row>
    <row r="174" spans="1:4" x14ac:dyDescent="0.45">
      <c r="A174" t="s">
        <v>34</v>
      </c>
      <c r="B174">
        <v>2019</v>
      </c>
      <c r="C174" t="s">
        <v>74</v>
      </c>
      <c r="D174">
        <v>4.05</v>
      </c>
    </row>
    <row r="175" spans="1:4" x14ac:dyDescent="0.45">
      <c r="A175" t="s">
        <v>36</v>
      </c>
      <c r="B175">
        <v>2019</v>
      </c>
      <c r="C175" t="s">
        <v>74</v>
      </c>
      <c r="D175">
        <v>0</v>
      </c>
    </row>
    <row r="176" spans="1:4" x14ac:dyDescent="0.45">
      <c r="A176" t="s">
        <v>56</v>
      </c>
      <c r="B176">
        <v>2019</v>
      </c>
      <c r="C176" t="s">
        <v>74</v>
      </c>
      <c r="D176">
        <v>4.17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0.05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0.03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0.1</v>
      </c>
    </row>
    <row r="183" spans="1:4" x14ac:dyDescent="0.45">
      <c r="A183" t="s">
        <v>34</v>
      </c>
      <c r="B183">
        <v>2020</v>
      </c>
      <c r="C183" t="s">
        <v>74</v>
      </c>
      <c r="D183">
        <v>2.74</v>
      </c>
    </row>
    <row r="184" spans="1:4" x14ac:dyDescent="0.45">
      <c r="A184" t="s">
        <v>36</v>
      </c>
      <c r="B184">
        <v>2020</v>
      </c>
      <c r="C184" t="s">
        <v>74</v>
      </c>
      <c r="D184">
        <v>0</v>
      </c>
    </row>
    <row r="185" spans="1:4" x14ac:dyDescent="0.45">
      <c r="A185" t="s">
        <v>56</v>
      </c>
      <c r="B185">
        <v>2020</v>
      </c>
      <c r="C185" t="s">
        <v>74</v>
      </c>
      <c r="D185">
        <v>3.81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0.04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0.02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2.5099999999999998</v>
      </c>
    </row>
    <row r="193" spans="1:4" x14ac:dyDescent="0.45">
      <c r="A193" t="s">
        <v>36</v>
      </c>
      <c r="B193">
        <v>2021</v>
      </c>
      <c r="C193" t="s">
        <v>74</v>
      </c>
      <c r="D193">
        <v>0</v>
      </c>
    </row>
    <row r="194" spans="1:4" x14ac:dyDescent="0.45">
      <c r="A194" t="s">
        <v>56</v>
      </c>
      <c r="B194">
        <v>2021</v>
      </c>
      <c r="C194" t="s">
        <v>74</v>
      </c>
      <c r="D194">
        <v>5.93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0.02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0.1</v>
      </c>
    </row>
    <row r="201" spans="1:4" x14ac:dyDescent="0.45">
      <c r="A201" t="s">
        <v>34</v>
      </c>
      <c r="B201">
        <v>2022</v>
      </c>
      <c r="C201" t="s">
        <v>74</v>
      </c>
      <c r="D201">
        <v>2.92</v>
      </c>
    </row>
    <row r="202" spans="1:4" x14ac:dyDescent="0.45">
      <c r="A202" t="s">
        <v>36</v>
      </c>
      <c r="B202">
        <v>2022</v>
      </c>
      <c r="C202" t="s">
        <v>74</v>
      </c>
      <c r="D202">
        <v>0</v>
      </c>
    </row>
    <row r="203" spans="1:4" x14ac:dyDescent="0.45">
      <c r="A203" t="s">
        <v>56</v>
      </c>
      <c r="B203">
        <v>2022</v>
      </c>
      <c r="C203" t="s">
        <v>74</v>
      </c>
      <c r="D203">
        <v>5.88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0.03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  <c r="D209">
        <v>0.06</v>
      </c>
    </row>
    <row r="210" spans="1:4" x14ac:dyDescent="0.45">
      <c r="A210" t="s">
        <v>34</v>
      </c>
      <c r="B210">
        <v>2000</v>
      </c>
      <c r="C210" t="s">
        <v>75</v>
      </c>
      <c r="D210">
        <v>0.95</v>
      </c>
    </row>
    <row r="211" spans="1:4" x14ac:dyDescent="0.45">
      <c r="A211" t="s">
        <v>36</v>
      </c>
      <c r="B211">
        <v>2000</v>
      </c>
      <c r="C211" t="s">
        <v>75</v>
      </c>
    </row>
    <row r="212" spans="1:4" x14ac:dyDescent="0.45">
      <c r="A212" t="s">
        <v>56</v>
      </c>
      <c r="B212">
        <v>2000</v>
      </c>
      <c r="C212" t="s">
        <v>75</v>
      </c>
      <c r="D212">
        <v>0.67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  <c r="D218">
        <v>0.06</v>
      </c>
    </row>
    <row r="219" spans="1:4" x14ac:dyDescent="0.45">
      <c r="A219" t="s">
        <v>34</v>
      </c>
      <c r="B219">
        <v>2001</v>
      </c>
      <c r="C219" t="s">
        <v>75</v>
      </c>
      <c r="D219">
        <v>0.95</v>
      </c>
    </row>
    <row r="220" spans="1:4" x14ac:dyDescent="0.45">
      <c r="A220" t="s">
        <v>36</v>
      </c>
      <c r="B220">
        <v>2001</v>
      </c>
      <c r="C220" t="s">
        <v>75</v>
      </c>
    </row>
    <row r="221" spans="1:4" x14ac:dyDescent="0.45">
      <c r="A221" t="s">
        <v>56</v>
      </c>
      <c r="B221">
        <v>2001</v>
      </c>
      <c r="C221" t="s">
        <v>75</v>
      </c>
      <c r="D221">
        <v>0.67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  <c r="D227">
        <v>0.08</v>
      </c>
    </row>
    <row r="228" spans="1:4" x14ac:dyDescent="0.45">
      <c r="A228" t="s">
        <v>34</v>
      </c>
      <c r="B228">
        <v>2002</v>
      </c>
      <c r="C228" t="s">
        <v>75</v>
      </c>
      <c r="D228">
        <v>0.95</v>
      </c>
    </row>
    <row r="229" spans="1:4" x14ac:dyDescent="0.45">
      <c r="A229" t="s">
        <v>36</v>
      </c>
      <c r="B229">
        <v>2002</v>
      </c>
      <c r="C229" t="s">
        <v>75</v>
      </c>
    </row>
    <row r="230" spans="1:4" x14ac:dyDescent="0.45">
      <c r="A230" t="s">
        <v>56</v>
      </c>
      <c r="B230">
        <v>2002</v>
      </c>
      <c r="C230" t="s">
        <v>75</v>
      </c>
      <c r="D230">
        <v>0.67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  <c r="D236">
        <v>0.08</v>
      </c>
    </row>
    <row r="237" spans="1:4" x14ac:dyDescent="0.45">
      <c r="A237" t="s">
        <v>34</v>
      </c>
      <c r="B237">
        <v>2003</v>
      </c>
      <c r="C237" t="s">
        <v>75</v>
      </c>
      <c r="D237">
        <v>0.95</v>
      </c>
    </row>
    <row r="238" spans="1:4" x14ac:dyDescent="0.45">
      <c r="A238" t="s">
        <v>36</v>
      </c>
      <c r="B238">
        <v>2003</v>
      </c>
      <c r="C238" t="s">
        <v>75</v>
      </c>
    </row>
    <row r="239" spans="1:4" x14ac:dyDescent="0.45">
      <c r="A239" t="s">
        <v>56</v>
      </c>
      <c r="B239">
        <v>2003</v>
      </c>
      <c r="C239" t="s">
        <v>75</v>
      </c>
      <c r="D239">
        <v>0.67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  <c r="D245">
        <v>0.08</v>
      </c>
    </row>
    <row r="246" spans="1:4" x14ac:dyDescent="0.45">
      <c r="A246" t="s">
        <v>34</v>
      </c>
      <c r="B246">
        <v>2004</v>
      </c>
      <c r="C246" t="s">
        <v>75</v>
      </c>
      <c r="D246">
        <v>0.95</v>
      </c>
    </row>
    <row r="247" spans="1:4" x14ac:dyDescent="0.45">
      <c r="A247" t="s">
        <v>36</v>
      </c>
      <c r="B247">
        <v>2004</v>
      </c>
      <c r="C247" t="s">
        <v>75</v>
      </c>
    </row>
    <row r="248" spans="1:4" x14ac:dyDescent="0.45">
      <c r="A248" t="s">
        <v>56</v>
      </c>
      <c r="B248">
        <v>2004</v>
      </c>
      <c r="C248" t="s">
        <v>75</v>
      </c>
      <c r="D248">
        <v>0.67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  <c r="D254">
        <v>0.08</v>
      </c>
    </row>
    <row r="255" spans="1:4" x14ac:dyDescent="0.45">
      <c r="A255" t="s">
        <v>34</v>
      </c>
      <c r="B255">
        <v>2005</v>
      </c>
      <c r="C255" t="s">
        <v>75</v>
      </c>
      <c r="D255">
        <v>0.95</v>
      </c>
    </row>
    <row r="256" spans="1:4" x14ac:dyDescent="0.45">
      <c r="A256" t="s">
        <v>36</v>
      </c>
      <c r="B256">
        <v>2005</v>
      </c>
      <c r="C256" t="s">
        <v>75</v>
      </c>
    </row>
    <row r="257" spans="1:4" x14ac:dyDescent="0.45">
      <c r="A257" t="s">
        <v>56</v>
      </c>
      <c r="B257">
        <v>2005</v>
      </c>
      <c r="C257" t="s">
        <v>75</v>
      </c>
      <c r="D257">
        <v>0.67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  <c r="D263">
        <v>0.08</v>
      </c>
    </row>
    <row r="264" spans="1:4" x14ac:dyDescent="0.45">
      <c r="A264" t="s">
        <v>34</v>
      </c>
      <c r="B264">
        <v>2006</v>
      </c>
      <c r="C264" t="s">
        <v>75</v>
      </c>
      <c r="D264">
        <v>0.95</v>
      </c>
    </row>
    <row r="265" spans="1:4" x14ac:dyDescent="0.45">
      <c r="A265" t="s">
        <v>36</v>
      </c>
      <c r="B265">
        <v>2006</v>
      </c>
      <c r="C265" t="s">
        <v>75</v>
      </c>
    </row>
    <row r="266" spans="1:4" x14ac:dyDescent="0.45">
      <c r="A266" t="s">
        <v>56</v>
      </c>
      <c r="B266">
        <v>2006</v>
      </c>
      <c r="C266" t="s">
        <v>75</v>
      </c>
      <c r="D266">
        <v>0.67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  <c r="D272">
        <v>0.08</v>
      </c>
    </row>
    <row r="273" spans="1:4" x14ac:dyDescent="0.45">
      <c r="A273" t="s">
        <v>34</v>
      </c>
      <c r="B273">
        <v>2007</v>
      </c>
      <c r="C273" t="s">
        <v>75</v>
      </c>
      <c r="D273">
        <v>0.95</v>
      </c>
    </row>
    <row r="274" spans="1:4" x14ac:dyDescent="0.45">
      <c r="A274" t="s">
        <v>36</v>
      </c>
      <c r="B274">
        <v>2007</v>
      </c>
      <c r="C274" t="s">
        <v>75</v>
      </c>
    </row>
    <row r="275" spans="1:4" x14ac:dyDescent="0.45">
      <c r="A275" t="s">
        <v>56</v>
      </c>
      <c r="B275">
        <v>2007</v>
      </c>
      <c r="C275" t="s">
        <v>75</v>
      </c>
      <c r="D275">
        <v>0.67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  <c r="D281">
        <v>0.08</v>
      </c>
    </row>
    <row r="282" spans="1:4" x14ac:dyDescent="0.45">
      <c r="A282" t="s">
        <v>34</v>
      </c>
      <c r="B282">
        <v>2008</v>
      </c>
      <c r="C282" t="s">
        <v>75</v>
      </c>
      <c r="D282">
        <v>0.95</v>
      </c>
    </row>
    <row r="283" spans="1:4" x14ac:dyDescent="0.45">
      <c r="A283" t="s">
        <v>36</v>
      </c>
      <c r="B283">
        <v>2008</v>
      </c>
      <c r="C283" t="s">
        <v>75</v>
      </c>
    </row>
    <row r="284" spans="1:4" x14ac:dyDescent="0.45">
      <c r="A284" t="s">
        <v>56</v>
      </c>
      <c r="B284">
        <v>2008</v>
      </c>
      <c r="C284" t="s">
        <v>75</v>
      </c>
      <c r="D284">
        <v>0.75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  <c r="D290">
        <v>0.08</v>
      </c>
    </row>
    <row r="291" spans="1:4" x14ac:dyDescent="0.45">
      <c r="A291" t="s">
        <v>34</v>
      </c>
      <c r="B291">
        <v>2009</v>
      </c>
      <c r="C291" t="s">
        <v>75</v>
      </c>
      <c r="D291">
        <v>0.95</v>
      </c>
    </row>
    <row r="292" spans="1:4" x14ac:dyDescent="0.45">
      <c r="A292" t="s">
        <v>36</v>
      </c>
      <c r="B292">
        <v>2009</v>
      </c>
      <c r="C292" t="s">
        <v>75</v>
      </c>
    </row>
    <row r="293" spans="1:4" x14ac:dyDescent="0.45">
      <c r="A293" t="s">
        <v>56</v>
      </c>
      <c r="B293">
        <v>2009</v>
      </c>
      <c r="C293" t="s">
        <v>75</v>
      </c>
      <c r="D293">
        <v>0.75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  <c r="D299">
        <v>0.08</v>
      </c>
    </row>
    <row r="300" spans="1:4" x14ac:dyDescent="0.45">
      <c r="A300" t="s">
        <v>34</v>
      </c>
      <c r="B300">
        <v>2010</v>
      </c>
      <c r="C300" t="s">
        <v>75</v>
      </c>
      <c r="D300">
        <v>0.95</v>
      </c>
    </row>
    <row r="301" spans="1:4" x14ac:dyDescent="0.45">
      <c r="A301" t="s">
        <v>36</v>
      </c>
      <c r="B301">
        <v>2010</v>
      </c>
      <c r="C301" t="s">
        <v>75</v>
      </c>
    </row>
    <row r="302" spans="1:4" x14ac:dyDescent="0.45">
      <c r="A302" t="s">
        <v>56</v>
      </c>
      <c r="B302">
        <v>2010</v>
      </c>
      <c r="C302" t="s">
        <v>75</v>
      </c>
      <c r="D302">
        <v>0.75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  <c r="D308">
        <v>0.1</v>
      </c>
    </row>
    <row r="309" spans="1:4" x14ac:dyDescent="0.45">
      <c r="A309" t="s">
        <v>34</v>
      </c>
      <c r="B309">
        <v>2011</v>
      </c>
      <c r="C309" t="s">
        <v>75</v>
      </c>
      <c r="D309">
        <v>0.95</v>
      </c>
    </row>
    <row r="310" spans="1:4" x14ac:dyDescent="0.45">
      <c r="A310" t="s">
        <v>36</v>
      </c>
      <c r="B310">
        <v>2011</v>
      </c>
      <c r="C310" t="s">
        <v>75</v>
      </c>
    </row>
    <row r="311" spans="1:4" x14ac:dyDescent="0.45">
      <c r="A311" t="s">
        <v>56</v>
      </c>
      <c r="B311">
        <v>2011</v>
      </c>
      <c r="C311" t="s">
        <v>75</v>
      </c>
      <c r="D311">
        <v>0.75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0.01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  <c r="D317">
        <v>0.1</v>
      </c>
    </row>
    <row r="318" spans="1:4" x14ac:dyDescent="0.45">
      <c r="A318" t="s">
        <v>34</v>
      </c>
      <c r="B318">
        <v>2012</v>
      </c>
      <c r="C318" t="s">
        <v>75</v>
      </c>
      <c r="D318">
        <v>0.95</v>
      </c>
    </row>
    <row r="319" spans="1:4" x14ac:dyDescent="0.45">
      <c r="A319" t="s">
        <v>36</v>
      </c>
      <c r="B319">
        <v>2012</v>
      </c>
      <c r="C319" t="s">
        <v>75</v>
      </c>
    </row>
    <row r="320" spans="1:4" x14ac:dyDescent="0.45">
      <c r="A320" t="s">
        <v>56</v>
      </c>
      <c r="B320">
        <v>2012</v>
      </c>
      <c r="C320" t="s">
        <v>75</v>
      </c>
      <c r="D320">
        <v>0.75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0.01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  <c r="D326">
        <v>0.1</v>
      </c>
    </row>
    <row r="327" spans="1:4" x14ac:dyDescent="0.45">
      <c r="A327" t="s">
        <v>34</v>
      </c>
      <c r="B327">
        <v>2013</v>
      </c>
      <c r="C327" t="s">
        <v>75</v>
      </c>
      <c r="D327">
        <v>0.95</v>
      </c>
    </row>
    <row r="328" spans="1:4" x14ac:dyDescent="0.45">
      <c r="A328" t="s">
        <v>36</v>
      </c>
      <c r="B328">
        <v>2013</v>
      </c>
      <c r="C328" t="s">
        <v>75</v>
      </c>
    </row>
    <row r="329" spans="1:4" x14ac:dyDescent="0.45">
      <c r="A329" t="s">
        <v>56</v>
      </c>
      <c r="B329">
        <v>2013</v>
      </c>
      <c r="C329" t="s">
        <v>75</v>
      </c>
      <c r="D329">
        <v>0.76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0.01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  <c r="D335">
        <v>0.1</v>
      </c>
    </row>
    <row r="336" spans="1:4" x14ac:dyDescent="0.45">
      <c r="A336" t="s">
        <v>34</v>
      </c>
      <c r="B336">
        <v>2014</v>
      </c>
      <c r="C336" t="s">
        <v>75</v>
      </c>
      <c r="D336">
        <v>0.95</v>
      </c>
    </row>
    <row r="337" spans="1:4" x14ac:dyDescent="0.45">
      <c r="A337" t="s">
        <v>36</v>
      </c>
      <c r="B337">
        <v>2014</v>
      </c>
      <c r="C337" t="s">
        <v>75</v>
      </c>
    </row>
    <row r="338" spans="1:4" x14ac:dyDescent="0.45">
      <c r="A338" t="s">
        <v>56</v>
      </c>
      <c r="B338">
        <v>2014</v>
      </c>
      <c r="C338" t="s">
        <v>75</v>
      </c>
      <c r="D338">
        <v>0.76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0.01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  <c r="D344">
        <v>0.1</v>
      </c>
    </row>
    <row r="345" spans="1:4" x14ac:dyDescent="0.45">
      <c r="A345" t="s">
        <v>34</v>
      </c>
      <c r="B345">
        <v>2015</v>
      </c>
      <c r="C345" t="s">
        <v>75</v>
      </c>
      <c r="D345">
        <v>0.95</v>
      </c>
    </row>
    <row r="346" spans="1:4" x14ac:dyDescent="0.45">
      <c r="A346" t="s">
        <v>36</v>
      </c>
      <c r="B346">
        <v>2015</v>
      </c>
      <c r="C346" t="s">
        <v>75</v>
      </c>
    </row>
    <row r="347" spans="1:4" x14ac:dyDescent="0.45">
      <c r="A347" t="s">
        <v>56</v>
      </c>
      <c r="B347">
        <v>2015</v>
      </c>
      <c r="C347" t="s">
        <v>75</v>
      </c>
      <c r="D347">
        <v>0.77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0.01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  <c r="D353">
        <v>0.1</v>
      </c>
    </row>
    <row r="354" spans="1:4" x14ac:dyDescent="0.45">
      <c r="A354" t="s">
        <v>34</v>
      </c>
      <c r="B354">
        <v>2016</v>
      </c>
      <c r="C354" t="s">
        <v>75</v>
      </c>
      <c r="D354">
        <v>0.95</v>
      </c>
    </row>
    <row r="355" spans="1:4" x14ac:dyDescent="0.45">
      <c r="A355" t="s">
        <v>36</v>
      </c>
      <c r="B355">
        <v>2016</v>
      </c>
      <c r="C355" t="s">
        <v>75</v>
      </c>
    </row>
    <row r="356" spans="1:4" x14ac:dyDescent="0.45">
      <c r="A356" t="s">
        <v>56</v>
      </c>
      <c r="B356">
        <v>2016</v>
      </c>
      <c r="C356" t="s">
        <v>75</v>
      </c>
      <c r="D356">
        <v>0.78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0.01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  <c r="D362">
        <v>0.1</v>
      </c>
    </row>
    <row r="363" spans="1:4" x14ac:dyDescent="0.45">
      <c r="A363" t="s">
        <v>34</v>
      </c>
      <c r="B363">
        <v>2017</v>
      </c>
      <c r="C363" t="s">
        <v>75</v>
      </c>
      <c r="D363">
        <v>0.95</v>
      </c>
    </row>
    <row r="364" spans="1:4" x14ac:dyDescent="0.45">
      <c r="A364" t="s">
        <v>36</v>
      </c>
      <c r="B364">
        <v>2017</v>
      </c>
      <c r="C364" t="s">
        <v>75</v>
      </c>
    </row>
    <row r="365" spans="1:4" x14ac:dyDescent="0.45">
      <c r="A365" t="s">
        <v>56</v>
      </c>
      <c r="B365">
        <v>2017</v>
      </c>
      <c r="C365" t="s">
        <v>75</v>
      </c>
      <c r="D365">
        <v>0.78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0.01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0.01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  <c r="D371">
        <v>0.1</v>
      </c>
    </row>
    <row r="372" spans="1:4" x14ac:dyDescent="0.45">
      <c r="A372" t="s">
        <v>34</v>
      </c>
      <c r="B372">
        <v>2018</v>
      </c>
      <c r="C372" t="s">
        <v>75</v>
      </c>
      <c r="D372">
        <v>0.95</v>
      </c>
    </row>
    <row r="373" spans="1:4" x14ac:dyDescent="0.45">
      <c r="A373" t="s">
        <v>36</v>
      </c>
      <c r="B373">
        <v>2018</v>
      </c>
      <c r="C373" t="s">
        <v>75</v>
      </c>
    </row>
    <row r="374" spans="1:4" x14ac:dyDescent="0.45">
      <c r="A374" t="s">
        <v>56</v>
      </c>
      <c r="B374">
        <v>2018</v>
      </c>
      <c r="C374" t="s">
        <v>75</v>
      </c>
      <c r="D374">
        <v>1.08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0.01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0.01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  <c r="D380">
        <v>0.1</v>
      </c>
    </row>
    <row r="381" spans="1:4" x14ac:dyDescent="0.45">
      <c r="A381" t="s">
        <v>34</v>
      </c>
      <c r="B381">
        <v>2019</v>
      </c>
      <c r="C381" t="s">
        <v>75</v>
      </c>
      <c r="D381">
        <v>0.95</v>
      </c>
    </row>
    <row r="382" spans="1:4" x14ac:dyDescent="0.45">
      <c r="A382" t="s">
        <v>36</v>
      </c>
      <c r="B382">
        <v>2019</v>
      </c>
      <c r="C382" t="s">
        <v>75</v>
      </c>
    </row>
    <row r="383" spans="1:4" x14ac:dyDescent="0.45">
      <c r="A383" t="s">
        <v>56</v>
      </c>
      <c r="B383">
        <v>2019</v>
      </c>
      <c r="C383" t="s">
        <v>75</v>
      </c>
      <c r="D383">
        <v>1.08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0.01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0.01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  <c r="D389">
        <v>0.1</v>
      </c>
    </row>
    <row r="390" spans="1:4" x14ac:dyDescent="0.45">
      <c r="A390" t="s">
        <v>34</v>
      </c>
      <c r="B390">
        <v>2020</v>
      </c>
      <c r="C390" t="s">
        <v>75</v>
      </c>
      <c r="D390">
        <v>0.95</v>
      </c>
    </row>
    <row r="391" spans="1:4" x14ac:dyDescent="0.45">
      <c r="A391" t="s">
        <v>36</v>
      </c>
      <c r="B391">
        <v>2020</v>
      </c>
      <c r="C391" t="s">
        <v>75</v>
      </c>
    </row>
    <row r="392" spans="1:4" x14ac:dyDescent="0.45">
      <c r="A392" t="s">
        <v>56</v>
      </c>
      <c r="B392">
        <v>2020</v>
      </c>
      <c r="C392" t="s">
        <v>75</v>
      </c>
      <c r="D392">
        <v>1.08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0.01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0.01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  <c r="D398">
        <v>0.1</v>
      </c>
    </row>
    <row r="399" spans="1:4" x14ac:dyDescent="0.45">
      <c r="A399" t="s">
        <v>34</v>
      </c>
      <c r="B399">
        <v>2021</v>
      </c>
      <c r="C399" t="s">
        <v>75</v>
      </c>
      <c r="D399">
        <v>0.95</v>
      </c>
    </row>
    <row r="400" spans="1:4" x14ac:dyDescent="0.45">
      <c r="A400" t="s">
        <v>36</v>
      </c>
      <c r="B400">
        <v>2021</v>
      </c>
      <c r="C400" t="s">
        <v>75</v>
      </c>
    </row>
    <row r="401" spans="1:4" x14ac:dyDescent="0.45">
      <c r="A401" t="s">
        <v>56</v>
      </c>
      <c r="B401">
        <v>2021</v>
      </c>
      <c r="C401" t="s">
        <v>75</v>
      </c>
      <c r="D401">
        <v>1.08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0.01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0.03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  <c r="D407">
        <v>0.1</v>
      </c>
    </row>
    <row r="408" spans="1:4" x14ac:dyDescent="0.45">
      <c r="A408" t="s">
        <v>34</v>
      </c>
      <c r="B408">
        <v>2022</v>
      </c>
      <c r="C408" t="s">
        <v>75</v>
      </c>
      <c r="D408">
        <v>1</v>
      </c>
    </row>
    <row r="409" spans="1:4" x14ac:dyDescent="0.45">
      <c r="A409" t="s">
        <v>36</v>
      </c>
      <c r="B409">
        <v>2022</v>
      </c>
      <c r="C409" t="s">
        <v>75</v>
      </c>
    </row>
    <row r="410" spans="1:4" x14ac:dyDescent="0.45">
      <c r="A410" t="s">
        <v>56</v>
      </c>
      <c r="B410">
        <v>2022</v>
      </c>
      <c r="C410" t="s">
        <v>75</v>
      </c>
      <c r="D410">
        <v>1.08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0.01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0.04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3.2</v>
      </c>
    </row>
    <row r="418" spans="1:4" x14ac:dyDescent="0.45">
      <c r="A418" t="s">
        <v>36</v>
      </c>
      <c r="B418">
        <v>2000</v>
      </c>
      <c r="C418" t="s">
        <v>76</v>
      </c>
      <c r="D418">
        <v>0</v>
      </c>
    </row>
    <row r="419" spans="1:4" x14ac:dyDescent="0.45">
      <c r="A419" t="s">
        <v>56</v>
      </c>
      <c r="B419">
        <v>2000</v>
      </c>
      <c r="C419" t="s">
        <v>76</v>
      </c>
      <c r="D419">
        <v>0.08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0.05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4.21</v>
      </c>
    </row>
    <row r="427" spans="1:4" x14ac:dyDescent="0.45">
      <c r="A427" t="s">
        <v>36</v>
      </c>
      <c r="B427">
        <v>2001</v>
      </c>
      <c r="C427" t="s">
        <v>76</v>
      </c>
      <c r="D427">
        <v>0</v>
      </c>
    </row>
    <row r="428" spans="1:4" x14ac:dyDescent="0.45">
      <c r="A428" t="s">
        <v>56</v>
      </c>
      <c r="B428">
        <v>2001</v>
      </c>
      <c r="C428" t="s">
        <v>76</v>
      </c>
      <c r="D428">
        <v>7.0000000000000007E-2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0.02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4.08</v>
      </c>
    </row>
    <row r="436" spans="1:4" x14ac:dyDescent="0.45">
      <c r="A436" t="s">
        <v>36</v>
      </c>
      <c r="B436">
        <v>2002</v>
      </c>
      <c r="C436" t="s">
        <v>76</v>
      </c>
      <c r="D436">
        <v>0</v>
      </c>
    </row>
    <row r="437" spans="1:4" x14ac:dyDescent="0.45">
      <c r="A437" t="s">
        <v>56</v>
      </c>
      <c r="B437">
        <v>2002</v>
      </c>
      <c r="C437" t="s">
        <v>76</v>
      </c>
      <c r="D437">
        <v>0.09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0.01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2.95</v>
      </c>
    </row>
    <row r="445" spans="1:4" x14ac:dyDescent="0.45">
      <c r="A445" t="s">
        <v>36</v>
      </c>
      <c r="B445">
        <v>2003</v>
      </c>
      <c r="C445" t="s">
        <v>76</v>
      </c>
      <c r="D445">
        <v>0</v>
      </c>
    </row>
    <row r="446" spans="1:4" x14ac:dyDescent="0.45">
      <c r="A446" t="s">
        <v>56</v>
      </c>
      <c r="B446">
        <v>2003</v>
      </c>
      <c r="C446" t="s">
        <v>76</v>
      </c>
      <c r="D446">
        <v>0.13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0.01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3.6</v>
      </c>
    </row>
    <row r="454" spans="1:4" x14ac:dyDescent="0.45">
      <c r="A454" t="s">
        <v>36</v>
      </c>
      <c r="B454">
        <v>2004</v>
      </c>
      <c r="C454" t="s">
        <v>76</v>
      </c>
      <c r="D454">
        <v>0</v>
      </c>
    </row>
    <row r="455" spans="1:4" x14ac:dyDescent="0.45">
      <c r="A455" t="s">
        <v>56</v>
      </c>
      <c r="B455">
        <v>2004</v>
      </c>
      <c r="C455" t="s">
        <v>76</v>
      </c>
      <c r="D455">
        <v>0.13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0.01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3.8</v>
      </c>
    </row>
    <row r="463" spans="1:4" x14ac:dyDescent="0.45">
      <c r="A463" t="s">
        <v>36</v>
      </c>
      <c r="B463">
        <v>2005</v>
      </c>
      <c r="C463" t="s">
        <v>76</v>
      </c>
      <c r="D463">
        <v>0</v>
      </c>
    </row>
    <row r="464" spans="1:4" x14ac:dyDescent="0.45">
      <c r="A464" t="s">
        <v>56</v>
      </c>
      <c r="B464">
        <v>2005</v>
      </c>
      <c r="C464" t="s">
        <v>76</v>
      </c>
      <c r="D464">
        <v>0.12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0.01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0.02</v>
      </c>
    </row>
    <row r="471" spans="1:4" x14ac:dyDescent="0.45">
      <c r="A471" t="s">
        <v>34</v>
      </c>
      <c r="B471">
        <v>2006</v>
      </c>
      <c r="C471" t="s">
        <v>76</v>
      </c>
      <c r="D471">
        <v>2.17</v>
      </c>
    </row>
    <row r="472" spans="1:4" x14ac:dyDescent="0.45">
      <c r="A472" t="s">
        <v>36</v>
      </c>
      <c r="B472">
        <v>2006</v>
      </c>
      <c r="C472" t="s">
        <v>76</v>
      </c>
      <c r="D472">
        <v>0</v>
      </c>
    </row>
    <row r="473" spans="1:4" x14ac:dyDescent="0.45">
      <c r="A473" t="s">
        <v>56</v>
      </c>
      <c r="B473">
        <v>2006</v>
      </c>
      <c r="C473" t="s">
        <v>76</v>
      </c>
      <c r="D473">
        <v>0.13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0.03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0.01</v>
      </c>
    </row>
    <row r="480" spans="1:4" x14ac:dyDescent="0.45">
      <c r="A480" t="s">
        <v>34</v>
      </c>
      <c r="B480">
        <v>2007</v>
      </c>
      <c r="C480" t="s">
        <v>76</v>
      </c>
      <c r="D480">
        <v>1.83</v>
      </c>
    </row>
    <row r="481" spans="1:4" x14ac:dyDescent="0.45">
      <c r="A481" t="s">
        <v>36</v>
      </c>
      <c r="B481">
        <v>2007</v>
      </c>
      <c r="C481" t="s">
        <v>76</v>
      </c>
      <c r="D481">
        <v>0</v>
      </c>
    </row>
    <row r="482" spans="1:4" x14ac:dyDescent="0.45">
      <c r="A482" t="s">
        <v>56</v>
      </c>
      <c r="B482">
        <v>2007</v>
      </c>
      <c r="C482" t="s">
        <v>76</v>
      </c>
      <c r="D482">
        <v>0.13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0.02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0.02</v>
      </c>
    </row>
    <row r="489" spans="1:4" x14ac:dyDescent="0.45">
      <c r="A489" t="s">
        <v>34</v>
      </c>
      <c r="B489">
        <v>2008</v>
      </c>
      <c r="C489" t="s">
        <v>76</v>
      </c>
      <c r="D489">
        <v>1.55</v>
      </c>
    </row>
    <row r="490" spans="1:4" x14ac:dyDescent="0.45">
      <c r="A490" t="s">
        <v>36</v>
      </c>
      <c r="B490">
        <v>2008</v>
      </c>
      <c r="C490" t="s">
        <v>76</v>
      </c>
      <c r="D490">
        <v>0</v>
      </c>
    </row>
    <row r="491" spans="1:4" x14ac:dyDescent="0.45">
      <c r="A491" t="s">
        <v>56</v>
      </c>
      <c r="B491">
        <v>2008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0.02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0.01</v>
      </c>
    </row>
    <row r="498" spans="1:4" x14ac:dyDescent="0.45">
      <c r="A498" t="s">
        <v>34</v>
      </c>
      <c r="B498">
        <v>2009</v>
      </c>
      <c r="C498" t="s">
        <v>76</v>
      </c>
      <c r="D498">
        <v>1.5</v>
      </c>
    </row>
    <row r="499" spans="1:4" x14ac:dyDescent="0.45">
      <c r="A499" t="s">
        <v>36</v>
      </c>
      <c r="B499">
        <v>2009</v>
      </c>
      <c r="C499" t="s">
        <v>76</v>
      </c>
      <c r="D499">
        <v>0</v>
      </c>
    </row>
    <row r="500" spans="1:4" x14ac:dyDescent="0.45">
      <c r="A500" t="s">
        <v>56</v>
      </c>
      <c r="B500">
        <v>2009</v>
      </c>
      <c r="C500" t="s">
        <v>76</v>
      </c>
      <c r="D500">
        <v>0.13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0.01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0.02</v>
      </c>
    </row>
    <row r="507" spans="1:4" x14ac:dyDescent="0.45">
      <c r="A507" t="s">
        <v>34</v>
      </c>
      <c r="B507">
        <v>2010</v>
      </c>
      <c r="C507" t="s">
        <v>76</v>
      </c>
      <c r="D507">
        <v>2.36</v>
      </c>
    </row>
    <row r="508" spans="1:4" x14ac:dyDescent="0.45">
      <c r="A508" t="s">
        <v>36</v>
      </c>
      <c r="B508">
        <v>2010</v>
      </c>
      <c r="C508" t="s">
        <v>76</v>
      </c>
      <c r="D508">
        <v>0</v>
      </c>
    </row>
    <row r="509" spans="1:4" x14ac:dyDescent="0.45">
      <c r="A509" t="s">
        <v>56</v>
      </c>
      <c r="B509">
        <v>2010</v>
      </c>
      <c r="C509" t="s">
        <v>76</v>
      </c>
      <c r="D509">
        <v>0.14000000000000001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0.01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0.02</v>
      </c>
    </row>
    <row r="516" spans="1:4" x14ac:dyDescent="0.45">
      <c r="A516" t="s">
        <v>34</v>
      </c>
      <c r="B516">
        <v>2011</v>
      </c>
      <c r="C516" t="s">
        <v>76</v>
      </c>
      <c r="D516">
        <v>3.29</v>
      </c>
    </row>
    <row r="517" spans="1:4" x14ac:dyDescent="0.45">
      <c r="A517" t="s">
        <v>36</v>
      </c>
      <c r="B517">
        <v>2011</v>
      </c>
      <c r="C517" t="s">
        <v>76</v>
      </c>
      <c r="D517">
        <v>0</v>
      </c>
    </row>
    <row r="518" spans="1:4" x14ac:dyDescent="0.45">
      <c r="A518" t="s">
        <v>56</v>
      </c>
      <c r="B518">
        <v>2011</v>
      </c>
      <c r="C518" t="s">
        <v>76</v>
      </c>
      <c r="D518">
        <v>0.12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0.03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0.03</v>
      </c>
    </row>
    <row r="525" spans="1:4" x14ac:dyDescent="0.45">
      <c r="A525" t="s">
        <v>34</v>
      </c>
      <c r="B525">
        <v>2012</v>
      </c>
      <c r="C525" t="s">
        <v>76</v>
      </c>
      <c r="D525">
        <v>3.08</v>
      </c>
    </row>
    <row r="526" spans="1:4" x14ac:dyDescent="0.45">
      <c r="A526" t="s">
        <v>36</v>
      </c>
      <c r="B526">
        <v>2012</v>
      </c>
      <c r="C526" t="s">
        <v>76</v>
      </c>
      <c r="D526">
        <v>0</v>
      </c>
    </row>
    <row r="527" spans="1:4" x14ac:dyDescent="0.45">
      <c r="A527" t="s">
        <v>56</v>
      </c>
      <c r="B527">
        <v>2012</v>
      </c>
      <c r="C527" t="s">
        <v>76</v>
      </c>
      <c r="D527">
        <v>0.13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0.03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0.03</v>
      </c>
    </row>
    <row r="534" spans="1:4" x14ac:dyDescent="0.45">
      <c r="A534" t="s">
        <v>34</v>
      </c>
      <c r="B534">
        <v>2013</v>
      </c>
      <c r="C534" t="s">
        <v>76</v>
      </c>
      <c r="D534">
        <v>3.73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0.12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0.04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3.77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0.13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0.01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0.01</v>
      </c>
    </row>
    <row r="552" spans="1:4" x14ac:dyDescent="0.45">
      <c r="A552" t="s">
        <v>34</v>
      </c>
      <c r="B552">
        <v>2015</v>
      </c>
      <c r="C552" t="s">
        <v>76</v>
      </c>
      <c r="D552">
        <v>3.89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0.12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0.01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0.05</v>
      </c>
    </row>
    <row r="561" spans="1:4" x14ac:dyDescent="0.45">
      <c r="A561" t="s">
        <v>34</v>
      </c>
      <c r="B561">
        <v>2016</v>
      </c>
      <c r="C561" t="s">
        <v>76</v>
      </c>
      <c r="D561">
        <v>3.35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7.0000000000000007E-2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0.03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0.03</v>
      </c>
    </row>
    <row r="570" spans="1:4" x14ac:dyDescent="0.45">
      <c r="A570" t="s">
        <v>34</v>
      </c>
      <c r="B570">
        <v>2017</v>
      </c>
      <c r="C570" t="s">
        <v>76</v>
      </c>
      <c r="D570">
        <v>2.9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0.09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0.03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0.04</v>
      </c>
    </row>
    <row r="579" spans="1:4" x14ac:dyDescent="0.45">
      <c r="A579" t="s">
        <v>34</v>
      </c>
      <c r="B579">
        <v>2018</v>
      </c>
      <c r="C579" t="s">
        <v>76</v>
      </c>
      <c r="D579">
        <v>3.54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0.12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0.04</v>
      </c>
    </row>
    <row r="588" spans="1:4" x14ac:dyDescent="0.45">
      <c r="A588" t="s">
        <v>34</v>
      </c>
      <c r="B588">
        <v>2019</v>
      </c>
      <c r="C588" t="s">
        <v>76</v>
      </c>
      <c r="D588">
        <v>3.47</v>
      </c>
    </row>
    <row r="589" spans="1:4" x14ac:dyDescent="0.45">
      <c r="A589" t="s">
        <v>36</v>
      </c>
      <c r="B589">
        <v>2019</v>
      </c>
      <c r="C589" t="s">
        <v>76</v>
      </c>
      <c r="D589">
        <v>0</v>
      </c>
    </row>
    <row r="590" spans="1:4" x14ac:dyDescent="0.45">
      <c r="A590" t="s">
        <v>56</v>
      </c>
      <c r="B590">
        <v>2019</v>
      </c>
      <c r="C590" t="s">
        <v>76</v>
      </c>
      <c r="D590">
        <v>0.1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0.03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0.02</v>
      </c>
    </row>
    <row r="597" spans="1:4" x14ac:dyDescent="0.45">
      <c r="A597" t="s">
        <v>34</v>
      </c>
      <c r="B597">
        <v>2020</v>
      </c>
      <c r="C597" t="s">
        <v>76</v>
      </c>
      <c r="D597">
        <v>2.35</v>
      </c>
    </row>
    <row r="598" spans="1:4" x14ac:dyDescent="0.45">
      <c r="A598" t="s">
        <v>36</v>
      </c>
      <c r="B598">
        <v>2020</v>
      </c>
      <c r="C598" t="s">
        <v>76</v>
      </c>
      <c r="D598">
        <v>0</v>
      </c>
    </row>
    <row r="599" spans="1:4" x14ac:dyDescent="0.45">
      <c r="A599" t="s">
        <v>56</v>
      </c>
      <c r="B599">
        <v>2020</v>
      </c>
      <c r="C599" t="s">
        <v>76</v>
      </c>
      <c r="D599">
        <v>0.09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0.03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2.15</v>
      </c>
    </row>
    <row r="607" spans="1:4" x14ac:dyDescent="0.45">
      <c r="A607" t="s">
        <v>36</v>
      </c>
      <c r="B607">
        <v>2021</v>
      </c>
      <c r="C607" t="s">
        <v>76</v>
      </c>
      <c r="D607">
        <v>0</v>
      </c>
    </row>
    <row r="608" spans="1:4" x14ac:dyDescent="0.45">
      <c r="A608" t="s">
        <v>56</v>
      </c>
      <c r="B608">
        <v>2021</v>
      </c>
      <c r="C608" t="s">
        <v>76</v>
      </c>
      <c r="D608">
        <v>0.14000000000000001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0.02</v>
      </c>
    </row>
    <row r="615" spans="1:4" x14ac:dyDescent="0.45">
      <c r="A615" t="s">
        <v>34</v>
      </c>
      <c r="B615">
        <v>2022</v>
      </c>
      <c r="C615" t="s">
        <v>76</v>
      </c>
      <c r="D615">
        <v>2.5</v>
      </c>
    </row>
    <row r="616" spans="1:4" x14ac:dyDescent="0.45">
      <c r="A616" t="s">
        <v>36</v>
      </c>
      <c r="B616">
        <v>2022</v>
      </c>
      <c r="C616" t="s">
        <v>76</v>
      </c>
      <c r="D616">
        <v>0</v>
      </c>
    </row>
    <row r="617" spans="1:4" x14ac:dyDescent="0.45">
      <c r="A617" t="s">
        <v>56</v>
      </c>
      <c r="B617">
        <v>2022</v>
      </c>
      <c r="C617" t="s">
        <v>76</v>
      </c>
      <c r="D617">
        <v>0.14000000000000001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</row>
    <row r="624" spans="1:4" x14ac:dyDescent="0.45">
      <c r="A624" t="s">
        <v>60</v>
      </c>
      <c r="B624">
        <v>2000</v>
      </c>
      <c r="C624" t="s">
        <v>74</v>
      </c>
      <c r="D624">
        <v>5.0999999999999996</v>
      </c>
    </row>
    <row r="625" spans="1:4" x14ac:dyDescent="0.45">
      <c r="A625" t="s">
        <v>59</v>
      </c>
      <c r="B625">
        <v>2001</v>
      </c>
      <c r="C625" t="s">
        <v>74</v>
      </c>
    </row>
    <row r="626" spans="1:4" x14ac:dyDescent="0.45">
      <c r="A626" t="s">
        <v>60</v>
      </c>
      <c r="B626">
        <v>2001</v>
      </c>
      <c r="C626" t="s">
        <v>74</v>
      </c>
      <c r="D626">
        <v>4.0999999999999996</v>
      </c>
    </row>
    <row r="627" spans="1:4" x14ac:dyDescent="0.45">
      <c r="A627" t="s">
        <v>59</v>
      </c>
      <c r="B627">
        <v>2002</v>
      </c>
      <c r="C627" t="s">
        <v>74</v>
      </c>
    </row>
    <row r="628" spans="1:4" x14ac:dyDescent="0.45">
      <c r="A628" t="s">
        <v>60</v>
      </c>
      <c r="B628">
        <v>2002</v>
      </c>
      <c r="C628" t="s">
        <v>74</v>
      </c>
      <c r="D628">
        <v>4</v>
      </c>
    </row>
    <row r="629" spans="1:4" x14ac:dyDescent="0.45">
      <c r="A629" t="s">
        <v>59</v>
      </c>
      <c r="B629">
        <v>2003</v>
      </c>
      <c r="C629" t="s">
        <v>74</v>
      </c>
    </row>
    <row r="630" spans="1:4" x14ac:dyDescent="0.45">
      <c r="A630" t="s">
        <v>60</v>
      </c>
      <c r="B630">
        <v>2003</v>
      </c>
      <c r="C630" t="s">
        <v>74</v>
      </c>
      <c r="D630">
        <v>3.2</v>
      </c>
    </row>
    <row r="631" spans="1:4" x14ac:dyDescent="0.45">
      <c r="A631" t="s">
        <v>59</v>
      </c>
      <c r="B631">
        <v>2004</v>
      </c>
      <c r="C631" t="s">
        <v>74</v>
      </c>
    </row>
    <row r="632" spans="1:4" x14ac:dyDescent="0.45">
      <c r="A632" t="s">
        <v>60</v>
      </c>
      <c r="B632">
        <v>2004</v>
      </c>
      <c r="C632" t="s">
        <v>74</v>
      </c>
      <c r="D632">
        <v>2</v>
      </c>
    </row>
    <row r="633" spans="1:4" x14ac:dyDescent="0.45">
      <c r="A633" t="s">
        <v>59</v>
      </c>
      <c r="B633">
        <v>2005</v>
      </c>
      <c r="C633" t="s">
        <v>74</v>
      </c>
      <c r="D633">
        <v>0</v>
      </c>
    </row>
    <row r="634" spans="1:4" x14ac:dyDescent="0.45">
      <c r="A634" t="s">
        <v>60</v>
      </c>
      <c r="B634">
        <v>2005</v>
      </c>
      <c r="C634" t="s">
        <v>74</v>
      </c>
      <c r="D634">
        <v>3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4.2</v>
      </c>
    </row>
    <row r="637" spans="1:4" x14ac:dyDescent="0.45">
      <c r="A637" t="s">
        <v>59</v>
      </c>
      <c r="B637">
        <v>2007</v>
      </c>
      <c r="C637" t="s">
        <v>74</v>
      </c>
      <c r="D637">
        <v>0</v>
      </c>
    </row>
    <row r="638" spans="1:4" x14ac:dyDescent="0.45">
      <c r="A638" t="s">
        <v>60</v>
      </c>
      <c r="B638">
        <v>2007</v>
      </c>
      <c r="C638" t="s">
        <v>74</v>
      </c>
      <c r="D638">
        <v>3</v>
      </c>
    </row>
    <row r="639" spans="1:4" x14ac:dyDescent="0.45">
      <c r="A639" t="s">
        <v>59</v>
      </c>
      <c r="B639">
        <v>2008</v>
      </c>
      <c r="C639" t="s">
        <v>74</v>
      </c>
      <c r="D639">
        <v>0.6</v>
      </c>
    </row>
    <row r="640" spans="1:4" x14ac:dyDescent="0.45">
      <c r="A640" t="s">
        <v>60</v>
      </c>
      <c r="B640">
        <v>2008</v>
      </c>
      <c r="C640" t="s">
        <v>74</v>
      </c>
      <c r="D640">
        <v>1.7</v>
      </c>
    </row>
    <row r="641" spans="1:4" x14ac:dyDescent="0.45">
      <c r="A641" t="s">
        <v>59</v>
      </c>
      <c r="B641">
        <v>2009</v>
      </c>
      <c r="C641" t="s">
        <v>74</v>
      </c>
      <c r="D641">
        <v>0.9</v>
      </c>
    </row>
    <row r="642" spans="1:4" x14ac:dyDescent="0.45">
      <c r="A642" t="s">
        <v>60</v>
      </c>
      <c r="B642">
        <v>2009</v>
      </c>
      <c r="C642" t="s">
        <v>74</v>
      </c>
      <c r="D642">
        <v>2.2000000000000002</v>
      </c>
    </row>
    <row r="643" spans="1:4" x14ac:dyDescent="0.45">
      <c r="A643" t="s">
        <v>59</v>
      </c>
      <c r="B643">
        <v>2010</v>
      </c>
      <c r="C643" t="s">
        <v>74</v>
      </c>
      <c r="D643">
        <v>1</v>
      </c>
    </row>
    <row r="644" spans="1:4" x14ac:dyDescent="0.45">
      <c r="A644" t="s">
        <v>60</v>
      </c>
      <c r="B644">
        <v>2010</v>
      </c>
      <c r="C644" t="s">
        <v>74</v>
      </c>
      <c r="D644">
        <v>1.7</v>
      </c>
    </row>
    <row r="645" spans="1:4" x14ac:dyDescent="0.45">
      <c r="A645" t="s">
        <v>59</v>
      </c>
      <c r="B645">
        <v>2011</v>
      </c>
      <c r="C645" t="s">
        <v>74</v>
      </c>
      <c r="D645">
        <v>1</v>
      </c>
    </row>
    <row r="646" spans="1:4" x14ac:dyDescent="0.45">
      <c r="A646" t="s">
        <v>60</v>
      </c>
      <c r="B646">
        <v>2011</v>
      </c>
      <c r="C646" t="s">
        <v>74</v>
      </c>
      <c r="D646">
        <v>1.6</v>
      </c>
    </row>
    <row r="647" spans="1:4" x14ac:dyDescent="0.45">
      <c r="A647" t="s">
        <v>59</v>
      </c>
      <c r="B647">
        <v>2012</v>
      </c>
      <c r="C647" t="s">
        <v>74</v>
      </c>
      <c r="D647">
        <v>0.7</v>
      </c>
    </row>
    <row r="648" spans="1:4" x14ac:dyDescent="0.45">
      <c r="A648" t="s">
        <v>60</v>
      </c>
      <c r="B648">
        <v>2012</v>
      </c>
      <c r="C648" t="s">
        <v>74</v>
      </c>
      <c r="D648">
        <v>1.1000000000000001</v>
      </c>
    </row>
    <row r="649" spans="1:4" x14ac:dyDescent="0.45">
      <c r="A649" t="s">
        <v>59</v>
      </c>
      <c r="B649">
        <v>2013</v>
      </c>
      <c r="C649" t="s">
        <v>74</v>
      </c>
      <c r="D649">
        <v>1.2</v>
      </c>
    </row>
    <row r="650" spans="1:4" x14ac:dyDescent="0.45">
      <c r="A650" t="s">
        <v>60</v>
      </c>
      <c r="B650">
        <v>2013</v>
      </c>
      <c r="C650" t="s">
        <v>74</v>
      </c>
      <c r="D650">
        <v>1.7</v>
      </c>
    </row>
    <row r="651" spans="1:4" x14ac:dyDescent="0.45">
      <c r="A651" t="s">
        <v>59</v>
      </c>
      <c r="B651">
        <v>2014</v>
      </c>
      <c r="C651" t="s">
        <v>74</v>
      </c>
      <c r="D651">
        <v>1.2</v>
      </c>
    </row>
    <row r="652" spans="1:4" x14ac:dyDescent="0.45">
      <c r="A652" t="s">
        <v>60</v>
      </c>
      <c r="B652">
        <v>2014</v>
      </c>
      <c r="C652" t="s">
        <v>74</v>
      </c>
      <c r="D652">
        <v>1.1000000000000001</v>
      </c>
    </row>
    <row r="653" spans="1:4" x14ac:dyDescent="0.45">
      <c r="A653" t="s">
        <v>59</v>
      </c>
      <c r="B653">
        <v>2015</v>
      </c>
      <c r="C653" t="s">
        <v>74</v>
      </c>
      <c r="D653">
        <v>1.2</v>
      </c>
    </row>
    <row r="654" spans="1:4" x14ac:dyDescent="0.45">
      <c r="A654" t="s">
        <v>60</v>
      </c>
      <c r="B654">
        <v>2015</v>
      </c>
      <c r="C654" t="s">
        <v>74</v>
      </c>
      <c r="D654">
        <v>1.1000000000000001</v>
      </c>
    </row>
    <row r="655" spans="1:4" x14ac:dyDescent="0.45">
      <c r="A655" t="s">
        <v>59</v>
      </c>
      <c r="B655">
        <v>2016</v>
      </c>
      <c r="C655" t="s">
        <v>74</v>
      </c>
      <c r="D655">
        <v>0.4</v>
      </c>
    </row>
    <row r="656" spans="1:4" x14ac:dyDescent="0.45">
      <c r="A656" t="s">
        <v>60</v>
      </c>
      <c r="B656">
        <v>2016</v>
      </c>
      <c r="C656" t="s">
        <v>74</v>
      </c>
      <c r="D656">
        <v>2.2000000000000002</v>
      </c>
    </row>
    <row r="657" spans="1:4" x14ac:dyDescent="0.45">
      <c r="A657" t="s">
        <v>59</v>
      </c>
      <c r="B657">
        <v>2017</v>
      </c>
      <c r="C657" t="s">
        <v>74</v>
      </c>
      <c r="D657">
        <v>0.4</v>
      </c>
    </row>
    <row r="658" spans="1:4" x14ac:dyDescent="0.45">
      <c r="A658" t="s">
        <v>60</v>
      </c>
      <c r="B658">
        <v>2017</v>
      </c>
      <c r="C658" t="s">
        <v>74</v>
      </c>
      <c r="D658">
        <v>2.6</v>
      </c>
    </row>
    <row r="659" spans="1:4" x14ac:dyDescent="0.45">
      <c r="A659" t="s">
        <v>59</v>
      </c>
      <c r="B659">
        <v>2018</v>
      </c>
      <c r="C659" t="s">
        <v>74</v>
      </c>
      <c r="D659">
        <v>0.2</v>
      </c>
    </row>
    <row r="660" spans="1:4" x14ac:dyDescent="0.45">
      <c r="A660" t="s">
        <v>60</v>
      </c>
      <c r="B660">
        <v>2018</v>
      </c>
      <c r="C660" t="s">
        <v>74</v>
      </c>
      <c r="D660">
        <v>1.2</v>
      </c>
    </row>
    <row r="661" spans="1:4" x14ac:dyDescent="0.45">
      <c r="A661" t="s">
        <v>59</v>
      </c>
      <c r="B661">
        <v>2019</v>
      </c>
      <c r="C661" t="s">
        <v>74</v>
      </c>
      <c r="D661">
        <v>0.5</v>
      </c>
    </row>
    <row r="662" spans="1:4" x14ac:dyDescent="0.45">
      <c r="A662" t="s">
        <v>60</v>
      </c>
      <c r="B662">
        <v>2019</v>
      </c>
      <c r="C662" t="s">
        <v>74</v>
      </c>
      <c r="D662">
        <v>1.6</v>
      </c>
    </row>
    <row r="663" spans="1:4" x14ac:dyDescent="0.45">
      <c r="A663" t="s">
        <v>59</v>
      </c>
      <c r="B663">
        <v>2020</v>
      </c>
      <c r="C663" t="s">
        <v>74</v>
      </c>
      <c r="D663">
        <v>0.4</v>
      </c>
    </row>
    <row r="664" spans="1:4" x14ac:dyDescent="0.45">
      <c r="A664" t="s">
        <v>60</v>
      </c>
      <c r="B664">
        <v>2020</v>
      </c>
      <c r="C664" t="s">
        <v>74</v>
      </c>
      <c r="D664">
        <v>2.2999999999999998</v>
      </c>
    </row>
    <row r="665" spans="1:4" x14ac:dyDescent="0.45">
      <c r="A665" t="s">
        <v>59</v>
      </c>
      <c r="B665">
        <v>2021</v>
      </c>
      <c r="C665" t="s">
        <v>74</v>
      </c>
      <c r="D665">
        <v>0.5</v>
      </c>
    </row>
    <row r="666" spans="1:4" x14ac:dyDescent="0.45">
      <c r="A666" t="s">
        <v>60</v>
      </c>
      <c r="B666">
        <v>2021</v>
      </c>
      <c r="C666" t="s">
        <v>74</v>
      </c>
      <c r="D666">
        <v>2.2000000000000002</v>
      </c>
    </row>
    <row r="667" spans="1:4" x14ac:dyDescent="0.45">
      <c r="A667" t="s">
        <v>59</v>
      </c>
      <c r="B667">
        <v>2022</v>
      </c>
      <c r="C667" t="s">
        <v>74</v>
      </c>
      <c r="D667">
        <v>0.4</v>
      </c>
    </row>
    <row r="668" spans="1:4" x14ac:dyDescent="0.45">
      <c r="A668" t="s">
        <v>60</v>
      </c>
      <c r="B668">
        <v>2022</v>
      </c>
      <c r="C668" t="s">
        <v>74</v>
      </c>
      <c r="D668">
        <v>2.2999999999999998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1.8987999999999998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1.9458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0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1.9645999999999999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1.9176000000000002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2.0116000000000001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5.5000000000000005E-3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1.9176000000000002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0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1.8894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0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2.8576000000000001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0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2.6978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5.5000000000000005E-3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2.7165999999999997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5.5000000000000005E-3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2.7729999999999997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2.9327999999999999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1.6499999999999997E-2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2.867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5.5000000000000005E-3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2.8388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5.5000000000000005E-3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5.5000000000000005E-3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3.2618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1.1000000000000001E-2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3.2993999999999999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5.5000000000000005E-3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3.2523999999999997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5.5000000000000005E-3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3.2999999999999995E-2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3.2430000000000003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5.5000000000000005E-3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5.5000000000000005E-3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5.5000000000000005E-3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4.3146000000000004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1.6499999999999997E-2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5.5000000000000005E-3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5.5000000000000005E-3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2.75E-2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1.5416000000000001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5.5000000000000005E-3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5.5000000000000005E-3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5.5000000000000005E-3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4.5965999999999996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2.2000000000000002E-2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5.5000000000000005E-3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0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5.5000000000000005E-3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3.85E-2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0.16919999999999999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1.6499999999999997E-2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5.5000000000000005E-3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1.6499999999999997E-2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5.9501999999999997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4.4000000000000004E-2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1.6499999999999997E-2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1.6499999999999997E-2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7.1499999999999994E-2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9.4000000000000004E-3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3.2999999999999995E-2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5.5000000000000005E-3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3.85E-2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7.3225999999999996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7.6999999999999999E-2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2.75E-2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3.85E-2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0.1265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6.0500000000000005E-2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5.5000000000000005E-3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3.1399999999999997E-2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1.205E-2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3.1299999999999994E-2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9.69E-2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5.45E-3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8.6999999999999994E-3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0.27290000000000003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1.0200000000000001E-2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0.57420000000000004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0.34320000000000001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5.6550000000000003E-2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2.6150000000000003E-2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1.0264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5.6999999999999995E-2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2.5979000000000001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0.61419999999999997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0.72924999999999995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0.1082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2.5090000000000003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0.15905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6.9187499999999993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0.92725000000000002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1.6554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0.1222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5.0326500000000003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0.153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14.284050000000001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1.1212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1.86355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9.2200000000000004E-2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8.0463000000000005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0.21920000000000001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20.33165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8.7266999999999992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1.9355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5.7800000000000004E-2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11.421299999999999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1.093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20.947050000000001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8.2204999999999995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1.5802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4.5199999999999997E-2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9.9694500000000001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0.86955000000000005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19.132550000000002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0.9214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1.2812000000000001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3.5200000000000002E-2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8.4721000000000011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0.69245000000000001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17.4054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3.3387500000000001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0.97960000000000003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2.8249999999999997E-2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7.0677500000000002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0.51334999999999997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14.96505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0.51649999999999996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0.7157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2.0649999999999998E-2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5.9190500000000004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0.36829999999999996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12.9206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0.33699999999999997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1.7594999999999998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1.115E-2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5.2590000000000003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0.21639999999999998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10.987550000000001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0.19284999999999999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0.85444999999999993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4.4215499999999999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5.16E-2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7.5101999999999993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9.9000000000000005E-2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0.96640000000000004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4.1811000000000007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2.1650000000000003E-2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3.1690499999999999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1.6199999999999999E-2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1.25E-3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4.0674000000000001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1.6875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1.315E-2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1.7000000000000001E-2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2020</v>
      </c>
      <c r="J270">
        <v>0</v>
      </c>
      <c r="K270" t="s">
        <v>27</v>
      </c>
    </row>
    <row r="271" spans="1:11" x14ac:dyDescent="0.45">
      <c r="A271" t="s">
        <v>90</v>
      </c>
      <c r="B271" t="s">
        <v>3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2020</v>
      </c>
      <c r="J271">
        <v>1E-4</v>
      </c>
      <c r="K271" t="s">
        <v>85</v>
      </c>
    </row>
    <row r="272" spans="1:11" x14ac:dyDescent="0.45">
      <c r="A272" t="s">
        <v>90</v>
      </c>
      <c r="B272" t="s">
        <v>4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1.3299999999999999E-2</v>
      </c>
      <c r="K272" t="s">
        <v>24</v>
      </c>
    </row>
    <row r="273" spans="1:11" x14ac:dyDescent="0.45">
      <c r="A273" t="s">
        <v>90</v>
      </c>
      <c r="B273" t="s">
        <v>4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1.7649999999999999E-2</v>
      </c>
      <c r="K273" t="s">
        <v>28</v>
      </c>
    </row>
    <row r="274" spans="1:11" x14ac:dyDescent="0.45">
      <c r="A274" t="s">
        <v>90</v>
      </c>
      <c r="B274" t="s">
        <v>4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2020</v>
      </c>
      <c r="J274">
        <v>0</v>
      </c>
      <c r="K274" t="s">
        <v>27</v>
      </c>
    </row>
    <row r="275" spans="1:11" x14ac:dyDescent="0.45">
      <c r="A275" t="s">
        <v>90</v>
      </c>
      <c r="B275" t="s">
        <v>4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2020</v>
      </c>
      <c r="J275">
        <v>1E-4</v>
      </c>
      <c r="K275" t="s">
        <v>85</v>
      </c>
    </row>
    <row r="276" spans="1:11" x14ac:dyDescent="0.45">
      <c r="A276" t="s">
        <v>90</v>
      </c>
      <c r="B276" t="s">
        <v>0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2020</v>
      </c>
      <c r="J276">
        <v>1.345E-2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1.745E-2</v>
      </c>
      <c r="K277" t="s">
        <v>28</v>
      </c>
    </row>
    <row r="278" spans="1:11" x14ac:dyDescent="0.45">
      <c r="A278" t="s">
        <v>90</v>
      </c>
      <c r="B278" t="s">
        <v>0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2020</v>
      </c>
      <c r="J278">
        <v>0</v>
      </c>
      <c r="K278" t="s">
        <v>27</v>
      </c>
    </row>
    <row r="279" spans="1:11" x14ac:dyDescent="0.45">
      <c r="A279" t="s">
        <v>90</v>
      </c>
      <c r="B279" t="s">
        <v>0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2020</v>
      </c>
      <c r="J279">
        <v>1E-4</v>
      </c>
      <c r="K279" t="s">
        <v>85</v>
      </c>
    </row>
    <row r="280" spans="1:11" x14ac:dyDescent="0.45">
      <c r="A280" t="s">
        <v>90</v>
      </c>
      <c r="B280" t="s">
        <v>6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2020</v>
      </c>
      <c r="J280">
        <v>1.3250000000000001E-2</v>
      </c>
      <c r="K280" t="s">
        <v>24</v>
      </c>
    </row>
    <row r="281" spans="1:11" x14ac:dyDescent="0.45">
      <c r="A281" t="s">
        <v>90</v>
      </c>
      <c r="B281" t="s">
        <v>6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1.7000000000000001E-2</v>
      </c>
      <c r="K281" t="s">
        <v>28</v>
      </c>
    </row>
    <row r="282" spans="1:11" x14ac:dyDescent="0.45">
      <c r="A282" t="s">
        <v>90</v>
      </c>
      <c r="B282" t="s">
        <v>6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0</v>
      </c>
      <c r="K282" t="s">
        <v>27</v>
      </c>
    </row>
    <row r="283" spans="1:11" x14ac:dyDescent="0.45">
      <c r="A283" t="s">
        <v>90</v>
      </c>
      <c r="B283" t="s">
        <v>6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2020</v>
      </c>
      <c r="J283">
        <v>1E-4</v>
      </c>
      <c r="K283" t="s">
        <v>85</v>
      </c>
    </row>
    <row r="284" spans="1:11" x14ac:dyDescent="0.45">
      <c r="A284" t="s">
        <v>90</v>
      </c>
      <c r="B284" t="s">
        <v>5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2020</v>
      </c>
      <c r="J284">
        <v>1.225E-2</v>
      </c>
      <c r="K284" t="s">
        <v>24</v>
      </c>
    </row>
    <row r="285" spans="1:11" x14ac:dyDescent="0.45">
      <c r="A285" t="s">
        <v>90</v>
      </c>
      <c r="B285" t="s">
        <v>5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1.6750000000000001E-2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0</v>
      </c>
      <c r="K286" t="s">
        <v>27</v>
      </c>
    </row>
    <row r="287" spans="1:11" x14ac:dyDescent="0.45">
      <c r="A287" t="s">
        <v>90</v>
      </c>
      <c r="B287" t="s">
        <v>5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2020</v>
      </c>
      <c r="J287">
        <v>1E-4</v>
      </c>
      <c r="K287" t="s">
        <v>85</v>
      </c>
    </row>
    <row r="288" spans="1:11" x14ac:dyDescent="0.45">
      <c r="A288" t="s">
        <v>90</v>
      </c>
      <c r="B288" t="s">
        <v>2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2020</v>
      </c>
      <c r="J288">
        <v>1.32E-2</v>
      </c>
      <c r="K288" t="s">
        <v>24</v>
      </c>
    </row>
    <row r="289" spans="1:11" x14ac:dyDescent="0.45">
      <c r="A289" t="s">
        <v>90</v>
      </c>
      <c r="B289" t="s">
        <v>2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2020</v>
      </c>
      <c r="J289">
        <v>1.6899999999999998E-2</v>
      </c>
      <c r="K289" t="s">
        <v>28</v>
      </c>
    </row>
    <row r="290" spans="1:11" x14ac:dyDescent="0.45">
      <c r="A290" t="s">
        <v>90</v>
      </c>
      <c r="B290" t="s">
        <v>2</v>
      </c>
      <c r="C290" t="s">
        <v>84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2020</v>
      </c>
      <c r="J290">
        <v>0</v>
      </c>
      <c r="K290" t="s">
        <v>27</v>
      </c>
    </row>
    <row r="291" spans="1:11" x14ac:dyDescent="0.45">
      <c r="A291" t="s">
        <v>90</v>
      </c>
      <c r="B291" t="s">
        <v>2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1E-4</v>
      </c>
      <c r="K291" t="s">
        <v>85</v>
      </c>
    </row>
    <row r="292" spans="1:11" x14ac:dyDescent="0.45">
      <c r="A292" t="s">
        <v>90</v>
      </c>
      <c r="B292" t="s">
        <v>1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2020</v>
      </c>
      <c r="J292">
        <v>1.2799999999999999E-2</v>
      </c>
      <c r="K292" t="s">
        <v>24</v>
      </c>
    </row>
    <row r="293" spans="1:11" x14ac:dyDescent="0.45">
      <c r="A293" t="s">
        <v>90</v>
      </c>
      <c r="B293" t="s">
        <v>1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2020</v>
      </c>
      <c r="J293">
        <v>1.6449999999999999E-2</v>
      </c>
      <c r="K293" t="s">
        <v>28</v>
      </c>
    </row>
    <row r="294" spans="1:11" x14ac:dyDescent="0.45">
      <c r="A294" t="s">
        <v>90</v>
      </c>
      <c r="B294" t="s">
        <v>1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2020</v>
      </c>
      <c r="J294">
        <v>0</v>
      </c>
      <c r="K294" t="s">
        <v>27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1E-4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1.555E-2</v>
      </c>
      <c r="K296" t="s">
        <v>24</v>
      </c>
    </row>
    <row r="297" spans="1:11" x14ac:dyDescent="0.45">
      <c r="A297" t="s">
        <v>90</v>
      </c>
      <c r="B297" t="s">
        <v>3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2025</v>
      </c>
      <c r="J297">
        <v>2.0150000000000001E-2</v>
      </c>
      <c r="K297" t="s">
        <v>28</v>
      </c>
    </row>
    <row r="298" spans="1:11" x14ac:dyDescent="0.45">
      <c r="A298" t="s">
        <v>90</v>
      </c>
      <c r="B298" t="s">
        <v>3</v>
      </c>
      <c r="C298" t="s">
        <v>84</v>
      </c>
      <c r="D298" t="s">
        <v>27</v>
      </c>
      <c r="E298" t="s">
        <v>25</v>
      </c>
      <c r="F298" t="s">
        <v>27</v>
      </c>
      <c r="G298" t="s">
        <v>26</v>
      </c>
      <c r="H298" t="s">
        <v>10</v>
      </c>
      <c r="I298">
        <v>2025</v>
      </c>
      <c r="J298">
        <v>0</v>
      </c>
      <c r="K298" t="s">
        <v>27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2025</v>
      </c>
      <c r="J299">
        <v>5.9999999999999995E-4</v>
      </c>
      <c r="K299" t="s">
        <v>85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1.5949999999999999E-2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2025</v>
      </c>
      <c r="J301">
        <v>2.0549999999999999E-2</v>
      </c>
      <c r="K301" t="s">
        <v>28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2025</v>
      </c>
      <c r="J302">
        <v>0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85</v>
      </c>
      <c r="E303" t="s">
        <v>25</v>
      </c>
      <c r="F303" t="s">
        <v>85</v>
      </c>
      <c r="G303" t="s">
        <v>26</v>
      </c>
      <c r="H303" t="s">
        <v>82</v>
      </c>
      <c r="I303">
        <v>2025</v>
      </c>
      <c r="J303">
        <v>6.9999999999999999E-4</v>
      </c>
      <c r="K303" t="s">
        <v>85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1.6199999999999999E-2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2.0449999999999999E-2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2025</v>
      </c>
      <c r="J306">
        <v>0</v>
      </c>
      <c r="K306" t="s">
        <v>27</v>
      </c>
    </row>
    <row r="307" spans="1:11" x14ac:dyDescent="0.45">
      <c r="A307" t="s">
        <v>90</v>
      </c>
      <c r="B307" t="s">
        <v>0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2025</v>
      </c>
      <c r="J307">
        <v>6.9999999999999999E-4</v>
      </c>
      <c r="K307" t="s">
        <v>85</v>
      </c>
    </row>
    <row r="308" spans="1:11" x14ac:dyDescent="0.45">
      <c r="A308" t="s">
        <v>90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2025</v>
      </c>
      <c r="J308">
        <v>1.575E-2</v>
      </c>
      <c r="K308" t="s">
        <v>24</v>
      </c>
    </row>
    <row r="309" spans="1:11" x14ac:dyDescent="0.45">
      <c r="A309" t="s">
        <v>90</v>
      </c>
      <c r="B309" t="s">
        <v>6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2.0049999999999998E-2</v>
      </c>
      <c r="K309" t="s">
        <v>28</v>
      </c>
    </row>
    <row r="310" spans="1:11" x14ac:dyDescent="0.45">
      <c r="A310" t="s">
        <v>90</v>
      </c>
      <c r="B310" t="s">
        <v>6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0</v>
      </c>
      <c r="K310" t="s">
        <v>27</v>
      </c>
    </row>
    <row r="311" spans="1:11" x14ac:dyDescent="0.45">
      <c r="A311" t="s">
        <v>90</v>
      </c>
      <c r="B311" t="s">
        <v>6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2025</v>
      </c>
      <c r="J311">
        <v>6.9999999999999999E-4</v>
      </c>
      <c r="K311" t="s">
        <v>85</v>
      </c>
    </row>
    <row r="312" spans="1:11" x14ac:dyDescent="0.45">
      <c r="A312" t="s">
        <v>90</v>
      </c>
      <c r="B312" t="s">
        <v>5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2025</v>
      </c>
      <c r="J312">
        <v>1.04E-2</v>
      </c>
      <c r="K312" t="s">
        <v>24</v>
      </c>
    </row>
    <row r="313" spans="1:11" x14ac:dyDescent="0.45">
      <c r="A313" t="s">
        <v>90</v>
      </c>
      <c r="B313" t="s">
        <v>5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2025</v>
      </c>
      <c r="J313">
        <v>2.155E-2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1E-4</v>
      </c>
      <c r="K314" t="s">
        <v>27</v>
      </c>
    </row>
    <row r="315" spans="1:11" x14ac:dyDescent="0.45">
      <c r="A315" t="s">
        <v>90</v>
      </c>
      <c r="B315" t="s">
        <v>5</v>
      </c>
      <c r="C315" t="s">
        <v>84</v>
      </c>
      <c r="D315" t="s">
        <v>85</v>
      </c>
      <c r="E315" t="s">
        <v>25</v>
      </c>
      <c r="F315" t="s">
        <v>85</v>
      </c>
      <c r="G315" t="s">
        <v>26</v>
      </c>
      <c r="H315" t="s">
        <v>82</v>
      </c>
      <c r="I315">
        <v>2025</v>
      </c>
      <c r="J315">
        <v>5.9999999999999995E-4</v>
      </c>
      <c r="K315" t="s">
        <v>85</v>
      </c>
    </row>
    <row r="316" spans="1:11" x14ac:dyDescent="0.45">
      <c r="A316" t="s">
        <v>90</v>
      </c>
      <c r="B316" t="s">
        <v>2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2025</v>
      </c>
      <c r="J316">
        <v>1.575E-2</v>
      </c>
      <c r="K316" t="s">
        <v>24</v>
      </c>
    </row>
    <row r="317" spans="1:11" x14ac:dyDescent="0.45">
      <c r="A317" t="s">
        <v>90</v>
      </c>
      <c r="B317" t="s">
        <v>2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2025</v>
      </c>
      <c r="J317">
        <v>2.01E-2</v>
      </c>
      <c r="K317" t="s">
        <v>28</v>
      </c>
    </row>
    <row r="318" spans="1:11" x14ac:dyDescent="0.45">
      <c r="A318" t="s">
        <v>90</v>
      </c>
      <c r="B318" t="s">
        <v>2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</v>
      </c>
      <c r="K318" t="s">
        <v>27</v>
      </c>
    </row>
    <row r="319" spans="1:11" x14ac:dyDescent="0.45">
      <c r="A319" t="s">
        <v>90</v>
      </c>
      <c r="B319" t="s">
        <v>2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5.9999999999999995E-4</v>
      </c>
      <c r="K319" t="s">
        <v>85</v>
      </c>
    </row>
    <row r="320" spans="1:11" x14ac:dyDescent="0.45">
      <c r="A320" t="s">
        <v>90</v>
      </c>
      <c r="B320" t="s">
        <v>1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1.5099999999999999E-2</v>
      </c>
      <c r="K320" t="s">
        <v>24</v>
      </c>
    </row>
    <row r="321" spans="1:11" x14ac:dyDescent="0.45">
      <c r="A321" t="s">
        <v>90</v>
      </c>
      <c r="B321" t="s">
        <v>1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2025</v>
      </c>
      <c r="J321">
        <v>1.9699999999999999E-2</v>
      </c>
      <c r="K321" t="s">
        <v>28</v>
      </c>
    </row>
    <row r="322" spans="1:11" x14ac:dyDescent="0.45">
      <c r="A322" t="s">
        <v>90</v>
      </c>
      <c r="B322" t="s">
        <v>1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2025</v>
      </c>
      <c r="J322">
        <v>0</v>
      </c>
      <c r="K322" t="s">
        <v>27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5.0000000000000001E-4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2.1949999999999997E-2</v>
      </c>
      <c r="K324" t="s">
        <v>24</v>
      </c>
    </row>
    <row r="325" spans="1:11" x14ac:dyDescent="0.45">
      <c r="A325" t="s">
        <v>90</v>
      </c>
      <c r="B325" t="s">
        <v>3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2030</v>
      </c>
      <c r="J325">
        <v>2.1299999999999999E-2</v>
      </c>
      <c r="K325" t="s">
        <v>28</v>
      </c>
    </row>
    <row r="326" spans="1:11" x14ac:dyDescent="0.45">
      <c r="A326" t="s">
        <v>90</v>
      </c>
      <c r="B326" t="s">
        <v>3</v>
      </c>
      <c r="C326" t="s">
        <v>84</v>
      </c>
      <c r="D326" t="s">
        <v>27</v>
      </c>
      <c r="E326" t="s">
        <v>25</v>
      </c>
      <c r="F326" t="s">
        <v>27</v>
      </c>
      <c r="G326" t="s">
        <v>26</v>
      </c>
      <c r="H326" t="s">
        <v>10</v>
      </c>
      <c r="I326">
        <v>2030</v>
      </c>
      <c r="J326">
        <v>3.5E-4</v>
      </c>
      <c r="K326" t="s">
        <v>27</v>
      </c>
    </row>
    <row r="327" spans="1:11" x14ac:dyDescent="0.45">
      <c r="A327" t="s">
        <v>90</v>
      </c>
      <c r="B327" t="s">
        <v>3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2030</v>
      </c>
      <c r="J327">
        <v>1.2999999999999999E-3</v>
      </c>
      <c r="K327" t="s">
        <v>85</v>
      </c>
    </row>
    <row r="328" spans="1:11" x14ac:dyDescent="0.45">
      <c r="A328" t="s">
        <v>90</v>
      </c>
      <c r="B328" t="s">
        <v>4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2.2800000000000001E-2</v>
      </c>
      <c r="K328" t="s">
        <v>24</v>
      </c>
    </row>
    <row r="329" spans="1:11" x14ac:dyDescent="0.45">
      <c r="A329" t="s">
        <v>90</v>
      </c>
      <c r="B329" t="s">
        <v>4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2030</v>
      </c>
      <c r="J329">
        <v>2.0549999999999999E-2</v>
      </c>
      <c r="K329" t="s">
        <v>28</v>
      </c>
    </row>
    <row r="330" spans="1:11" x14ac:dyDescent="0.45">
      <c r="A330" t="s">
        <v>90</v>
      </c>
      <c r="B330" t="s">
        <v>4</v>
      </c>
      <c r="C330" t="s">
        <v>84</v>
      </c>
      <c r="D330" t="s">
        <v>27</v>
      </c>
      <c r="E330" t="s">
        <v>25</v>
      </c>
      <c r="F330" t="s">
        <v>27</v>
      </c>
      <c r="G330" t="s">
        <v>26</v>
      </c>
      <c r="H330" t="s">
        <v>10</v>
      </c>
      <c r="I330">
        <v>2030</v>
      </c>
      <c r="J330">
        <v>3.5E-4</v>
      </c>
      <c r="K330" t="s">
        <v>27</v>
      </c>
    </row>
    <row r="331" spans="1:11" x14ac:dyDescent="0.45">
      <c r="A331" t="s">
        <v>90</v>
      </c>
      <c r="B331" t="s">
        <v>4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2030</v>
      </c>
      <c r="J331">
        <v>2.8999999999999998E-3</v>
      </c>
      <c r="K331" t="s">
        <v>85</v>
      </c>
    </row>
    <row r="332" spans="1:11" x14ac:dyDescent="0.45">
      <c r="A332" t="s">
        <v>90</v>
      </c>
      <c r="B332" t="s">
        <v>0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2030</v>
      </c>
      <c r="J332">
        <v>2.3050000000000001E-2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2.07E-2</v>
      </c>
      <c r="K333" t="s">
        <v>28</v>
      </c>
    </row>
    <row r="334" spans="1:11" x14ac:dyDescent="0.45">
      <c r="A334" t="s">
        <v>90</v>
      </c>
      <c r="B334" t="s">
        <v>0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2030</v>
      </c>
      <c r="J334">
        <v>3.5E-4</v>
      </c>
      <c r="K334" t="s">
        <v>27</v>
      </c>
    </row>
    <row r="335" spans="1:11" x14ac:dyDescent="0.45">
      <c r="A335" t="s">
        <v>90</v>
      </c>
      <c r="B335" t="s">
        <v>0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2030</v>
      </c>
      <c r="J335">
        <v>2.8E-3</v>
      </c>
      <c r="K335" t="s">
        <v>85</v>
      </c>
    </row>
    <row r="336" spans="1:11" x14ac:dyDescent="0.45">
      <c r="A336" t="s">
        <v>90</v>
      </c>
      <c r="B336" t="s">
        <v>6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2030</v>
      </c>
      <c r="J336">
        <v>2.3E-2</v>
      </c>
      <c r="K336" t="s">
        <v>24</v>
      </c>
    </row>
    <row r="337" spans="1:11" x14ac:dyDescent="0.45">
      <c r="A337" t="s">
        <v>90</v>
      </c>
      <c r="B337" t="s">
        <v>6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2.01E-2</v>
      </c>
      <c r="K337" t="s">
        <v>28</v>
      </c>
    </row>
    <row r="338" spans="1:11" x14ac:dyDescent="0.45">
      <c r="A338" t="s">
        <v>90</v>
      </c>
      <c r="B338" t="s">
        <v>6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4.0000000000000002E-4</v>
      </c>
      <c r="K338" t="s">
        <v>27</v>
      </c>
    </row>
    <row r="339" spans="1:11" x14ac:dyDescent="0.45">
      <c r="A339" t="s">
        <v>90</v>
      </c>
      <c r="B339" t="s">
        <v>6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2030</v>
      </c>
      <c r="J339">
        <v>2.8E-3</v>
      </c>
      <c r="K339" t="s">
        <v>85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2030</v>
      </c>
      <c r="J340">
        <v>1.155E-2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2030</v>
      </c>
      <c r="J341">
        <v>2.325E-2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5.0000000000000001E-4</v>
      </c>
      <c r="K342" t="s">
        <v>27</v>
      </c>
    </row>
    <row r="343" spans="1:11" x14ac:dyDescent="0.45">
      <c r="A343" t="s">
        <v>90</v>
      </c>
      <c r="B343" t="s">
        <v>5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2030</v>
      </c>
      <c r="J343">
        <v>6.9999999999999999E-4</v>
      </c>
      <c r="K343" t="s">
        <v>85</v>
      </c>
    </row>
    <row r="344" spans="1:11" x14ac:dyDescent="0.45">
      <c r="A344" t="s">
        <v>90</v>
      </c>
      <c r="B344" t="s">
        <v>2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2030</v>
      </c>
      <c r="J344">
        <v>2.2249999999999999E-2</v>
      </c>
      <c r="K344" t="s">
        <v>24</v>
      </c>
    </row>
    <row r="345" spans="1:11" x14ac:dyDescent="0.45">
      <c r="A345" t="s">
        <v>90</v>
      </c>
      <c r="B345" t="s">
        <v>2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2030</v>
      </c>
      <c r="J345">
        <v>2.12E-2</v>
      </c>
      <c r="K345" t="s">
        <v>28</v>
      </c>
    </row>
    <row r="346" spans="1:11" x14ac:dyDescent="0.45">
      <c r="A346" t="s">
        <v>90</v>
      </c>
      <c r="B346" t="s">
        <v>2</v>
      </c>
      <c r="C346" t="s">
        <v>84</v>
      </c>
      <c r="D346" t="s">
        <v>27</v>
      </c>
      <c r="E346" t="s">
        <v>25</v>
      </c>
      <c r="F346" t="s">
        <v>27</v>
      </c>
      <c r="G346" t="s">
        <v>26</v>
      </c>
      <c r="H346" t="s">
        <v>10</v>
      </c>
      <c r="I346">
        <v>2030</v>
      </c>
      <c r="J346">
        <v>4.0000000000000002E-4</v>
      </c>
      <c r="K346" t="s">
        <v>27</v>
      </c>
    </row>
    <row r="347" spans="1:11" x14ac:dyDescent="0.45">
      <c r="A347" t="s">
        <v>90</v>
      </c>
      <c r="B347" t="s">
        <v>2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1.4E-3</v>
      </c>
      <c r="K347" t="s">
        <v>85</v>
      </c>
    </row>
    <row r="348" spans="1:11" x14ac:dyDescent="0.45">
      <c r="A348" t="s">
        <v>90</v>
      </c>
      <c r="B348" t="s">
        <v>1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0.02</v>
      </c>
      <c r="K348" t="s">
        <v>24</v>
      </c>
    </row>
    <row r="349" spans="1:11" x14ac:dyDescent="0.45">
      <c r="A349" t="s">
        <v>90</v>
      </c>
      <c r="B349" t="s">
        <v>1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1.9799999999999998E-2</v>
      </c>
      <c r="K349" t="s">
        <v>28</v>
      </c>
    </row>
    <row r="350" spans="1:11" x14ac:dyDescent="0.45">
      <c r="A350" t="s">
        <v>90</v>
      </c>
      <c r="B350" t="s">
        <v>1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2030</v>
      </c>
      <c r="J350">
        <v>4.0000000000000002E-4</v>
      </c>
      <c r="K350" t="s">
        <v>27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1.1999999999999999E-3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3.015E-2</v>
      </c>
      <c r="K352" t="s">
        <v>24</v>
      </c>
    </row>
    <row r="353" spans="1:11" x14ac:dyDescent="0.45">
      <c r="A353" t="s">
        <v>90</v>
      </c>
      <c r="B353" t="s">
        <v>3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2035</v>
      </c>
      <c r="J353">
        <v>2.3E-2</v>
      </c>
      <c r="K353" t="s">
        <v>28</v>
      </c>
    </row>
    <row r="354" spans="1:11" x14ac:dyDescent="0.45">
      <c r="A354" t="s">
        <v>90</v>
      </c>
      <c r="B354" t="s">
        <v>3</v>
      </c>
      <c r="C354" t="s">
        <v>84</v>
      </c>
      <c r="D354" t="s">
        <v>27</v>
      </c>
      <c r="E354" t="s">
        <v>25</v>
      </c>
      <c r="F354" t="s">
        <v>27</v>
      </c>
      <c r="G354" t="s">
        <v>26</v>
      </c>
      <c r="H354" t="s">
        <v>10</v>
      </c>
      <c r="I354">
        <v>2035</v>
      </c>
      <c r="J354">
        <v>1.2499999999999998E-3</v>
      </c>
      <c r="K354" t="s">
        <v>27</v>
      </c>
    </row>
    <row r="355" spans="1:11" x14ac:dyDescent="0.45">
      <c r="A355" t="s">
        <v>90</v>
      </c>
      <c r="B355" t="s">
        <v>3</v>
      </c>
      <c r="C355" t="s">
        <v>84</v>
      </c>
      <c r="D355" t="s">
        <v>85</v>
      </c>
      <c r="E355" t="s">
        <v>25</v>
      </c>
      <c r="F355" t="s">
        <v>85</v>
      </c>
      <c r="G355" t="s">
        <v>26</v>
      </c>
      <c r="H355" t="s">
        <v>82</v>
      </c>
      <c r="I355">
        <v>2035</v>
      </c>
      <c r="J355">
        <v>2.2500000000000003E-3</v>
      </c>
      <c r="K355" t="s">
        <v>85</v>
      </c>
    </row>
    <row r="356" spans="1:11" x14ac:dyDescent="0.45">
      <c r="A356" t="s">
        <v>90</v>
      </c>
      <c r="B356" t="s">
        <v>4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3.0450000000000001E-2</v>
      </c>
      <c r="K356" t="s">
        <v>24</v>
      </c>
    </row>
    <row r="357" spans="1:11" x14ac:dyDescent="0.45">
      <c r="A357" t="s">
        <v>90</v>
      </c>
      <c r="B357" t="s">
        <v>4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2035</v>
      </c>
      <c r="J357">
        <v>2.0299999999999999E-2</v>
      </c>
      <c r="K357" t="s">
        <v>28</v>
      </c>
    </row>
    <row r="358" spans="1:11" x14ac:dyDescent="0.45">
      <c r="A358" t="s">
        <v>90</v>
      </c>
      <c r="B358" t="s">
        <v>4</v>
      </c>
      <c r="C358" t="s">
        <v>84</v>
      </c>
      <c r="D358" t="s">
        <v>27</v>
      </c>
      <c r="E358" t="s">
        <v>25</v>
      </c>
      <c r="F358" t="s">
        <v>27</v>
      </c>
      <c r="G358" t="s">
        <v>26</v>
      </c>
      <c r="H358" t="s">
        <v>10</v>
      </c>
      <c r="I358">
        <v>2035</v>
      </c>
      <c r="J358">
        <v>1.0999999999999998E-3</v>
      </c>
      <c r="K358" t="s">
        <v>27</v>
      </c>
    </row>
    <row r="359" spans="1:11" x14ac:dyDescent="0.45">
      <c r="A359" t="s">
        <v>90</v>
      </c>
      <c r="B359" t="s">
        <v>4</v>
      </c>
      <c r="C359" t="s">
        <v>84</v>
      </c>
      <c r="D359" t="s">
        <v>85</v>
      </c>
      <c r="E359" t="s">
        <v>25</v>
      </c>
      <c r="F359" t="s">
        <v>85</v>
      </c>
      <c r="G359" t="s">
        <v>26</v>
      </c>
      <c r="H359" t="s">
        <v>82</v>
      </c>
      <c r="I359">
        <v>2035</v>
      </c>
      <c r="J359">
        <v>8.7500000000000008E-3</v>
      </c>
      <c r="K359" t="s">
        <v>85</v>
      </c>
    </row>
    <row r="360" spans="1:11" x14ac:dyDescent="0.45">
      <c r="A360" t="s">
        <v>90</v>
      </c>
      <c r="B360" t="s">
        <v>0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2035</v>
      </c>
      <c r="J360">
        <v>3.0249999999999999E-2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1.9099999999999999E-2</v>
      </c>
      <c r="K361" t="s">
        <v>28</v>
      </c>
    </row>
    <row r="362" spans="1:11" x14ac:dyDescent="0.45">
      <c r="A362" t="s">
        <v>90</v>
      </c>
      <c r="B362" t="s">
        <v>0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2035</v>
      </c>
      <c r="J362">
        <v>1.2499999999999998E-3</v>
      </c>
      <c r="K362" t="s">
        <v>27</v>
      </c>
    </row>
    <row r="363" spans="1:11" x14ac:dyDescent="0.45">
      <c r="A363" t="s">
        <v>90</v>
      </c>
      <c r="B363" t="s">
        <v>0</v>
      </c>
      <c r="C363" t="s">
        <v>84</v>
      </c>
      <c r="D363" t="s">
        <v>85</v>
      </c>
      <c r="E363" t="s">
        <v>25</v>
      </c>
      <c r="F363" t="s">
        <v>85</v>
      </c>
      <c r="G363" t="s">
        <v>26</v>
      </c>
      <c r="H363" t="s">
        <v>82</v>
      </c>
      <c r="I363">
        <v>2035</v>
      </c>
      <c r="J363">
        <v>8.150000000000001E-3</v>
      </c>
      <c r="K363" t="s">
        <v>85</v>
      </c>
    </row>
    <row r="364" spans="1:11" x14ac:dyDescent="0.45">
      <c r="A364" t="s">
        <v>90</v>
      </c>
      <c r="B364" t="s">
        <v>6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2035</v>
      </c>
      <c r="J364">
        <v>2.9400000000000003E-2</v>
      </c>
      <c r="K364" t="s">
        <v>24</v>
      </c>
    </row>
    <row r="365" spans="1:11" x14ac:dyDescent="0.45">
      <c r="A365" t="s">
        <v>90</v>
      </c>
      <c r="B365" t="s">
        <v>6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2.0400000000000001E-2</v>
      </c>
      <c r="K365" t="s">
        <v>28</v>
      </c>
    </row>
    <row r="366" spans="1:11" x14ac:dyDescent="0.45">
      <c r="A366" t="s">
        <v>90</v>
      </c>
      <c r="B366" t="s">
        <v>6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1.2499999999999998E-3</v>
      </c>
      <c r="K366" t="s">
        <v>27</v>
      </c>
    </row>
    <row r="367" spans="1:11" x14ac:dyDescent="0.45">
      <c r="A367" t="s">
        <v>90</v>
      </c>
      <c r="B367" t="s">
        <v>6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2035</v>
      </c>
      <c r="J367">
        <v>2.0999999999999999E-3</v>
      </c>
      <c r="K367" t="s">
        <v>85</v>
      </c>
    </row>
    <row r="368" spans="1:11" x14ac:dyDescent="0.45">
      <c r="A368" t="s">
        <v>90</v>
      </c>
      <c r="B368" t="s">
        <v>5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2035</v>
      </c>
      <c r="J368">
        <v>1.3849999999999999E-2</v>
      </c>
      <c r="K368" t="s">
        <v>24</v>
      </c>
    </row>
    <row r="369" spans="1:11" x14ac:dyDescent="0.45">
      <c r="A369" t="s">
        <v>90</v>
      </c>
      <c r="B369" t="s">
        <v>5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2035</v>
      </c>
      <c r="J369">
        <v>2.6450000000000001E-2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8.9999999999999998E-4</v>
      </c>
      <c r="K370" t="s">
        <v>27</v>
      </c>
    </row>
    <row r="371" spans="1:11" x14ac:dyDescent="0.45">
      <c r="A371" t="s">
        <v>90</v>
      </c>
      <c r="B371" t="s">
        <v>5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2035</v>
      </c>
      <c r="J371">
        <v>1.2999999999999999E-3</v>
      </c>
      <c r="K371" t="s">
        <v>85</v>
      </c>
    </row>
    <row r="372" spans="1:11" x14ac:dyDescent="0.45">
      <c r="A372" t="s">
        <v>90</v>
      </c>
      <c r="B372" t="s">
        <v>2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2035</v>
      </c>
      <c r="J372">
        <v>3.1149999999999997E-2</v>
      </c>
      <c r="K372" t="s">
        <v>24</v>
      </c>
    </row>
    <row r="373" spans="1:11" x14ac:dyDescent="0.45">
      <c r="A373" t="s">
        <v>90</v>
      </c>
      <c r="B373" t="s">
        <v>2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2.3400000000000001E-2</v>
      </c>
      <c r="K373" t="s">
        <v>28</v>
      </c>
    </row>
    <row r="374" spans="1:11" x14ac:dyDescent="0.45">
      <c r="A374" t="s">
        <v>90</v>
      </c>
      <c r="B374" t="s">
        <v>2</v>
      </c>
      <c r="C374" t="s">
        <v>84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2035</v>
      </c>
      <c r="J374">
        <v>1.4E-3</v>
      </c>
      <c r="K374" t="s">
        <v>27</v>
      </c>
    </row>
    <row r="375" spans="1:11" x14ac:dyDescent="0.45">
      <c r="A375" t="s">
        <v>90</v>
      </c>
      <c r="B375" t="s">
        <v>2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2.3E-3</v>
      </c>
      <c r="K375" t="s">
        <v>85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2035</v>
      </c>
      <c r="J376">
        <v>2.6000000000000002E-2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2035</v>
      </c>
      <c r="J377">
        <v>2.1600000000000001E-2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2035</v>
      </c>
      <c r="J378">
        <v>1.2999999999999999E-3</v>
      </c>
      <c r="K378" t="s">
        <v>27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3.2500000000000003E-3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4.1099999999999998E-2</v>
      </c>
      <c r="K380" t="s">
        <v>24</v>
      </c>
    </row>
    <row r="381" spans="1:11" x14ac:dyDescent="0.45">
      <c r="A381" t="s">
        <v>90</v>
      </c>
      <c r="B381" t="s">
        <v>3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2040</v>
      </c>
      <c r="J381">
        <v>2.435E-2</v>
      </c>
      <c r="K381" t="s">
        <v>28</v>
      </c>
    </row>
    <row r="382" spans="1:11" x14ac:dyDescent="0.45">
      <c r="A382" t="s">
        <v>90</v>
      </c>
      <c r="B382" t="s">
        <v>3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2040</v>
      </c>
      <c r="J382">
        <v>3.8999999999999998E-3</v>
      </c>
      <c r="K382" t="s">
        <v>27</v>
      </c>
    </row>
    <row r="383" spans="1:11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2040</v>
      </c>
      <c r="J383">
        <v>3.8E-3</v>
      </c>
      <c r="K383" t="s">
        <v>85</v>
      </c>
    </row>
    <row r="384" spans="1:11" x14ac:dyDescent="0.45">
      <c r="A384" t="s">
        <v>90</v>
      </c>
      <c r="B384" t="s">
        <v>4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3.9550000000000002E-2</v>
      </c>
      <c r="K384" t="s">
        <v>24</v>
      </c>
    </row>
    <row r="385" spans="1:11" x14ac:dyDescent="0.45">
      <c r="A385" t="s">
        <v>90</v>
      </c>
      <c r="B385" t="s">
        <v>4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2040</v>
      </c>
      <c r="J385">
        <v>1.9200000000000002E-2</v>
      </c>
      <c r="K385" t="s">
        <v>28</v>
      </c>
    </row>
    <row r="386" spans="1:11" x14ac:dyDescent="0.45">
      <c r="A386" t="s">
        <v>90</v>
      </c>
      <c r="B386" t="s">
        <v>4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2040</v>
      </c>
      <c r="J386">
        <v>2.5000000000000001E-3</v>
      </c>
      <c r="K386" t="s">
        <v>27</v>
      </c>
    </row>
    <row r="387" spans="1:11" x14ac:dyDescent="0.45">
      <c r="A387" t="s">
        <v>90</v>
      </c>
      <c r="B387" t="s">
        <v>4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2040</v>
      </c>
      <c r="J387">
        <v>1.9599999999999999E-2</v>
      </c>
      <c r="K387" t="s">
        <v>85</v>
      </c>
    </row>
    <row r="388" spans="1:11" x14ac:dyDescent="0.45">
      <c r="A388" t="s">
        <v>90</v>
      </c>
      <c r="B388" t="s">
        <v>0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2040</v>
      </c>
      <c r="J388">
        <v>3.9699999999999999E-2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1.9699999999999999E-2</v>
      </c>
      <c r="K389" t="s">
        <v>28</v>
      </c>
    </row>
    <row r="390" spans="1:11" x14ac:dyDescent="0.45">
      <c r="A390" t="s">
        <v>90</v>
      </c>
      <c r="B390" t="s">
        <v>0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2040</v>
      </c>
      <c r="J390">
        <v>3.1999999999999997E-3</v>
      </c>
      <c r="K390" t="s">
        <v>27</v>
      </c>
    </row>
    <row r="391" spans="1:11" x14ac:dyDescent="0.45">
      <c r="A391" t="s">
        <v>90</v>
      </c>
      <c r="B391" t="s">
        <v>0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3.8E-3</v>
      </c>
      <c r="K391" t="s">
        <v>85</v>
      </c>
    </row>
    <row r="392" spans="1:11" x14ac:dyDescent="0.45">
      <c r="A392" t="s">
        <v>90</v>
      </c>
      <c r="B392" t="s">
        <v>6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2040</v>
      </c>
      <c r="J392">
        <v>3.9100000000000003E-2</v>
      </c>
      <c r="K392" t="s">
        <v>24</v>
      </c>
    </row>
    <row r="393" spans="1:11" x14ac:dyDescent="0.45">
      <c r="A393" t="s">
        <v>90</v>
      </c>
      <c r="B393" t="s">
        <v>6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2.0150000000000001E-2</v>
      </c>
      <c r="K393" t="s">
        <v>28</v>
      </c>
    </row>
    <row r="394" spans="1:11" x14ac:dyDescent="0.45">
      <c r="A394" t="s">
        <v>90</v>
      </c>
      <c r="B394" t="s">
        <v>6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2.8500000000000001E-3</v>
      </c>
      <c r="K394" t="s">
        <v>27</v>
      </c>
    </row>
    <row r="395" spans="1:11" x14ac:dyDescent="0.45">
      <c r="A395" t="s">
        <v>90</v>
      </c>
      <c r="B395" t="s">
        <v>6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2040</v>
      </c>
      <c r="J395">
        <v>7.0500000000000007E-3</v>
      </c>
      <c r="K395" t="s">
        <v>85</v>
      </c>
    </row>
    <row r="396" spans="1:11" x14ac:dyDescent="0.45">
      <c r="A396" t="s">
        <v>90</v>
      </c>
      <c r="B396" t="s">
        <v>5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2040</v>
      </c>
      <c r="J396">
        <v>1.6750000000000001E-2</v>
      </c>
      <c r="K396" t="s">
        <v>24</v>
      </c>
    </row>
    <row r="397" spans="1:11" x14ac:dyDescent="0.45">
      <c r="A397" t="s">
        <v>90</v>
      </c>
      <c r="B397" t="s">
        <v>5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2040</v>
      </c>
      <c r="J397">
        <v>2.555E-2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2.8999999999999998E-3</v>
      </c>
      <c r="K398" t="s">
        <v>27</v>
      </c>
    </row>
    <row r="399" spans="1:11" x14ac:dyDescent="0.45">
      <c r="A399" t="s">
        <v>90</v>
      </c>
      <c r="B399" t="s">
        <v>5</v>
      </c>
      <c r="C399" t="s">
        <v>84</v>
      </c>
      <c r="D399" t="s">
        <v>85</v>
      </c>
      <c r="E399" t="s">
        <v>25</v>
      </c>
      <c r="F399" t="s">
        <v>85</v>
      </c>
      <c r="G399" t="s">
        <v>26</v>
      </c>
      <c r="H399" t="s">
        <v>82</v>
      </c>
      <c r="I399">
        <v>2040</v>
      </c>
      <c r="J399">
        <v>2.5999999999999999E-3</v>
      </c>
      <c r="K399" t="s">
        <v>85</v>
      </c>
    </row>
    <row r="400" spans="1:11" x14ac:dyDescent="0.45">
      <c r="A400" t="s">
        <v>90</v>
      </c>
      <c r="B400" t="s">
        <v>2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2040</v>
      </c>
      <c r="J400">
        <v>4.2300000000000004E-2</v>
      </c>
      <c r="K400" t="s">
        <v>24</v>
      </c>
    </row>
    <row r="401" spans="1:11" x14ac:dyDescent="0.45">
      <c r="A401" t="s">
        <v>90</v>
      </c>
      <c r="B401" t="s">
        <v>2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2040</v>
      </c>
      <c r="J401">
        <v>2.5050000000000003E-2</v>
      </c>
      <c r="K401" t="s">
        <v>28</v>
      </c>
    </row>
    <row r="402" spans="1:11" x14ac:dyDescent="0.45">
      <c r="A402" t="s">
        <v>90</v>
      </c>
      <c r="B402" t="s">
        <v>2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2040</v>
      </c>
      <c r="J402">
        <v>3.3E-3</v>
      </c>
      <c r="K402" t="s">
        <v>27</v>
      </c>
    </row>
    <row r="403" spans="1:11" x14ac:dyDescent="0.45">
      <c r="A403" t="s">
        <v>90</v>
      </c>
      <c r="B403" t="s">
        <v>2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4.15E-3</v>
      </c>
      <c r="K403" t="s">
        <v>85</v>
      </c>
    </row>
    <row r="404" spans="1:11" x14ac:dyDescent="0.45">
      <c r="A404" t="s">
        <v>90</v>
      </c>
      <c r="B404" t="s">
        <v>1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2040</v>
      </c>
      <c r="J404">
        <v>3.4600000000000006E-2</v>
      </c>
      <c r="K404" t="s">
        <v>24</v>
      </c>
    </row>
    <row r="405" spans="1:11" x14ac:dyDescent="0.45">
      <c r="A405" t="s">
        <v>90</v>
      </c>
      <c r="B405" t="s">
        <v>1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2040</v>
      </c>
      <c r="J405">
        <v>2.1049999999999999E-2</v>
      </c>
      <c r="K405" t="s">
        <v>28</v>
      </c>
    </row>
    <row r="406" spans="1:11" x14ac:dyDescent="0.45">
      <c r="A406" t="s">
        <v>90</v>
      </c>
      <c r="B406" t="s">
        <v>1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2040</v>
      </c>
      <c r="J406">
        <v>3.65E-3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9.4500000000000001E-3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5.1700000000000003E-2</v>
      </c>
      <c r="K408" t="s">
        <v>24</v>
      </c>
    </row>
    <row r="409" spans="1:11" x14ac:dyDescent="0.45">
      <c r="A409" t="s">
        <v>90</v>
      </c>
      <c r="B409" t="s">
        <v>3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3.1600000000000003E-2</v>
      </c>
      <c r="K409" t="s">
        <v>28</v>
      </c>
    </row>
    <row r="410" spans="1:11" x14ac:dyDescent="0.45">
      <c r="A410" t="s">
        <v>90</v>
      </c>
      <c r="B410" t="s">
        <v>3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7.3000000000000001E-3</v>
      </c>
      <c r="K410" t="s">
        <v>27</v>
      </c>
    </row>
    <row r="411" spans="1:11" x14ac:dyDescent="0.45">
      <c r="A411" t="s">
        <v>90</v>
      </c>
      <c r="B411" t="s">
        <v>3</v>
      </c>
      <c r="C411" t="s">
        <v>84</v>
      </c>
      <c r="D411" t="s">
        <v>85</v>
      </c>
      <c r="E411" t="s">
        <v>25</v>
      </c>
      <c r="F411" t="s">
        <v>85</v>
      </c>
      <c r="G411" t="s">
        <v>26</v>
      </c>
      <c r="H411" t="s">
        <v>82</v>
      </c>
      <c r="I411">
        <v>2045</v>
      </c>
      <c r="J411">
        <v>8.0500000000000016E-3</v>
      </c>
      <c r="K411" t="s">
        <v>85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4.5749999999999999E-2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2.2950000000000002E-2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4.0499999999999998E-3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85</v>
      </c>
      <c r="E415" t="s">
        <v>25</v>
      </c>
      <c r="F415" t="s">
        <v>85</v>
      </c>
      <c r="G415" t="s">
        <v>26</v>
      </c>
      <c r="H415" t="s">
        <v>82</v>
      </c>
      <c r="I415">
        <v>2045</v>
      </c>
      <c r="J415">
        <v>3.6000000000000004E-2</v>
      </c>
      <c r="K415" t="s">
        <v>85</v>
      </c>
    </row>
    <row r="416" spans="1:11" x14ac:dyDescent="0.45">
      <c r="A416" t="s">
        <v>90</v>
      </c>
      <c r="B416" t="s">
        <v>0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2045</v>
      </c>
      <c r="J416">
        <v>5.1299999999999998E-2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3.0949999999999998E-2</v>
      </c>
      <c r="K417" t="s">
        <v>28</v>
      </c>
    </row>
    <row r="418" spans="1:11" x14ac:dyDescent="0.45">
      <c r="A418" t="s">
        <v>90</v>
      </c>
      <c r="B418" t="s">
        <v>0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2045</v>
      </c>
      <c r="J418">
        <v>5.5999999999999999E-3</v>
      </c>
      <c r="K418" t="s">
        <v>27</v>
      </c>
    </row>
    <row r="419" spans="1:11" x14ac:dyDescent="0.45">
      <c r="A419" t="s">
        <v>90</v>
      </c>
      <c r="B419" t="s">
        <v>0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2045</v>
      </c>
      <c r="J419">
        <v>8.0999999999999996E-3</v>
      </c>
      <c r="K419" t="s">
        <v>85</v>
      </c>
    </row>
    <row r="420" spans="1:11" x14ac:dyDescent="0.45">
      <c r="A420" t="s">
        <v>90</v>
      </c>
      <c r="B420" t="s">
        <v>6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2045</v>
      </c>
      <c r="J420">
        <v>4.8750000000000002E-2</v>
      </c>
      <c r="K420" t="s">
        <v>24</v>
      </c>
    </row>
    <row r="421" spans="1:11" x14ac:dyDescent="0.45">
      <c r="A421" t="s">
        <v>90</v>
      </c>
      <c r="B421" t="s">
        <v>6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2.75E-2</v>
      </c>
      <c r="K421" t="s">
        <v>28</v>
      </c>
    </row>
    <row r="422" spans="1:11" x14ac:dyDescent="0.45">
      <c r="A422" t="s">
        <v>90</v>
      </c>
      <c r="B422" t="s">
        <v>6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4.8999999999999998E-3</v>
      </c>
      <c r="K422" t="s">
        <v>27</v>
      </c>
    </row>
    <row r="423" spans="1:11" x14ac:dyDescent="0.45">
      <c r="A423" t="s">
        <v>90</v>
      </c>
      <c r="B423" t="s">
        <v>6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2045</v>
      </c>
      <c r="J423">
        <v>2.0999999999999998E-2</v>
      </c>
      <c r="K423" t="s">
        <v>85</v>
      </c>
    </row>
    <row r="424" spans="1:11" x14ac:dyDescent="0.45">
      <c r="A424" t="s">
        <v>90</v>
      </c>
      <c r="B424" t="s">
        <v>5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1.67E-2</v>
      </c>
      <c r="K424" t="s">
        <v>24</v>
      </c>
    </row>
    <row r="425" spans="1:11" x14ac:dyDescent="0.45">
      <c r="A425" t="s">
        <v>90</v>
      </c>
      <c r="B425" t="s">
        <v>5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3.4500000000000003E-2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6.45E-3</v>
      </c>
      <c r="K426" t="s">
        <v>27</v>
      </c>
    </row>
    <row r="427" spans="1:11" x14ac:dyDescent="0.45">
      <c r="A427" t="s">
        <v>90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5.2499999999999995E-3</v>
      </c>
      <c r="K427" t="s">
        <v>85</v>
      </c>
    </row>
    <row r="428" spans="1:11" x14ac:dyDescent="0.45">
      <c r="A428" t="s">
        <v>90</v>
      </c>
      <c r="B428" t="s">
        <v>2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2045</v>
      </c>
      <c r="J428">
        <v>5.3199999999999997E-2</v>
      </c>
      <c r="K428" t="s">
        <v>24</v>
      </c>
    </row>
    <row r="429" spans="1:11" x14ac:dyDescent="0.45">
      <c r="A429" t="s">
        <v>90</v>
      </c>
      <c r="B429" t="s">
        <v>2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2045</v>
      </c>
      <c r="J429">
        <v>3.2149999999999998E-2</v>
      </c>
      <c r="K429" t="s">
        <v>28</v>
      </c>
    </row>
    <row r="430" spans="1:11" x14ac:dyDescent="0.45">
      <c r="A430" t="s">
        <v>90</v>
      </c>
      <c r="B430" t="s">
        <v>2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2045</v>
      </c>
      <c r="J430">
        <v>5.5999999999999999E-3</v>
      </c>
      <c r="K430" t="s">
        <v>27</v>
      </c>
    </row>
    <row r="431" spans="1:11" x14ac:dyDescent="0.45">
      <c r="A431" t="s">
        <v>90</v>
      </c>
      <c r="B431" t="s">
        <v>2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0.01</v>
      </c>
      <c r="K431" t="s">
        <v>85</v>
      </c>
    </row>
    <row r="432" spans="1:11" x14ac:dyDescent="0.45">
      <c r="A432" t="s">
        <v>90</v>
      </c>
      <c r="B432" t="s">
        <v>1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2045</v>
      </c>
      <c r="J432">
        <v>4.385E-2</v>
      </c>
      <c r="K432" t="s">
        <v>24</v>
      </c>
    </row>
    <row r="433" spans="1:11" x14ac:dyDescent="0.45">
      <c r="A433" t="s">
        <v>90</v>
      </c>
      <c r="B433" t="s">
        <v>1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2045</v>
      </c>
      <c r="J433">
        <v>2.87E-2</v>
      </c>
      <c r="K433" t="s">
        <v>28</v>
      </c>
    </row>
    <row r="434" spans="1:11" x14ac:dyDescent="0.45">
      <c r="A434" t="s">
        <v>90</v>
      </c>
      <c r="B434" t="s">
        <v>1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2045</v>
      </c>
      <c r="J434">
        <v>7.4000000000000003E-3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2.41E-2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6.3400000000000012E-2</v>
      </c>
      <c r="K436" t="s">
        <v>24</v>
      </c>
    </row>
    <row r="437" spans="1:11" x14ac:dyDescent="0.45">
      <c r="A437" t="s">
        <v>90</v>
      </c>
      <c r="B437" t="s">
        <v>3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2050</v>
      </c>
      <c r="J437">
        <v>4.0500000000000001E-2</v>
      </c>
      <c r="K437" t="s">
        <v>28</v>
      </c>
    </row>
    <row r="438" spans="1:11" x14ac:dyDescent="0.45">
      <c r="A438" t="s">
        <v>90</v>
      </c>
      <c r="B438" t="s">
        <v>3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2050</v>
      </c>
      <c r="J438">
        <v>1.17E-2</v>
      </c>
      <c r="K438" t="s">
        <v>27</v>
      </c>
    </row>
    <row r="439" spans="1:11" x14ac:dyDescent="0.45">
      <c r="A439" t="s">
        <v>90</v>
      </c>
      <c r="B439" t="s">
        <v>3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2050</v>
      </c>
      <c r="J439">
        <v>1.7250000000000001E-2</v>
      </c>
      <c r="K439" t="s">
        <v>85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5.3499999999999999E-2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2050</v>
      </c>
      <c r="J441">
        <v>2.895E-2</v>
      </c>
      <c r="K441" t="s">
        <v>28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2050</v>
      </c>
      <c r="J442">
        <v>6.7499999999999999E-3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85</v>
      </c>
      <c r="E443" t="s">
        <v>25</v>
      </c>
      <c r="F443" t="s">
        <v>85</v>
      </c>
      <c r="G443" t="s">
        <v>26</v>
      </c>
      <c r="H443" t="s">
        <v>82</v>
      </c>
      <c r="I443">
        <v>2050</v>
      </c>
      <c r="J443">
        <v>5.765E-2</v>
      </c>
      <c r="K443" t="s">
        <v>85</v>
      </c>
    </row>
    <row r="444" spans="1:11" x14ac:dyDescent="0.45">
      <c r="A444" t="s">
        <v>90</v>
      </c>
      <c r="B444" t="s">
        <v>0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6.4849999999999991E-2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4.1099999999999998E-2</v>
      </c>
      <c r="K445" t="s">
        <v>28</v>
      </c>
    </row>
    <row r="446" spans="1:11" x14ac:dyDescent="0.45">
      <c r="A446" t="s">
        <v>90</v>
      </c>
      <c r="B446" t="s">
        <v>0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2050</v>
      </c>
      <c r="J446">
        <v>9.8999999999999991E-3</v>
      </c>
      <c r="K446" t="s">
        <v>27</v>
      </c>
    </row>
    <row r="447" spans="1:11" x14ac:dyDescent="0.45">
      <c r="A447" t="s">
        <v>90</v>
      </c>
      <c r="B447" t="s">
        <v>0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2050</v>
      </c>
      <c r="J447">
        <v>1.8299999999999997E-2</v>
      </c>
      <c r="K447" t="s">
        <v>85</v>
      </c>
    </row>
    <row r="448" spans="1:11" x14ac:dyDescent="0.45">
      <c r="A448" t="s">
        <v>90</v>
      </c>
      <c r="B448" t="s">
        <v>6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5.7550000000000004E-2</v>
      </c>
      <c r="K448" t="s">
        <v>24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3.465E-2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7.9000000000000008E-3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2050</v>
      </c>
      <c r="J451">
        <v>4.3249999999999997E-2</v>
      </c>
      <c r="K451" t="s">
        <v>85</v>
      </c>
    </row>
    <row r="452" spans="1:11" x14ac:dyDescent="0.45">
      <c r="A452" t="s">
        <v>90</v>
      </c>
      <c r="B452" t="s">
        <v>5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2050</v>
      </c>
      <c r="J452">
        <v>1.9349999999999999E-2</v>
      </c>
      <c r="K452" t="s">
        <v>24</v>
      </c>
    </row>
    <row r="453" spans="1:11" x14ac:dyDescent="0.45">
      <c r="A453" t="s">
        <v>90</v>
      </c>
      <c r="B453" t="s">
        <v>5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4.6249999999999999E-2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1.1650000000000001E-2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2050</v>
      </c>
      <c r="J455">
        <v>1.03E-2</v>
      </c>
      <c r="K455" t="s">
        <v>85</v>
      </c>
    </row>
    <row r="456" spans="1:11" x14ac:dyDescent="0.45">
      <c r="A456" t="s">
        <v>90</v>
      </c>
      <c r="B456" t="s">
        <v>2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2050</v>
      </c>
      <c r="J456">
        <v>6.0249999999999998E-2</v>
      </c>
      <c r="K456" t="s">
        <v>24</v>
      </c>
    </row>
    <row r="457" spans="1:11" x14ac:dyDescent="0.45">
      <c r="A457" t="s">
        <v>90</v>
      </c>
      <c r="B457" t="s">
        <v>2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2050</v>
      </c>
      <c r="J457">
        <v>3.7000000000000005E-2</v>
      </c>
      <c r="K457" t="s">
        <v>28</v>
      </c>
    </row>
    <row r="458" spans="1:11" x14ac:dyDescent="0.45">
      <c r="A458" t="s">
        <v>90</v>
      </c>
      <c r="B458" t="s">
        <v>2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8.5000000000000006E-3</v>
      </c>
      <c r="K458" t="s">
        <v>27</v>
      </c>
    </row>
    <row r="459" spans="1:11" x14ac:dyDescent="0.45">
      <c r="A459" t="s">
        <v>90</v>
      </c>
      <c r="B459" t="s">
        <v>2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4.8149999999999998E-2</v>
      </c>
      <c r="K459" t="s">
        <v>85</v>
      </c>
    </row>
    <row r="460" spans="1:11" x14ac:dyDescent="0.45">
      <c r="A460" t="s">
        <v>90</v>
      </c>
      <c r="B460" t="s">
        <v>1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2050</v>
      </c>
      <c r="J460">
        <v>5.6349999999999997E-2</v>
      </c>
      <c r="K460" t="s">
        <v>24</v>
      </c>
    </row>
    <row r="461" spans="1:11" x14ac:dyDescent="0.45">
      <c r="A461" t="s">
        <v>90</v>
      </c>
      <c r="B461" t="s">
        <v>1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3.8850000000000003E-2</v>
      </c>
      <c r="K461" t="s">
        <v>28</v>
      </c>
    </row>
    <row r="462" spans="1:11" x14ac:dyDescent="0.45">
      <c r="A462" t="s">
        <v>90</v>
      </c>
      <c r="B462" t="s">
        <v>1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1.2800000000000001E-2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5.2600000000000001E-2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7.3349999999999999E-2</v>
      </c>
      <c r="K464" t="s">
        <v>24</v>
      </c>
    </row>
    <row r="465" spans="1:11" x14ac:dyDescent="0.45">
      <c r="A465" t="s">
        <v>90</v>
      </c>
      <c r="B465" t="s">
        <v>3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2055</v>
      </c>
      <c r="J465">
        <v>4.58E-2</v>
      </c>
      <c r="K465" t="s">
        <v>28</v>
      </c>
    </row>
    <row r="466" spans="1:11" x14ac:dyDescent="0.45">
      <c r="A466" t="s">
        <v>90</v>
      </c>
      <c r="B466" t="s">
        <v>3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2055</v>
      </c>
      <c r="J466">
        <v>1.77E-2</v>
      </c>
      <c r="K466" t="s">
        <v>27</v>
      </c>
    </row>
    <row r="467" spans="1:11" x14ac:dyDescent="0.45">
      <c r="A467" t="s">
        <v>90</v>
      </c>
      <c r="B467" t="s">
        <v>3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2055</v>
      </c>
      <c r="J467">
        <v>3.0449999999999998E-2</v>
      </c>
      <c r="K467" t="s">
        <v>85</v>
      </c>
    </row>
    <row r="468" spans="1:11" x14ac:dyDescent="0.45">
      <c r="A468" t="s">
        <v>90</v>
      </c>
      <c r="B468" t="s">
        <v>4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5.7849999999999999E-2</v>
      </c>
      <c r="K468" t="s">
        <v>24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2055</v>
      </c>
      <c r="J469">
        <v>3.2350000000000004E-2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2055</v>
      </c>
      <c r="J470">
        <v>1.0999999999999999E-2</v>
      </c>
      <c r="K470" t="s">
        <v>27</v>
      </c>
    </row>
    <row r="471" spans="1:11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2055</v>
      </c>
      <c r="J471">
        <v>5.9499999999999997E-2</v>
      </c>
      <c r="K471" t="s">
        <v>85</v>
      </c>
    </row>
    <row r="472" spans="1:11" x14ac:dyDescent="0.45">
      <c r="A472" t="s">
        <v>90</v>
      </c>
      <c r="B472" t="s">
        <v>0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2055</v>
      </c>
      <c r="J472">
        <v>7.6399999999999996E-2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4.5950000000000005E-2</v>
      </c>
      <c r="K473" t="s">
        <v>28</v>
      </c>
    </row>
    <row r="474" spans="1:11" x14ac:dyDescent="0.45">
      <c r="A474" t="s">
        <v>90</v>
      </c>
      <c r="B474" t="s">
        <v>0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2055</v>
      </c>
      <c r="J474">
        <v>1.44E-2</v>
      </c>
      <c r="K474" t="s">
        <v>27</v>
      </c>
    </row>
    <row r="475" spans="1:11" x14ac:dyDescent="0.45">
      <c r="A475" t="s">
        <v>90</v>
      </c>
      <c r="B475" t="s">
        <v>0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2055</v>
      </c>
      <c r="J475">
        <v>3.4299999999999997E-2</v>
      </c>
      <c r="K475" t="s">
        <v>85</v>
      </c>
    </row>
    <row r="476" spans="1:11" x14ac:dyDescent="0.45">
      <c r="A476" t="s">
        <v>90</v>
      </c>
      <c r="B476" t="s">
        <v>6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2055</v>
      </c>
      <c r="J476">
        <v>6.9500000000000006E-2</v>
      </c>
      <c r="K476" t="s">
        <v>24</v>
      </c>
    </row>
    <row r="477" spans="1:11" x14ac:dyDescent="0.45">
      <c r="A477" t="s">
        <v>90</v>
      </c>
      <c r="B477" t="s">
        <v>6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4.1050000000000003E-2</v>
      </c>
      <c r="K477" t="s">
        <v>28</v>
      </c>
    </row>
    <row r="478" spans="1:11" x14ac:dyDescent="0.45">
      <c r="A478" t="s">
        <v>90</v>
      </c>
      <c r="B478" t="s">
        <v>6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1.3850000000000001E-2</v>
      </c>
      <c r="K478" t="s">
        <v>27</v>
      </c>
    </row>
    <row r="479" spans="1:11" x14ac:dyDescent="0.45">
      <c r="A479" t="s">
        <v>90</v>
      </c>
      <c r="B479" t="s">
        <v>6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2055</v>
      </c>
      <c r="J479">
        <v>7.9199999999999993E-2</v>
      </c>
      <c r="K479" t="s">
        <v>85</v>
      </c>
    </row>
    <row r="480" spans="1:11" x14ac:dyDescent="0.45">
      <c r="A480" t="s">
        <v>90</v>
      </c>
      <c r="B480" t="s">
        <v>5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2055</v>
      </c>
      <c r="J480">
        <v>2.1900000000000003E-2</v>
      </c>
      <c r="K480" t="s">
        <v>24</v>
      </c>
    </row>
    <row r="481" spans="1:11" x14ac:dyDescent="0.45">
      <c r="A481" t="s">
        <v>90</v>
      </c>
      <c r="B481" t="s">
        <v>5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2055</v>
      </c>
      <c r="J481">
        <v>6.1649999999999996E-2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2.3350000000000003E-2</v>
      </c>
      <c r="K482" t="s">
        <v>27</v>
      </c>
    </row>
    <row r="483" spans="1:11" x14ac:dyDescent="0.45">
      <c r="A483" t="s">
        <v>90</v>
      </c>
      <c r="B483" t="s">
        <v>5</v>
      </c>
      <c r="C483" t="s">
        <v>84</v>
      </c>
      <c r="D483" t="s">
        <v>85</v>
      </c>
      <c r="E483" t="s">
        <v>25</v>
      </c>
      <c r="F483" t="s">
        <v>85</v>
      </c>
      <c r="G483" t="s">
        <v>26</v>
      </c>
      <c r="H483" t="s">
        <v>82</v>
      </c>
      <c r="I483">
        <v>2055</v>
      </c>
      <c r="J483">
        <v>1.3749999999999998E-2</v>
      </c>
      <c r="K483" t="s">
        <v>85</v>
      </c>
    </row>
    <row r="484" spans="1:11" x14ac:dyDescent="0.45">
      <c r="A484" t="s">
        <v>90</v>
      </c>
      <c r="B484" t="s">
        <v>2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2055</v>
      </c>
      <c r="J484">
        <v>6.8949999999999997E-2</v>
      </c>
      <c r="K484" t="s">
        <v>24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2055</v>
      </c>
      <c r="J485">
        <v>4.2900000000000001E-2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2055</v>
      </c>
      <c r="J486">
        <v>1.3299999999999999E-2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7.7199999999999991E-2</v>
      </c>
      <c r="K487" t="s">
        <v>85</v>
      </c>
    </row>
    <row r="488" spans="1:11" x14ac:dyDescent="0.45">
      <c r="A488" t="s">
        <v>90</v>
      </c>
      <c r="B488" t="s">
        <v>1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2055</v>
      </c>
      <c r="J488">
        <v>7.4249999999999997E-2</v>
      </c>
      <c r="K488" t="s">
        <v>24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4.8299999999999996E-2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2055</v>
      </c>
      <c r="J490">
        <v>2.0249999999999997E-2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8.8150000000000006E-2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8.1499999999999989E-2</v>
      </c>
      <c r="K492" t="s">
        <v>24</v>
      </c>
    </row>
    <row r="493" spans="1:11" x14ac:dyDescent="0.45">
      <c r="A493" t="s">
        <v>90</v>
      </c>
      <c r="B493" t="s">
        <v>3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2060</v>
      </c>
      <c r="J493">
        <v>5.5050000000000002E-2</v>
      </c>
      <c r="K493" t="s">
        <v>28</v>
      </c>
    </row>
    <row r="494" spans="1:11" x14ac:dyDescent="0.45">
      <c r="A494" t="s">
        <v>90</v>
      </c>
      <c r="B494" t="s">
        <v>3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2060</v>
      </c>
      <c r="J494">
        <v>2.445E-2</v>
      </c>
      <c r="K494" t="s">
        <v>27</v>
      </c>
    </row>
    <row r="495" spans="1:11" x14ac:dyDescent="0.45">
      <c r="A495" t="s">
        <v>90</v>
      </c>
      <c r="B495" t="s">
        <v>3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2060</v>
      </c>
      <c r="J495">
        <v>4.6949999999999999E-2</v>
      </c>
      <c r="K495" t="s">
        <v>85</v>
      </c>
    </row>
    <row r="496" spans="1:11" x14ac:dyDescent="0.45">
      <c r="A496" t="s">
        <v>90</v>
      </c>
      <c r="B496" t="s">
        <v>4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6.1850000000000002E-2</v>
      </c>
      <c r="K496" t="s">
        <v>24</v>
      </c>
    </row>
    <row r="497" spans="1:11" x14ac:dyDescent="0.45">
      <c r="A497" t="s">
        <v>90</v>
      </c>
      <c r="B497" t="s">
        <v>4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4.2849999999999999E-2</v>
      </c>
      <c r="K497" t="s">
        <v>28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2060</v>
      </c>
      <c r="J498">
        <v>1.5800000000000002E-2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2060</v>
      </c>
      <c r="J499">
        <v>5.3650000000000003E-2</v>
      </c>
      <c r="K499" t="s">
        <v>85</v>
      </c>
    </row>
    <row r="500" spans="1:11" x14ac:dyDescent="0.45">
      <c r="A500" t="s">
        <v>90</v>
      </c>
      <c r="B500" t="s">
        <v>0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2060</v>
      </c>
      <c r="J500">
        <v>8.5449999999999998E-2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5.2949999999999997E-2</v>
      </c>
      <c r="K501" t="s">
        <v>28</v>
      </c>
    </row>
    <row r="502" spans="1:11" x14ac:dyDescent="0.45">
      <c r="A502" t="s">
        <v>90</v>
      </c>
      <c r="B502" t="s">
        <v>0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2060</v>
      </c>
      <c r="J502">
        <v>2.0450000000000003E-2</v>
      </c>
      <c r="K502" t="s">
        <v>27</v>
      </c>
    </row>
    <row r="503" spans="1:11" x14ac:dyDescent="0.45">
      <c r="A503" t="s">
        <v>90</v>
      </c>
      <c r="B503" t="s">
        <v>0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2060</v>
      </c>
      <c r="J503">
        <v>5.2999999999999999E-2</v>
      </c>
      <c r="K503" t="s">
        <v>85</v>
      </c>
    </row>
    <row r="504" spans="1:11" x14ac:dyDescent="0.45">
      <c r="A504" t="s">
        <v>90</v>
      </c>
      <c r="B504" t="s">
        <v>6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7.825E-2</v>
      </c>
      <c r="K504" t="s">
        <v>24</v>
      </c>
    </row>
    <row r="505" spans="1:11" x14ac:dyDescent="0.45">
      <c r="A505" t="s">
        <v>90</v>
      </c>
      <c r="B505" t="s">
        <v>6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4.8850000000000005E-2</v>
      </c>
      <c r="K505" t="s">
        <v>28</v>
      </c>
    </row>
    <row r="506" spans="1:11" x14ac:dyDescent="0.45">
      <c r="A506" t="s">
        <v>90</v>
      </c>
      <c r="B506" t="s">
        <v>6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1.9450000000000002E-2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2060</v>
      </c>
      <c r="J507">
        <v>0.11830000000000002</v>
      </c>
      <c r="K507" t="s">
        <v>85</v>
      </c>
    </row>
    <row r="508" spans="1:11" x14ac:dyDescent="0.45">
      <c r="A508" t="s">
        <v>90</v>
      </c>
      <c r="B508" t="s">
        <v>5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2060</v>
      </c>
      <c r="J508">
        <v>2.5599999999999998E-2</v>
      </c>
      <c r="K508" t="s">
        <v>24</v>
      </c>
    </row>
    <row r="509" spans="1:11" x14ac:dyDescent="0.45">
      <c r="A509" t="s">
        <v>90</v>
      </c>
      <c r="B509" t="s">
        <v>5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2060</v>
      </c>
      <c r="J509">
        <v>7.7350000000000002E-2</v>
      </c>
      <c r="K509" t="s">
        <v>28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3.8699999999999998E-2</v>
      </c>
      <c r="K510" t="s">
        <v>27</v>
      </c>
    </row>
    <row r="511" spans="1:11" x14ac:dyDescent="0.45">
      <c r="A511" t="s">
        <v>90</v>
      </c>
      <c r="B511" t="s">
        <v>5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2060</v>
      </c>
      <c r="J511">
        <v>2.5950000000000001E-2</v>
      </c>
      <c r="K511" t="s">
        <v>85</v>
      </c>
    </row>
    <row r="512" spans="1:11" x14ac:dyDescent="0.45">
      <c r="A512" t="s">
        <v>90</v>
      </c>
      <c r="B512" t="s">
        <v>2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2060</v>
      </c>
      <c r="J512">
        <v>7.2849999999999998E-2</v>
      </c>
      <c r="K512" t="s">
        <v>24</v>
      </c>
    </row>
    <row r="513" spans="1:11" x14ac:dyDescent="0.45">
      <c r="A513" t="s">
        <v>90</v>
      </c>
      <c r="B513" t="s">
        <v>2</v>
      </c>
      <c r="C513" t="s">
        <v>84</v>
      </c>
      <c r="D513" t="s">
        <v>28</v>
      </c>
      <c r="E513" t="s">
        <v>25</v>
      </c>
      <c r="F513" t="s">
        <v>28</v>
      </c>
      <c r="G513" t="s">
        <v>26</v>
      </c>
      <c r="H513" t="s">
        <v>12</v>
      </c>
      <c r="I513">
        <v>2060</v>
      </c>
      <c r="J513">
        <v>4.8649999999999999E-2</v>
      </c>
      <c r="K513" t="s">
        <v>28</v>
      </c>
    </row>
    <row r="514" spans="1:11" x14ac:dyDescent="0.45">
      <c r="A514" t="s">
        <v>90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1.7950000000000001E-2</v>
      </c>
      <c r="K514" t="s">
        <v>27</v>
      </c>
    </row>
    <row r="515" spans="1:11" x14ac:dyDescent="0.45">
      <c r="A515" t="s">
        <v>90</v>
      </c>
      <c r="B515" t="s">
        <v>2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5.91E-2</v>
      </c>
      <c r="K515" t="s">
        <v>85</v>
      </c>
    </row>
    <row r="516" spans="1:11" x14ac:dyDescent="0.45">
      <c r="A516" t="s">
        <v>90</v>
      </c>
      <c r="B516" t="s">
        <v>1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2060</v>
      </c>
      <c r="J516">
        <v>8.5050000000000001E-2</v>
      </c>
      <c r="K516" t="s">
        <v>24</v>
      </c>
    </row>
    <row r="517" spans="1:11" x14ac:dyDescent="0.45">
      <c r="A517" t="s">
        <v>90</v>
      </c>
      <c r="B517" t="s">
        <v>1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2060</v>
      </c>
      <c r="J517">
        <v>5.8700000000000002E-2</v>
      </c>
      <c r="K517" t="s">
        <v>28</v>
      </c>
    </row>
    <row r="518" spans="1:11" x14ac:dyDescent="0.45">
      <c r="A518" t="s">
        <v>90</v>
      </c>
      <c r="B518" t="s">
        <v>1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2060</v>
      </c>
      <c r="J518">
        <v>2.8250000000000001E-2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0.12345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8.7799999999999989E-2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2065</v>
      </c>
      <c r="J521">
        <v>6.7750000000000005E-2</v>
      </c>
      <c r="K521" t="s">
        <v>28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2065</v>
      </c>
      <c r="J522">
        <v>2.835E-2</v>
      </c>
      <c r="K522" t="s">
        <v>27</v>
      </c>
    </row>
    <row r="523" spans="1:11" x14ac:dyDescent="0.45">
      <c r="A523" t="s">
        <v>90</v>
      </c>
      <c r="B523" t="s">
        <v>3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2065</v>
      </c>
      <c r="J523">
        <v>4.7899999999999998E-2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6.54E-2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2065</v>
      </c>
      <c r="J525">
        <v>5.3800000000000001E-2</v>
      </c>
      <c r="K525" t="s">
        <v>28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2065</v>
      </c>
      <c r="J526">
        <v>1.9050000000000001E-2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2065</v>
      </c>
      <c r="J527">
        <v>5.0849999999999999E-2</v>
      </c>
      <c r="K527" t="s">
        <v>85</v>
      </c>
    </row>
    <row r="528" spans="1:11" x14ac:dyDescent="0.45">
      <c r="A528" t="s">
        <v>90</v>
      </c>
      <c r="B528" t="s">
        <v>0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2065</v>
      </c>
      <c r="J528">
        <v>8.6650000000000005E-2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6.5549999999999997E-2</v>
      </c>
      <c r="K529" t="s">
        <v>28</v>
      </c>
    </row>
    <row r="530" spans="1:11" x14ac:dyDescent="0.45">
      <c r="A530" t="s">
        <v>90</v>
      </c>
      <c r="B530" t="s">
        <v>0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2065</v>
      </c>
      <c r="J530">
        <v>2.4299999999999999E-2</v>
      </c>
      <c r="K530" t="s">
        <v>27</v>
      </c>
    </row>
    <row r="531" spans="1:11" x14ac:dyDescent="0.45">
      <c r="A531" t="s">
        <v>90</v>
      </c>
      <c r="B531" t="s">
        <v>0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2065</v>
      </c>
      <c r="J531">
        <v>5.1000000000000004E-2</v>
      </c>
      <c r="K531" t="s">
        <v>85</v>
      </c>
    </row>
    <row r="532" spans="1:11" x14ac:dyDescent="0.45">
      <c r="A532" t="s">
        <v>90</v>
      </c>
      <c r="B532" t="s">
        <v>6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8.115E-2</v>
      </c>
      <c r="K532" t="s">
        <v>24</v>
      </c>
    </row>
    <row r="533" spans="1:11" x14ac:dyDescent="0.45">
      <c r="A533" t="s">
        <v>90</v>
      </c>
      <c r="B533" t="s">
        <v>6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6.0650000000000003E-2</v>
      </c>
      <c r="K533" t="s">
        <v>28</v>
      </c>
    </row>
    <row r="534" spans="1:11" x14ac:dyDescent="0.45">
      <c r="A534" t="s">
        <v>90</v>
      </c>
      <c r="B534" t="s">
        <v>6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2.2749999999999999E-2</v>
      </c>
      <c r="K534" t="s">
        <v>27</v>
      </c>
    </row>
    <row r="535" spans="1:11" x14ac:dyDescent="0.45">
      <c r="A535" t="s">
        <v>90</v>
      </c>
      <c r="B535" t="s">
        <v>6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2065</v>
      </c>
      <c r="J535">
        <v>0.127</v>
      </c>
      <c r="K535" t="s">
        <v>85</v>
      </c>
    </row>
    <row r="536" spans="1:11" x14ac:dyDescent="0.45">
      <c r="A536" t="s">
        <v>90</v>
      </c>
      <c r="B536" t="s">
        <v>5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2065</v>
      </c>
      <c r="J536">
        <v>2.5950000000000001E-2</v>
      </c>
      <c r="K536" t="s">
        <v>24</v>
      </c>
    </row>
    <row r="537" spans="1:11" x14ac:dyDescent="0.45">
      <c r="A537" t="s">
        <v>90</v>
      </c>
      <c r="B537" t="s">
        <v>5</v>
      </c>
      <c r="C537" t="s">
        <v>84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2065</v>
      </c>
      <c r="J537">
        <v>9.35E-2</v>
      </c>
      <c r="K537" t="s">
        <v>28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4.5850000000000002E-2</v>
      </c>
      <c r="K538" t="s">
        <v>27</v>
      </c>
    </row>
    <row r="539" spans="1:11" x14ac:dyDescent="0.45">
      <c r="A539" t="s">
        <v>90</v>
      </c>
      <c r="B539" t="s">
        <v>5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2065</v>
      </c>
      <c r="J539">
        <v>3.1350000000000003E-2</v>
      </c>
      <c r="K539" t="s">
        <v>85</v>
      </c>
    </row>
    <row r="540" spans="1:11" x14ac:dyDescent="0.45">
      <c r="A540" t="s">
        <v>90</v>
      </c>
      <c r="B540" t="s">
        <v>2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2065</v>
      </c>
      <c r="J540">
        <v>7.669999999999999E-2</v>
      </c>
      <c r="K540" t="s">
        <v>24</v>
      </c>
    </row>
    <row r="541" spans="1:11" x14ac:dyDescent="0.45">
      <c r="A541" t="s">
        <v>90</v>
      </c>
      <c r="B541" t="s">
        <v>2</v>
      </c>
      <c r="C541" t="s">
        <v>84</v>
      </c>
      <c r="D541" t="s">
        <v>28</v>
      </c>
      <c r="E541" t="s">
        <v>25</v>
      </c>
      <c r="F541" t="s">
        <v>28</v>
      </c>
      <c r="G541" t="s">
        <v>26</v>
      </c>
      <c r="H541" t="s">
        <v>12</v>
      </c>
      <c r="I541">
        <v>2065</v>
      </c>
      <c r="J541">
        <v>5.9749999999999998E-2</v>
      </c>
      <c r="K541" t="s">
        <v>28</v>
      </c>
    </row>
    <row r="542" spans="1:11" x14ac:dyDescent="0.45">
      <c r="A542" t="s">
        <v>90</v>
      </c>
      <c r="B542" t="s">
        <v>2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2065</v>
      </c>
      <c r="J542">
        <v>2.095E-2</v>
      </c>
      <c r="K542" t="s">
        <v>27</v>
      </c>
    </row>
    <row r="543" spans="1:11" x14ac:dyDescent="0.45">
      <c r="A543" t="s">
        <v>90</v>
      </c>
      <c r="B543" t="s">
        <v>2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5.7599999999999998E-2</v>
      </c>
      <c r="K543" t="s">
        <v>85</v>
      </c>
    </row>
    <row r="544" spans="1:11" x14ac:dyDescent="0.45">
      <c r="A544" t="s">
        <v>90</v>
      </c>
      <c r="B544" t="s">
        <v>1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2065</v>
      </c>
      <c r="J544">
        <v>8.9849999999999999E-2</v>
      </c>
      <c r="K544" t="s">
        <v>24</v>
      </c>
    </row>
    <row r="545" spans="1:11" x14ac:dyDescent="0.45">
      <c r="A545" t="s">
        <v>90</v>
      </c>
      <c r="B545" t="s">
        <v>1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2065</v>
      </c>
      <c r="J545">
        <v>7.3649999999999993E-2</v>
      </c>
      <c r="K545" t="s">
        <v>28</v>
      </c>
    </row>
    <row r="546" spans="1:11" x14ac:dyDescent="0.45">
      <c r="A546" t="s">
        <v>90</v>
      </c>
      <c r="B546" t="s">
        <v>1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2065</v>
      </c>
      <c r="J546">
        <v>3.3300000000000003E-2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0.12135000000000001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9.1299999999999992E-2</v>
      </c>
      <c r="K548" t="s">
        <v>24</v>
      </c>
    </row>
    <row r="549" spans="1:11" x14ac:dyDescent="0.45">
      <c r="A549" t="s">
        <v>90</v>
      </c>
      <c r="B549" t="s">
        <v>3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2070</v>
      </c>
      <c r="J549">
        <v>8.0499999999999988E-2</v>
      </c>
      <c r="K549" t="s">
        <v>28</v>
      </c>
    </row>
    <row r="550" spans="1:11" x14ac:dyDescent="0.45">
      <c r="A550" t="s">
        <v>90</v>
      </c>
      <c r="B550" t="s">
        <v>3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3.2850000000000004E-2</v>
      </c>
      <c r="K550" t="s">
        <v>27</v>
      </c>
    </row>
    <row r="551" spans="1:11" x14ac:dyDescent="0.45">
      <c r="A551" t="s">
        <v>90</v>
      </c>
      <c r="B551" t="s">
        <v>3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2070</v>
      </c>
      <c r="J551">
        <v>4.5999999999999999E-2</v>
      </c>
      <c r="K551" t="s">
        <v>85</v>
      </c>
    </row>
    <row r="552" spans="1:11" x14ac:dyDescent="0.45">
      <c r="A552" t="s">
        <v>90</v>
      </c>
      <c r="B552" t="s">
        <v>4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6.9150000000000003E-2</v>
      </c>
      <c r="K552" t="s">
        <v>24</v>
      </c>
    </row>
    <row r="553" spans="1:11" x14ac:dyDescent="0.45">
      <c r="A553" t="s">
        <v>90</v>
      </c>
      <c r="B553" t="s">
        <v>4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2070</v>
      </c>
      <c r="J553">
        <v>6.3950000000000007E-2</v>
      </c>
      <c r="K553" t="s">
        <v>28</v>
      </c>
    </row>
    <row r="554" spans="1:11" x14ac:dyDescent="0.45">
      <c r="A554" t="s">
        <v>90</v>
      </c>
      <c r="B554" t="s">
        <v>4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2070</v>
      </c>
      <c r="J554">
        <v>2.2350000000000002E-2</v>
      </c>
      <c r="K554" t="s">
        <v>27</v>
      </c>
    </row>
    <row r="555" spans="1:11" x14ac:dyDescent="0.45">
      <c r="A555" t="s">
        <v>90</v>
      </c>
      <c r="B555" t="s">
        <v>4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2070</v>
      </c>
      <c r="J555">
        <v>4.3249999999999997E-2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2070</v>
      </c>
      <c r="J556">
        <v>8.8200000000000001E-2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7.7449999999999991E-2</v>
      </c>
      <c r="K557" t="s">
        <v>28</v>
      </c>
    </row>
    <row r="558" spans="1:11" x14ac:dyDescent="0.45">
      <c r="A558" t="s">
        <v>90</v>
      </c>
      <c r="B558" t="s">
        <v>0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2070</v>
      </c>
      <c r="J558">
        <v>2.81E-2</v>
      </c>
      <c r="K558" t="s">
        <v>27</v>
      </c>
    </row>
    <row r="559" spans="1:11" x14ac:dyDescent="0.45">
      <c r="A559" t="s">
        <v>90</v>
      </c>
      <c r="B559" t="s">
        <v>0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2070</v>
      </c>
      <c r="J559">
        <v>4.8399999999999999E-2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2070</v>
      </c>
      <c r="J560">
        <v>8.3350000000000007E-2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7.1599999999999997E-2</v>
      </c>
      <c r="K561" t="s">
        <v>28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2.6250000000000002E-2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2070</v>
      </c>
      <c r="J563">
        <v>0.12920000000000001</v>
      </c>
      <c r="K563" t="s">
        <v>85</v>
      </c>
    </row>
    <row r="564" spans="1:11" x14ac:dyDescent="0.45">
      <c r="A564" t="s">
        <v>90</v>
      </c>
      <c r="B564" t="s">
        <v>5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2070</v>
      </c>
      <c r="J564">
        <v>2.4899999999999999E-2</v>
      </c>
      <c r="K564" t="s">
        <v>24</v>
      </c>
    </row>
    <row r="565" spans="1:11" x14ac:dyDescent="0.45">
      <c r="A565" t="s">
        <v>90</v>
      </c>
      <c r="B565" t="s">
        <v>5</v>
      </c>
      <c r="C565" t="s">
        <v>84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2070</v>
      </c>
      <c r="J565">
        <v>0.10795</v>
      </c>
      <c r="K565" t="s">
        <v>28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5.2850000000000001E-2</v>
      </c>
      <c r="K566" t="s">
        <v>27</v>
      </c>
    </row>
    <row r="567" spans="1:11" x14ac:dyDescent="0.45">
      <c r="A567" t="s">
        <v>90</v>
      </c>
      <c r="B567" t="s">
        <v>5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3.2750000000000001E-2</v>
      </c>
      <c r="K567" t="s">
        <v>85</v>
      </c>
    </row>
    <row r="568" spans="1:11" x14ac:dyDescent="0.45">
      <c r="A568" t="s">
        <v>90</v>
      </c>
      <c r="B568" t="s">
        <v>2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2070</v>
      </c>
      <c r="J568">
        <v>7.9449999999999993E-2</v>
      </c>
      <c r="K568" t="s">
        <v>24</v>
      </c>
    </row>
    <row r="569" spans="1:11" x14ac:dyDescent="0.45">
      <c r="A569" t="s">
        <v>90</v>
      </c>
      <c r="B569" t="s">
        <v>2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2070</v>
      </c>
      <c r="J569">
        <v>7.1199999999999999E-2</v>
      </c>
      <c r="K569" t="s">
        <v>28</v>
      </c>
    </row>
    <row r="570" spans="1:11" x14ac:dyDescent="0.45">
      <c r="A570" t="s">
        <v>90</v>
      </c>
      <c r="B570" t="s">
        <v>2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2070</v>
      </c>
      <c r="J570">
        <v>2.4649999999999998E-2</v>
      </c>
      <c r="K570" t="s">
        <v>27</v>
      </c>
    </row>
    <row r="571" spans="1:11" x14ac:dyDescent="0.45">
      <c r="A571" t="s">
        <v>90</v>
      </c>
      <c r="B571" t="s">
        <v>2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5.525E-2</v>
      </c>
      <c r="K571" t="s">
        <v>85</v>
      </c>
    </row>
    <row r="572" spans="1:11" x14ac:dyDescent="0.45">
      <c r="A572" t="s">
        <v>90</v>
      </c>
      <c r="B572" t="s">
        <v>1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2070</v>
      </c>
      <c r="J572">
        <v>9.4350000000000003E-2</v>
      </c>
      <c r="K572" t="s">
        <v>24</v>
      </c>
    </row>
    <row r="573" spans="1:11" x14ac:dyDescent="0.45">
      <c r="A573" t="s">
        <v>90</v>
      </c>
      <c r="B573" t="s">
        <v>1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2070</v>
      </c>
      <c r="J573">
        <v>8.695E-2</v>
      </c>
      <c r="K573" t="s">
        <v>28</v>
      </c>
    </row>
    <row r="574" spans="1:11" x14ac:dyDescent="0.45">
      <c r="A574" t="s">
        <v>90</v>
      </c>
      <c r="B574" t="s">
        <v>1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2070</v>
      </c>
      <c r="J574">
        <v>3.7999999999999999E-2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0.1169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0.09</v>
      </c>
      <c r="K576" t="s">
        <v>24</v>
      </c>
    </row>
    <row r="577" spans="1:11" x14ac:dyDescent="0.45">
      <c r="A577" t="s">
        <v>90</v>
      </c>
      <c r="B577" t="s">
        <v>3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2075</v>
      </c>
      <c r="J577">
        <v>0.10339999999999999</v>
      </c>
      <c r="K577" t="s">
        <v>28</v>
      </c>
    </row>
    <row r="578" spans="1:11" x14ac:dyDescent="0.45">
      <c r="A578" t="s">
        <v>90</v>
      </c>
      <c r="B578" t="s">
        <v>3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2075</v>
      </c>
      <c r="J578">
        <v>3.6400000000000002E-2</v>
      </c>
      <c r="K578" t="s">
        <v>27</v>
      </c>
    </row>
    <row r="579" spans="1:11" x14ac:dyDescent="0.45">
      <c r="A579" t="s">
        <v>90</v>
      </c>
      <c r="B579" t="s">
        <v>3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2075</v>
      </c>
      <c r="J579">
        <v>4.3249999999999997E-2</v>
      </c>
      <c r="K579" t="s">
        <v>85</v>
      </c>
    </row>
    <row r="580" spans="1:11" x14ac:dyDescent="0.45">
      <c r="A580" t="s">
        <v>90</v>
      </c>
      <c r="B580" t="s">
        <v>4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6.989999999999999E-2</v>
      </c>
      <c r="K580" t="s">
        <v>24</v>
      </c>
    </row>
    <row r="581" spans="1:11" x14ac:dyDescent="0.45">
      <c r="A581" t="s">
        <v>90</v>
      </c>
      <c r="B581" t="s">
        <v>4</v>
      </c>
      <c r="C581" t="s">
        <v>84</v>
      </c>
      <c r="D581" t="s">
        <v>28</v>
      </c>
      <c r="E581" t="s">
        <v>25</v>
      </c>
      <c r="F581" t="s">
        <v>28</v>
      </c>
      <c r="G581" t="s">
        <v>26</v>
      </c>
      <c r="H581" t="s">
        <v>12</v>
      </c>
      <c r="I581">
        <v>2075</v>
      </c>
      <c r="J581">
        <v>8.3000000000000004E-2</v>
      </c>
      <c r="K581" t="s">
        <v>28</v>
      </c>
    </row>
    <row r="582" spans="1:11" x14ac:dyDescent="0.45">
      <c r="A582" t="s">
        <v>90</v>
      </c>
      <c r="B582" t="s">
        <v>4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2075</v>
      </c>
      <c r="J582">
        <v>2.5500000000000002E-2</v>
      </c>
      <c r="K582" t="s">
        <v>27</v>
      </c>
    </row>
    <row r="583" spans="1:11" x14ac:dyDescent="0.45">
      <c r="A583" t="s">
        <v>90</v>
      </c>
      <c r="B583" t="s">
        <v>4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2075</v>
      </c>
      <c r="J583">
        <v>4.8050000000000002E-2</v>
      </c>
      <c r="K583" t="s">
        <v>85</v>
      </c>
    </row>
    <row r="584" spans="1:11" x14ac:dyDescent="0.45">
      <c r="A584" t="s">
        <v>90</v>
      </c>
      <c r="B584" t="s">
        <v>0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8.795E-2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9.9599999999999994E-2</v>
      </c>
      <c r="K585" t="s">
        <v>28</v>
      </c>
    </row>
    <row r="586" spans="1:11" x14ac:dyDescent="0.45">
      <c r="A586" t="s">
        <v>90</v>
      </c>
      <c r="B586" t="s">
        <v>0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3.1800000000000002E-2</v>
      </c>
      <c r="K586" t="s">
        <v>27</v>
      </c>
    </row>
    <row r="587" spans="1:11" x14ac:dyDescent="0.45">
      <c r="A587" t="s">
        <v>90</v>
      </c>
      <c r="B587" t="s">
        <v>0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2075</v>
      </c>
      <c r="J587">
        <v>4.4900000000000002E-2</v>
      </c>
      <c r="K587" t="s">
        <v>85</v>
      </c>
    </row>
    <row r="588" spans="1:11" x14ac:dyDescent="0.45">
      <c r="A588" t="s">
        <v>90</v>
      </c>
      <c r="B588" t="s">
        <v>6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8.2449999999999996E-2</v>
      </c>
      <c r="K588" t="s">
        <v>24</v>
      </c>
    </row>
    <row r="589" spans="1:11" x14ac:dyDescent="0.45">
      <c r="A589" t="s">
        <v>90</v>
      </c>
      <c r="B589" t="s">
        <v>6</v>
      </c>
      <c r="C589" t="s">
        <v>84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9.240000000000001E-2</v>
      </c>
      <c r="K589" t="s">
        <v>28</v>
      </c>
    </row>
    <row r="590" spans="1:11" x14ac:dyDescent="0.45">
      <c r="A590" t="s">
        <v>90</v>
      </c>
      <c r="B590" t="s">
        <v>6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2.9699999999999997E-2</v>
      </c>
      <c r="K590" t="s">
        <v>27</v>
      </c>
    </row>
    <row r="591" spans="1:11" x14ac:dyDescent="0.45">
      <c r="A591" t="s">
        <v>90</v>
      </c>
      <c r="B591" t="s">
        <v>6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2075</v>
      </c>
      <c r="J591">
        <v>0.11835</v>
      </c>
      <c r="K591" t="s">
        <v>85</v>
      </c>
    </row>
    <row r="592" spans="1:11" x14ac:dyDescent="0.45">
      <c r="A592" t="s">
        <v>90</v>
      </c>
      <c r="B592" t="s">
        <v>5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2075</v>
      </c>
      <c r="J592">
        <v>2.35E-2</v>
      </c>
      <c r="K592" t="s">
        <v>24</v>
      </c>
    </row>
    <row r="593" spans="1:11" x14ac:dyDescent="0.45">
      <c r="A593" t="s">
        <v>90</v>
      </c>
      <c r="B593" t="s">
        <v>5</v>
      </c>
      <c r="C593" t="s">
        <v>84</v>
      </c>
      <c r="D593" t="s">
        <v>28</v>
      </c>
      <c r="E593" t="s">
        <v>25</v>
      </c>
      <c r="F593" t="s">
        <v>28</v>
      </c>
      <c r="G593" t="s">
        <v>26</v>
      </c>
      <c r="H593" t="s">
        <v>12</v>
      </c>
      <c r="I593">
        <v>2075</v>
      </c>
      <c r="J593">
        <v>0.12764999999999999</v>
      </c>
      <c r="K593" t="s">
        <v>28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5.4250000000000007E-2</v>
      </c>
      <c r="K594" t="s">
        <v>27</v>
      </c>
    </row>
    <row r="595" spans="1:11" x14ac:dyDescent="0.45">
      <c r="A595" t="s">
        <v>90</v>
      </c>
      <c r="B595" t="s">
        <v>5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2075</v>
      </c>
      <c r="J595">
        <v>3.2799999999999996E-2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2075</v>
      </c>
      <c r="J596">
        <v>7.8850000000000003E-2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2075</v>
      </c>
      <c r="J597">
        <v>9.1850000000000001E-2</v>
      </c>
      <c r="K597" t="s">
        <v>28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2075</v>
      </c>
      <c r="J598">
        <v>2.8049999999999999E-2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5.2400000000000002E-2</v>
      </c>
      <c r="K599" t="s">
        <v>85</v>
      </c>
    </row>
    <row r="600" spans="1:11" x14ac:dyDescent="0.45">
      <c r="A600" t="s">
        <v>90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2075</v>
      </c>
      <c r="J600">
        <v>9.64E-2</v>
      </c>
      <c r="K600" t="s">
        <v>24</v>
      </c>
    </row>
    <row r="601" spans="1:11" x14ac:dyDescent="0.45">
      <c r="A601" t="s">
        <v>90</v>
      </c>
      <c r="B601" t="s">
        <v>1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2075</v>
      </c>
      <c r="J601">
        <v>0.11125</v>
      </c>
      <c r="K601" t="s">
        <v>28</v>
      </c>
    </row>
    <row r="602" spans="1:11" x14ac:dyDescent="0.45">
      <c r="A602" t="s">
        <v>90</v>
      </c>
      <c r="B602" t="s">
        <v>1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4.2349999999999999E-2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0.1055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9.035E-2</v>
      </c>
      <c r="K604" t="s">
        <v>24</v>
      </c>
    </row>
    <row r="605" spans="1:11" x14ac:dyDescent="0.45">
      <c r="A605" t="s">
        <v>90</v>
      </c>
      <c r="B605" t="s">
        <v>3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2080</v>
      </c>
      <c r="J605">
        <v>0.12429999999999999</v>
      </c>
      <c r="K605" t="s">
        <v>28</v>
      </c>
    </row>
    <row r="606" spans="1:11" x14ac:dyDescent="0.45">
      <c r="A606" t="s">
        <v>90</v>
      </c>
      <c r="B606" t="s">
        <v>3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2080</v>
      </c>
      <c r="J606">
        <v>4.0349999999999997E-2</v>
      </c>
      <c r="K606" t="s">
        <v>27</v>
      </c>
    </row>
    <row r="607" spans="1:11" x14ac:dyDescent="0.45">
      <c r="A607" t="s">
        <v>90</v>
      </c>
      <c r="B607" t="s">
        <v>3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2080</v>
      </c>
      <c r="J607">
        <v>4.0300000000000002E-2</v>
      </c>
      <c r="K607" t="s">
        <v>85</v>
      </c>
    </row>
    <row r="608" spans="1:11" x14ac:dyDescent="0.45">
      <c r="A608" t="s">
        <v>90</v>
      </c>
      <c r="B608" t="s">
        <v>4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7.1200000000000013E-2</v>
      </c>
      <c r="K608" t="s">
        <v>24</v>
      </c>
    </row>
    <row r="609" spans="1:11" x14ac:dyDescent="0.45">
      <c r="A609" t="s">
        <v>90</v>
      </c>
      <c r="B609" t="s">
        <v>4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2080</v>
      </c>
      <c r="J609">
        <v>0.1013</v>
      </c>
      <c r="K609" t="s">
        <v>28</v>
      </c>
    </row>
    <row r="610" spans="1:11" x14ac:dyDescent="0.45">
      <c r="A610" t="s">
        <v>90</v>
      </c>
      <c r="B610" t="s">
        <v>4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2080</v>
      </c>
      <c r="J610">
        <v>2.8999999999999998E-2</v>
      </c>
      <c r="K610" t="s">
        <v>27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2080</v>
      </c>
      <c r="J611">
        <v>4.9700000000000001E-2</v>
      </c>
      <c r="K611" t="s">
        <v>85</v>
      </c>
    </row>
    <row r="612" spans="1:11" x14ac:dyDescent="0.45">
      <c r="A612" t="s">
        <v>90</v>
      </c>
      <c r="B612" t="s">
        <v>0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2080</v>
      </c>
      <c r="J612">
        <v>8.8800000000000004E-2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0.11985</v>
      </c>
      <c r="K613" t="s">
        <v>28</v>
      </c>
    </row>
    <row r="614" spans="1:11" x14ac:dyDescent="0.45">
      <c r="A614" t="s">
        <v>90</v>
      </c>
      <c r="B614" t="s">
        <v>0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2080</v>
      </c>
      <c r="J614">
        <v>3.5650000000000001E-2</v>
      </c>
      <c r="K614" t="s">
        <v>27</v>
      </c>
    </row>
    <row r="615" spans="1:11" x14ac:dyDescent="0.45">
      <c r="A615" t="s">
        <v>90</v>
      </c>
      <c r="B615" t="s">
        <v>0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2080</v>
      </c>
      <c r="J615">
        <v>4.2349999999999999E-2</v>
      </c>
      <c r="K615" t="s">
        <v>85</v>
      </c>
    </row>
    <row r="616" spans="1:11" x14ac:dyDescent="0.45">
      <c r="A616" t="s">
        <v>90</v>
      </c>
      <c r="B616" t="s">
        <v>6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2080</v>
      </c>
      <c r="J616">
        <v>8.2549999999999998E-2</v>
      </c>
      <c r="K616" t="s">
        <v>24</v>
      </c>
    </row>
    <row r="617" spans="1:11" x14ac:dyDescent="0.45">
      <c r="A617" t="s">
        <v>90</v>
      </c>
      <c r="B617" t="s">
        <v>6</v>
      </c>
      <c r="C617" t="s">
        <v>84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0.11169999999999999</v>
      </c>
      <c r="K617" t="s">
        <v>28</v>
      </c>
    </row>
    <row r="618" spans="1:11" x14ac:dyDescent="0.45">
      <c r="A618" t="s">
        <v>90</v>
      </c>
      <c r="B618" t="s">
        <v>6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3.3399999999999999E-2</v>
      </c>
      <c r="K618" t="s">
        <v>27</v>
      </c>
    </row>
    <row r="619" spans="1:11" x14ac:dyDescent="0.45">
      <c r="A619" t="s">
        <v>90</v>
      </c>
      <c r="B619" t="s">
        <v>6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2080</v>
      </c>
      <c r="J619">
        <v>0.10865</v>
      </c>
      <c r="K619" t="s">
        <v>85</v>
      </c>
    </row>
    <row r="620" spans="1:11" x14ac:dyDescent="0.45">
      <c r="A620" t="s">
        <v>90</v>
      </c>
      <c r="B620" t="s">
        <v>5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2.2749999999999999E-2</v>
      </c>
      <c r="K620" t="s">
        <v>24</v>
      </c>
    </row>
    <row r="621" spans="1:11" x14ac:dyDescent="0.45">
      <c r="A621" t="s">
        <v>90</v>
      </c>
      <c r="B621" t="s">
        <v>5</v>
      </c>
      <c r="C621" t="s">
        <v>84</v>
      </c>
      <c r="D621" t="s">
        <v>28</v>
      </c>
      <c r="E621" t="s">
        <v>25</v>
      </c>
      <c r="F621" t="s">
        <v>28</v>
      </c>
      <c r="G621" t="s">
        <v>26</v>
      </c>
      <c r="H621" t="s">
        <v>12</v>
      </c>
      <c r="I621">
        <v>2080</v>
      </c>
      <c r="J621">
        <v>0.1447</v>
      </c>
      <c r="K621" t="s">
        <v>28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5.5800000000000002E-2</v>
      </c>
      <c r="K622" t="s">
        <v>27</v>
      </c>
    </row>
    <row r="623" spans="1:11" x14ac:dyDescent="0.45">
      <c r="A623" t="s">
        <v>90</v>
      </c>
      <c r="B623" t="s">
        <v>5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2080</v>
      </c>
      <c r="J623">
        <v>3.1300000000000001E-2</v>
      </c>
      <c r="K623" t="s">
        <v>85</v>
      </c>
    </row>
    <row r="624" spans="1:11" x14ac:dyDescent="0.45">
      <c r="A624" t="s">
        <v>90</v>
      </c>
      <c r="B624" t="s">
        <v>2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2080</v>
      </c>
      <c r="J624">
        <v>7.9350000000000004E-2</v>
      </c>
      <c r="K624" t="s">
        <v>24</v>
      </c>
    </row>
    <row r="625" spans="1:11" x14ac:dyDescent="0.45">
      <c r="A625" t="s">
        <v>90</v>
      </c>
      <c r="B625" t="s">
        <v>2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2080</v>
      </c>
      <c r="J625">
        <v>0.11094999999999999</v>
      </c>
      <c r="K625" t="s">
        <v>28</v>
      </c>
    </row>
    <row r="626" spans="1:11" x14ac:dyDescent="0.45">
      <c r="A626" t="s">
        <v>90</v>
      </c>
      <c r="B626" t="s">
        <v>2</v>
      </c>
      <c r="C626" t="s">
        <v>84</v>
      </c>
      <c r="D626" t="s">
        <v>27</v>
      </c>
      <c r="E626" t="s">
        <v>25</v>
      </c>
      <c r="F626" t="s">
        <v>27</v>
      </c>
      <c r="G626" t="s">
        <v>26</v>
      </c>
      <c r="H626" t="s">
        <v>10</v>
      </c>
      <c r="I626">
        <v>2080</v>
      </c>
      <c r="J626">
        <v>3.1600000000000003E-2</v>
      </c>
      <c r="K626" t="s">
        <v>27</v>
      </c>
    </row>
    <row r="627" spans="1:11" x14ac:dyDescent="0.45">
      <c r="A627" t="s">
        <v>90</v>
      </c>
      <c r="B627" t="s">
        <v>2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5.015E-2</v>
      </c>
      <c r="K627" t="s">
        <v>85</v>
      </c>
    </row>
    <row r="628" spans="1:11" x14ac:dyDescent="0.45">
      <c r="A628" t="s">
        <v>90</v>
      </c>
      <c r="B628" t="s">
        <v>1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2080</v>
      </c>
      <c r="J628">
        <v>9.8349999999999993E-2</v>
      </c>
      <c r="K628" t="s">
        <v>24</v>
      </c>
    </row>
    <row r="629" spans="1:11" x14ac:dyDescent="0.45">
      <c r="A629" t="s">
        <v>90</v>
      </c>
      <c r="B629" t="s">
        <v>1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2080</v>
      </c>
      <c r="J629">
        <v>0.13275000000000001</v>
      </c>
      <c r="K629" t="s">
        <v>28</v>
      </c>
    </row>
    <row r="630" spans="1:11" x14ac:dyDescent="0.45">
      <c r="A630" t="s">
        <v>90</v>
      </c>
      <c r="B630" t="s">
        <v>1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2080</v>
      </c>
      <c r="J630">
        <v>4.65E-2</v>
      </c>
      <c r="K630" t="s">
        <v>27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9.6000000000000002E-2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8.829999999999999E-2</v>
      </c>
      <c r="K632" t="s">
        <v>24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2085</v>
      </c>
      <c r="J633">
        <v>0.14795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27</v>
      </c>
      <c r="E634" t="s">
        <v>25</v>
      </c>
      <c r="F634" t="s">
        <v>27</v>
      </c>
      <c r="G634" t="s">
        <v>26</v>
      </c>
      <c r="H634" t="s">
        <v>10</v>
      </c>
      <c r="I634">
        <v>2085</v>
      </c>
      <c r="J634">
        <v>4.4249999999999998E-2</v>
      </c>
      <c r="K634" t="s">
        <v>27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2085</v>
      </c>
      <c r="J635">
        <v>3.8199999999999998E-2</v>
      </c>
      <c r="K635" t="s">
        <v>85</v>
      </c>
    </row>
    <row r="636" spans="1:11" x14ac:dyDescent="0.45">
      <c r="A636" t="s">
        <v>90</v>
      </c>
      <c r="B636" t="s">
        <v>4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6.9250000000000006E-2</v>
      </c>
      <c r="K636" t="s">
        <v>24</v>
      </c>
    </row>
    <row r="637" spans="1:11" x14ac:dyDescent="0.45">
      <c r="A637" t="s">
        <v>90</v>
      </c>
      <c r="B637" t="s">
        <v>4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2085</v>
      </c>
      <c r="J637">
        <v>0.12090000000000001</v>
      </c>
      <c r="K637" t="s">
        <v>28</v>
      </c>
    </row>
    <row r="638" spans="1:11" x14ac:dyDescent="0.45">
      <c r="A638" t="s">
        <v>90</v>
      </c>
      <c r="B638" t="s">
        <v>4</v>
      </c>
      <c r="C638" t="s">
        <v>84</v>
      </c>
      <c r="D638" t="s">
        <v>27</v>
      </c>
      <c r="E638" t="s">
        <v>25</v>
      </c>
      <c r="F638" t="s">
        <v>27</v>
      </c>
      <c r="G638" t="s">
        <v>26</v>
      </c>
      <c r="H638" t="s">
        <v>10</v>
      </c>
      <c r="I638">
        <v>2085</v>
      </c>
      <c r="J638">
        <v>3.2250000000000001E-2</v>
      </c>
      <c r="K638" t="s">
        <v>27</v>
      </c>
    </row>
    <row r="639" spans="1:11" x14ac:dyDescent="0.45">
      <c r="A639" t="s">
        <v>90</v>
      </c>
      <c r="B639" t="s">
        <v>4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2085</v>
      </c>
      <c r="J639">
        <v>6.6400000000000001E-2</v>
      </c>
      <c r="K639" t="s">
        <v>85</v>
      </c>
    </row>
    <row r="640" spans="1:11" x14ac:dyDescent="0.45">
      <c r="A640" t="s">
        <v>90</v>
      </c>
      <c r="B640" t="s">
        <v>0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2085</v>
      </c>
      <c r="J640">
        <v>8.7299999999999989E-2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0.14324999999999999</v>
      </c>
      <c r="K641" t="s">
        <v>28</v>
      </c>
    </row>
    <row r="642" spans="1:11" x14ac:dyDescent="0.45">
      <c r="A642" t="s">
        <v>90</v>
      </c>
      <c r="B642" t="s">
        <v>0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2085</v>
      </c>
      <c r="J642">
        <v>3.9600000000000003E-2</v>
      </c>
      <c r="K642" t="s">
        <v>27</v>
      </c>
    </row>
    <row r="643" spans="1:11" x14ac:dyDescent="0.45">
      <c r="A643" t="s">
        <v>90</v>
      </c>
      <c r="B643" t="s">
        <v>0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2085</v>
      </c>
      <c r="J643">
        <v>4.0349999999999997E-2</v>
      </c>
      <c r="K643" t="s">
        <v>85</v>
      </c>
    </row>
    <row r="644" spans="1:11" x14ac:dyDescent="0.45">
      <c r="A644" t="s">
        <v>90</v>
      </c>
      <c r="B644" t="s">
        <v>6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2085</v>
      </c>
      <c r="J644">
        <v>8.0949999999999994E-2</v>
      </c>
      <c r="K644" t="s">
        <v>24</v>
      </c>
    </row>
    <row r="645" spans="1:11" x14ac:dyDescent="0.45">
      <c r="A645" t="s">
        <v>90</v>
      </c>
      <c r="B645" t="s">
        <v>6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0.13419999999999999</v>
      </c>
      <c r="K645" t="s">
        <v>28</v>
      </c>
    </row>
    <row r="646" spans="1:11" x14ac:dyDescent="0.45">
      <c r="A646" t="s">
        <v>90</v>
      </c>
      <c r="B646" t="s">
        <v>6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3.705E-2</v>
      </c>
      <c r="K646" t="s">
        <v>27</v>
      </c>
    </row>
    <row r="647" spans="1:11" x14ac:dyDescent="0.45">
      <c r="A647" t="s">
        <v>90</v>
      </c>
      <c r="B647" t="s">
        <v>6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2085</v>
      </c>
      <c r="J647">
        <v>9.6949999999999995E-2</v>
      </c>
      <c r="K647" t="s">
        <v>85</v>
      </c>
    </row>
    <row r="648" spans="1:11" x14ac:dyDescent="0.45">
      <c r="A648" t="s">
        <v>90</v>
      </c>
      <c r="B648" t="s">
        <v>5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2085</v>
      </c>
      <c r="J648">
        <v>2.4300000000000002E-2</v>
      </c>
      <c r="K648" t="s">
        <v>24</v>
      </c>
    </row>
    <row r="649" spans="1:11" x14ac:dyDescent="0.45">
      <c r="A649" t="s">
        <v>90</v>
      </c>
      <c r="B649" t="s">
        <v>5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2085</v>
      </c>
      <c r="J649">
        <v>0.16385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5.7099999999999998E-2</v>
      </c>
      <c r="K650" t="s">
        <v>27</v>
      </c>
    </row>
    <row r="651" spans="1:11" x14ac:dyDescent="0.45">
      <c r="A651" t="s">
        <v>90</v>
      </c>
      <c r="B651" t="s">
        <v>5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2085</v>
      </c>
      <c r="J651">
        <v>2.87E-2</v>
      </c>
      <c r="K651" t="s">
        <v>85</v>
      </c>
    </row>
    <row r="652" spans="1:11" x14ac:dyDescent="0.45">
      <c r="A652" t="s">
        <v>90</v>
      </c>
      <c r="B652" t="s">
        <v>2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2085</v>
      </c>
      <c r="J652">
        <v>7.7850000000000003E-2</v>
      </c>
      <c r="K652" t="s">
        <v>24</v>
      </c>
    </row>
    <row r="653" spans="1:11" x14ac:dyDescent="0.45">
      <c r="A653" t="s">
        <v>90</v>
      </c>
      <c r="B653" t="s">
        <v>2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2085</v>
      </c>
      <c r="J653">
        <v>0.13169999999999998</v>
      </c>
      <c r="K653" t="s">
        <v>28</v>
      </c>
    </row>
    <row r="654" spans="1:11" x14ac:dyDescent="0.45">
      <c r="A654" t="s">
        <v>90</v>
      </c>
      <c r="B654" t="s">
        <v>2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2085</v>
      </c>
      <c r="J654">
        <v>3.5049999999999998E-2</v>
      </c>
      <c r="K654" t="s">
        <v>27</v>
      </c>
    </row>
    <row r="655" spans="1:11" x14ac:dyDescent="0.45">
      <c r="A655" t="s">
        <v>90</v>
      </c>
      <c r="B655" t="s">
        <v>2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5.3849999999999995E-2</v>
      </c>
      <c r="K655" t="s">
        <v>85</v>
      </c>
    </row>
    <row r="656" spans="1:11" x14ac:dyDescent="0.45">
      <c r="A656" t="s">
        <v>90</v>
      </c>
      <c r="B656" t="s">
        <v>1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2085</v>
      </c>
      <c r="J656">
        <v>9.6849999999999992E-2</v>
      </c>
      <c r="K656" t="s">
        <v>24</v>
      </c>
    </row>
    <row r="657" spans="1:11" x14ac:dyDescent="0.45">
      <c r="A657" t="s">
        <v>90</v>
      </c>
      <c r="B657" t="s">
        <v>1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2085</v>
      </c>
      <c r="J657">
        <v>0.15665000000000001</v>
      </c>
      <c r="K657" t="s">
        <v>28</v>
      </c>
    </row>
    <row r="658" spans="1:11" x14ac:dyDescent="0.45">
      <c r="A658" t="s">
        <v>90</v>
      </c>
      <c r="B658" t="s">
        <v>1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2085</v>
      </c>
      <c r="J658">
        <v>5.0450000000000002E-2</v>
      </c>
      <c r="K658" t="s">
        <v>27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8.6900000000000005E-2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8.7650000000000006E-2</v>
      </c>
      <c r="K660" t="s">
        <v>24</v>
      </c>
    </row>
    <row r="661" spans="1:11" x14ac:dyDescent="0.45">
      <c r="A661" t="s">
        <v>90</v>
      </c>
      <c r="B661" t="s">
        <v>3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2090</v>
      </c>
      <c r="J661">
        <v>0.17049999999999998</v>
      </c>
      <c r="K661" t="s">
        <v>28</v>
      </c>
    </row>
    <row r="662" spans="1:11" x14ac:dyDescent="0.45">
      <c r="A662" t="s">
        <v>90</v>
      </c>
      <c r="B662" t="s">
        <v>3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2090</v>
      </c>
      <c r="J662">
        <v>4.8299999999999996E-2</v>
      </c>
      <c r="K662" t="s">
        <v>27</v>
      </c>
    </row>
    <row r="663" spans="1:11" x14ac:dyDescent="0.45">
      <c r="A663" t="s">
        <v>90</v>
      </c>
      <c r="B663" t="s">
        <v>3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2090</v>
      </c>
      <c r="J663">
        <v>3.585E-2</v>
      </c>
      <c r="K663" t="s">
        <v>85</v>
      </c>
    </row>
    <row r="664" spans="1:11" x14ac:dyDescent="0.45">
      <c r="A664" t="s">
        <v>90</v>
      </c>
      <c r="B664" t="s">
        <v>4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6.83E-2</v>
      </c>
      <c r="K664" t="s">
        <v>24</v>
      </c>
    </row>
    <row r="665" spans="1:11" x14ac:dyDescent="0.45">
      <c r="A665" t="s">
        <v>90</v>
      </c>
      <c r="B665" t="s">
        <v>4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2090</v>
      </c>
      <c r="J665">
        <v>0.13979999999999998</v>
      </c>
      <c r="K665" t="s">
        <v>28</v>
      </c>
    </row>
    <row r="666" spans="1:11" x14ac:dyDescent="0.45">
      <c r="A666" t="s">
        <v>90</v>
      </c>
      <c r="B666" t="s">
        <v>4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2090</v>
      </c>
      <c r="J666">
        <v>3.5549999999999998E-2</v>
      </c>
      <c r="K666" t="s">
        <v>27</v>
      </c>
    </row>
    <row r="667" spans="1:11" x14ac:dyDescent="0.45">
      <c r="A667" t="s">
        <v>90</v>
      </c>
      <c r="B667" t="s">
        <v>4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2090</v>
      </c>
      <c r="J667">
        <v>7.9000000000000001E-2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2090</v>
      </c>
      <c r="J668">
        <v>8.6749999999999994E-2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0.1658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2090</v>
      </c>
      <c r="J670">
        <v>4.3749999999999997E-2</v>
      </c>
      <c r="K670" t="s">
        <v>27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2090</v>
      </c>
      <c r="J671">
        <v>3.7650000000000003E-2</v>
      </c>
      <c r="K671" t="s">
        <v>85</v>
      </c>
    </row>
    <row r="672" spans="1:11" x14ac:dyDescent="0.45">
      <c r="A672" t="s">
        <v>90</v>
      </c>
      <c r="B672" t="s">
        <v>6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2090</v>
      </c>
      <c r="J672">
        <v>8.0449999999999994E-2</v>
      </c>
      <c r="K672" t="s">
        <v>24</v>
      </c>
    </row>
    <row r="673" spans="1:11" x14ac:dyDescent="0.45">
      <c r="A673" t="s">
        <v>90</v>
      </c>
      <c r="B673" t="s">
        <v>6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0.15594999999999998</v>
      </c>
      <c r="K673" t="s">
        <v>28</v>
      </c>
    </row>
    <row r="674" spans="1:11" x14ac:dyDescent="0.45">
      <c r="A674" t="s">
        <v>90</v>
      </c>
      <c r="B674" t="s">
        <v>6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4.0849999999999997E-2</v>
      </c>
      <c r="K674" t="s">
        <v>27</v>
      </c>
    </row>
    <row r="675" spans="1:11" x14ac:dyDescent="0.45">
      <c r="A675" t="s">
        <v>90</v>
      </c>
      <c r="B675" t="s">
        <v>6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2090</v>
      </c>
      <c r="J675">
        <v>8.6249999999999993E-2</v>
      </c>
      <c r="K675" t="s">
        <v>85</v>
      </c>
    </row>
    <row r="676" spans="1:11" x14ac:dyDescent="0.45">
      <c r="A676" t="s">
        <v>90</v>
      </c>
      <c r="B676" t="s">
        <v>5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2090</v>
      </c>
      <c r="J676">
        <v>2.5750000000000002E-2</v>
      </c>
      <c r="K676" t="s">
        <v>24</v>
      </c>
    </row>
    <row r="677" spans="1:11" x14ac:dyDescent="0.45">
      <c r="A677" t="s">
        <v>90</v>
      </c>
      <c r="B677" t="s">
        <v>5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2090</v>
      </c>
      <c r="J677">
        <v>0.18104999999999999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5.9249999999999997E-2</v>
      </c>
      <c r="K678" t="s">
        <v>27</v>
      </c>
    </row>
    <row r="679" spans="1:11" x14ac:dyDescent="0.45">
      <c r="A679" t="s">
        <v>90</v>
      </c>
      <c r="B679" t="s">
        <v>5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2090</v>
      </c>
      <c r="J679">
        <v>2.5149999999999999E-2</v>
      </c>
      <c r="K679" t="s">
        <v>85</v>
      </c>
    </row>
    <row r="680" spans="1:11" x14ac:dyDescent="0.45">
      <c r="A680" t="s">
        <v>90</v>
      </c>
      <c r="B680" t="s">
        <v>2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2090</v>
      </c>
      <c r="J680">
        <v>7.7250000000000013E-2</v>
      </c>
      <c r="K680" t="s">
        <v>24</v>
      </c>
    </row>
    <row r="681" spans="1:11" x14ac:dyDescent="0.45">
      <c r="A681" t="s">
        <v>90</v>
      </c>
      <c r="B681" t="s">
        <v>2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2090</v>
      </c>
      <c r="J681">
        <v>0.15165000000000001</v>
      </c>
      <c r="K681" t="s">
        <v>28</v>
      </c>
    </row>
    <row r="682" spans="1:11" x14ac:dyDescent="0.45">
      <c r="A682" t="s">
        <v>90</v>
      </c>
      <c r="B682" t="s">
        <v>2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2090</v>
      </c>
      <c r="J682">
        <v>3.8449999999999998E-2</v>
      </c>
      <c r="K682" t="s">
        <v>27</v>
      </c>
    </row>
    <row r="683" spans="1:11" x14ac:dyDescent="0.45">
      <c r="A683" t="s">
        <v>90</v>
      </c>
      <c r="B683" t="s">
        <v>2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5.7000000000000002E-2</v>
      </c>
      <c r="K683" t="s">
        <v>85</v>
      </c>
    </row>
    <row r="684" spans="1:11" x14ac:dyDescent="0.45">
      <c r="A684" t="s">
        <v>90</v>
      </c>
      <c r="B684" t="s">
        <v>1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2090</v>
      </c>
      <c r="J684">
        <v>9.6149999999999999E-2</v>
      </c>
      <c r="K684" t="s">
        <v>24</v>
      </c>
    </row>
    <row r="685" spans="1:11" x14ac:dyDescent="0.45">
      <c r="A685" t="s">
        <v>90</v>
      </c>
      <c r="B685" t="s">
        <v>1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2090</v>
      </c>
      <c r="J685">
        <v>0.17854999999999999</v>
      </c>
      <c r="K685" t="s">
        <v>28</v>
      </c>
    </row>
    <row r="686" spans="1:11" x14ac:dyDescent="0.45">
      <c r="A686" t="s">
        <v>90</v>
      </c>
      <c r="B686" t="s">
        <v>1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2090</v>
      </c>
      <c r="J686">
        <v>5.4399999999999997E-2</v>
      </c>
      <c r="K686" t="s">
        <v>27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6.4500000000000002E-2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8.4650000000000003E-2</v>
      </c>
      <c r="K688" t="s">
        <v>24</v>
      </c>
    </row>
    <row r="689" spans="1:11" x14ac:dyDescent="0.45">
      <c r="A689" t="s">
        <v>90</v>
      </c>
      <c r="B689" t="s">
        <v>3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2095</v>
      </c>
      <c r="J689">
        <v>0.18325</v>
      </c>
      <c r="K689" t="s">
        <v>28</v>
      </c>
    </row>
    <row r="690" spans="1:11" x14ac:dyDescent="0.45">
      <c r="A690" t="s">
        <v>90</v>
      </c>
      <c r="B690" t="s">
        <v>3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2095</v>
      </c>
      <c r="J690">
        <v>5.1650000000000001E-2</v>
      </c>
      <c r="K690" t="s">
        <v>27</v>
      </c>
    </row>
    <row r="691" spans="1:11" x14ac:dyDescent="0.45">
      <c r="A691" t="s">
        <v>90</v>
      </c>
      <c r="B691" t="s">
        <v>3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3.6199999999999996E-2</v>
      </c>
      <c r="K691" t="s">
        <v>85</v>
      </c>
    </row>
    <row r="692" spans="1:11" x14ac:dyDescent="0.45">
      <c r="A692" t="s">
        <v>90</v>
      </c>
      <c r="B692" t="s">
        <v>4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6.6799999999999998E-2</v>
      </c>
      <c r="K692" t="s">
        <v>24</v>
      </c>
    </row>
    <row r="693" spans="1:11" x14ac:dyDescent="0.45">
      <c r="A693" t="s">
        <v>90</v>
      </c>
      <c r="B693" t="s">
        <v>4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2095</v>
      </c>
      <c r="J693">
        <v>0.15110000000000001</v>
      </c>
      <c r="K693" t="s">
        <v>28</v>
      </c>
    </row>
    <row r="694" spans="1:11" x14ac:dyDescent="0.45">
      <c r="A694" t="s">
        <v>90</v>
      </c>
      <c r="B694" t="s">
        <v>4</v>
      </c>
      <c r="C694" t="s">
        <v>84</v>
      </c>
      <c r="D694" t="s">
        <v>27</v>
      </c>
      <c r="E694" t="s">
        <v>25</v>
      </c>
      <c r="F694" t="s">
        <v>27</v>
      </c>
      <c r="G694" t="s">
        <v>26</v>
      </c>
      <c r="H694" t="s">
        <v>10</v>
      </c>
      <c r="I694">
        <v>2095</v>
      </c>
      <c r="J694">
        <v>3.8199999999999998E-2</v>
      </c>
      <c r="K694" t="s">
        <v>27</v>
      </c>
    </row>
    <row r="695" spans="1:11" x14ac:dyDescent="0.45">
      <c r="A695" t="s">
        <v>90</v>
      </c>
      <c r="B695" t="s">
        <v>4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2095</v>
      </c>
      <c r="J695">
        <v>0.107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2095</v>
      </c>
      <c r="J696">
        <v>8.4199999999999997E-2</v>
      </c>
      <c r="K696" t="s">
        <v>24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0.17925000000000002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2095</v>
      </c>
      <c r="J698">
        <v>4.7450000000000006E-2</v>
      </c>
      <c r="K698" t="s">
        <v>27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2095</v>
      </c>
      <c r="J699">
        <v>3.85E-2</v>
      </c>
      <c r="K699" t="s">
        <v>85</v>
      </c>
    </row>
    <row r="700" spans="1:11" x14ac:dyDescent="0.45">
      <c r="A700" t="s">
        <v>90</v>
      </c>
      <c r="B700" t="s">
        <v>6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2095</v>
      </c>
      <c r="J700">
        <v>7.8149999999999997E-2</v>
      </c>
      <c r="K700" t="s">
        <v>24</v>
      </c>
    </row>
    <row r="701" spans="1:11" x14ac:dyDescent="0.45">
      <c r="A701" t="s">
        <v>90</v>
      </c>
      <c r="B701" t="s">
        <v>6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0.16970000000000002</v>
      </c>
      <c r="K701" t="s">
        <v>28</v>
      </c>
    </row>
    <row r="702" spans="1:11" x14ac:dyDescent="0.45">
      <c r="A702" t="s">
        <v>90</v>
      </c>
      <c r="B702" t="s">
        <v>6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4.4149999999999995E-2</v>
      </c>
      <c r="K702" t="s">
        <v>27</v>
      </c>
    </row>
    <row r="703" spans="1:11" x14ac:dyDescent="0.45">
      <c r="A703" t="s">
        <v>90</v>
      </c>
      <c r="B703" t="s">
        <v>6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2095</v>
      </c>
      <c r="J703">
        <v>7.5249999999999997E-2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24</v>
      </c>
      <c r="E704" t="s">
        <v>25</v>
      </c>
      <c r="F704" t="s">
        <v>24</v>
      </c>
      <c r="G704" t="s">
        <v>26</v>
      </c>
      <c r="H704" t="s">
        <v>13</v>
      </c>
      <c r="I704">
        <v>2095</v>
      </c>
      <c r="J704">
        <v>2.6499999999999999E-2</v>
      </c>
      <c r="K704" t="s">
        <v>24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2095</v>
      </c>
      <c r="J705">
        <v>0.19195000000000001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6.0999999999999999E-2</v>
      </c>
      <c r="K706" t="s">
        <v>27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2095</v>
      </c>
      <c r="J707">
        <v>2.615E-2</v>
      </c>
      <c r="K707" t="s">
        <v>85</v>
      </c>
    </row>
    <row r="708" spans="1:11" x14ac:dyDescent="0.45">
      <c r="A708" t="s">
        <v>90</v>
      </c>
      <c r="B708" t="s">
        <v>2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2095</v>
      </c>
      <c r="J708">
        <v>7.5399999999999995E-2</v>
      </c>
      <c r="K708" t="s">
        <v>24</v>
      </c>
    </row>
    <row r="709" spans="1:11" x14ac:dyDescent="0.45">
      <c r="A709" t="s">
        <v>90</v>
      </c>
      <c r="B709" t="s">
        <v>2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2095</v>
      </c>
      <c r="J709">
        <v>0.1641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2095</v>
      </c>
      <c r="J710">
        <v>4.1249999999999995E-2</v>
      </c>
      <c r="K710" t="s">
        <v>27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5.885E-2</v>
      </c>
      <c r="K711" t="s">
        <v>85</v>
      </c>
    </row>
    <row r="712" spans="1:11" x14ac:dyDescent="0.45">
      <c r="A712" t="s">
        <v>90</v>
      </c>
      <c r="B712" t="s">
        <v>1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2095</v>
      </c>
      <c r="J712">
        <v>9.2599999999999988E-2</v>
      </c>
      <c r="K712" t="s">
        <v>24</v>
      </c>
    </row>
    <row r="713" spans="1:11" x14ac:dyDescent="0.45">
      <c r="A713" t="s">
        <v>90</v>
      </c>
      <c r="B713" t="s">
        <v>1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2095</v>
      </c>
      <c r="J713">
        <v>0.191</v>
      </c>
      <c r="K713" t="s">
        <v>28</v>
      </c>
    </row>
    <row r="714" spans="1:11" x14ac:dyDescent="0.45">
      <c r="A714" t="s">
        <v>90</v>
      </c>
      <c r="B714" t="s">
        <v>1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2095</v>
      </c>
      <c r="J714">
        <v>5.7499999999999996E-2</v>
      </c>
      <c r="K714" t="s">
        <v>27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2.955E-2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8.1449999999999995E-2</v>
      </c>
      <c r="K716" t="s">
        <v>24</v>
      </c>
    </row>
    <row r="717" spans="1:11" x14ac:dyDescent="0.45">
      <c r="A717" t="s">
        <v>90</v>
      </c>
      <c r="B717" t="s">
        <v>3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2100</v>
      </c>
      <c r="J717">
        <v>0.1958</v>
      </c>
      <c r="K717" t="s">
        <v>28</v>
      </c>
    </row>
    <row r="718" spans="1:11" x14ac:dyDescent="0.45">
      <c r="A718" t="s">
        <v>90</v>
      </c>
      <c r="B718" t="s">
        <v>3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2100</v>
      </c>
      <c r="J718">
        <v>5.4949999999999999E-2</v>
      </c>
      <c r="K718" t="s">
        <v>27</v>
      </c>
    </row>
    <row r="719" spans="1:11" x14ac:dyDescent="0.45">
      <c r="A719" t="s">
        <v>90</v>
      </c>
      <c r="B719" t="s">
        <v>3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2100</v>
      </c>
      <c r="J719">
        <v>3.6250000000000004E-2</v>
      </c>
      <c r="K719" t="s">
        <v>85</v>
      </c>
    </row>
    <row r="720" spans="1:11" x14ac:dyDescent="0.45">
      <c r="A720" t="s">
        <v>90</v>
      </c>
      <c r="B720" t="s">
        <v>4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6.5950000000000009E-2</v>
      </c>
      <c r="K720" t="s">
        <v>24</v>
      </c>
    </row>
    <row r="721" spans="1:11" x14ac:dyDescent="0.45">
      <c r="A721" t="s">
        <v>90</v>
      </c>
      <c r="B721" t="s">
        <v>4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2100</v>
      </c>
      <c r="J721">
        <v>0.16194999999999998</v>
      </c>
      <c r="K721" t="s">
        <v>28</v>
      </c>
    </row>
    <row r="722" spans="1:11" x14ac:dyDescent="0.45">
      <c r="A722" t="s">
        <v>90</v>
      </c>
      <c r="B722" t="s">
        <v>4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2100</v>
      </c>
      <c r="J722">
        <v>4.0349999999999997E-2</v>
      </c>
      <c r="K722" t="s">
        <v>27</v>
      </c>
    </row>
    <row r="723" spans="1:11" x14ac:dyDescent="0.45">
      <c r="A723" t="s">
        <v>90</v>
      </c>
      <c r="B723" t="s">
        <v>4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2100</v>
      </c>
      <c r="J723">
        <v>0.1305</v>
      </c>
      <c r="K723" t="s">
        <v>85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2100</v>
      </c>
      <c r="J724">
        <v>8.1850000000000006E-2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0.19235000000000002</v>
      </c>
      <c r="K725" t="s">
        <v>28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5.0950000000000002E-2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2100</v>
      </c>
      <c r="J727">
        <v>3.8349999999999995E-2</v>
      </c>
      <c r="K727" t="s">
        <v>85</v>
      </c>
    </row>
    <row r="728" spans="1:11" x14ac:dyDescent="0.45">
      <c r="A728" t="s">
        <v>90</v>
      </c>
      <c r="B728" t="s">
        <v>6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2100</v>
      </c>
      <c r="J728">
        <v>7.6249999999999998E-2</v>
      </c>
      <c r="K728" t="s">
        <v>24</v>
      </c>
    </row>
    <row r="729" spans="1:11" x14ac:dyDescent="0.45">
      <c r="A729" t="s">
        <v>90</v>
      </c>
      <c r="B729" t="s">
        <v>6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0.18279999999999999</v>
      </c>
      <c r="K729" t="s">
        <v>28</v>
      </c>
    </row>
    <row r="730" spans="1:11" x14ac:dyDescent="0.45">
      <c r="A730" t="s">
        <v>90</v>
      </c>
      <c r="B730" t="s">
        <v>6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4.7050000000000002E-2</v>
      </c>
      <c r="K730" t="s">
        <v>27</v>
      </c>
    </row>
    <row r="731" spans="1:11" x14ac:dyDescent="0.45">
      <c r="A731" t="s">
        <v>90</v>
      </c>
      <c r="B731" t="s">
        <v>6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2100</v>
      </c>
      <c r="J731">
        <v>6.6900000000000001E-2</v>
      </c>
      <c r="K731" t="s">
        <v>85</v>
      </c>
    </row>
    <row r="732" spans="1:11" x14ac:dyDescent="0.45">
      <c r="A732" t="s">
        <v>90</v>
      </c>
      <c r="B732" t="s">
        <v>5</v>
      </c>
      <c r="C732" t="s">
        <v>84</v>
      </c>
      <c r="D732" t="s">
        <v>24</v>
      </c>
      <c r="E732" t="s">
        <v>25</v>
      </c>
      <c r="F732" t="s">
        <v>24</v>
      </c>
      <c r="G732" t="s">
        <v>26</v>
      </c>
      <c r="H732" t="s">
        <v>13</v>
      </c>
      <c r="I732">
        <v>2100</v>
      </c>
      <c r="J732">
        <v>2.7150000000000001E-2</v>
      </c>
      <c r="K732" t="s">
        <v>24</v>
      </c>
    </row>
    <row r="733" spans="1:11" x14ac:dyDescent="0.45">
      <c r="A733" t="s">
        <v>90</v>
      </c>
      <c r="B733" t="s">
        <v>5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2100</v>
      </c>
      <c r="J733">
        <v>0.20200000000000001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6.2600000000000003E-2</v>
      </c>
      <c r="K734" t="s">
        <v>27</v>
      </c>
    </row>
    <row r="735" spans="1:11" x14ac:dyDescent="0.45">
      <c r="A735" t="s">
        <v>90</v>
      </c>
      <c r="B735" t="s">
        <v>5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2100</v>
      </c>
      <c r="J735">
        <v>2.7200000000000002E-2</v>
      </c>
      <c r="K735" t="s">
        <v>85</v>
      </c>
    </row>
    <row r="736" spans="1:11" x14ac:dyDescent="0.45">
      <c r="A736" t="s">
        <v>90</v>
      </c>
      <c r="B736" t="s">
        <v>2</v>
      </c>
      <c r="C736" t="s">
        <v>84</v>
      </c>
      <c r="D736" t="s">
        <v>24</v>
      </c>
      <c r="E736" t="s">
        <v>25</v>
      </c>
      <c r="F736" t="s">
        <v>24</v>
      </c>
      <c r="G736" t="s">
        <v>26</v>
      </c>
      <c r="H736" t="s">
        <v>13</v>
      </c>
      <c r="I736">
        <v>2100</v>
      </c>
      <c r="J736">
        <v>7.3149999999999993E-2</v>
      </c>
      <c r="K736" t="s">
        <v>24</v>
      </c>
    </row>
    <row r="737" spans="1:12" x14ac:dyDescent="0.45">
      <c r="A737" t="s">
        <v>90</v>
      </c>
      <c r="B737" t="s">
        <v>2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0.17675000000000002</v>
      </c>
      <c r="K737" t="s">
        <v>28</v>
      </c>
    </row>
    <row r="738" spans="1:12" x14ac:dyDescent="0.45">
      <c r="A738" t="s">
        <v>90</v>
      </c>
      <c r="B738" t="s">
        <v>2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2100</v>
      </c>
      <c r="J738">
        <v>4.4149999999999995E-2</v>
      </c>
      <c r="K738" t="s">
        <v>27</v>
      </c>
    </row>
    <row r="739" spans="1:12" x14ac:dyDescent="0.45">
      <c r="A739" t="s">
        <v>90</v>
      </c>
      <c r="B739" t="s">
        <v>2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6.0999999999999999E-2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2100</v>
      </c>
      <c r="J740">
        <v>8.9499999999999996E-2</v>
      </c>
      <c r="K740" t="s">
        <v>24</v>
      </c>
    </row>
    <row r="741" spans="1:12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0.20315</v>
      </c>
      <c r="K741" t="s">
        <v>28</v>
      </c>
    </row>
    <row r="742" spans="1:12" x14ac:dyDescent="0.45">
      <c r="A742" t="s">
        <v>90</v>
      </c>
      <c r="B742" t="s">
        <v>1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2100</v>
      </c>
      <c r="J742">
        <v>6.0450000000000004E-2</v>
      </c>
      <c r="K742" t="s">
        <v>27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1.6449999999999999E-2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7.1000000000000004E-3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0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4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7.1000000000000004E-3</v>
      </c>
      <c r="K747" t="s">
        <v>52</v>
      </c>
      <c r="L747">
        <v>94</v>
      </c>
    </row>
    <row r="748" spans="1:12" x14ac:dyDescent="0.45">
      <c r="A748" t="s">
        <v>90</v>
      </c>
      <c r="B748" t="s">
        <v>4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0</v>
      </c>
      <c r="K748" t="s">
        <v>53</v>
      </c>
      <c r="L748">
        <v>55</v>
      </c>
    </row>
    <row r="749" spans="1:12" x14ac:dyDescent="0.45">
      <c r="A749" t="s">
        <v>90</v>
      </c>
      <c r="B749" t="s">
        <v>4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7.0000000000000001E-3</v>
      </c>
      <c r="K750" t="s">
        <v>52</v>
      </c>
      <c r="L750">
        <v>94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0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6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2020</v>
      </c>
      <c r="J753">
        <v>7.1000000000000004E-3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0</v>
      </c>
      <c r="K754" t="s">
        <v>53</v>
      </c>
      <c r="L754">
        <v>55</v>
      </c>
    </row>
    <row r="755" spans="1:12" x14ac:dyDescent="0.45">
      <c r="A755" t="s">
        <v>90</v>
      </c>
      <c r="B755" t="s">
        <v>6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2020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5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2020</v>
      </c>
      <c r="J756">
        <v>6.7000000000000002E-3</v>
      </c>
      <c r="K756" t="s">
        <v>52</v>
      </c>
      <c r="L756">
        <v>94</v>
      </c>
    </row>
    <row r="757" spans="1:12" x14ac:dyDescent="0.45">
      <c r="A757" t="s">
        <v>90</v>
      </c>
      <c r="B757" t="s">
        <v>5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1E-4</v>
      </c>
      <c r="K757" t="s">
        <v>53</v>
      </c>
      <c r="L757">
        <v>55</v>
      </c>
    </row>
    <row r="758" spans="1:12" x14ac:dyDescent="0.45">
      <c r="A758" t="s">
        <v>90</v>
      </c>
      <c r="B758" t="s">
        <v>5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2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2020</v>
      </c>
      <c r="J759">
        <v>7.1000000000000004E-3</v>
      </c>
      <c r="K759" t="s">
        <v>52</v>
      </c>
      <c r="L759">
        <v>94</v>
      </c>
    </row>
    <row r="760" spans="1:12" x14ac:dyDescent="0.45">
      <c r="A760" t="s">
        <v>90</v>
      </c>
      <c r="B760" t="s">
        <v>2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2020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2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0</v>
      </c>
      <c r="K761" t="s">
        <v>54</v>
      </c>
      <c r="L761">
        <v>70</v>
      </c>
    </row>
    <row r="762" spans="1:12" x14ac:dyDescent="0.45">
      <c r="A762" t="s">
        <v>90</v>
      </c>
      <c r="B762" t="s">
        <v>1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2020</v>
      </c>
      <c r="J762">
        <v>7.0000000000000001E-3</v>
      </c>
      <c r="K762" t="s">
        <v>52</v>
      </c>
      <c r="L762">
        <v>94</v>
      </c>
    </row>
    <row r="763" spans="1:12" x14ac:dyDescent="0.45">
      <c r="A763" t="s">
        <v>90</v>
      </c>
      <c r="B763" t="s">
        <v>1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2020</v>
      </c>
      <c r="J763">
        <v>0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1E-4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2025</v>
      </c>
      <c r="J766">
        <v>0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2025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2.9999999999999997E-4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2025</v>
      </c>
      <c r="J769">
        <v>1E-4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2025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2.9999999999999997E-4</v>
      </c>
      <c r="K771" t="s">
        <v>52</v>
      </c>
      <c r="L771">
        <v>94</v>
      </c>
    </row>
    <row r="772" spans="1:12" x14ac:dyDescent="0.45">
      <c r="A772" t="s">
        <v>90</v>
      </c>
      <c r="B772" t="s">
        <v>0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0</v>
      </c>
      <c r="K772" t="s">
        <v>53</v>
      </c>
      <c r="L772">
        <v>55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2025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6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2025</v>
      </c>
      <c r="J774">
        <v>2.9999999999999997E-4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6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2025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5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2025</v>
      </c>
      <c r="J777">
        <v>2.0000000000000001E-4</v>
      </c>
      <c r="K777" t="s">
        <v>52</v>
      </c>
      <c r="L777">
        <v>94</v>
      </c>
    </row>
    <row r="778" spans="1:12" x14ac:dyDescent="0.45">
      <c r="A778" t="s">
        <v>90</v>
      </c>
      <c r="B778" t="s">
        <v>5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1E-4</v>
      </c>
      <c r="K778" t="s">
        <v>53</v>
      </c>
      <c r="L778">
        <v>55</v>
      </c>
    </row>
    <row r="779" spans="1:12" x14ac:dyDescent="0.45">
      <c r="A779" t="s">
        <v>90</v>
      </c>
      <c r="B779" t="s">
        <v>5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2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2025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90</v>
      </c>
      <c r="B781" t="s">
        <v>2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2025</v>
      </c>
      <c r="J781">
        <v>0</v>
      </c>
      <c r="K781" t="s">
        <v>53</v>
      </c>
      <c r="L781">
        <v>55</v>
      </c>
    </row>
    <row r="782" spans="1:12" x14ac:dyDescent="0.45">
      <c r="A782" t="s">
        <v>90</v>
      </c>
      <c r="B782" t="s">
        <v>2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1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2025</v>
      </c>
      <c r="J783">
        <v>1E-4</v>
      </c>
      <c r="K783" t="s">
        <v>52</v>
      </c>
      <c r="L783">
        <v>94</v>
      </c>
    </row>
    <row r="784" spans="1:12" x14ac:dyDescent="0.45">
      <c r="A784" t="s">
        <v>90</v>
      </c>
      <c r="B784" t="s">
        <v>1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2025</v>
      </c>
      <c r="J784">
        <v>0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2030</v>
      </c>
      <c r="J787">
        <v>1E-4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2030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4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4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2030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4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2030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1E-4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2030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2030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1E-4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5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2030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2030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2030</v>
      </c>
      <c r="J802">
        <v>1E-4</v>
      </c>
      <c r="K802" t="s">
        <v>53</v>
      </c>
      <c r="L802">
        <v>55</v>
      </c>
    </row>
    <row r="803" spans="1:12" x14ac:dyDescent="0.45">
      <c r="A803" t="s">
        <v>90</v>
      </c>
      <c r="B803" t="s">
        <v>2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1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2030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1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2030</v>
      </c>
      <c r="J805">
        <v>1E-4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3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2035</v>
      </c>
      <c r="J808">
        <v>1E-4</v>
      </c>
      <c r="K808" t="s">
        <v>53</v>
      </c>
      <c r="L808">
        <v>55</v>
      </c>
    </row>
    <row r="809" spans="1:12" x14ac:dyDescent="0.45">
      <c r="A809" t="s">
        <v>90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2035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2035</v>
      </c>
      <c r="J811">
        <v>2.9999999999999997E-4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2035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2.0000000000000001E-4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2035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2.0000000000000001E-4</v>
      </c>
      <c r="K817" t="s">
        <v>53</v>
      </c>
      <c r="L817">
        <v>55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2035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2035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1E-4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2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2035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2035</v>
      </c>
      <c r="J823">
        <v>1E-4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1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2035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1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2035</v>
      </c>
      <c r="J826">
        <v>1E-4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3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2040</v>
      </c>
      <c r="J829">
        <v>1E-4</v>
      </c>
      <c r="K829" t="s">
        <v>53</v>
      </c>
      <c r="L829">
        <v>55</v>
      </c>
    </row>
    <row r="830" spans="1:12" x14ac:dyDescent="0.45">
      <c r="A830" t="s">
        <v>90</v>
      </c>
      <c r="B830" t="s">
        <v>3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2040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2040</v>
      </c>
      <c r="J832">
        <v>4.0000000000000002E-4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2.0000000000000001E-4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2040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6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2040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2.9999999999999997E-4</v>
      </c>
      <c r="K838" t="s">
        <v>53</v>
      </c>
      <c r="L838">
        <v>55</v>
      </c>
    </row>
    <row r="839" spans="1:12" x14ac:dyDescent="0.45">
      <c r="A839" t="s">
        <v>90</v>
      </c>
      <c r="B839" t="s">
        <v>6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2040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2040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5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2040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2040</v>
      </c>
      <c r="J844">
        <v>1E-4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2040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2040</v>
      </c>
      <c r="J847">
        <v>0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3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2045</v>
      </c>
      <c r="J850">
        <v>0</v>
      </c>
      <c r="K850" t="s">
        <v>53</v>
      </c>
      <c r="L850">
        <v>55</v>
      </c>
    </row>
    <row r="851" spans="1:12" x14ac:dyDescent="0.45">
      <c r="A851" t="s">
        <v>90</v>
      </c>
      <c r="B851" t="s">
        <v>3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2045</v>
      </c>
      <c r="J853">
        <v>5.9999999999999995E-4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2045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1E-4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2045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6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2045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2.9999999999999997E-4</v>
      </c>
      <c r="K859" t="s">
        <v>53</v>
      </c>
      <c r="L859">
        <v>55</v>
      </c>
    </row>
    <row r="860" spans="1:12" x14ac:dyDescent="0.45">
      <c r="A860" t="s">
        <v>90</v>
      </c>
      <c r="B860" t="s">
        <v>6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2045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5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2045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2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2045</v>
      </c>
      <c r="J864">
        <v>0</v>
      </c>
      <c r="K864" t="s">
        <v>52</v>
      </c>
      <c r="L864">
        <v>94</v>
      </c>
    </row>
    <row r="865" spans="1:12" x14ac:dyDescent="0.45">
      <c r="A865" t="s">
        <v>90</v>
      </c>
      <c r="B865" t="s">
        <v>2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2045</v>
      </c>
      <c r="J865">
        <v>1E-4</v>
      </c>
      <c r="K865" t="s">
        <v>53</v>
      </c>
      <c r="L865">
        <v>55</v>
      </c>
    </row>
    <row r="866" spans="1:12" x14ac:dyDescent="0.45">
      <c r="A866" t="s">
        <v>90</v>
      </c>
      <c r="B866" t="s">
        <v>2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1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2045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1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0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2050</v>
      </c>
      <c r="J871">
        <v>1E-4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4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4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2050</v>
      </c>
      <c r="J874">
        <v>6.9999999999999999E-4</v>
      </c>
      <c r="K874" t="s">
        <v>53</v>
      </c>
      <c r="L874">
        <v>55</v>
      </c>
    </row>
    <row r="875" spans="1:12" x14ac:dyDescent="0.45">
      <c r="A875" t="s">
        <v>90</v>
      </c>
      <c r="B875" t="s">
        <v>4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2050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6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2050</v>
      </c>
      <c r="J879">
        <v>0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2.0000000000000001E-4</v>
      </c>
      <c r="K880" t="s">
        <v>53</v>
      </c>
      <c r="L880">
        <v>55</v>
      </c>
    </row>
    <row r="881" spans="1:12" x14ac:dyDescent="0.45">
      <c r="A881" t="s">
        <v>90</v>
      </c>
      <c r="B881" t="s">
        <v>6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2050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5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2050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5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5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2050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1E-4</v>
      </c>
      <c r="K886" t="s">
        <v>53</v>
      </c>
      <c r="L886">
        <v>55</v>
      </c>
    </row>
    <row r="887" spans="1:12" x14ac:dyDescent="0.45">
      <c r="A887" t="s">
        <v>90</v>
      </c>
      <c r="B887" t="s">
        <v>2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1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2050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1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2050</v>
      </c>
      <c r="J889">
        <v>0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3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2055</v>
      </c>
      <c r="J892">
        <v>1E-4</v>
      </c>
      <c r="K892" t="s">
        <v>53</v>
      </c>
      <c r="L892">
        <v>55</v>
      </c>
    </row>
    <row r="893" spans="1:12" x14ac:dyDescent="0.45">
      <c r="A893" t="s">
        <v>90</v>
      </c>
      <c r="B893" t="s">
        <v>3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2055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8.5000000000000006E-4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0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2055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2055</v>
      </c>
      <c r="J900">
        <v>6.9999999999999999E-4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2.5000000000000001E-4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2055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5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2055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5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5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2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2055</v>
      </c>
      <c r="J907">
        <v>2.0000000000000001E-4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1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1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3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2060</v>
      </c>
      <c r="J913">
        <v>1E-4</v>
      </c>
      <c r="K913" t="s">
        <v>53</v>
      </c>
      <c r="L913">
        <v>55</v>
      </c>
    </row>
    <row r="914" spans="1:12" x14ac:dyDescent="0.45">
      <c r="A914" t="s">
        <v>90</v>
      </c>
      <c r="B914" t="s">
        <v>3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2060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4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4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2060</v>
      </c>
      <c r="J916">
        <v>5.9999999999999995E-4</v>
      </c>
      <c r="K916" t="s">
        <v>53</v>
      </c>
      <c r="L916">
        <v>55</v>
      </c>
    </row>
    <row r="917" spans="1:12" x14ac:dyDescent="0.45">
      <c r="A917" t="s">
        <v>90</v>
      </c>
      <c r="B917" t="s">
        <v>4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2060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0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0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</v>
      </c>
      <c r="K919" t="s">
        <v>53</v>
      </c>
      <c r="L919">
        <v>55</v>
      </c>
    </row>
    <row r="920" spans="1:12" x14ac:dyDescent="0.45">
      <c r="A920" t="s">
        <v>90</v>
      </c>
      <c r="B920" t="s">
        <v>0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2060</v>
      </c>
      <c r="J921">
        <v>2.2000000000000001E-3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2.5000000000000001E-4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5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2060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5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5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2060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2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2060</v>
      </c>
      <c r="J928">
        <v>2.9999999999999997E-4</v>
      </c>
      <c r="K928" t="s">
        <v>53</v>
      </c>
      <c r="L928">
        <v>55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2060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2060</v>
      </c>
      <c r="J931">
        <v>0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3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2065</v>
      </c>
      <c r="J934">
        <v>1E-4</v>
      </c>
      <c r="K934" t="s">
        <v>53</v>
      </c>
      <c r="L934">
        <v>55</v>
      </c>
    </row>
    <row r="935" spans="1:12" x14ac:dyDescent="0.45">
      <c r="A935" t="s">
        <v>90</v>
      </c>
      <c r="B935" t="s">
        <v>3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2065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4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5.0000000000000002E-5</v>
      </c>
      <c r="K936" t="s">
        <v>52</v>
      </c>
      <c r="L936">
        <v>94</v>
      </c>
    </row>
    <row r="937" spans="1:12" x14ac:dyDescent="0.45">
      <c r="A937" t="s">
        <v>90</v>
      </c>
      <c r="B937" t="s">
        <v>4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2065</v>
      </c>
      <c r="J937">
        <v>5.0000000000000001E-4</v>
      </c>
      <c r="K937" t="s">
        <v>53</v>
      </c>
      <c r="L937">
        <v>55</v>
      </c>
    </row>
    <row r="938" spans="1:12" x14ac:dyDescent="0.45">
      <c r="A938" t="s">
        <v>90</v>
      </c>
      <c r="B938" t="s">
        <v>4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0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0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0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2065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2065</v>
      </c>
      <c r="J942">
        <v>3.0500000000000002E-3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3.5E-4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2065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2065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2065</v>
      </c>
      <c r="J948">
        <v>0</v>
      </c>
      <c r="K948" t="s">
        <v>52</v>
      </c>
      <c r="L948">
        <v>94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2065</v>
      </c>
      <c r="J949">
        <v>2.9999999999999997E-4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2065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2065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3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2070</v>
      </c>
      <c r="J955">
        <v>1E-4</v>
      </c>
      <c r="K955" t="s">
        <v>53</v>
      </c>
      <c r="L955">
        <v>55</v>
      </c>
    </row>
    <row r="956" spans="1:12" x14ac:dyDescent="0.45">
      <c r="A956" t="s">
        <v>90</v>
      </c>
      <c r="B956" t="s">
        <v>3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2070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1.9999999999999998E-4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2.9999999999999997E-4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0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0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0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2070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2070</v>
      </c>
      <c r="J963">
        <v>4.0499999999999998E-3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3.9999999999999996E-4</v>
      </c>
      <c r="K964" t="s">
        <v>53</v>
      </c>
      <c r="L964">
        <v>55</v>
      </c>
    </row>
    <row r="965" spans="1:12" x14ac:dyDescent="0.45">
      <c r="A965" t="s">
        <v>90</v>
      </c>
      <c r="B965" t="s">
        <v>6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2070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2070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2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2070</v>
      </c>
      <c r="J969">
        <v>5.0000000000000002E-5</v>
      </c>
      <c r="K969" t="s">
        <v>52</v>
      </c>
      <c r="L969">
        <v>94</v>
      </c>
    </row>
    <row r="970" spans="1:12" x14ac:dyDescent="0.45">
      <c r="A970" t="s">
        <v>90</v>
      </c>
      <c r="B970" t="s">
        <v>2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2070</v>
      </c>
      <c r="J970">
        <v>4.0000000000000002E-4</v>
      </c>
      <c r="K970" t="s">
        <v>53</v>
      </c>
      <c r="L970">
        <v>55</v>
      </c>
    </row>
    <row r="971" spans="1:12" x14ac:dyDescent="0.45">
      <c r="A971" t="s">
        <v>90</v>
      </c>
      <c r="B971" t="s">
        <v>2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2070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2070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3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5.0000000000000002E-5</v>
      </c>
      <c r="K976" t="s">
        <v>53</v>
      </c>
      <c r="L976">
        <v>55</v>
      </c>
    </row>
    <row r="977" spans="1:12" x14ac:dyDescent="0.45">
      <c r="A977" t="s">
        <v>90</v>
      </c>
      <c r="B977" t="s">
        <v>3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2075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4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5.9999999999999995E-4</v>
      </c>
      <c r="K978" t="s">
        <v>52</v>
      </c>
      <c r="L978">
        <v>94</v>
      </c>
    </row>
    <row r="979" spans="1:12" x14ac:dyDescent="0.45">
      <c r="A979" t="s">
        <v>90</v>
      </c>
      <c r="B979" t="s">
        <v>4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2075</v>
      </c>
      <c r="J979">
        <v>4.0000000000000002E-4</v>
      </c>
      <c r="K979" t="s">
        <v>53</v>
      </c>
      <c r="L979">
        <v>55</v>
      </c>
    </row>
    <row r="980" spans="1:12" x14ac:dyDescent="0.45">
      <c r="A980" t="s">
        <v>90</v>
      </c>
      <c r="B980" t="s">
        <v>4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2075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0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0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0</v>
      </c>
      <c r="K982" t="s">
        <v>53</v>
      </c>
      <c r="L982">
        <v>55</v>
      </c>
    </row>
    <row r="983" spans="1:12" x14ac:dyDescent="0.45">
      <c r="A983" t="s">
        <v>90</v>
      </c>
      <c r="B983" t="s">
        <v>0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52</v>
      </c>
      <c r="E984" t="s">
        <v>25</v>
      </c>
      <c r="F984" t="s">
        <v>52</v>
      </c>
      <c r="G984" t="s">
        <v>71</v>
      </c>
      <c r="H984" t="s">
        <v>89</v>
      </c>
      <c r="I984">
        <v>2075</v>
      </c>
      <c r="J984">
        <v>3.7499999999999999E-3</v>
      </c>
      <c r="K984" t="s">
        <v>52</v>
      </c>
      <c r="L984">
        <v>94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5.0000000000000001E-4</v>
      </c>
      <c r="K985" t="s">
        <v>53</v>
      </c>
      <c r="L985">
        <v>55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2075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52</v>
      </c>
      <c r="E987" t="s">
        <v>25</v>
      </c>
      <c r="F987" t="s">
        <v>52</v>
      </c>
      <c r="G987" t="s">
        <v>71</v>
      </c>
      <c r="H987" t="s">
        <v>89</v>
      </c>
      <c r="I987">
        <v>2075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2</v>
      </c>
      <c r="C990" t="s">
        <v>84</v>
      </c>
      <c r="D990" t="s">
        <v>52</v>
      </c>
      <c r="E990" t="s">
        <v>25</v>
      </c>
      <c r="F990" t="s">
        <v>52</v>
      </c>
      <c r="G990" t="s">
        <v>71</v>
      </c>
      <c r="H990" t="s">
        <v>89</v>
      </c>
      <c r="I990">
        <v>2075</v>
      </c>
      <c r="J990">
        <v>2.0000000000000001E-4</v>
      </c>
      <c r="K990" t="s">
        <v>52</v>
      </c>
      <c r="L990">
        <v>94</v>
      </c>
    </row>
    <row r="991" spans="1:12" x14ac:dyDescent="0.45">
      <c r="A991" t="s">
        <v>90</v>
      </c>
      <c r="B991" t="s">
        <v>2</v>
      </c>
      <c r="C991" t="s">
        <v>84</v>
      </c>
      <c r="D991" t="s">
        <v>53</v>
      </c>
      <c r="E991" t="s">
        <v>25</v>
      </c>
      <c r="F991" t="s">
        <v>53</v>
      </c>
      <c r="G991" t="s">
        <v>71</v>
      </c>
      <c r="H991" t="s">
        <v>89</v>
      </c>
      <c r="I991">
        <v>2075</v>
      </c>
      <c r="J991">
        <v>4.0000000000000002E-4</v>
      </c>
      <c r="K991" t="s">
        <v>53</v>
      </c>
      <c r="L991">
        <v>55</v>
      </c>
    </row>
    <row r="992" spans="1:12" x14ac:dyDescent="0.45">
      <c r="A992" t="s">
        <v>90</v>
      </c>
      <c r="B992" t="s">
        <v>2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1</v>
      </c>
      <c r="C993" t="s">
        <v>84</v>
      </c>
      <c r="D993" t="s">
        <v>52</v>
      </c>
      <c r="E993" t="s">
        <v>25</v>
      </c>
      <c r="F993" t="s">
        <v>52</v>
      </c>
      <c r="G993" t="s">
        <v>71</v>
      </c>
      <c r="H993" t="s">
        <v>89</v>
      </c>
      <c r="I993">
        <v>2075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1</v>
      </c>
      <c r="C994" t="s">
        <v>84</v>
      </c>
      <c r="D994" t="s">
        <v>53</v>
      </c>
      <c r="E994" t="s">
        <v>25</v>
      </c>
      <c r="F994" t="s">
        <v>53</v>
      </c>
      <c r="G994" t="s">
        <v>71</v>
      </c>
      <c r="H994" t="s">
        <v>89</v>
      </c>
      <c r="I994">
        <v>2075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3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2080</v>
      </c>
      <c r="J997">
        <v>0</v>
      </c>
      <c r="K997" t="s">
        <v>53</v>
      </c>
      <c r="L997">
        <v>55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2080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1E-3</v>
      </c>
      <c r="K999" t="s">
        <v>52</v>
      </c>
      <c r="L999">
        <v>94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2080</v>
      </c>
      <c r="J1000">
        <v>5.9999999999999995E-4</v>
      </c>
      <c r="K1000" t="s">
        <v>53</v>
      </c>
      <c r="L1000">
        <v>55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2080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0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0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0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2080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2080</v>
      </c>
      <c r="J1005">
        <v>3.5500000000000002E-3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5.0000000000000001E-4</v>
      </c>
      <c r="K1006" t="s">
        <v>53</v>
      </c>
      <c r="L1006">
        <v>55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2080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5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2080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5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5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3.5E-4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2080</v>
      </c>
      <c r="J1012">
        <v>3.5E-4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1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2080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1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2080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3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2085</v>
      </c>
      <c r="J1018">
        <v>0</v>
      </c>
      <c r="K1018" t="s">
        <v>53</v>
      </c>
      <c r="L1018">
        <v>55</v>
      </c>
    </row>
    <row r="1019" spans="1:12" x14ac:dyDescent="0.45">
      <c r="A1019" t="s">
        <v>90</v>
      </c>
      <c r="B1019" t="s">
        <v>3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2085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2.2500000000000003E-3</v>
      </c>
      <c r="K1020" t="s">
        <v>52</v>
      </c>
      <c r="L1020">
        <v>94</v>
      </c>
    </row>
    <row r="1021" spans="1:12" x14ac:dyDescent="0.45">
      <c r="A1021" t="s">
        <v>90</v>
      </c>
      <c r="B1021" t="s">
        <v>4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2085</v>
      </c>
      <c r="J1021">
        <v>7.5000000000000002E-4</v>
      </c>
      <c r="K1021" t="s">
        <v>53</v>
      </c>
      <c r="L1021">
        <v>55</v>
      </c>
    </row>
    <row r="1022" spans="1:12" x14ac:dyDescent="0.45">
      <c r="A1022" t="s">
        <v>90</v>
      </c>
      <c r="B1022" t="s">
        <v>4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2085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2085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H1026" t="s">
        <v>89</v>
      </c>
      <c r="I1026">
        <v>2085</v>
      </c>
      <c r="J1026">
        <v>3.6499999999999996E-3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5.0000000000000001E-4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5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5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5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2085</v>
      </c>
      <c r="J1032">
        <v>9.5E-4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2085</v>
      </c>
      <c r="J1033">
        <v>2.9999999999999997E-4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1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2085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1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H1036" t="s">
        <v>89</v>
      </c>
      <c r="I1036">
        <v>2085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H1039" t="s">
        <v>89</v>
      </c>
      <c r="I1039">
        <v>2090</v>
      </c>
      <c r="J1039">
        <v>0</v>
      </c>
      <c r="K1039" t="s">
        <v>53</v>
      </c>
      <c r="L1039">
        <v>55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2090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4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3.8500000000000001E-3</v>
      </c>
      <c r="K1041" t="s">
        <v>52</v>
      </c>
      <c r="L1041">
        <v>94</v>
      </c>
    </row>
    <row r="1042" spans="1:12" x14ac:dyDescent="0.45">
      <c r="A1042" t="s">
        <v>90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2090</v>
      </c>
      <c r="J1042">
        <v>9.5E-4</v>
      </c>
      <c r="K1042" t="s">
        <v>53</v>
      </c>
      <c r="L1042">
        <v>55</v>
      </c>
    </row>
    <row r="1043" spans="1:12" x14ac:dyDescent="0.45">
      <c r="A1043" t="s">
        <v>90</v>
      </c>
      <c r="B1043" t="s">
        <v>4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0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0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0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2090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3.8500000000000001E-3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4.0000000000000002E-4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2090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2090</v>
      </c>
      <c r="J1050">
        <v>0</v>
      </c>
      <c r="K1050" t="s">
        <v>52</v>
      </c>
      <c r="L1050">
        <v>94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2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2090</v>
      </c>
      <c r="J1053">
        <v>1.5999999999999999E-3</v>
      </c>
      <c r="K1053" t="s">
        <v>52</v>
      </c>
      <c r="L1053">
        <v>94</v>
      </c>
    </row>
    <row r="1054" spans="1:12" x14ac:dyDescent="0.45">
      <c r="A1054" t="s">
        <v>90</v>
      </c>
      <c r="B1054" t="s">
        <v>2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2090</v>
      </c>
      <c r="J1054">
        <v>2.0000000000000001E-4</v>
      </c>
      <c r="K1054" t="s">
        <v>53</v>
      </c>
      <c r="L1054">
        <v>55</v>
      </c>
    </row>
    <row r="1055" spans="1:12" x14ac:dyDescent="0.45">
      <c r="A1055" t="s">
        <v>90</v>
      </c>
      <c r="B1055" t="s">
        <v>2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2090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2090</v>
      </c>
      <c r="J1057">
        <v>0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3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2095</v>
      </c>
      <c r="J1060">
        <v>0</v>
      </c>
      <c r="K1060" t="s">
        <v>53</v>
      </c>
      <c r="L1060">
        <v>55</v>
      </c>
    </row>
    <row r="1061" spans="1:12" x14ac:dyDescent="0.45">
      <c r="A1061" t="s">
        <v>90</v>
      </c>
      <c r="B1061" t="s">
        <v>3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2095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4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8.9499999999999996E-3</v>
      </c>
      <c r="K1062" t="s">
        <v>52</v>
      </c>
      <c r="L1062">
        <v>94</v>
      </c>
    </row>
    <row r="1063" spans="1:12" x14ac:dyDescent="0.45">
      <c r="A1063" t="s">
        <v>90</v>
      </c>
      <c r="B1063" t="s">
        <v>4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2095</v>
      </c>
      <c r="J1063">
        <v>1.0500000000000002E-3</v>
      </c>
      <c r="K1063" t="s">
        <v>53</v>
      </c>
      <c r="L1063">
        <v>55</v>
      </c>
    </row>
    <row r="1064" spans="1:12" x14ac:dyDescent="0.45">
      <c r="A1064" t="s">
        <v>90</v>
      </c>
      <c r="B1064" t="s">
        <v>4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2095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2095</v>
      </c>
      <c r="J1068">
        <v>5.7999999999999996E-3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3.5E-4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2095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5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2095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5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5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52</v>
      </c>
      <c r="E1074" t="s">
        <v>25</v>
      </c>
      <c r="F1074" t="s">
        <v>52</v>
      </c>
      <c r="G1074" t="s">
        <v>71</v>
      </c>
      <c r="H1074" t="s">
        <v>89</v>
      </c>
      <c r="I1074">
        <v>2095</v>
      </c>
      <c r="J1074">
        <v>3.8000000000000004E-3</v>
      </c>
      <c r="K1074" t="s">
        <v>52</v>
      </c>
      <c r="L1074">
        <v>94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2095</v>
      </c>
      <c r="J1075">
        <v>1E-4</v>
      </c>
      <c r="K1075" t="s">
        <v>53</v>
      </c>
      <c r="L1075">
        <v>55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52</v>
      </c>
      <c r="E1077" t="s">
        <v>25</v>
      </c>
      <c r="F1077" t="s">
        <v>52</v>
      </c>
      <c r="G1077" t="s">
        <v>71</v>
      </c>
      <c r="H1077" t="s">
        <v>89</v>
      </c>
      <c r="I1077">
        <v>2095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2095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3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2100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3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2100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4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1.84E-2</v>
      </c>
      <c r="K1083" t="s">
        <v>52</v>
      </c>
      <c r="L1083">
        <v>94</v>
      </c>
    </row>
    <row r="1084" spans="1:12" x14ac:dyDescent="0.45">
      <c r="A1084" t="s">
        <v>90</v>
      </c>
      <c r="B1084" t="s">
        <v>4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2100</v>
      </c>
      <c r="J1084">
        <v>1.1999999999999999E-3</v>
      </c>
      <c r="K1084" t="s">
        <v>53</v>
      </c>
      <c r="L1084">
        <v>55</v>
      </c>
    </row>
    <row r="1085" spans="1:12" x14ac:dyDescent="0.45">
      <c r="A1085" t="s">
        <v>90</v>
      </c>
      <c r="B1085" t="s">
        <v>4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2100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0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0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0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2100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52</v>
      </c>
      <c r="E1089" t="s">
        <v>25</v>
      </c>
      <c r="F1089" t="s">
        <v>52</v>
      </c>
      <c r="G1089" t="s">
        <v>71</v>
      </c>
      <c r="H1089" t="s">
        <v>89</v>
      </c>
      <c r="I1089">
        <v>2100</v>
      </c>
      <c r="J1089">
        <v>7.7499999999999999E-3</v>
      </c>
      <c r="K1089" t="s">
        <v>52</v>
      </c>
      <c r="L1089">
        <v>94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2.9999999999999997E-4</v>
      </c>
      <c r="K1090" t="s">
        <v>53</v>
      </c>
      <c r="L1090">
        <v>55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2100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2100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2</v>
      </c>
      <c r="C1095" t="s">
        <v>84</v>
      </c>
      <c r="D1095" t="s">
        <v>52</v>
      </c>
      <c r="E1095" t="s">
        <v>25</v>
      </c>
      <c r="F1095" t="s">
        <v>52</v>
      </c>
      <c r="G1095" t="s">
        <v>71</v>
      </c>
      <c r="H1095" t="s">
        <v>89</v>
      </c>
      <c r="I1095">
        <v>2100</v>
      </c>
      <c r="J1095">
        <v>6.5000000000000006E-3</v>
      </c>
      <c r="K1095" t="s">
        <v>52</v>
      </c>
      <c r="L1095">
        <v>94</v>
      </c>
    </row>
    <row r="1096" spans="1:12" x14ac:dyDescent="0.45">
      <c r="A1096" t="s">
        <v>90</v>
      </c>
      <c r="B1096" t="s">
        <v>2</v>
      </c>
      <c r="C1096" t="s">
        <v>84</v>
      </c>
      <c r="D1096" t="s">
        <v>53</v>
      </c>
      <c r="E1096" t="s">
        <v>25</v>
      </c>
      <c r="F1096" t="s">
        <v>53</v>
      </c>
      <c r="G1096" t="s">
        <v>71</v>
      </c>
      <c r="H1096" t="s">
        <v>89</v>
      </c>
      <c r="I1096">
        <v>2100</v>
      </c>
      <c r="J1096">
        <v>1E-4</v>
      </c>
      <c r="K1096" t="s">
        <v>53</v>
      </c>
      <c r="L1096">
        <v>55</v>
      </c>
    </row>
    <row r="1097" spans="1:12" x14ac:dyDescent="0.45">
      <c r="A1097" t="s">
        <v>90</v>
      </c>
      <c r="B1097" t="s">
        <v>2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52</v>
      </c>
      <c r="E1098" t="s">
        <v>25</v>
      </c>
      <c r="F1098" t="s">
        <v>52</v>
      </c>
      <c r="G1098" t="s">
        <v>71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53</v>
      </c>
      <c r="E1099" t="s">
        <v>25</v>
      </c>
      <c r="F1099" t="s">
        <v>53</v>
      </c>
      <c r="G1099" t="s">
        <v>71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33</v>
      </c>
      <c r="E1102" t="s">
        <v>30</v>
      </c>
      <c r="F1102" t="s">
        <v>33</v>
      </c>
      <c r="G1102" t="s">
        <v>31</v>
      </c>
      <c r="H1102" t="s">
        <v>34</v>
      </c>
      <c r="I1102">
        <v>2020</v>
      </c>
      <c r="J1102">
        <v>2.0344000000000002</v>
      </c>
      <c r="K1102" t="s">
        <v>33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37</v>
      </c>
      <c r="E1104" t="s">
        <v>30</v>
      </c>
      <c r="F1104" t="s">
        <v>37</v>
      </c>
      <c r="G1104" t="s">
        <v>31</v>
      </c>
      <c r="H1104" t="s">
        <v>38</v>
      </c>
      <c r="I1104">
        <v>2020</v>
      </c>
      <c r="J1104">
        <v>65.189400000000006</v>
      </c>
      <c r="K1104" t="s">
        <v>37</v>
      </c>
    </row>
    <row r="1105" spans="1:11" x14ac:dyDescent="0.45">
      <c r="A1105" t="s">
        <v>90</v>
      </c>
      <c r="B1105" t="s">
        <v>4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4</v>
      </c>
      <c r="C1106" t="s">
        <v>84</v>
      </c>
      <c r="D1106" t="s">
        <v>33</v>
      </c>
      <c r="E1106" t="s">
        <v>30</v>
      </c>
      <c r="F1106" t="s">
        <v>33</v>
      </c>
      <c r="G1106" t="s">
        <v>31</v>
      </c>
      <c r="H1106" t="s">
        <v>34</v>
      </c>
      <c r="I1106">
        <v>2020</v>
      </c>
      <c r="J1106">
        <v>2.0344000000000002</v>
      </c>
      <c r="K1106" t="s">
        <v>33</v>
      </c>
    </row>
    <row r="1107" spans="1:11" x14ac:dyDescent="0.45">
      <c r="A1107" t="s">
        <v>90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4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2020</v>
      </c>
      <c r="J1108">
        <v>65.189400000000006</v>
      </c>
      <c r="K1108" t="s">
        <v>37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2020</v>
      </c>
      <c r="J1109">
        <v>5.3799000000000001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2020</v>
      </c>
      <c r="J1111">
        <v>3.9710999999999999</v>
      </c>
      <c r="K1111" t="s">
        <v>35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2020</v>
      </c>
      <c r="J1112">
        <v>65.189400000000006</v>
      </c>
      <c r="K1112" t="s">
        <v>37</v>
      </c>
    </row>
    <row r="1113" spans="1:11" x14ac:dyDescent="0.45">
      <c r="A1113" t="s">
        <v>90</v>
      </c>
      <c r="B1113" t="s">
        <v>6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2020</v>
      </c>
      <c r="J1113">
        <v>5.3799000000000001</v>
      </c>
      <c r="K1113" t="s">
        <v>29</v>
      </c>
    </row>
    <row r="1114" spans="1:11" x14ac:dyDescent="0.45">
      <c r="A1114" t="s">
        <v>90</v>
      </c>
      <c r="B1114" t="s">
        <v>6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6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6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2020</v>
      </c>
      <c r="J1116">
        <v>65.189400000000006</v>
      </c>
      <c r="K1116" t="s">
        <v>37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2020</v>
      </c>
      <c r="J1117">
        <v>5.3799000000000001</v>
      </c>
      <c r="K1117" t="s">
        <v>29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2020</v>
      </c>
      <c r="J1120">
        <v>65.189400000000006</v>
      </c>
      <c r="K1120" t="s">
        <v>37</v>
      </c>
    </row>
    <row r="1121" spans="1:11" x14ac:dyDescent="0.45">
      <c r="A1121" t="s">
        <v>90</v>
      </c>
      <c r="B1121" t="s">
        <v>2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2020</v>
      </c>
      <c r="J1121">
        <v>5.3799000000000001</v>
      </c>
      <c r="K1121" t="s">
        <v>29</v>
      </c>
    </row>
    <row r="1122" spans="1:11" x14ac:dyDescent="0.45">
      <c r="A1122" t="s">
        <v>90</v>
      </c>
      <c r="B1122" t="s">
        <v>2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2020</v>
      </c>
      <c r="J1122">
        <v>2.0344000000000002</v>
      </c>
      <c r="K1122" t="s">
        <v>33</v>
      </c>
    </row>
    <row r="1123" spans="1:11" x14ac:dyDescent="0.45">
      <c r="A1123" t="s">
        <v>90</v>
      </c>
      <c r="B1123" t="s">
        <v>2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2020</v>
      </c>
      <c r="J1123">
        <v>3.9710999999999999</v>
      </c>
      <c r="K1123" t="s">
        <v>35</v>
      </c>
    </row>
    <row r="1124" spans="1:11" x14ac:dyDescent="0.45">
      <c r="A1124" t="s">
        <v>90</v>
      </c>
      <c r="B1124" t="s">
        <v>2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65.189400000000006</v>
      </c>
      <c r="K1124" t="s">
        <v>37</v>
      </c>
    </row>
    <row r="1125" spans="1:11" x14ac:dyDescent="0.45">
      <c r="A1125" t="s">
        <v>90</v>
      </c>
      <c r="B1125" t="s">
        <v>1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2020</v>
      </c>
      <c r="J1125">
        <v>5.3799000000000001</v>
      </c>
      <c r="K1125" t="s">
        <v>29</v>
      </c>
    </row>
    <row r="1126" spans="1:11" x14ac:dyDescent="0.45">
      <c r="A1126" t="s">
        <v>90</v>
      </c>
      <c r="B1126" t="s">
        <v>1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2020</v>
      </c>
      <c r="J1126">
        <v>2.0344000000000002</v>
      </c>
      <c r="K1126" t="s">
        <v>33</v>
      </c>
    </row>
    <row r="1127" spans="1:11" x14ac:dyDescent="0.45">
      <c r="A1127" t="s">
        <v>90</v>
      </c>
      <c r="B1127" t="s">
        <v>1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2020</v>
      </c>
      <c r="J1127">
        <v>3.9710999999999999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65.189400000000006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3</v>
      </c>
      <c r="C1130" t="s">
        <v>84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2025</v>
      </c>
      <c r="J1130">
        <v>2.1930000000000001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2025</v>
      </c>
      <c r="J1131">
        <v>4.6235499999999998</v>
      </c>
      <c r="K1131" t="s">
        <v>35</v>
      </c>
    </row>
    <row r="1132" spans="1:11" x14ac:dyDescent="0.45">
      <c r="A1132" t="s">
        <v>90</v>
      </c>
      <c r="B1132" t="s">
        <v>3</v>
      </c>
      <c r="C1132" t="s">
        <v>84</v>
      </c>
      <c r="D1132" t="s">
        <v>37</v>
      </c>
      <c r="E1132" t="s">
        <v>30</v>
      </c>
      <c r="F1132" t="s">
        <v>37</v>
      </c>
      <c r="G1132" t="s">
        <v>31</v>
      </c>
      <c r="H1132" t="s">
        <v>38</v>
      </c>
      <c r="I1132">
        <v>2025</v>
      </c>
      <c r="J1132">
        <v>61.863749999999996</v>
      </c>
      <c r="K1132" t="s">
        <v>37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5.7637999999999998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2025</v>
      </c>
      <c r="J1134">
        <v>2.2217500000000001</v>
      </c>
      <c r="K1134" t="s">
        <v>33</v>
      </c>
    </row>
    <row r="1135" spans="1:11" x14ac:dyDescent="0.45">
      <c r="A1135" t="s">
        <v>90</v>
      </c>
      <c r="B1135" t="s">
        <v>4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2025</v>
      </c>
      <c r="J1135">
        <v>4.6684000000000001</v>
      </c>
      <c r="K1135" t="s">
        <v>35</v>
      </c>
    </row>
    <row r="1136" spans="1:11" x14ac:dyDescent="0.45">
      <c r="A1136" t="s">
        <v>90</v>
      </c>
      <c r="B1136" t="s">
        <v>4</v>
      </c>
      <c r="C1136" t="s">
        <v>84</v>
      </c>
      <c r="D1136" t="s">
        <v>37</v>
      </c>
      <c r="E1136" t="s">
        <v>30</v>
      </c>
      <c r="F1136" t="s">
        <v>37</v>
      </c>
      <c r="G1136" t="s">
        <v>31</v>
      </c>
      <c r="H1136" t="s">
        <v>38</v>
      </c>
      <c r="I1136">
        <v>2025</v>
      </c>
      <c r="J1136">
        <v>72.009600000000006</v>
      </c>
      <c r="K1136" t="s">
        <v>37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2025</v>
      </c>
      <c r="J1137">
        <v>5.7637999999999998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2.2217500000000001</v>
      </c>
      <c r="K1138" t="s">
        <v>33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2025</v>
      </c>
      <c r="J1139">
        <v>4.6684000000000001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2025</v>
      </c>
      <c r="J1140">
        <v>72.009600000000006</v>
      </c>
      <c r="K1140" t="s">
        <v>37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2025</v>
      </c>
      <c r="J1141">
        <v>5.7637999999999998</v>
      </c>
      <c r="K1141" t="s">
        <v>29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2.2217500000000001</v>
      </c>
      <c r="K1142" t="s">
        <v>33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4.6684000000000001</v>
      </c>
      <c r="K1143" t="s">
        <v>35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37</v>
      </c>
      <c r="E1144" t="s">
        <v>30</v>
      </c>
      <c r="F1144" t="s">
        <v>37</v>
      </c>
      <c r="G1144" t="s">
        <v>31</v>
      </c>
      <c r="H1144" t="s">
        <v>38</v>
      </c>
      <c r="I1144">
        <v>2025</v>
      </c>
      <c r="J1144">
        <v>72.009600000000006</v>
      </c>
      <c r="K1144" t="s">
        <v>37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2025</v>
      </c>
      <c r="J1145">
        <v>5.3708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2025</v>
      </c>
      <c r="J1146">
        <v>2.3414999999999999</v>
      </c>
      <c r="K1146" t="s">
        <v>33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37</v>
      </c>
      <c r="E1148" t="s">
        <v>30</v>
      </c>
      <c r="F1148" t="s">
        <v>37</v>
      </c>
      <c r="G1148" t="s">
        <v>31</v>
      </c>
      <c r="H1148" t="s">
        <v>38</v>
      </c>
      <c r="I1148">
        <v>2025</v>
      </c>
      <c r="J1148">
        <v>58.44885</v>
      </c>
      <c r="K1148" t="s">
        <v>37</v>
      </c>
    </row>
    <row r="1149" spans="1:11" x14ac:dyDescent="0.45">
      <c r="A1149" t="s">
        <v>90</v>
      </c>
      <c r="B1149" t="s">
        <v>2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2025</v>
      </c>
      <c r="J1149">
        <v>5.6462000000000003</v>
      </c>
      <c r="K1149" t="s">
        <v>29</v>
      </c>
    </row>
    <row r="1150" spans="1:11" x14ac:dyDescent="0.45">
      <c r="A1150" t="s">
        <v>90</v>
      </c>
      <c r="B1150" t="s">
        <v>2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2025</v>
      </c>
      <c r="J1150">
        <v>2.1197999999999997</v>
      </c>
      <c r="K1150" t="s">
        <v>33</v>
      </c>
    </row>
    <row r="1151" spans="1:11" x14ac:dyDescent="0.45">
      <c r="A1151" t="s">
        <v>90</v>
      </c>
      <c r="B1151" t="s">
        <v>2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2025</v>
      </c>
      <c r="J1151">
        <v>4.5302500000000006</v>
      </c>
      <c r="K1151" t="s">
        <v>35</v>
      </c>
    </row>
    <row r="1152" spans="1:11" x14ac:dyDescent="0.45">
      <c r="A1152" t="s">
        <v>90</v>
      </c>
      <c r="B1152" t="s">
        <v>2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67.619100000000003</v>
      </c>
      <c r="K1152" t="s">
        <v>37</v>
      </c>
    </row>
    <row r="1153" spans="1:11" x14ac:dyDescent="0.45">
      <c r="A1153" t="s">
        <v>90</v>
      </c>
      <c r="B1153" t="s">
        <v>1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5.2343000000000002</v>
      </c>
      <c r="K1153" t="s">
        <v>29</v>
      </c>
    </row>
    <row r="1154" spans="1:11" x14ac:dyDescent="0.45">
      <c r="A1154" t="s">
        <v>90</v>
      </c>
      <c r="B1154" t="s">
        <v>1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2025</v>
      </c>
      <c r="J1154">
        <v>2.6320999999999999</v>
      </c>
      <c r="K1154" t="s">
        <v>33</v>
      </c>
    </row>
    <row r="1155" spans="1:11" x14ac:dyDescent="0.45">
      <c r="A1155" t="s">
        <v>90</v>
      </c>
      <c r="B1155" t="s">
        <v>1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2025</v>
      </c>
      <c r="J1155">
        <v>5.1760999999999999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57.665100000000002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3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2030</v>
      </c>
      <c r="J1158">
        <v>1.71675</v>
      </c>
      <c r="K1158" t="s">
        <v>33</v>
      </c>
    </row>
    <row r="1159" spans="1:11" x14ac:dyDescent="0.45">
      <c r="A1159" t="s">
        <v>90</v>
      </c>
      <c r="B1159" t="s">
        <v>3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2030</v>
      </c>
      <c r="J1159">
        <v>4.5418000000000003</v>
      </c>
      <c r="K1159" t="s">
        <v>35</v>
      </c>
    </row>
    <row r="1160" spans="1:11" x14ac:dyDescent="0.45">
      <c r="A1160" t="s">
        <v>90</v>
      </c>
      <c r="B1160" t="s">
        <v>3</v>
      </c>
      <c r="C1160" t="s">
        <v>84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2030</v>
      </c>
      <c r="J1160">
        <v>82.202550000000002</v>
      </c>
      <c r="K1160" t="s">
        <v>37</v>
      </c>
    </row>
    <row r="1161" spans="1:11" x14ac:dyDescent="0.45">
      <c r="A1161" t="s">
        <v>90</v>
      </c>
      <c r="B1161" t="s">
        <v>4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5.3145500000000006</v>
      </c>
      <c r="K1161" t="s">
        <v>29</v>
      </c>
    </row>
    <row r="1162" spans="1:11" x14ac:dyDescent="0.45">
      <c r="A1162" t="s">
        <v>90</v>
      </c>
      <c r="B1162" t="s">
        <v>4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2030</v>
      </c>
      <c r="J1162">
        <v>2.2603</v>
      </c>
      <c r="K1162" t="s">
        <v>33</v>
      </c>
    </row>
    <row r="1163" spans="1:11" x14ac:dyDescent="0.45">
      <c r="A1163" t="s">
        <v>90</v>
      </c>
      <c r="B1163" t="s">
        <v>4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2030</v>
      </c>
      <c r="J1163">
        <v>4.6098499999999998</v>
      </c>
      <c r="K1163" t="s">
        <v>35</v>
      </c>
    </row>
    <row r="1164" spans="1:11" x14ac:dyDescent="0.45">
      <c r="A1164" t="s">
        <v>90</v>
      </c>
      <c r="B1164" t="s">
        <v>4</v>
      </c>
      <c r="C1164" t="s">
        <v>84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2030</v>
      </c>
      <c r="J1164">
        <v>82.546750000000003</v>
      </c>
      <c r="K1164" t="s">
        <v>37</v>
      </c>
    </row>
    <row r="1165" spans="1:11" x14ac:dyDescent="0.45">
      <c r="A1165" t="s">
        <v>90</v>
      </c>
      <c r="B1165" t="s">
        <v>0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2030</v>
      </c>
      <c r="J1165">
        <v>5.3145500000000006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2.2603</v>
      </c>
      <c r="K1166" t="s">
        <v>33</v>
      </c>
    </row>
    <row r="1167" spans="1:11" x14ac:dyDescent="0.45">
      <c r="A1167" t="s">
        <v>90</v>
      </c>
      <c r="B1167" t="s">
        <v>0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2030</v>
      </c>
      <c r="J1167">
        <v>4.6098499999999998</v>
      </c>
      <c r="K1167" t="s">
        <v>35</v>
      </c>
    </row>
    <row r="1168" spans="1:11" x14ac:dyDescent="0.45">
      <c r="A1168" t="s">
        <v>90</v>
      </c>
      <c r="B1168" t="s">
        <v>0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2030</v>
      </c>
      <c r="J1168">
        <v>82.546750000000003</v>
      </c>
      <c r="K1168" t="s">
        <v>37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2030</v>
      </c>
      <c r="J1169">
        <v>5.3145500000000006</v>
      </c>
      <c r="K1169" t="s">
        <v>29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2.2603</v>
      </c>
      <c r="K1170" t="s">
        <v>33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4.6098499999999998</v>
      </c>
      <c r="K1171" t="s">
        <v>35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37</v>
      </c>
      <c r="E1172" t="s">
        <v>30</v>
      </c>
      <c r="F1172" t="s">
        <v>37</v>
      </c>
      <c r="G1172" t="s">
        <v>31</v>
      </c>
      <c r="H1172" t="s">
        <v>38</v>
      </c>
      <c r="I1172">
        <v>2030</v>
      </c>
      <c r="J1172">
        <v>82.546750000000003</v>
      </c>
      <c r="K1172" t="s">
        <v>37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2030</v>
      </c>
      <c r="J1173">
        <v>5.1157500000000002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2030</v>
      </c>
      <c r="J1174">
        <v>1.62375</v>
      </c>
      <c r="K1174" t="s">
        <v>33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37</v>
      </c>
      <c r="E1176" t="s">
        <v>30</v>
      </c>
      <c r="F1176" t="s">
        <v>37</v>
      </c>
      <c r="G1176" t="s">
        <v>31</v>
      </c>
      <c r="H1176" t="s">
        <v>38</v>
      </c>
      <c r="I1176">
        <v>2030</v>
      </c>
      <c r="J1176">
        <v>67.760549999999995</v>
      </c>
      <c r="K1176" t="s">
        <v>37</v>
      </c>
    </row>
    <row r="1177" spans="1:11" x14ac:dyDescent="0.45">
      <c r="A1177" t="s">
        <v>90</v>
      </c>
      <c r="B1177" t="s">
        <v>2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2030</v>
      </c>
      <c r="J1177">
        <v>5.6435499999999994</v>
      </c>
      <c r="K1177" t="s">
        <v>29</v>
      </c>
    </row>
    <row r="1178" spans="1:11" x14ac:dyDescent="0.45">
      <c r="A1178" t="s">
        <v>90</v>
      </c>
      <c r="B1178" t="s">
        <v>2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2030</v>
      </c>
      <c r="J1178">
        <v>2.0793499999999998</v>
      </c>
      <c r="K1178" t="s">
        <v>33</v>
      </c>
    </row>
    <row r="1179" spans="1:11" x14ac:dyDescent="0.45">
      <c r="A1179" t="s">
        <v>90</v>
      </c>
      <c r="B1179" t="s">
        <v>2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2030</v>
      </c>
      <c r="J1179">
        <v>4.2876500000000002</v>
      </c>
      <c r="K1179" t="s">
        <v>35</v>
      </c>
    </row>
    <row r="1180" spans="1:11" x14ac:dyDescent="0.45">
      <c r="A1180" t="s">
        <v>90</v>
      </c>
      <c r="B1180" t="s">
        <v>2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81.937299999999993</v>
      </c>
      <c r="K1180" t="s">
        <v>37</v>
      </c>
    </row>
    <row r="1181" spans="1:11" x14ac:dyDescent="0.45">
      <c r="A1181" t="s">
        <v>90</v>
      </c>
      <c r="B1181" t="s">
        <v>1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2030</v>
      </c>
      <c r="J1181">
        <v>6.0677500000000002</v>
      </c>
      <c r="K1181" t="s">
        <v>29</v>
      </c>
    </row>
    <row r="1182" spans="1:11" x14ac:dyDescent="0.45">
      <c r="A1182" t="s">
        <v>90</v>
      </c>
      <c r="B1182" t="s">
        <v>1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2030</v>
      </c>
      <c r="J1182">
        <v>1.7697500000000002</v>
      </c>
      <c r="K1182" t="s">
        <v>33</v>
      </c>
    </row>
    <row r="1183" spans="1:11" x14ac:dyDescent="0.45">
      <c r="A1183" t="s">
        <v>90</v>
      </c>
      <c r="B1183" t="s">
        <v>1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2030</v>
      </c>
      <c r="J1183">
        <v>5.5630500000000005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79.625100000000003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5.5216500000000002</v>
      </c>
      <c r="K1185" t="s">
        <v>29</v>
      </c>
    </row>
    <row r="1186" spans="1:11" x14ac:dyDescent="0.45">
      <c r="A1186" t="s">
        <v>90</v>
      </c>
      <c r="B1186" t="s">
        <v>3</v>
      </c>
      <c r="C1186" t="s">
        <v>84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2035</v>
      </c>
      <c r="J1186">
        <v>1.54745</v>
      </c>
      <c r="K1186" t="s">
        <v>33</v>
      </c>
    </row>
    <row r="1187" spans="1:11" x14ac:dyDescent="0.45">
      <c r="A1187" t="s">
        <v>90</v>
      </c>
      <c r="B1187" t="s">
        <v>3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2035</v>
      </c>
      <c r="J1187">
        <v>5.2363</v>
      </c>
      <c r="K1187" t="s">
        <v>35</v>
      </c>
    </row>
    <row r="1188" spans="1:11" x14ac:dyDescent="0.45">
      <c r="A1188" t="s">
        <v>90</v>
      </c>
      <c r="B1188" t="s">
        <v>3</v>
      </c>
      <c r="C1188" t="s">
        <v>84</v>
      </c>
      <c r="D1188" t="s">
        <v>37</v>
      </c>
      <c r="E1188" t="s">
        <v>30</v>
      </c>
      <c r="F1188" t="s">
        <v>37</v>
      </c>
      <c r="G1188" t="s">
        <v>31</v>
      </c>
      <c r="H1188" t="s">
        <v>38</v>
      </c>
      <c r="I1188">
        <v>2035</v>
      </c>
      <c r="J1188">
        <v>79.196349999999995</v>
      </c>
      <c r="K1188" t="s">
        <v>37</v>
      </c>
    </row>
    <row r="1189" spans="1:11" x14ac:dyDescent="0.45">
      <c r="A1189" t="s">
        <v>90</v>
      </c>
      <c r="B1189" t="s">
        <v>4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4.5601500000000001</v>
      </c>
      <c r="K1189" t="s">
        <v>29</v>
      </c>
    </row>
    <row r="1190" spans="1:11" x14ac:dyDescent="0.45">
      <c r="A1190" t="s">
        <v>90</v>
      </c>
      <c r="B1190" t="s">
        <v>4</v>
      </c>
      <c r="C1190" t="s">
        <v>84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2035</v>
      </c>
      <c r="J1190">
        <v>2.3062499999999999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2035</v>
      </c>
      <c r="J1191">
        <v>4.9910999999999994</v>
      </c>
      <c r="K1191" t="s">
        <v>35</v>
      </c>
    </row>
    <row r="1192" spans="1:11" x14ac:dyDescent="0.45">
      <c r="A1192" t="s">
        <v>90</v>
      </c>
      <c r="B1192" t="s">
        <v>4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2035</v>
      </c>
      <c r="J1192">
        <v>82.314250000000001</v>
      </c>
      <c r="K1192" t="s">
        <v>37</v>
      </c>
    </row>
    <row r="1193" spans="1:11" x14ac:dyDescent="0.45">
      <c r="A1193" t="s">
        <v>90</v>
      </c>
      <c r="B1193" t="s">
        <v>0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2035</v>
      </c>
      <c r="J1193">
        <v>2.1764999999999999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0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2035</v>
      </c>
      <c r="J1195">
        <v>5.7273500000000004</v>
      </c>
      <c r="K1195" t="s">
        <v>35</v>
      </c>
    </row>
    <row r="1196" spans="1:11" x14ac:dyDescent="0.45">
      <c r="A1196" t="s">
        <v>90</v>
      </c>
      <c r="B1196" t="s">
        <v>0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2035</v>
      </c>
      <c r="J1196">
        <v>69.214550000000003</v>
      </c>
      <c r="K1196" t="s">
        <v>37</v>
      </c>
    </row>
    <row r="1197" spans="1:11" x14ac:dyDescent="0.45">
      <c r="A1197" t="s">
        <v>90</v>
      </c>
      <c r="B1197" t="s">
        <v>6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2035</v>
      </c>
      <c r="J1197">
        <v>4.7282500000000001</v>
      </c>
      <c r="K1197" t="s">
        <v>29</v>
      </c>
    </row>
    <row r="1198" spans="1:11" x14ac:dyDescent="0.45">
      <c r="A1198" t="s">
        <v>90</v>
      </c>
      <c r="B1198" t="s">
        <v>6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2.2448999999999999</v>
      </c>
      <c r="K1198" t="s">
        <v>33</v>
      </c>
    </row>
    <row r="1199" spans="1:11" x14ac:dyDescent="0.45">
      <c r="A1199" t="s">
        <v>90</v>
      </c>
      <c r="B1199" t="s">
        <v>6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5.0059500000000003</v>
      </c>
      <c r="K1199" t="s">
        <v>35</v>
      </c>
    </row>
    <row r="1200" spans="1:11" x14ac:dyDescent="0.45">
      <c r="A1200" t="s">
        <v>90</v>
      </c>
      <c r="B1200" t="s">
        <v>6</v>
      </c>
      <c r="C1200" t="s">
        <v>84</v>
      </c>
      <c r="D1200" t="s">
        <v>37</v>
      </c>
      <c r="E1200" t="s">
        <v>30</v>
      </c>
      <c r="F1200" t="s">
        <v>37</v>
      </c>
      <c r="G1200" t="s">
        <v>31</v>
      </c>
      <c r="H1200" t="s">
        <v>38</v>
      </c>
      <c r="I1200">
        <v>2035</v>
      </c>
      <c r="J1200">
        <v>64.376100000000008</v>
      </c>
      <c r="K1200" t="s">
        <v>37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2035</v>
      </c>
      <c r="J1201">
        <v>7.5321999999999996</v>
      </c>
      <c r="K1201" t="s">
        <v>29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2035</v>
      </c>
      <c r="J1202">
        <v>1.2301500000000001</v>
      </c>
      <c r="K1202" t="s">
        <v>33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37</v>
      </c>
      <c r="E1204" t="s">
        <v>30</v>
      </c>
      <c r="F1204" t="s">
        <v>37</v>
      </c>
      <c r="G1204" t="s">
        <v>31</v>
      </c>
      <c r="H1204" t="s">
        <v>38</v>
      </c>
      <c r="I1204">
        <v>2035</v>
      </c>
      <c r="J1204">
        <v>74.5047</v>
      </c>
      <c r="K1204" t="s">
        <v>37</v>
      </c>
    </row>
    <row r="1205" spans="1:11" x14ac:dyDescent="0.45">
      <c r="A1205" t="s">
        <v>90</v>
      </c>
      <c r="B1205" t="s">
        <v>2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2035</v>
      </c>
      <c r="J1205">
        <v>5.8456999999999999</v>
      </c>
      <c r="K1205" t="s">
        <v>29</v>
      </c>
    </row>
    <row r="1206" spans="1:11" x14ac:dyDescent="0.45">
      <c r="A1206" t="s">
        <v>90</v>
      </c>
      <c r="B1206" t="s">
        <v>2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2035</v>
      </c>
      <c r="J1206">
        <v>2.0613000000000001</v>
      </c>
      <c r="K1206" t="s">
        <v>33</v>
      </c>
    </row>
    <row r="1207" spans="1:11" x14ac:dyDescent="0.45">
      <c r="A1207" t="s">
        <v>90</v>
      </c>
      <c r="B1207" t="s">
        <v>2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2035</v>
      </c>
      <c r="J1207">
        <v>4.73515</v>
      </c>
      <c r="K1207" t="s">
        <v>35</v>
      </c>
    </row>
    <row r="1208" spans="1:11" x14ac:dyDescent="0.45">
      <c r="A1208" t="s">
        <v>90</v>
      </c>
      <c r="B1208" t="s">
        <v>2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81.215550000000007</v>
      </c>
      <c r="K1208" t="s">
        <v>37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2035</v>
      </c>
      <c r="J1209">
        <v>8.3306499999999986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2035</v>
      </c>
      <c r="J1210">
        <v>1.43615</v>
      </c>
      <c r="K1210" t="s">
        <v>33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2035</v>
      </c>
      <c r="J1211">
        <v>5.8599999999999994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81.678049999999999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6.60215</v>
      </c>
      <c r="K1213" t="s">
        <v>29</v>
      </c>
    </row>
    <row r="1214" spans="1:11" x14ac:dyDescent="0.45">
      <c r="A1214" t="s">
        <v>90</v>
      </c>
      <c r="B1214" t="s">
        <v>3</v>
      </c>
      <c r="C1214" t="s">
        <v>84</v>
      </c>
      <c r="D1214" t="s">
        <v>33</v>
      </c>
      <c r="E1214" t="s">
        <v>30</v>
      </c>
      <c r="F1214" t="s">
        <v>33</v>
      </c>
      <c r="G1214" t="s">
        <v>31</v>
      </c>
      <c r="H1214" t="s">
        <v>34</v>
      </c>
      <c r="I1214">
        <v>2040</v>
      </c>
      <c r="J1214">
        <v>1.4253499999999999</v>
      </c>
      <c r="K1214" t="s">
        <v>33</v>
      </c>
    </row>
    <row r="1215" spans="1:11" x14ac:dyDescent="0.45">
      <c r="A1215" t="s">
        <v>90</v>
      </c>
      <c r="B1215" t="s">
        <v>3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2040</v>
      </c>
      <c r="J1215">
        <v>5.0498499999999993</v>
      </c>
      <c r="K1215" t="s">
        <v>35</v>
      </c>
    </row>
    <row r="1216" spans="1:11" x14ac:dyDescent="0.45">
      <c r="A1216" t="s">
        <v>90</v>
      </c>
      <c r="B1216" t="s">
        <v>3</v>
      </c>
      <c r="C1216" t="s">
        <v>84</v>
      </c>
      <c r="D1216" t="s">
        <v>37</v>
      </c>
      <c r="E1216" t="s">
        <v>30</v>
      </c>
      <c r="F1216" t="s">
        <v>37</v>
      </c>
      <c r="G1216" t="s">
        <v>31</v>
      </c>
      <c r="H1216" t="s">
        <v>38</v>
      </c>
      <c r="I1216">
        <v>2040</v>
      </c>
      <c r="J1216">
        <v>87.863900000000001</v>
      </c>
      <c r="K1216" t="s">
        <v>37</v>
      </c>
    </row>
    <row r="1217" spans="1:11" x14ac:dyDescent="0.45">
      <c r="A1217" t="s">
        <v>90</v>
      </c>
      <c r="B1217" t="s">
        <v>4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2.1816000000000004</v>
      </c>
      <c r="K1217" t="s">
        <v>29</v>
      </c>
    </row>
    <row r="1218" spans="1:11" x14ac:dyDescent="0.45">
      <c r="A1218" t="s">
        <v>90</v>
      </c>
      <c r="B1218" t="s">
        <v>4</v>
      </c>
      <c r="C1218" t="s">
        <v>84</v>
      </c>
      <c r="D1218" t="s">
        <v>33</v>
      </c>
      <c r="E1218" t="s">
        <v>30</v>
      </c>
      <c r="F1218" t="s">
        <v>33</v>
      </c>
      <c r="G1218" t="s">
        <v>31</v>
      </c>
      <c r="H1218" t="s">
        <v>34</v>
      </c>
      <c r="I1218">
        <v>2040</v>
      </c>
      <c r="J1218">
        <v>2.3628</v>
      </c>
      <c r="K1218" t="s">
        <v>33</v>
      </c>
    </row>
    <row r="1219" spans="1:11" x14ac:dyDescent="0.45">
      <c r="A1219" t="s">
        <v>90</v>
      </c>
      <c r="B1219" t="s">
        <v>4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2040</v>
      </c>
      <c r="J1219">
        <v>5.2395999999999994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2040</v>
      </c>
      <c r="J1220">
        <v>92.362349999999992</v>
      </c>
      <c r="K1220" t="s">
        <v>37</v>
      </c>
    </row>
    <row r="1221" spans="1:11" x14ac:dyDescent="0.45">
      <c r="A1221" t="s">
        <v>90</v>
      </c>
      <c r="B1221" t="s">
        <v>0</v>
      </c>
      <c r="C1221" t="s">
        <v>84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2040</v>
      </c>
      <c r="J1221">
        <v>5.5442</v>
      </c>
      <c r="K1221" t="s">
        <v>29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1.87825</v>
      </c>
      <c r="K1222" t="s">
        <v>33</v>
      </c>
    </row>
    <row r="1223" spans="1:11" x14ac:dyDescent="0.45">
      <c r="A1223" t="s">
        <v>90</v>
      </c>
      <c r="B1223" t="s">
        <v>0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2040</v>
      </c>
      <c r="J1223">
        <v>5.2990500000000003</v>
      </c>
      <c r="K1223" t="s">
        <v>35</v>
      </c>
    </row>
    <row r="1224" spans="1:11" x14ac:dyDescent="0.45">
      <c r="A1224" t="s">
        <v>90</v>
      </c>
      <c r="B1224" t="s">
        <v>0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86.607200000000006</v>
      </c>
      <c r="K1224" t="s">
        <v>37</v>
      </c>
    </row>
    <row r="1225" spans="1:11" x14ac:dyDescent="0.45">
      <c r="A1225" t="s">
        <v>90</v>
      </c>
      <c r="B1225" t="s">
        <v>6</v>
      </c>
      <c r="C1225" t="s">
        <v>84</v>
      </c>
      <c r="D1225" t="s">
        <v>29</v>
      </c>
      <c r="E1225" t="s">
        <v>30</v>
      </c>
      <c r="F1225" t="s">
        <v>29</v>
      </c>
      <c r="G1225" t="s">
        <v>31</v>
      </c>
      <c r="H1225" t="s">
        <v>32</v>
      </c>
      <c r="I1225">
        <v>2040</v>
      </c>
      <c r="J1225">
        <v>5.6577500000000001</v>
      </c>
      <c r="K1225" t="s">
        <v>29</v>
      </c>
    </row>
    <row r="1226" spans="1:11" x14ac:dyDescent="0.45">
      <c r="A1226" t="s">
        <v>90</v>
      </c>
      <c r="B1226" t="s">
        <v>6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1.94885</v>
      </c>
      <c r="K1226" t="s">
        <v>33</v>
      </c>
    </row>
    <row r="1227" spans="1:11" x14ac:dyDescent="0.45">
      <c r="A1227" t="s">
        <v>90</v>
      </c>
      <c r="B1227" t="s">
        <v>6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4.9135</v>
      </c>
      <c r="K1227" t="s">
        <v>35</v>
      </c>
    </row>
    <row r="1228" spans="1:11" x14ac:dyDescent="0.45">
      <c r="A1228" t="s">
        <v>90</v>
      </c>
      <c r="B1228" t="s">
        <v>6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2040</v>
      </c>
      <c r="J1228">
        <v>84.286650000000009</v>
      </c>
      <c r="K1228" t="s">
        <v>37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2040</v>
      </c>
      <c r="J1229">
        <v>8.59145</v>
      </c>
      <c r="K1229" t="s">
        <v>29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2040</v>
      </c>
      <c r="J1230">
        <v>1.33395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2040</v>
      </c>
      <c r="J1232">
        <v>80.313099999999991</v>
      </c>
      <c r="K1232" t="s">
        <v>37</v>
      </c>
    </row>
    <row r="1233" spans="1:11" x14ac:dyDescent="0.45">
      <c r="A1233" t="s">
        <v>90</v>
      </c>
      <c r="B1233" t="s">
        <v>2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2040</v>
      </c>
      <c r="J1233">
        <v>5.8168000000000006</v>
      </c>
      <c r="K1233" t="s">
        <v>29</v>
      </c>
    </row>
    <row r="1234" spans="1:11" x14ac:dyDescent="0.45">
      <c r="A1234" t="s">
        <v>90</v>
      </c>
      <c r="B1234" t="s">
        <v>2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2040</v>
      </c>
      <c r="J1234">
        <v>1.9228499999999999</v>
      </c>
      <c r="K1234" t="s">
        <v>33</v>
      </c>
    </row>
    <row r="1235" spans="1:11" x14ac:dyDescent="0.45">
      <c r="A1235" t="s">
        <v>90</v>
      </c>
      <c r="B1235" t="s">
        <v>2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2040</v>
      </c>
      <c r="J1235">
        <v>5.0349500000000003</v>
      </c>
      <c r="K1235" t="s">
        <v>35</v>
      </c>
    </row>
    <row r="1236" spans="1:11" x14ac:dyDescent="0.45">
      <c r="A1236" t="s">
        <v>90</v>
      </c>
      <c r="B1236" t="s">
        <v>2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91.770399999999995</v>
      </c>
      <c r="K1236" t="s">
        <v>37</v>
      </c>
    </row>
    <row r="1237" spans="1:11" x14ac:dyDescent="0.45">
      <c r="A1237" t="s">
        <v>90</v>
      </c>
      <c r="B1237" t="s">
        <v>1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2040</v>
      </c>
      <c r="J1237">
        <v>16.86035</v>
      </c>
      <c r="K1237" t="s">
        <v>29</v>
      </c>
    </row>
    <row r="1238" spans="1:11" x14ac:dyDescent="0.45">
      <c r="A1238" t="s">
        <v>90</v>
      </c>
      <c r="B1238" t="s">
        <v>1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2040</v>
      </c>
      <c r="J1238">
        <v>1.3690500000000001</v>
      </c>
      <c r="K1238" t="s">
        <v>33</v>
      </c>
    </row>
    <row r="1239" spans="1:11" x14ac:dyDescent="0.45">
      <c r="A1239" t="s">
        <v>90</v>
      </c>
      <c r="B1239" t="s">
        <v>1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2040</v>
      </c>
      <c r="J1239">
        <v>5.7955500000000004</v>
      </c>
      <c r="K1239" t="s">
        <v>35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88.534649999999999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3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1.4182999999999999</v>
      </c>
      <c r="K1242" t="s">
        <v>33</v>
      </c>
    </row>
    <row r="1243" spans="1:11" x14ac:dyDescent="0.45">
      <c r="A1243" t="s">
        <v>90</v>
      </c>
      <c r="B1243" t="s">
        <v>3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2045</v>
      </c>
      <c r="J1243">
        <v>4.7785500000000001</v>
      </c>
      <c r="K1243" t="s">
        <v>35</v>
      </c>
    </row>
    <row r="1244" spans="1:11" x14ac:dyDescent="0.45">
      <c r="A1244" t="s">
        <v>90</v>
      </c>
      <c r="B1244" t="s">
        <v>3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2045</v>
      </c>
      <c r="J1244">
        <v>93.5762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2.3449</v>
      </c>
      <c r="K1245" t="s">
        <v>29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2045</v>
      </c>
      <c r="J1246">
        <v>2.4756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2045</v>
      </c>
      <c r="J1247">
        <v>5.4906499999999996</v>
      </c>
      <c r="K1247" t="s">
        <v>35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2045</v>
      </c>
      <c r="J1248">
        <v>101.91849999999999</v>
      </c>
      <c r="K1248" t="s">
        <v>37</v>
      </c>
    </row>
    <row r="1249" spans="1:11" x14ac:dyDescent="0.45">
      <c r="A1249" t="s">
        <v>90</v>
      </c>
      <c r="B1249" t="s">
        <v>0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2045</v>
      </c>
      <c r="J1249">
        <v>9.1586999999999996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0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2045</v>
      </c>
      <c r="J1251">
        <v>4.6126000000000005</v>
      </c>
      <c r="K1251" t="s">
        <v>35</v>
      </c>
    </row>
    <row r="1252" spans="1:11" x14ac:dyDescent="0.45">
      <c r="A1252" t="s">
        <v>90</v>
      </c>
      <c r="B1252" t="s">
        <v>0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2045</v>
      </c>
      <c r="J1252">
        <v>96.995800000000003</v>
      </c>
      <c r="K1252" t="s">
        <v>37</v>
      </c>
    </row>
    <row r="1253" spans="1:11" x14ac:dyDescent="0.45">
      <c r="A1253" t="s">
        <v>90</v>
      </c>
      <c r="B1253" t="s">
        <v>6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2045</v>
      </c>
      <c r="J1253">
        <v>6.0046499999999998</v>
      </c>
      <c r="K1253" t="s">
        <v>29</v>
      </c>
    </row>
    <row r="1254" spans="1:11" x14ac:dyDescent="0.45">
      <c r="A1254" t="s">
        <v>90</v>
      </c>
      <c r="B1254" t="s">
        <v>6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1.8105500000000001</v>
      </c>
      <c r="K1254" t="s">
        <v>33</v>
      </c>
    </row>
    <row r="1255" spans="1:11" x14ac:dyDescent="0.45">
      <c r="A1255" t="s">
        <v>90</v>
      </c>
      <c r="B1255" t="s">
        <v>6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5.3256499999999996</v>
      </c>
      <c r="K1255" t="s">
        <v>35</v>
      </c>
    </row>
    <row r="1256" spans="1:11" x14ac:dyDescent="0.45">
      <c r="A1256" t="s">
        <v>90</v>
      </c>
      <c r="B1256" t="s">
        <v>6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97.598600000000005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2045</v>
      </c>
      <c r="J1257">
        <v>10.32155</v>
      </c>
      <c r="K1257" t="s">
        <v>29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1.2519499999999999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79.373799999999989</v>
      </c>
      <c r="K1260" t="s">
        <v>37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2045</v>
      </c>
      <c r="J1261">
        <v>6.5330500000000002</v>
      </c>
      <c r="K1261" t="s">
        <v>29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2045</v>
      </c>
      <c r="J1262">
        <v>1.8179000000000001</v>
      </c>
      <c r="K1262" t="s">
        <v>33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2045</v>
      </c>
      <c r="J1263">
        <v>5.3595000000000006</v>
      </c>
      <c r="K1263" t="s">
        <v>35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101.27515</v>
      </c>
      <c r="K1264" t="s">
        <v>37</v>
      </c>
    </row>
    <row r="1265" spans="1:11" x14ac:dyDescent="0.45">
      <c r="A1265" t="s">
        <v>90</v>
      </c>
      <c r="B1265" t="s">
        <v>1</v>
      </c>
      <c r="C1265" t="s">
        <v>84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2045</v>
      </c>
      <c r="J1265">
        <v>22.537300000000002</v>
      </c>
      <c r="K1265" t="s">
        <v>29</v>
      </c>
    </row>
    <row r="1266" spans="1:11" x14ac:dyDescent="0.45">
      <c r="A1266" t="s">
        <v>90</v>
      </c>
      <c r="B1266" t="s">
        <v>1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2045</v>
      </c>
      <c r="J1266">
        <v>1.4416</v>
      </c>
      <c r="K1266" t="s">
        <v>33</v>
      </c>
    </row>
    <row r="1267" spans="1:11" x14ac:dyDescent="0.45">
      <c r="A1267" t="s">
        <v>90</v>
      </c>
      <c r="B1267" t="s">
        <v>1</v>
      </c>
      <c r="C1267" t="s">
        <v>84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2045</v>
      </c>
      <c r="J1267">
        <v>4.9245999999999999</v>
      </c>
      <c r="K1267" t="s">
        <v>35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89.913350000000008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3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2050</v>
      </c>
      <c r="J1270">
        <v>1.5704500000000001</v>
      </c>
      <c r="K1270" t="s">
        <v>33</v>
      </c>
    </row>
    <row r="1271" spans="1:11" x14ac:dyDescent="0.45">
      <c r="A1271" t="s">
        <v>90</v>
      </c>
      <c r="B1271" t="s">
        <v>3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2050</v>
      </c>
      <c r="J1271">
        <v>4.8777499999999998</v>
      </c>
      <c r="K1271" t="s">
        <v>35</v>
      </c>
    </row>
    <row r="1272" spans="1:11" x14ac:dyDescent="0.45">
      <c r="A1272" t="s">
        <v>90</v>
      </c>
      <c r="B1272" t="s">
        <v>3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2050</v>
      </c>
      <c r="J1272">
        <v>99.286950000000004</v>
      </c>
      <c r="K1272" t="s">
        <v>37</v>
      </c>
    </row>
    <row r="1273" spans="1:11" x14ac:dyDescent="0.45">
      <c r="A1273" t="s">
        <v>90</v>
      </c>
      <c r="B1273" t="s">
        <v>4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3.6767000000000003</v>
      </c>
      <c r="K1273" t="s">
        <v>29</v>
      </c>
    </row>
    <row r="1274" spans="1:11" x14ac:dyDescent="0.45">
      <c r="A1274" t="s">
        <v>90</v>
      </c>
      <c r="B1274" t="s">
        <v>4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2050</v>
      </c>
      <c r="J1274">
        <v>2.7322500000000001</v>
      </c>
      <c r="K1274" t="s">
        <v>33</v>
      </c>
    </row>
    <row r="1275" spans="1:11" x14ac:dyDescent="0.45">
      <c r="A1275" t="s">
        <v>90</v>
      </c>
      <c r="B1275" t="s">
        <v>4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2050</v>
      </c>
      <c r="J1275">
        <v>5.6541999999999994</v>
      </c>
      <c r="K1275" t="s">
        <v>35</v>
      </c>
    </row>
    <row r="1276" spans="1:11" x14ac:dyDescent="0.45">
      <c r="A1276" t="s">
        <v>90</v>
      </c>
      <c r="B1276" t="s">
        <v>4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2050</v>
      </c>
      <c r="J1276">
        <v>108.10325</v>
      </c>
      <c r="K1276" t="s">
        <v>37</v>
      </c>
    </row>
    <row r="1277" spans="1:11" x14ac:dyDescent="0.45">
      <c r="A1277" t="s">
        <v>90</v>
      </c>
      <c r="B1277" t="s">
        <v>0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17.657350000000001</v>
      </c>
      <c r="K1277" t="s">
        <v>29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0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2050</v>
      </c>
      <c r="J1279">
        <v>4.1950500000000002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2050</v>
      </c>
      <c r="J1280">
        <v>100.6613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2050</v>
      </c>
      <c r="J1281">
        <v>8.1373999999999995</v>
      </c>
      <c r="K1281" t="s">
        <v>29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2.1814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5.1727499999999997</v>
      </c>
      <c r="K1283" t="s">
        <v>35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2050</v>
      </c>
      <c r="J1284">
        <v>102.87139999999999</v>
      </c>
      <c r="K1284" t="s">
        <v>37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2050</v>
      </c>
      <c r="J1285">
        <v>12.79175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2050</v>
      </c>
      <c r="J1286">
        <v>1.59405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2050</v>
      </c>
      <c r="J1288">
        <v>74.836749999999995</v>
      </c>
      <c r="K1288" t="s">
        <v>37</v>
      </c>
    </row>
    <row r="1289" spans="1:11" x14ac:dyDescent="0.45">
      <c r="A1289" t="s">
        <v>90</v>
      </c>
      <c r="B1289" t="s">
        <v>2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2050</v>
      </c>
      <c r="J1289">
        <v>7.6464999999999996</v>
      </c>
      <c r="K1289" t="s">
        <v>29</v>
      </c>
    </row>
    <row r="1290" spans="1:11" x14ac:dyDescent="0.45">
      <c r="A1290" t="s">
        <v>90</v>
      </c>
      <c r="B1290" t="s">
        <v>2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2050</v>
      </c>
      <c r="J1290">
        <v>1.8801999999999999</v>
      </c>
      <c r="K1290" t="s">
        <v>33</v>
      </c>
    </row>
    <row r="1291" spans="1:11" x14ac:dyDescent="0.45">
      <c r="A1291" t="s">
        <v>90</v>
      </c>
      <c r="B1291" t="s">
        <v>2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2050</v>
      </c>
      <c r="J1291">
        <v>5.3207000000000004</v>
      </c>
      <c r="K1291" t="s">
        <v>35</v>
      </c>
    </row>
    <row r="1292" spans="1:11" x14ac:dyDescent="0.45">
      <c r="A1292" t="s">
        <v>90</v>
      </c>
      <c r="B1292" t="s">
        <v>2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106.26400000000001</v>
      </c>
      <c r="K1292" t="s">
        <v>37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2050</v>
      </c>
      <c r="J1293">
        <v>21.625300000000003</v>
      </c>
      <c r="K1293" t="s">
        <v>29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1.7387999999999999</v>
      </c>
      <c r="K1294" t="s">
        <v>33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2050</v>
      </c>
      <c r="J1295">
        <v>4.4139499999999998</v>
      </c>
      <c r="K1295" t="s">
        <v>35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100.87350000000001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3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2055</v>
      </c>
      <c r="J1298">
        <v>1.3464499999999999</v>
      </c>
      <c r="K1298" t="s">
        <v>33</v>
      </c>
    </row>
    <row r="1299" spans="1:11" x14ac:dyDescent="0.45">
      <c r="A1299" t="s">
        <v>90</v>
      </c>
      <c r="B1299" t="s">
        <v>3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2055</v>
      </c>
      <c r="J1299">
        <v>4.5329499999999996</v>
      </c>
      <c r="K1299" t="s">
        <v>35</v>
      </c>
    </row>
    <row r="1300" spans="1:11" x14ac:dyDescent="0.45">
      <c r="A1300" t="s">
        <v>90</v>
      </c>
      <c r="B1300" t="s">
        <v>3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2055</v>
      </c>
      <c r="J1300">
        <v>113.702</v>
      </c>
      <c r="K1300" t="s">
        <v>37</v>
      </c>
    </row>
    <row r="1301" spans="1:11" x14ac:dyDescent="0.45">
      <c r="A1301" t="s">
        <v>90</v>
      </c>
      <c r="B1301" t="s">
        <v>4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4.1312499999999996</v>
      </c>
      <c r="K1301" t="s">
        <v>29</v>
      </c>
    </row>
    <row r="1302" spans="1:11" x14ac:dyDescent="0.45">
      <c r="A1302" t="s">
        <v>90</v>
      </c>
      <c r="B1302" t="s">
        <v>4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2055</v>
      </c>
      <c r="J1302">
        <v>2.6589499999999999</v>
      </c>
      <c r="K1302" t="s">
        <v>33</v>
      </c>
    </row>
    <row r="1303" spans="1:11" x14ac:dyDescent="0.45">
      <c r="A1303" t="s">
        <v>90</v>
      </c>
      <c r="B1303" t="s">
        <v>4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2055</v>
      </c>
      <c r="J1303">
        <v>5.6654</v>
      </c>
      <c r="K1303" t="s">
        <v>35</v>
      </c>
    </row>
    <row r="1304" spans="1:11" x14ac:dyDescent="0.45">
      <c r="A1304" t="s">
        <v>90</v>
      </c>
      <c r="B1304" t="s">
        <v>4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2055</v>
      </c>
      <c r="J1304">
        <v>124.46765000000001</v>
      </c>
      <c r="K1304" t="s">
        <v>37</v>
      </c>
    </row>
    <row r="1305" spans="1:11" x14ac:dyDescent="0.45">
      <c r="A1305" t="s">
        <v>90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2055</v>
      </c>
      <c r="J1305">
        <v>20.9406</v>
      </c>
      <c r="K1305" t="s">
        <v>29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0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2055</v>
      </c>
      <c r="J1307">
        <v>4.3904499999999995</v>
      </c>
      <c r="K1307" t="s">
        <v>35</v>
      </c>
    </row>
    <row r="1308" spans="1:11" x14ac:dyDescent="0.45">
      <c r="A1308" t="s">
        <v>90</v>
      </c>
      <c r="B1308" t="s">
        <v>0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2055</v>
      </c>
      <c r="J1308">
        <v>116.69974999999999</v>
      </c>
      <c r="K1308" t="s">
        <v>37</v>
      </c>
    </row>
    <row r="1309" spans="1:11" x14ac:dyDescent="0.45">
      <c r="A1309" t="s">
        <v>90</v>
      </c>
      <c r="B1309" t="s">
        <v>6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2055</v>
      </c>
      <c r="J1309">
        <v>9.2483499999999985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1.5321500000000001</v>
      </c>
      <c r="K1310" t="s">
        <v>33</v>
      </c>
    </row>
    <row r="1311" spans="1:11" x14ac:dyDescent="0.45">
      <c r="A1311" t="s">
        <v>90</v>
      </c>
      <c r="B1311" t="s">
        <v>6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4.8427000000000007</v>
      </c>
      <c r="K1311" t="s">
        <v>35</v>
      </c>
    </row>
    <row r="1312" spans="1:11" x14ac:dyDescent="0.45">
      <c r="A1312" t="s">
        <v>90</v>
      </c>
      <c r="B1312" t="s">
        <v>6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116.9101</v>
      </c>
      <c r="K1312" t="s">
        <v>37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2055</v>
      </c>
      <c r="J1313">
        <v>10.578399999999998</v>
      </c>
      <c r="K1313" t="s">
        <v>29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2055</v>
      </c>
      <c r="J1314">
        <v>1.51485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2055</v>
      </c>
      <c r="J1316">
        <v>113.1446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2055</v>
      </c>
      <c r="J1317">
        <v>6.8690999999999995</v>
      </c>
      <c r="K1317" t="s">
        <v>29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2055</v>
      </c>
      <c r="J1318">
        <v>1.8517000000000001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2055</v>
      </c>
      <c r="J1319">
        <v>5.03695</v>
      </c>
      <c r="K1319" t="s">
        <v>35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123.79705</v>
      </c>
      <c r="K1320" t="s">
        <v>37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2055</v>
      </c>
      <c r="J1321">
        <v>20.022300000000001</v>
      </c>
      <c r="K1321" t="s">
        <v>29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2055</v>
      </c>
      <c r="J1322">
        <v>1.66615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2055</v>
      </c>
      <c r="J1323">
        <v>4.5674000000000001</v>
      </c>
      <c r="K1323" t="s">
        <v>35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116.5746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3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2060</v>
      </c>
      <c r="J1326">
        <v>1.9051</v>
      </c>
      <c r="K1326" t="s">
        <v>33</v>
      </c>
    </row>
    <row r="1327" spans="1:11" x14ac:dyDescent="0.45">
      <c r="A1327" t="s">
        <v>90</v>
      </c>
      <c r="B1327" t="s">
        <v>3</v>
      </c>
      <c r="C1327" t="s">
        <v>84</v>
      </c>
      <c r="D1327" t="s">
        <v>35</v>
      </c>
      <c r="E1327" t="s">
        <v>30</v>
      </c>
      <c r="F1327" t="s">
        <v>35</v>
      </c>
      <c r="G1327" t="s">
        <v>31</v>
      </c>
      <c r="H1327" t="s">
        <v>36</v>
      </c>
      <c r="I1327">
        <v>2060</v>
      </c>
      <c r="J1327">
        <v>5.8452000000000002</v>
      </c>
      <c r="K1327" t="s">
        <v>35</v>
      </c>
    </row>
    <row r="1328" spans="1:11" x14ac:dyDescent="0.45">
      <c r="A1328" t="s">
        <v>90</v>
      </c>
      <c r="B1328" t="s">
        <v>3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2060</v>
      </c>
      <c r="J1328">
        <v>175.04315</v>
      </c>
      <c r="K1328" t="s">
        <v>37</v>
      </c>
    </row>
    <row r="1329" spans="1:11" x14ac:dyDescent="0.45">
      <c r="A1329" t="s">
        <v>90</v>
      </c>
      <c r="B1329" t="s">
        <v>4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5.2963500000000003</v>
      </c>
      <c r="K1329" t="s">
        <v>29</v>
      </c>
    </row>
    <row r="1330" spans="1:11" x14ac:dyDescent="0.45">
      <c r="A1330" t="s">
        <v>90</v>
      </c>
      <c r="B1330" t="s">
        <v>4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3.4098000000000002</v>
      </c>
      <c r="K1330" t="s">
        <v>33</v>
      </c>
    </row>
    <row r="1331" spans="1:11" x14ac:dyDescent="0.45">
      <c r="A1331" t="s">
        <v>90</v>
      </c>
      <c r="B1331" t="s">
        <v>4</v>
      </c>
      <c r="C1331" t="s">
        <v>84</v>
      </c>
      <c r="D1331" t="s">
        <v>35</v>
      </c>
      <c r="E1331" t="s">
        <v>30</v>
      </c>
      <c r="F1331" t="s">
        <v>35</v>
      </c>
      <c r="G1331" t="s">
        <v>31</v>
      </c>
      <c r="H1331" t="s">
        <v>36</v>
      </c>
      <c r="I1331">
        <v>2060</v>
      </c>
      <c r="J1331">
        <v>6.6663999999999994</v>
      </c>
      <c r="K1331" t="s">
        <v>35</v>
      </c>
    </row>
    <row r="1332" spans="1:11" x14ac:dyDescent="0.45">
      <c r="A1332" t="s">
        <v>90</v>
      </c>
      <c r="B1332" t="s">
        <v>4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2060</v>
      </c>
      <c r="J1332">
        <v>197.66784999999999</v>
      </c>
      <c r="K1332" t="s">
        <v>37</v>
      </c>
    </row>
    <row r="1333" spans="1:11" x14ac:dyDescent="0.45">
      <c r="A1333" t="s">
        <v>90</v>
      </c>
      <c r="B1333" t="s">
        <v>0</v>
      </c>
      <c r="C1333" t="s">
        <v>84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2060</v>
      </c>
      <c r="J1333">
        <v>28.955849999999998</v>
      </c>
      <c r="K1333" t="s">
        <v>29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2060</v>
      </c>
      <c r="J1335">
        <v>5.1861999999999995</v>
      </c>
      <c r="K1335" t="s">
        <v>35</v>
      </c>
    </row>
    <row r="1336" spans="1:11" x14ac:dyDescent="0.45">
      <c r="A1336" t="s">
        <v>90</v>
      </c>
      <c r="B1336" t="s">
        <v>0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2060</v>
      </c>
      <c r="J1336">
        <v>175.08449999999999</v>
      </c>
      <c r="K1336" t="s">
        <v>37</v>
      </c>
    </row>
    <row r="1337" spans="1:11" x14ac:dyDescent="0.45">
      <c r="A1337" t="s">
        <v>90</v>
      </c>
      <c r="B1337" t="s">
        <v>6</v>
      </c>
      <c r="C1337" t="s">
        <v>84</v>
      </c>
      <c r="D1337" t="s">
        <v>29</v>
      </c>
      <c r="E1337" t="s">
        <v>30</v>
      </c>
      <c r="F1337" t="s">
        <v>29</v>
      </c>
      <c r="G1337" t="s">
        <v>31</v>
      </c>
      <c r="H1337" t="s">
        <v>32</v>
      </c>
      <c r="I1337">
        <v>2060</v>
      </c>
      <c r="J1337">
        <v>14.686199999999999</v>
      </c>
      <c r="K1337" t="s">
        <v>29</v>
      </c>
    </row>
    <row r="1338" spans="1:11" x14ac:dyDescent="0.45">
      <c r="A1338" t="s">
        <v>90</v>
      </c>
      <c r="B1338" t="s">
        <v>6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2.2842500000000001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5.8754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84</v>
      </c>
      <c r="D1340" t="s">
        <v>37</v>
      </c>
      <c r="E1340" t="s">
        <v>30</v>
      </c>
      <c r="F1340" t="s">
        <v>37</v>
      </c>
      <c r="G1340" t="s">
        <v>31</v>
      </c>
      <c r="H1340" t="s">
        <v>38</v>
      </c>
      <c r="I1340">
        <v>2060</v>
      </c>
      <c r="J1340">
        <v>179.79354999999998</v>
      </c>
      <c r="K1340" t="s">
        <v>37</v>
      </c>
    </row>
    <row r="1341" spans="1:11" x14ac:dyDescent="0.45">
      <c r="A1341" t="s">
        <v>90</v>
      </c>
      <c r="B1341" t="s">
        <v>5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2060</v>
      </c>
      <c r="J1341">
        <v>21.462600000000002</v>
      </c>
      <c r="K1341" t="s">
        <v>29</v>
      </c>
    </row>
    <row r="1342" spans="1:11" x14ac:dyDescent="0.45">
      <c r="A1342" t="s">
        <v>90</v>
      </c>
      <c r="B1342" t="s">
        <v>5</v>
      </c>
      <c r="C1342" t="s">
        <v>84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2060</v>
      </c>
      <c r="J1342">
        <v>1.5146000000000002</v>
      </c>
      <c r="K1342" t="s">
        <v>33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5</v>
      </c>
      <c r="C1344" t="s">
        <v>84</v>
      </c>
      <c r="D1344" t="s">
        <v>37</v>
      </c>
      <c r="E1344" t="s">
        <v>30</v>
      </c>
      <c r="F1344" t="s">
        <v>37</v>
      </c>
      <c r="G1344" t="s">
        <v>31</v>
      </c>
      <c r="H1344" t="s">
        <v>38</v>
      </c>
      <c r="I1344">
        <v>2060</v>
      </c>
      <c r="J1344">
        <v>179.99435</v>
      </c>
      <c r="K1344" t="s">
        <v>37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2060</v>
      </c>
      <c r="J1345">
        <v>13.05955</v>
      </c>
      <c r="K1345" t="s">
        <v>29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2060</v>
      </c>
      <c r="J1346">
        <v>2.3400499999999997</v>
      </c>
      <c r="K1346" t="s">
        <v>33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6.1361500000000007</v>
      </c>
      <c r="K1347" t="s">
        <v>35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188.26465000000002</v>
      </c>
      <c r="K1348" t="s">
        <v>37</v>
      </c>
    </row>
    <row r="1349" spans="1:11" x14ac:dyDescent="0.45">
      <c r="A1349" t="s">
        <v>90</v>
      </c>
      <c r="B1349" t="s">
        <v>1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2060</v>
      </c>
      <c r="J1349">
        <v>34.522100000000002</v>
      </c>
      <c r="K1349" t="s">
        <v>29</v>
      </c>
    </row>
    <row r="1350" spans="1:11" x14ac:dyDescent="0.45">
      <c r="A1350" t="s">
        <v>90</v>
      </c>
      <c r="B1350" t="s">
        <v>1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2060</v>
      </c>
      <c r="J1350">
        <v>1.8959000000000001</v>
      </c>
      <c r="K1350" t="s">
        <v>33</v>
      </c>
    </row>
    <row r="1351" spans="1:11" x14ac:dyDescent="0.45">
      <c r="A1351" t="s">
        <v>90</v>
      </c>
      <c r="B1351" t="s">
        <v>1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2060</v>
      </c>
      <c r="J1351">
        <v>5.5579999999999998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183.90429999999998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33</v>
      </c>
      <c r="E1354" t="s">
        <v>30</v>
      </c>
      <c r="F1354" t="s">
        <v>33</v>
      </c>
      <c r="G1354" t="s">
        <v>31</v>
      </c>
      <c r="H1354" t="s">
        <v>34</v>
      </c>
      <c r="I1354">
        <v>2065</v>
      </c>
      <c r="J1354">
        <v>1.8803999999999998</v>
      </c>
      <c r="K1354" t="s">
        <v>33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2065</v>
      </c>
      <c r="J1355">
        <v>5.5266999999999999</v>
      </c>
      <c r="K1355" t="s">
        <v>35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2065</v>
      </c>
      <c r="J1356">
        <v>208.89075</v>
      </c>
      <c r="K1356" t="s">
        <v>37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6.2115499999999999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2065</v>
      </c>
      <c r="J1358">
        <v>3.5568999999999997</v>
      </c>
      <c r="K1358" t="s">
        <v>33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2065</v>
      </c>
      <c r="J1359">
        <v>6.5385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236.26935</v>
      </c>
      <c r="K1360" t="s">
        <v>37</v>
      </c>
    </row>
    <row r="1361" spans="1:11" x14ac:dyDescent="0.45">
      <c r="A1361" t="s">
        <v>90</v>
      </c>
      <c r="B1361" t="s">
        <v>0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2065</v>
      </c>
      <c r="J1361">
        <v>25.764299999999999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0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2065</v>
      </c>
      <c r="J1363">
        <v>5.0748999999999995</v>
      </c>
      <c r="K1363" t="s">
        <v>35</v>
      </c>
    </row>
    <row r="1364" spans="1:11" x14ac:dyDescent="0.45">
      <c r="A1364" t="s">
        <v>90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2065</v>
      </c>
      <c r="J1364">
        <v>209.59895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15.117049999999999</v>
      </c>
      <c r="K1365" t="s">
        <v>29</v>
      </c>
    </row>
    <row r="1366" spans="1:11" x14ac:dyDescent="0.45">
      <c r="A1366" t="s">
        <v>90</v>
      </c>
      <c r="B1366" t="s">
        <v>6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2.2705000000000002</v>
      </c>
      <c r="K1366" t="s">
        <v>33</v>
      </c>
    </row>
    <row r="1367" spans="1:11" x14ac:dyDescent="0.45">
      <c r="A1367" t="s">
        <v>90</v>
      </c>
      <c r="B1367" t="s">
        <v>6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5.65855</v>
      </c>
      <c r="K1367" t="s">
        <v>35</v>
      </c>
    </row>
    <row r="1368" spans="1:11" x14ac:dyDescent="0.45">
      <c r="A1368" t="s">
        <v>90</v>
      </c>
      <c r="B1368" t="s">
        <v>6</v>
      </c>
      <c r="C1368" t="s">
        <v>84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2065</v>
      </c>
      <c r="J1368">
        <v>216.17214999999999</v>
      </c>
      <c r="K1368" t="s">
        <v>37</v>
      </c>
    </row>
    <row r="1369" spans="1:11" x14ac:dyDescent="0.45">
      <c r="A1369" t="s">
        <v>90</v>
      </c>
      <c r="B1369" t="s">
        <v>5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2065</v>
      </c>
      <c r="J1369">
        <v>19.187899999999999</v>
      </c>
      <c r="K1369" t="s">
        <v>29</v>
      </c>
    </row>
    <row r="1370" spans="1:11" x14ac:dyDescent="0.45">
      <c r="A1370" t="s">
        <v>90</v>
      </c>
      <c r="B1370" t="s">
        <v>5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2065</v>
      </c>
      <c r="J1370">
        <v>1.63405</v>
      </c>
      <c r="K1370" t="s">
        <v>33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5</v>
      </c>
      <c r="C1372" t="s">
        <v>84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2065</v>
      </c>
      <c r="J1372">
        <v>213.91899999999998</v>
      </c>
      <c r="K1372" t="s">
        <v>37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2065</v>
      </c>
      <c r="J1373">
        <v>12.338899999999999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2065</v>
      </c>
      <c r="J1374">
        <v>2.2040999999999999</v>
      </c>
      <c r="K1374" t="s">
        <v>33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2065</v>
      </c>
      <c r="J1375">
        <v>5.9593500000000006</v>
      </c>
      <c r="K1375" t="s">
        <v>35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223.32920000000001</v>
      </c>
      <c r="K1376" t="s">
        <v>37</v>
      </c>
    </row>
    <row r="1377" spans="1:11" x14ac:dyDescent="0.45">
      <c r="A1377" t="s">
        <v>90</v>
      </c>
      <c r="B1377" t="s">
        <v>1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2065</v>
      </c>
      <c r="J1377">
        <v>34.848349999999996</v>
      </c>
      <c r="K1377" t="s">
        <v>29</v>
      </c>
    </row>
    <row r="1378" spans="1:11" x14ac:dyDescent="0.45">
      <c r="A1378" t="s">
        <v>90</v>
      </c>
      <c r="B1378" t="s">
        <v>1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2065</v>
      </c>
      <c r="J1378">
        <v>1.9075500000000001</v>
      </c>
      <c r="K1378" t="s">
        <v>33</v>
      </c>
    </row>
    <row r="1379" spans="1:11" x14ac:dyDescent="0.45">
      <c r="A1379" t="s">
        <v>90</v>
      </c>
      <c r="B1379" t="s">
        <v>1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2065</v>
      </c>
      <c r="J1379">
        <v>5.8658999999999999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231.2432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33</v>
      </c>
      <c r="E1382" t="s">
        <v>30</v>
      </c>
      <c r="F1382" t="s">
        <v>33</v>
      </c>
      <c r="G1382" t="s">
        <v>31</v>
      </c>
      <c r="H1382" t="s">
        <v>34</v>
      </c>
      <c r="I1382">
        <v>2070</v>
      </c>
      <c r="J1382">
        <v>1.8557000000000001</v>
      </c>
      <c r="K1382" t="s">
        <v>33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37</v>
      </c>
      <c r="E1384" t="s">
        <v>30</v>
      </c>
      <c r="F1384" t="s">
        <v>37</v>
      </c>
      <c r="G1384" t="s">
        <v>31</v>
      </c>
      <c r="H1384" t="s">
        <v>38</v>
      </c>
      <c r="I1384">
        <v>2070</v>
      </c>
      <c r="J1384">
        <v>242.73840000000001</v>
      </c>
      <c r="K1384" t="s">
        <v>37</v>
      </c>
    </row>
    <row r="1385" spans="1:11" x14ac:dyDescent="0.45">
      <c r="A1385" t="s">
        <v>90</v>
      </c>
      <c r="B1385" t="s">
        <v>4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7.1266999999999996</v>
      </c>
      <c r="K1385" t="s">
        <v>29</v>
      </c>
    </row>
    <row r="1386" spans="1:11" x14ac:dyDescent="0.45">
      <c r="A1386" t="s">
        <v>90</v>
      </c>
      <c r="B1386" t="s">
        <v>4</v>
      </c>
      <c r="C1386" t="s">
        <v>84</v>
      </c>
      <c r="D1386" t="s">
        <v>33</v>
      </c>
      <c r="E1386" t="s">
        <v>30</v>
      </c>
      <c r="F1386" t="s">
        <v>33</v>
      </c>
      <c r="G1386" t="s">
        <v>31</v>
      </c>
      <c r="H1386" t="s">
        <v>34</v>
      </c>
      <c r="I1386">
        <v>2070</v>
      </c>
      <c r="J1386">
        <v>3.7039</v>
      </c>
      <c r="K1386" t="s">
        <v>33</v>
      </c>
    </row>
    <row r="1387" spans="1:11" x14ac:dyDescent="0.45">
      <c r="A1387" t="s">
        <v>90</v>
      </c>
      <c r="B1387" t="s">
        <v>4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2070</v>
      </c>
      <c r="J1387">
        <v>6.4105500000000006</v>
      </c>
      <c r="K1387" t="s">
        <v>35</v>
      </c>
    </row>
    <row r="1388" spans="1:11" x14ac:dyDescent="0.45">
      <c r="A1388" t="s">
        <v>90</v>
      </c>
      <c r="B1388" t="s">
        <v>4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2070</v>
      </c>
      <c r="J1388">
        <v>274.87090000000001</v>
      </c>
      <c r="K1388" t="s">
        <v>37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2070</v>
      </c>
      <c r="J1389">
        <v>22.572700000000001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0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2070</v>
      </c>
      <c r="J1391">
        <v>4.9635999999999996</v>
      </c>
      <c r="K1391" t="s">
        <v>35</v>
      </c>
    </row>
    <row r="1392" spans="1:11" x14ac:dyDescent="0.45">
      <c r="A1392" t="s">
        <v>90</v>
      </c>
      <c r="B1392" t="s">
        <v>0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2070</v>
      </c>
      <c r="J1392">
        <v>244.11335</v>
      </c>
      <c r="K1392" t="s">
        <v>37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2070</v>
      </c>
      <c r="J1393">
        <v>15.547899999999998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2.2568000000000001</v>
      </c>
      <c r="K1394" t="s">
        <v>33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5.4417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2070</v>
      </c>
      <c r="J1396">
        <v>252.55079999999998</v>
      </c>
      <c r="K1396" t="s">
        <v>37</v>
      </c>
    </row>
    <row r="1397" spans="1:11" x14ac:dyDescent="0.45">
      <c r="A1397" t="s">
        <v>90</v>
      </c>
      <c r="B1397" t="s">
        <v>5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2070</v>
      </c>
      <c r="J1397">
        <v>16.913249999999998</v>
      </c>
      <c r="K1397" t="s">
        <v>29</v>
      </c>
    </row>
    <row r="1398" spans="1:11" x14ac:dyDescent="0.45">
      <c r="A1398" t="s">
        <v>90</v>
      </c>
      <c r="B1398" t="s">
        <v>5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2070</v>
      </c>
      <c r="J1398">
        <v>1.7535500000000002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5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247.84360000000001</v>
      </c>
      <c r="K1400" t="s">
        <v>37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2070</v>
      </c>
      <c r="J1401">
        <v>11.61825</v>
      </c>
      <c r="K1401" t="s">
        <v>29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2070</v>
      </c>
      <c r="J1402">
        <v>2.0681500000000002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2070</v>
      </c>
      <c r="J1403">
        <v>5.7826500000000003</v>
      </c>
      <c r="K1403" t="s">
        <v>35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258.39369999999997</v>
      </c>
      <c r="K1404" t="s">
        <v>37</v>
      </c>
    </row>
    <row r="1405" spans="1:11" x14ac:dyDescent="0.45">
      <c r="A1405" t="s">
        <v>90</v>
      </c>
      <c r="B1405" t="s">
        <v>1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2070</v>
      </c>
      <c r="J1405">
        <v>35.174599999999998</v>
      </c>
      <c r="K1405" t="s">
        <v>29</v>
      </c>
    </row>
    <row r="1406" spans="1:11" x14ac:dyDescent="0.45">
      <c r="A1406" t="s">
        <v>90</v>
      </c>
      <c r="B1406" t="s">
        <v>1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2070</v>
      </c>
      <c r="J1406">
        <v>1.9191499999999999</v>
      </c>
      <c r="K1406" t="s">
        <v>33</v>
      </c>
    </row>
    <row r="1407" spans="1:11" x14ac:dyDescent="0.45">
      <c r="A1407" t="s">
        <v>90</v>
      </c>
      <c r="B1407" t="s">
        <v>1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2070</v>
      </c>
      <c r="J1407">
        <v>6.1738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278.58215000000001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3</v>
      </c>
      <c r="C1410" t="s">
        <v>84</v>
      </c>
      <c r="D1410" t="s">
        <v>33</v>
      </c>
      <c r="E1410" t="s">
        <v>30</v>
      </c>
      <c r="F1410" t="s">
        <v>33</v>
      </c>
      <c r="G1410" t="s">
        <v>31</v>
      </c>
      <c r="H1410" t="s">
        <v>34</v>
      </c>
      <c r="I1410">
        <v>2075</v>
      </c>
      <c r="J1410">
        <v>1.85775</v>
      </c>
      <c r="K1410" t="s">
        <v>33</v>
      </c>
    </row>
    <row r="1411" spans="1:11" x14ac:dyDescent="0.45">
      <c r="A1411" t="s">
        <v>90</v>
      </c>
      <c r="B1411" t="s">
        <v>3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2075</v>
      </c>
      <c r="J1411">
        <v>5.0817499999999995</v>
      </c>
      <c r="K1411" t="s">
        <v>35</v>
      </c>
    </row>
    <row r="1412" spans="1:11" x14ac:dyDescent="0.45">
      <c r="A1412" t="s">
        <v>90</v>
      </c>
      <c r="B1412" t="s">
        <v>3</v>
      </c>
      <c r="C1412" t="s">
        <v>84</v>
      </c>
      <c r="D1412" t="s">
        <v>37</v>
      </c>
      <c r="E1412" t="s">
        <v>30</v>
      </c>
      <c r="F1412" t="s">
        <v>37</v>
      </c>
      <c r="G1412" t="s">
        <v>31</v>
      </c>
      <c r="H1412" t="s">
        <v>38</v>
      </c>
      <c r="I1412">
        <v>2075</v>
      </c>
      <c r="J1412">
        <v>242.93020000000001</v>
      </c>
      <c r="K1412" t="s">
        <v>37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7.1797500000000003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33</v>
      </c>
      <c r="E1414" t="s">
        <v>30</v>
      </c>
      <c r="F1414" t="s">
        <v>33</v>
      </c>
      <c r="G1414" t="s">
        <v>31</v>
      </c>
      <c r="H1414" t="s">
        <v>34</v>
      </c>
      <c r="I1414">
        <v>2075</v>
      </c>
      <c r="J1414">
        <v>3.8219000000000003</v>
      </c>
      <c r="K1414" t="s">
        <v>33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2075</v>
      </c>
      <c r="J1415">
        <v>6.6208</v>
      </c>
      <c r="K1415" t="s">
        <v>35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2075</v>
      </c>
      <c r="J1416">
        <v>280.97659999999996</v>
      </c>
      <c r="K1416" t="s">
        <v>37</v>
      </c>
    </row>
    <row r="1417" spans="1:11" x14ac:dyDescent="0.45">
      <c r="A1417" t="s">
        <v>90</v>
      </c>
      <c r="B1417" t="s">
        <v>0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23.83595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0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5.0854999999999997</v>
      </c>
      <c r="K1419" t="s">
        <v>35</v>
      </c>
    </row>
    <row r="1420" spans="1:11" x14ac:dyDescent="0.45">
      <c r="A1420" t="s">
        <v>90</v>
      </c>
      <c r="B1420" t="s">
        <v>0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2075</v>
      </c>
      <c r="J1420">
        <v>249.99084999999999</v>
      </c>
      <c r="K1420" t="s">
        <v>37</v>
      </c>
    </row>
    <row r="1421" spans="1:11" x14ac:dyDescent="0.45">
      <c r="A1421" t="s">
        <v>90</v>
      </c>
      <c r="B1421" t="s">
        <v>6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15.43695</v>
      </c>
      <c r="K1421" t="s">
        <v>29</v>
      </c>
    </row>
    <row r="1422" spans="1:11" x14ac:dyDescent="0.45">
      <c r="A1422" t="s">
        <v>90</v>
      </c>
      <c r="B1422" t="s">
        <v>6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2.2270000000000003</v>
      </c>
      <c r="K1422" t="s">
        <v>33</v>
      </c>
    </row>
    <row r="1423" spans="1:11" x14ac:dyDescent="0.45">
      <c r="A1423" t="s">
        <v>90</v>
      </c>
      <c r="B1423" t="s">
        <v>6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5.4064499999999995</v>
      </c>
      <c r="K1423" t="s">
        <v>35</v>
      </c>
    </row>
    <row r="1424" spans="1:11" x14ac:dyDescent="0.45">
      <c r="A1424" t="s">
        <v>90</v>
      </c>
      <c r="B1424" t="s">
        <v>6</v>
      </c>
      <c r="C1424" t="s">
        <v>84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2075</v>
      </c>
      <c r="J1424">
        <v>256.21690000000001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2075</v>
      </c>
      <c r="J1425">
        <v>16.574300000000001</v>
      </c>
      <c r="K1425" t="s">
        <v>29</v>
      </c>
    </row>
    <row r="1426" spans="1:11" x14ac:dyDescent="0.45">
      <c r="A1426" t="s">
        <v>90</v>
      </c>
      <c r="B1426" t="s">
        <v>5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2075</v>
      </c>
      <c r="J1426">
        <v>1.8342499999999999</v>
      </c>
      <c r="K1426" t="s">
        <v>33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5</v>
      </c>
      <c r="C1428" t="s">
        <v>84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2075</v>
      </c>
      <c r="J1428">
        <v>270.81659999999999</v>
      </c>
      <c r="K1428" t="s">
        <v>37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2075</v>
      </c>
      <c r="J1429">
        <v>11.212400000000001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2075</v>
      </c>
      <c r="J1430">
        <v>2.1757499999999999</v>
      </c>
      <c r="K1430" t="s">
        <v>33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2075</v>
      </c>
      <c r="J1431">
        <v>5.7862499999999999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261.06795</v>
      </c>
      <c r="K1432" t="s">
        <v>37</v>
      </c>
    </row>
    <row r="1433" spans="1:11" x14ac:dyDescent="0.45">
      <c r="A1433" t="s">
        <v>90</v>
      </c>
      <c r="B1433" t="s">
        <v>1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2075</v>
      </c>
      <c r="J1433">
        <v>34.450149999999994</v>
      </c>
      <c r="K1433" t="s">
        <v>29</v>
      </c>
    </row>
    <row r="1434" spans="1:11" x14ac:dyDescent="0.45">
      <c r="A1434" t="s">
        <v>90</v>
      </c>
      <c r="B1434" t="s">
        <v>1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2075</v>
      </c>
      <c r="J1434">
        <v>2.0170500000000002</v>
      </c>
      <c r="K1434" t="s">
        <v>33</v>
      </c>
    </row>
    <row r="1435" spans="1:11" x14ac:dyDescent="0.45">
      <c r="A1435" t="s">
        <v>90</v>
      </c>
      <c r="B1435" t="s">
        <v>1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6.0717999999999996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296.42349999999999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3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2080</v>
      </c>
      <c r="J1438">
        <v>1.8597999999999999</v>
      </c>
      <c r="K1438" t="s">
        <v>33</v>
      </c>
    </row>
    <row r="1439" spans="1:11" x14ac:dyDescent="0.45">
      <c r="A1439" t="s">
        <v>90</v>
      </c>
      <c r="B1439" t="s">
        <v>3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2080</v>
      </c>
      <c r="J1439">
        <v>4.9551999999999996</v>
      </c>
      <c r="K1439" t="s">
        <v>35</v>
      </c>
    </row>
    <row r="1440" spans="1:11" x14ac:dyDescent="0.45">
      <c r="A1440" t="s">
        <v>90</v>
      </c>
      <c r="B1440" t="s">
        <v>3</v>
      </c>
      <c r="C1440" t="s">
        <v>84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2080</v>
      </c>
      <c r="J1440">
        <v>243.12205</v>
      </c>
      <c r="K1440" t="s">
        <v>37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7.2326999999999995</v>
      </c>
      <c r="K1441" t="s">
        <v>29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33</v>
      </c>
      <c r="E1442" t="s">
        <v>30</v>
      </c>
      <c r="F1442" t="s">
        <v>33</v>
      </c>
      <c r="G1442" t="s">
        <v>31</v>
      </c>
      <c r="H1442" t="s">
        <v>34</v>
      </c>
      <c r="I1442">
        <v>2080</v>
      </c>
      <c r="J1442">
        <v>3.9399000000000002</v>
      </c>
      <c r="K1442" t="s">
        <v>33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2080</v>
      </c>
      <c r="J1443">
        <v>6.8310500000000003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2080</v>
      </c>
      <c r="J1444">
        <v>287.08224999999999</v>
      </c>
      <c r="K1444" t="s">
        <v>37</v>
      </c>
    </row>
    <row r="1445" spans="1:11" x14ac:dyDescent="0.45">
      <c r="A1445" t="s">
        <v>90</v>
      </c>
      <c r="B1445" t="s">
        <v>0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2080</v>
      </c>
      <c r="J1445">
        <v>25.099249999999998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0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2080</v>
      </c>
      <c r="J1447">
        <v>5.2074499999999997</v>
      </c>
      <c r="K1447" t="s">
        <v>35</v>
      </c>
    </row>
    <row r="1448" spans="1:11" x14ac:dyDescent="0.45">
      <c r="A1448" t="s">
        <v>90</v>
      </c>
      <c r="B1448" t="s">
        <v>0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2080</v>
      </c>
      <c r="J1448">
        <v>255.86834999999999</v>
      </c>
      <c r="K1448" t="s">
        <v>37</v>
      </c>
    </row>
    <row r="1449" spans="1:11" x14ac:dyDescent="0.45">
      <c r="A1449" t="s">
        <v>90</v>
      </c>
      <c r="B1449" t="s">
        <v>6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2080</v>
      </c>
      <c r="J1449">
        <v>15.325950000000001</v>
      </c>
      <c r="K1449" t="s">
        <v>29</v>
      </c>
    </row>
    <row r="1450" spans="1:11" x14ac:dyDescent="0.45">
      <c r="A1450" t="s">
        <v>90</v>
      </c>
      <c r="B1450" t="s">
        <v>6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2.1972499999999999</v>
      </c>
      <c r="K1450" t="s">
        <v>33</v>
      </c>
    </row>
    <row r="1451" spans="1:11" x14ac:dyDescent="0.45">
      <c r="A1451" t="s">
        <v>90</v>
      </c>
      <c r="B1451" t="s">
        <v>6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5.3712499999999999</v>
      </c>
      <c r="K1451" t="s">
        <v>35</v>
      </c>
    </row>
    <row r="1452" spans="1:11" x14ac:dyDescent="0.45">
      <c r="A1452" t="s">
        <v>90</v>
      </c>
      <c r="B1452" t="s">
        <v>6</v>
      </c>
      <c r="C1452" t="s">
        <v>84</v>
      </c>
      <c r="D1452" t="s">
        <v>37</v>
      </c>
      <c r="E1452" t="s">
        <v>30</v>
      </c>
      <c r="F1452" t="s">
        <v>37</v>
      </c>
      <c r="G1452" t="s">
        <v>31</v>
      </c>
      <c r="H1452" t="s">
        <v>38</v>
      </c>
      <c r="I1452">
        <v>2080</v>
      </c>
      <c r="J1452">
        <v>259.88295000000005</v>
      </c>
      <c r="K1452" t="s">
        <v>37</v>
      </c>
    </row>
    <row r="1453" spans="1:11" x14ac:dyDescent="0.45">
      <c r="A1453" t="s">
        <v>90</v>
      </c>
      <c r="B1453" t="s">
        <v>5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16.235250000000001</v>
      </c>
      <c r="K1453" t="s">
        <v>29</v>
      </c>
    </row>
    <row r="1454" spans="1:11" x14ac:dyDescent="0.45">
      <c r="A1454" t="s">
        <v>90</v>
      </c>
      <c r="B1454" t="s">
        <v>5</v>
      </c>
      <c r="C1454" t="s">
        <v>84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2080</v>
      </c>
      <c r="J1454">
        <v>1.9149500000000002</v>
      </c>
      <c r="K1454" t="s">
        <v>33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5</v>
      </c>
      <c r="C1456" t="s">
        <v>84</v>
      </c>
      <c r="D1456" t="s">
        <v>37</v>
      </c>
      <c r="E1456" t="s">
        <v>30</v>
      </c>
      <c r="F1456" t="s">
        <v>37</v>
      </c>
      <c r="G1456" t="s">
        <v>31</v>
      </c>
      <c r="H1456" t="s">
        <v>38</v>
      </c>
      <c r="I1456">
        <v>2080</v>
      </c>
      <c r="J1456">
        <v>293.78949999999998</v>
      </c>
      <c r="K1456" t="s">
        <v>37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2080</v>
      </c>
      <c r="J1457">
        <v>10.8065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2080</v>
      </c>
      <c r="J1458">
        <v>2.28335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2080</v>
      </c>
      <c r="J1459">
        <v>5.7898499999999995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263.74220000000003</v>
      </c>
      <c r="K1460" t="s">
        <v>37</v>
      </c>
    </row>
    <row r="1461" spans="1:11" x14ac:dyDescent="0.45">
      <c r="A1461" t="s">
        <v>90</v>
      </c>
      <c r="B1461" t="s">
        <v>1</v>
      </c>
      <c r="C1461" t="s">
        <v>84</v>
      </c>
      <c r="D1461" t="s">
        <v>29</v>
      </c>
      <c r="E1461" t="s">
        <v>30</v>
      </c>
      <c r="F1461" t="s">
        <v>29</v>
      </c>
      <c r="G1461" t="s">
        <v>31</v>
      </c>
      <c r="H1461" t="s">
        <v>32</v>
      </c>
      <c r="I1461">
        <v>2080</v>
      </c>
      <c r="J1461">
        <v>33.725650000000002</v>
      </c>
      <c r="K1461" t="s">
        <v>29</v>
      </c>
    </row>
    <row r="1462" spans="1:11" x14ac:dyDescent="0.45">
      <c r="A1462" t="s">
        <v>90</v>
      </c>
      <c r="B1462" t="s">
        <v>1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2080</v>
      </c>
      <c r="J1462">
        <v>2.1149</v>
      </c>
      <c r="K1462" t="s">
        <v>33</v>
      </c>
    </row>
    <row r="1463" spans="1:11" x14ac:dyDescent="0.45">
      <c r="A1463" t="s">
        <v>90</v>
      </c>
      <c r="B1463" t="s">
        <v>1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2080</v>
      </c>
      <c r="J1463">
        <v>5.9697999999999993</v>
      </c>
      <c r="K1463" t="s">
        <v>35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314.26490000000001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2085</v>
      </c>
      <c r="J1466">
        <v>1.8835500000000001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2085</v>
      </c>
      <c r="J1467">
        <v>5.0263999999999998</v>
      </c>
      <c r="K1467" t="s">
        <v>35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2085</v>
      </c>
      <c r="J1468">
        <v>251.51634999999999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7.1741000000000001</v>
      </c>
      <c r="K1469" t="s">
        <v>29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2085</v>
      </c>
      <c r="J1470">
        <v>4.0999499999999998</v>
      </c>
      <c r="K1470" t="s">
        <v>33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7.0742500000000001</v>
      </c>
      <c r="K1471" t="s">
        <v>35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2085</v>
      </c>
      <c r="J1472">
        <v>288.87919999999997</v>
      </c>
      <c r="K1472" t="s">
        <v>37</v>
      </c>
    </row>
    <row r="1473" spans="1:11" x14ac:dyDescent="0.45">
      <c r="A1473" t="s">
        <v>90</v>
      </c>
      <c r="B1473" t="s">
        <v>0</v>
      </c>
      <c r="C1473" t="s">
        <v>84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2085</v>
      </c>
      <c r="J1473">
        <v>23.323250000000002</v>
      </c>
      <c r="K1473" t="s">
        <v>29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5.1766000000000005</v>
      </c>
      <c r="K1475" t="s">
        <v>35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2085</v>
      </c>
      <c r="J1476">
        <v>259.85789999999997</v>
      </c>
      <c r="K1476" t="s">
        <v>37</v>
      </c>
    </row>
    <row r="1477" spans="1:11" x14ac:dyDescent="0.45">
      <c r="A1477" t="s">
        <v>90</v>
      </c>
      <c r="B1477" t="s">
        <v>6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2085</v>
      </c>
      <c r="J1477">
        <v>15.232099999999999</v>
      </c>
      <c r="K1477" t="s">
        <v>29</v>
      </c>
    </row>
    <row r="1478" spans="1:11" x14ac:dyDescent="0.45">
      <c r="A1478" t="s">
        <v>90</v>
      </c>
      <c r="B1478" t="s">
        <v>6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2.1886000000000001</v>
      </c>
      <c r="K1478" t="s">
        <v>33</v>
      </c>
    </row>
    <row r="1479" spans="1:11" x14ac:dyDescent="0.45">
      <c r="A1479" t="s">
        <v>90</v>
      </c>
      <c r="B1479" t="s">
        <v>6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5.36965</v>
      </c>
      <c r="K1479" t="s">
        <v>35</v>
      </c>
    </row>
    <row r="1480" spans="1:11" x14ac:dyDescent="0.45">
      <c r="A1480" t="s">
        <v>90</v>
      </c>
      <c r="B1480" t="s">
        <v>6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2085</v>
      </c>
      <c r="J1480">
        <v>261.11509999999998</v>
      </c>
      <c r="K1480" t="s">
        <v>37</v>
      </c>
    </row>
    <row r="1481" spans="1:11" x14ac:dyDescent="0.45">
      <c r="A1481" t="s">
        <v>90</v>
      </c>
      <c r="B1481" t="s">
        <v>5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16.323450000000001</v>
      </c>
      <c r="K1481" t="s">
        <v>29</v>
      </c>
    </row>
    <row r="1482" spans="1:11" x14ac:dyDescent="0.45">
      <c r="A1482" t="s">
        <v>90</v>
      </c>
      <c r="B1482" t="s">
        <v>5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2085</v>
      </c>
      <c r="J1482">
        <v>1.8938000000000001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5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2085</v>
      </c>
      <c r="J1484">
        <v>306.5256</v>
      </c>
      <c r="K1484" t="s">
        <v>37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10.06185</v>
      </c>
      <c r="K1485" t="s">
        <v>29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2.29</v>
      </c>
      <c r="K1486" t="s">
        <v>33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2085</v>
      </c>
      <c r="J1487">
        <v>5.8544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264.43470000000002</v>
      </c>
      <c r="K1488" t="s">
        <v>37</v>
      </c>
    </row>
    <row r="1489" spans="1:11" x14ac:dyDescent="0.45">
      <c r="A1489" t="s">
        <v>90</v>
      </c>
      <c r="B1489" t="s">
        <v>1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2085</v>
      </c>
      <c r="J1489">
        <v>35.534049999999993</v>
      </c>
      <c r="K1489" t="s">
        <v>29</v>
      </c>
    </row>
    <row r="1490" spans="1:11" x14ac:dyDescent="0.45">
      <c r="A1490" t="s">
        <v>90</v>
      </c>
      <c r="B1490" t="s">
        <v>1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2.0994000000000002</v>
      </c>
      <c r="K1490" t="s">
        <v>33</v>
      </c>
    </row>
    <row r="1491" spans="1:11" x14ac:dyDescent="0.45">
      <c r="A1491" t="s">
        <v>90</v>
      </c>
      <c r="B1491" t="s">
        <v>1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2085</v>
      </c>
      <c r="J1491">
        <v>5.8603500000000004</v>
      </c>
      <c r="K1491" t="s">
        <v>35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359.90930000000003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3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2090</v>
      </c>
      <c r="J1494">
        <v>1.9073500000000001</v>
      </c>
      <c r="K1494" t="s">
        <v>33</v>
      </c>
    </row>
    <row r="1495" spans="1:11" x14ac:dyDescent="0.45">
      <c r="A1495" t="s">
        <v>90</v>
      </c>
      <c r="B1495" t="s">
        <v>3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2090</v>
      </c>
      <c r="J1495">
        <v>5.0976499999999998</v>
      </c>
      <c r="K1495" t="s">
        <v>35</v>
      </c>
    </row>
    <row r="1496" spans="1:11" x14ac:dyDescent="0.45">
      <c r="A1496" t="s">
        <v>90</v>
      </c>
      <c r="B1496" t="s">
        <v>3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2090</v>
      </c>
      <c r="J1496">
        <v>259.91070000000002</v>
      </c>
      <c r="K1496" t="s">
        <v>37</v>
      </c>
    </row>
    <row r="1497" spans="1:11" x14ac:dyDescent="0.45">
      <c r="A1497" t="s">
        <v>90</v>
      </c>
      <c r="B1497" t="s">
        <v>4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7.1154500000000001</v>
      </c>
      <c r="K1497" t="s">
        <v>29</v>
      </c>
    </row>
    <row r="1498" spans="1:11" x14ac:dyDescent="0.45">
      <c r="A1498" t="s">
        <v>90</v>
      </c>
      <c r="B1498" t="s">
        <v>4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2090</v>
      </c>
      <c r="J1498">
        <v>4.2600999999999996</v>
      </c>
      <c r="K1498" t="s">
        <v>33</v>
      </c>
    </row>
    <row r="1499" spans="1:11" x14ac:dyDescent="0.45">
      <c r="A1499" t="s">
        <v>90</v>
      </c>
      <c r="B1499" t="s">
        <v>4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2090</v>
      </c>
      <c r="J1499">
        <v>7.31745</v>
      </c>
      <c r="K1499" t="s">
        <v>35</v>
      </c>
    </row>
    <row r="1500" spans="1:11" x14ac:dyDescent="0.45">
      <c r="A1500" t="s">
        <v>90</v>
      </c>
      <c r="B1500" t="s">
        <v>4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2090</v>
      </c>
      <c r="J1500">
        <v>290.67615000000001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2090</v>
      </c>
      <c r="J1501">
        <v>21.547249999999998</v>
      </c>
      <c r="K1501" t="s">
        <v>29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2090</v>
      </c>
      <c r="J1503">
        <v>5.1458000000000004</v>
      </c>
      <c r="K1503" t="s">
        <v>35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2090</v>
      </c>
      <c r="J1504">
        <v>263.84739999999999</v>
      </c>
      <c r="K1504" t="s">
        <v>37</v>
      </c>
    </row>
    <row r="1505" spans="1:11" x14ac:dyDescent="0.45">
      <c r="A1505" t="s">
        <v>90</v>
      </c>
      <c r="B1505" t="s">
        <v>6</v>
      </c>
      <c r="C1505" t="s">
        <v>84</v>
      </c>
      <c r="D1505" t="s">
        <v>29</v>
      </c>
      <c r="E1505" t="s">
        <v>30</v>
      </c>
      <c r="F1505" t="s">
        <v>29</v>
      </c>
      <c r="G1505" t="s">
        <v>31</v>
      </c>
      <c r="H1505" t="s">
        <v>32</v>
      </c>
      <c r="I1505">
        <v>2090</v>
      </c>
      <c r="J1505">
        <v>15.138300000000001</v>
      </c>
      <c r="K1505" t="s">
        <v>29</v>
      </c>
    </row>
    <row r="1506" spans="1:11" x14ac:dyDescent="0.45">
      <c r="A1506" t="s">
        <v>90</v>
      </c>
      <c r="B1506" t="s">
        <v>6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2.1798999999999999</v>
      </c>
      <c r="K1506" t="s">
        <v>33</v>
      </c>
    </row>
    <row r="1507" spans="1:11" x14ac:dyDescent="0.45">
      <c r="A1507" t="s">
        <v>90</v>
      </c>
      <c r="B1507" t="s">
        <v>6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5.3680500000000002</v>
      </c>
      <c r="K1507" t="s">
        <v>35</v>
      </c>
    </row>
    <row r="1508" spans="1:11" x14ac:dyDescent="0.45">
      <c r="A1508" t="s">
        <v>90</v>
      </c>
      <c r="B1508" t="s">
        <v>6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2090</v>
      </c>
      <c r="J1508">
        <v>262.34730000000002</v>
      </c>
      <c r="K1508" t="s">
        <v>37</v>
      </c>
    </row>
    <row r="1509" spans="1:11" x14ac:dyDescent="0.45">
      <c r="A1509" t="s">
        <v>90</v>
      </c>
      <c r="B1509" t="s">
        <v>5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2090</v>
      </c>
      <c r="J1509">
        <v>16.411549999999998</v>
      </c>
      <c r="K1509" t="s">
        <v>29</v>
      </c>
    </row>
    <row r="1510" spans="1:11" x14ac:dyDescent="0.45">
      <c r="A1510" t="s">
        <v>90</v>
      </c>
      <c r="B1510" t="s">
        <v>5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2090</v>
      </c>
      <c r="J1510">
        <v>1.8727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5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2090</v>
      </c>
      <c r="J1512">
        <v>319.26165000000003</v>
      </c>
      <c r="K1512" t="s">
        <v>37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2090</v>
      </c>
      <c r="J1513">
        <v>9.3171999999999997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2090</v>
      </c>
      <c r="J1514">
        <v>2.2967</v>
      </c>
      <c r="K1514" t="s">
        <v>33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2090</v>
      </c>
      <c r="J1515">
        <v>5.9189499999999997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265.12720000000002</v>
      </c>
      <c r="K1516" t="s">
        <v>37</v>
      </c>
    </row>
    <row r="1517" spans="1:11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2090</v>
      </c>
      <c r="J1517">
        <v>37.342399999999998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2090</v>
      </c>
      <c r="J1518">
        <v>2.0839499999999997</v>
      </c>
      <c r="K1518" t="s">
        <v>33</v>
      </c>
    </row>
    <row r="1519" spans="1:11" x14ac:dyDescent="0.45">
      <c r="A1519" t="s">
        <v>90</v>
      </c>
      <c r="B1519" t="s">
        <v>1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2090</v>
      </c>
      <c r="J1519">
        <v>5.7508499999999998</v>
      </c>
      <c r="K1519" t="s">
        <v>35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405.55369999999999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3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2095</v>
      </c>
      <c r="J1522">
        <v>1.81115</v>
      </c>
      <c r="K1522" t="s">
        <v>33</v>
      </c>
    </row>
    <row r="1523" spans="1:11" x14ac:dyDescent="0.45">
      <c r="A1523" t="s">
        <v>90</v>
      </c>
      <c r="B1523" t="s">
        <v>3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2095</v>
      </c>
      <c r="J1523">
        <v>5.0595999999999997</v>
      </c>
      <c r="K1523" t="s">
        <v>35</v>
      </c>
    </row>
    <row r="1524" spans="1:11" x14ac:dyDescent="0.45">
      <c r="A1524" t="s">
        <v>90</v>
      </c>
      <c r="B1524" t="s">
        <v>3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261.23194999999998</v>
      </c>
      <c r="K1524" t="s">
        <v>37</v>
      </c>
    </row>
    <row r="1525" spans="1:11" x14ac:dyDescent="0.45">
      <c r="A1525" t="s">
        <v>90</v>
      </c>
      <c r="B1525" t="s">
        <v>4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7.3076499999999998</v>
      </c>
      <c r="K1525" t="s">
        <v>29</v>
      </c>
    </row>
    <row r="1526" spans="1:11" x14ac:dyDescent="0.45">
      <c r="A1526" t="s">
        <v>90</v>
      </c>
      <c r="B1526" t="s">
        <v>4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2095</v>
      </c>
      <c r="J1526">
        <v>4.2486499999999996</v>
      </c>
      <c r="K1526" t="s">
        <v>33</v>
      </c>
    </row>
    <row r="1527" spans="1:11" x14ac:dyDescent="0.45">
      <c r="A1527" t="s">
        <v>90</v>
      </c>
      <c r="B1527" t="s">
        <v>4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2095</v>
      </c>
      <c r="J1527">
        <v>7.4690499999999993</v>
      </c>
      <c r="K1527" t="s">
        <v>35</v>
      </c>
    </row>
    <row r="1528" spans="1:11" x14ac:dyDescent="0.45">
      <c r="A1528" t="s">
        <v>90</v>
      </c>
      <c r="B1528" t="s">
        <v>4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2095</v>
      </c>
      <c r="J1528">
        <v>300.19495000000001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2095</v>
      </c>
      <c r="J1529">
        <v>22.268699999999999</v>
      </c>
      <c r="K1529" t="s">
        <v>29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2095</v>
      </c>
      <c r="J1531">
        <v>5.0733999999999995</v>
      </c>
      <c r="K1531" t="s">
        <v>35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2095</v>
      </c>
      <c r="J1532">
        <v>267.02665000000002</v>
      </c>
      <c r="K1532" t="s">
        <v>37</v>
      </c>
    </row>
    <row r="1533" spans="1:11" x14ac:dyDescent="0.45">
      <c r="A1533" t="s">
        <v>90</v>
      </c>
      <c r="B1533" t="s">
        <v>6</v>
      </c>
      <c r="C1533" t="s">
        <v>84</v>
      </c>
      <c r="D1533" t="s">
        <v>29</v>
      </c>
      <c r="E1533" t="s">
        <v>30</v>
      </c>
      <c r="F1533" t="s">
        <v>29</v>
      </c>
      <c r="G1533" t="s">
        <v>31</v>
      </c>
      <c r="H1533" t="s">
        <v>32</v>
      </c>
      <c r="I1533">
        <v>2095</v>
      </c>
      <c r="J1533">
        <v>15.0703</v>
      </c>
      <c r="K1533" t="s">
        <v>29</v>
      </c>
    </row>
    <row r="1534" spans="1:11" x14ac:dyDescent="0.45">
      <c r="A1534" t="s">
        <v>90</v>
      </c>
      <c r="B1534" t="s">
        <v>6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2.117</v>
      </c>
      <c r="K1534" t="s">
        <v>33</v>
      </c>
    </row>
    <row r="1535" spans="1:11" x14ac:dyDescent="0.45">
      <c r="A1535" t="s">
        <v>90</v>
      </c>
      <c r="B1535" t="s">
        <v>6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5.4055999999999997</v>
      </c>
      <c r="K1535" t="s">
        <v>35</v>
      </c>
    </row>
    <row r="1536" spans="1:11" x14ac:dyDescent="0.45">
      <c r="A1536" t="s">
        <v>90</v>
      </c>
      <c r="B1536" t="s">
        <v>6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2095</v>
      </c>
      <c r="J1536">
        <v>273.11149999999998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2095</v>
      </c>
      <c r="J1537">
        <v>16.4863</v>
      </c>
      <c r="K1537" t="s">
        <v>29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2095</v>
      </c>
      <c r="J1538">
        <v>1.7038500000000001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2095</v>
      </c>
      <c r="J1540">
        <v>340.33254999999997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2095</v>
      </c>
      <c r="J1541">
        <v>10.18595</v>
      </c>
      <c r="K1541" t="s">
        <v>29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2095</v>
      </c>
      <c r="J1542">
        <v>2.3285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2095</v>
      </c>
      <c r="J1543">
        <v>5.9424000000000001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275.90345000000002</v>
      </c>
      <c r="K1544" t="s">
        <v>37</v>
      </c>
    </row>
    <row r="1545" spans="1:11" x14ac:dyDescent="0.45">
      <c r="A1545" t="s">
        <v>90</v>
      </c>
      <c r="B1545" t="s">
        <v>1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2095</v>
      </c>
      <c r="J1545">
        <v>41.003249999999994</v>
      </c>
      <c r="K1545" t="s">
        <v>29</v>
      </c>
    </row>
    <row r="1546" spans="1:11" x14ac:dyDescent="0.45">
      <c r="A1546" t="s">
        <v>90</v>
      </c>
      <c r="B1546" t="s">
        <v>1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2095</v>
      </c>
      <c r="J1546">
        <v>1.94255</v>
      </c>
      <c r="K1546" t="s">
        <v>33</v>
      </c>
    </row>
    <row r="1547" spans="1:11" x14ac:dyDescent="0.45">
      <c r="A1547" t="s">
        <v>90</v>
      </c>
      <c r="B1547" t="s">
        <v>1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2095</v>
      </c>
      <c r="J1547">
        <v>5.3330500000000001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320.20389999999998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3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2100</v>
      </c>
      <c r="J1550">
        <v>1.7150500000000002</v>
      </c>
      <c r="K1550" t="s">
        <v>33</v>
      </c>
    </row>
    <row r="1551" spans="1:11" x14ac:dyDescent="0.45">
      <c r="A1551" t="s">
        <v>90</v>
      </c>
      <c r="B1551" t="s">
        <v>3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2100</v>
      </c>
      <c r="J1551">
        <v>5.0215499999999995</v>
      </c>
      <c r="K1551" t="s">
        <v>35</v>
      </c>
    </row>
    <row r="1552" spans="1:11" x14ac:dyDescent="0.45">
      <c r="A1552" t="s">
        <v>90</v>
      </c>
      <c r="B1552" t="s">
        <v>3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2100</v>
      </c>
      <c r="J1552">
        <v>262.55314999999996</v>
      </c>
      <c r="K1552" t="s">
        <v>37</v>
      </c>
    </row>
    <row r="1553" spans="1:11" x14ac:dyDescent="0.45">
      <c r="A1553" t="s">
        <v>90</v>
      </c>
      <c r="B1553" t="s">
        <v>4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7.4998000000000005</v>
      </c>
      <c r="K1553" t="s">
        <v>29</v>
      </c>
    </row>
    <row r="1554" spans="1:11" x14ac:dyDescent="0.45">
      <c r="A1554" t="s">
        <v>90</v>
      </c>
      <c r="B1554" t="s">
        <v>4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2100</v>
      </c>
      <c r="J1554">
        <v>4.2371499999999997</v>
      </c>
      <c r="K1554" t="s">
        <v>33</v>
      </c>
    </row>
    <row r="1555" spans="1:11" x14ac:dyDescent="0.45">
      <c r="A1555" t="s">
        <v>90</v>
      </c>
      <c r="B1555" t="s">
        <v>4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2100</v>
      </c>
      <c r="J1555">
        <v>7.6207000000000003</v>
      </c>
      <c r="K1555" t="s">
        <v>35</v>
      </c>
    </row>
    <row r="1556" spans="1:11" x14ac:dyDescent="0.45">
      <c r="A1556" t="s">
        <v>90</v>
      </c>
      <c r="B1556" t="s">
        <v>4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2100</v>
      </c>
      <c r="J1556">
        <v>309.71379999999999</v>
      </c>
      <c r="K1556" t="s">
        <v>37</v>
      </c>
    </row>
    <row r="1557" spans="1:11" x14ac:dyDescent="0.45">
      <c r="A1557" t="s">
        <v>90</v>
      </c>
      <c r="B1557" t="s">
        <v>0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2100</v>
      </c>
      <c r="J1557">
        <v>22.99005</v>
      </c>
      <c r="K1557" t="s">
        <v>29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0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5.0011000000000001</v>
      </c>
      <c r="K1559" t="s">
        <v>35</v>
      </c>
    </row>
    <row r="1560" spans="1:11" x14ac:dyDescent="0.45">
      <c r="A1560" t="s">
        <v>90</v>
      </c>
      <c r="B1560" t="s">
        <v>0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2100</v>
      </c>
      <c r="J1560">
        <v>270.20580000000001</v>
      </c>
      <c r="K1560" t="s">
        <v>37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29</v>
      </c>
      <c r="E1561" t="s">
        <v>30</v>
      </c>
      <c r="F1561" t="s">
        <v>29</v>
      </c>
      <c r="G1561" t="s">
        <v>31</v>
      </c>
      <c r="H1561" t="s">
        <v>32</v>
      </c>
      <c r="I1561">
        <v>2100</v>
      </c>
      <c r="J1561">
        <v>15.00235</v>
      </c>
      <c r="K1561" t="s">
        <v>29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2.0540000000000003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5.4432</v>
      </c>
      <c r="K1563" t="s">
        <v>35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2100</v>
      </c>
      <c r="J1564">
        <v>283.87569999999999</v>
      </c>
      <c r="K1564" t="s">
        <v>37</v>
      </c>
    </row>
    <row r="1565" spans="1:11" x14ac:dyDescent="0.45">
      <c r="A1565" t="s">
        <v>90</v>
      </c>
      <c r="B1565" t="s">
        <v>5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2100</v>
      </c>
      <c r="J1565">
        <v>16.561</v>
      </c>
      <c r="K1565" t="s">
        <v>29</v>
      </c>
    </row>
    <row r="1566" spans="1:11" x14ac:dyDescent="0.45">
      <c r="A1566" t="s">
        <v>90</v>
      </c>
      <c r="B1566" t="s">
        <v>5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2100</v>
      </c>
      <c r="J1566">
        <v>1.53505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5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2100</v>
      </c>
      <c r="J1568">
        <v>361.40345000000002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2100</v>
      </c>
      <c r="J1569">
        <v>11.05475</v>
      </c>
      <c r="K1569" t="s">
        <v>29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2.3602499999999997</v>
      </c>
      <c r="K1570" t="s">
        <v>33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2100</v>
      </c>
      <c r="J1571">
        <v>5.9658999999999995</v>
      </c>
      <c r="K1571" t="s">
        <v>35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286.67975000000001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29</v>
      </c>
      <c r="E1573" t="s">
        <v>30</v>
      </c>
      <c r="F1573" t="s">
        <v>29</v>
      </c>
      <c r="G1573" t="s">
        <v>31</v>
      </c>
      <c r="H1573" t="s">
        <v>32</v>
      </c>
      <c r="I1573">
        <v>2100</v>
      </c>
      <c r="J1573">
        <v>44.664050000000003</v>
      </c>
      <c r="K1573" t="s">
        <v>29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1.8012000000000001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2100</v>
      </c>
      <c r="J1575">
        <v>4.9152500000000003</v>
      </c>
      <c r="K1575" t="s">
        <v>35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234.85415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186.35905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24.963000000000001</v>
      </c>
      <c r="K1578" t="s">
        <v>51</v>
      </c>
    </row>
    <row r="1579" spans="1:11" x14ac:dyDescent="0.45">
      <c r="A1579" t="s">
        <v>90</v>
      </c>
      <c r="B1579" t="s">
        <v>4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181.11065000000002</v>
      </c>
      <c r="K1579" t="s">
        <v>48</v>
      </c>
    </row>
    <row r="1580" spans="1:11" x14ac:dyDescent="0.45">
      <c r="A1580" t="s">
        <v>90</v>
      </c>
      <c r="B1580" t="s">
        <v>4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2020</v>
      </c>
      <c r="J1580">
        <v>19.7089</v>
      </c>
      <c r="K1580" t="s">
        <v>51</v>
      </c>
    </row>
    <row r="1581" spans="1:11" x14ac:dyDescent="0.45">
      <c r="A1581" t="s">
        <v>90</v>
      </c>
      <c r="B1581" t="s">
        <v>0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184.12434999999999</v>
      </c>
      <c r="K1581" t="s">
        <v>48</v>
      </c>
    </row>
    <row r="1582" spans="1:11" x14ac:dyDescent="0.45">
      <c r="A1582" t="s">
        <v>90</v>
      </c>
      <c r="B1582" t="s">
        <v>0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2020</v>
      </c>
      <c r="J1582">
        <v>22.719349999999999</v>
      </c>
      <c r="K1582" t="s">
        <v>51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184.01429999999999</v>
      </c>
      <c r="K1583" t="s">
        <v>48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22.618449999999999</v>
      </c>
      <c r="K1584" t="s">
        <v>51</v>
      </c>
    </row>
    <row r="1585" spans="1:11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2020</v>
      </c>
      <c r="J1585">
        <v>186.44355000000002</v>
      </c>
      <c r="K1585" t="s">
        <v>48</v>
      </c>
    </row>
    <row r="1586" spans="1:11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25.076499999999999</v>
      </c>
      <c r="K1586" t="s">
        <v>51</v>
      </c>
    </row>
    <row r="1587" spans="1:11" x14ac:dyDescent="0.45">
      <c r="A1587" t="s">
        <v>90</v>
      </c>
      <c r="B1587" t="s">
        <v>2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2020</v>
      </c>
      <c r="J1587">
        <v>183.67829999999998</v>
      </c>
      <c r="K1587" t="s">
        <v>48</v>
      </c>
    </row>
    <row r="1588" spans="1:11" x14ac:dyDescent="0.45">
      <c r="A1588" t="s">
        <v>90</v>
      </c>
      <c r="B1588" t="s">
        <v>2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22.282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2020</v>
      </c>
      <c r="J1589">
        <v>178.78149999999999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17.38645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212.63839999999999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67.428699999999992</v>
      </c>
      <c r="K1592" t="s">
        <v>51</v>
      </c>
    </row>
    <row r="1593" spans="1:11" x14ac:dyDescent="0.45">
      <c r="A1593" t="s">
        <v>90</v>
      </c>
      <c r="B1593" t="s">
        <v>4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220.51364999999998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2025</v>
      </c>
      <c r="J1594">
        <v>69.530149999999992</v>
      </c>
      <c r="K1594" t="s">
        <v>51</v>
      </c>
    </row>
    <row r="1595" spans="1:11" x14ac:dyDescent="0.45">
      <c r="A1595" t="s">
        <v>90</v>
      </c>
      <c r="B1595" t="s">
        <v>0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222.64895000000001</v>
      </c>
      <c r="K1595" t="s">
        <v>48</v>
      </c>
    </row>
    <row r="1596" spans="1:11" x14ac:dyDescent="0.45">
      <c r="A1596" t="s">
        <v>90</v>
      </c>
      <c r="B1596" t="s">
        <v>0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2025</v>
      </c>
      <c r="J1596">
        <v>71.210700000000003</v>
      </c>
      <c r="K1596" t="s">
        <v>51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224.17444999999998</v>
      </c>
      <c r="K1597" t="s">
        <v>48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72.734849999999994</v>
      </c>
      <c r="K1598" t="s">
        <v>51</v>
      </c>
    </row>
    <row r="1599" spans="1:11" x14ac:dyDescent="0.45">
      <c r="A1599" t="s">
        <v>90</v>
      </c>
      <c r="B1599" t="s">
        <v>5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2025</v>
      </c>
      <c r="J1599">
        <v>231.74209999999999</v>
      </c>
      <c r="K1599" t="s">
        <v>48</v>
      </c>
    </row>
    <row r="1600" spans="1:11" x14ac:dyDescent="0.45">
      <c r="A1600" t="s">
        <v>90</v>
      </c>
      <c r="B1600" t="s">
        <v>5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86.600650000000002</v>
      </c>
      <c r="K1600" t="s">
        <v>51</v>
      </c>
    </row>
    <row r="1601" spans="1:11" x14ac:dyDescent="0.45">
      <c r="A1601" t="s">
        <v>90</v>
      </c>
      <c r="B1601" t="s">
        <v>2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2025</v>
      </c>
      <c r="J1601">
        <v>214.20715000000001</v>
      </c>
      <c r="K1601" t="s">
        <v>48</v>
      </c>
    </row>
    <row r="1602" spans="1:11" x14ac:dyDescent="0.45">
      <c r="A1602" t="s">
        <v>90</v>
      </c>
      <c r="B1602" t="s">
        <v>2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68.440200000000004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2025</v>
      </c>
      <c r="J1603">
        <v>195.45335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48.773499999999999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181.1189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34.004049999999999</v>
      </c>
      <c r="K1606" t="s">
        <v>51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313.96294999999998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2030</v>
      </c>
      <c r="J1608">
        <v>161.35059999999999</v>
      </c>
      <c r="K1608" t="s">
        <v>51</v>
      </c>
    </row>
    <row r="1609" spans="1:11" x14ac:dyDescent="0.45">
      <c r="A1609" t="s">
        <v>90</v>
      </c>
      <c r="B1609" t="s">
        <v>0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308.14890000000003</v>
      </c>
      <c r="K1609" t="s">
        <v>48</v>
      </c>
    </row>
    <row r="1610" spans="1:11" x14ac:dyDescent="0.45">
      <c r="A1610" t="s">
        <v>90</v>
      </c>
      <c r="B1610" t="s">
        <v>0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2030</v>
      </c>
      <c r="J1610">
        <v>154.61599999999999</v>
      </c>
      <c r="K1610" t="s">
        <v>51</v>
      </c>
    </row>
    <row r="1611" spans="1:11" x14ac:dyDescent="0.45">
      <c r="A1611" t="s">
        <v>90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309.85415</v>
      </c>
      <c r="K1611" t="s">
        <v>48</v>
      </c>
    </row>
    <row r="1612" spans="1:11" x14ac:dyDescent="0.45">
      <c r="A1612" t="s">
        <v>90</v>
      </c>
      <c r="B1612" t="s">
        <v>6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156.32114999999999</v>
      </c>
      <c r="K1612" t="s">
        <v>51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175.67660000000001</v>
      </c>
      <c r="K1613" t="s">
        <v>48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30.417850000000001</v>
      </c>
      <c r="K1614" t="s">
        <v>51</v>
      </c>
    </row>
    <row r="1615" spans="1:11" x14ac:dyDescent="0.45">
      <c r="A1615" t="s">
        <v>90</v>
      </c>
      <c r="B1615" t="s">
        <v>2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199.27924999999999</v>
      </c>
      <c r="K1615" t="s">
        <v>48</v>
      </c>
    </row>
    <row r="1616" spans="1:11" x14ac:dyDescent="0.45">
      <c r="A1616" t="s">
        <v>90</v>
      </c>
      <c r="B1616" t="s">
        <v>2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52.197200000000002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2030</v>
      </c>
      <c r="J1617">
        <v>155.13240000000002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7.6738999999999997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156.12</v>
      </c>
      <c r="K1619" t="s">
        <v>48</v>
      </c>
    </row>
    <row r="1620" spans="1:11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9.7983499999999992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413.22315000000003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2035</v>
      </c>
      <c r="J1622">
        <v>259.12734999999998</v>
      </c>
      <c r="K1622" t="s">
        <v>51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388.78764999999999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2035</v>
      </c>
      <c r="J1624">
        <v>243.7586</v>
      </c>
      <c r="K1624" t="s">
        <v>51</v>
      </c>
    </row>
    <row r="1625" spans="1:11" x14ac:dyDescent="0.45">
      <c r="A1625" t="s">
        <v>90</v>
      </c>
      <c r="B1625" t="s">
        <v>6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163.72165000000001</v>
      </c>
      <c r="K1625" t="s">
        <v>48</v>
      </c>
    </row>
    <row r="1626" spans="1:11" x14ac:dyDescent="0.45">
      <c r="A1626" t="s">
        <v>90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18.750450000000001</v>
      </c>
      <c r="K1626" t="s">
        <v>51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2035</v>
      </c>
      <c r="J1627">
        <v>152.5249</v>
      </c>
      <c r="K1627" t="s">
        <v>48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5.7342499999999994</v>
      </c>
      <c r="K1628" t="s">
        <v>51</v>
      </c>
    </row>
    <row r="1629" spans="1:11" x14ac:dyDescent="0.45">
      <c r="A1629" t="s">
        <v>90</v>
      </c>
      <c r="B1629" t="s">
        <v>2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2035</v>
      </c>
      <c r="J1629">
        <v>184.0411</v>
      </c>
      <c r="K1629" t="s">
        <v>48</v>
      </c>
    </row>
    <row r="1630" spans="1:11" x14ac:dyDescent="0.45">
      <c r="A1630" t="s">
        <v>90</v>
      </c>
      <c r="B1630" t="s">
        <v>2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35.233849999999997</v>
      </c>
      <c r="K1630" t="s">
        <v>51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153.01124999999999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4.8745999999999992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155.95280000000002</v>
      </c>
      <c r="K1633" t="s">
        <v>48</v>
      </c>
    </row>
    <row r="1634" spans="1:11" x14ac:dyDescent="0.45">
      <c r="A1634" t="s">
        <v>90</v>
      </c>
      <c r="B1634" t="s">
        <v>3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10.285350000000001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527.24610000000007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2040</v>
      </c>
      <c r="J1636">
        <v>371.63684999999998</v>
      </c>
      <c r="K1636" t="s">
        <v>51</v>
      </c>
    </row>
    <row r="1637" spans="1:11" x14ac:dyDescent="0.45">
      <c r="A1637" t="s">
        <v>90</v>
      </c>
      <c r="B1637" t="s">
        <v>0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164.74610000000001</v>
      </c>
      <c r="K1637" t="s">
        <v>48</v>
      </c>
    </row>
    <row r="1638" spans="1:11" x14ac:dyDescent="0.45">
      <c r="A1638" t="s">
        <v>90</v>
      </c>
      <c r="B1638" t="s">
        <v>0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2040</v>
      </c>
      <c r="J1638">
        <v>16.76135</v>
      </c>
      <c r="K1638" t="s">
        <v>51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162.4436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15.34695</v>
      </c>
      <c r="K1640" t="s">
        <v>51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2040</v>
      </c>
      <c r="J1641">
        <v>153.74495000000002</v>
      </c>
      <c r="K1641" t="s">
        <v>48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4.2736499999999999</v>
      </c>
      <c r="K1642" t="s">
        <v>51</v>
      </c>
    </row>
    <row r="1643" spans="1:11" x14ac:dyDescent="0.45">
      <c r="A1643" t="s">
        <v>90</v>
      </c>
      <c r="B1643" t="s">
        <v>2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2040</v>
      </c>
      <c r="J1643">
        <v>161.86574999999999</v>
      </c>
      <c r="K1643" t="s">
        <v>48</v>
      </c>
    </row>
    <row r="1644" spans="1:11" x14ac:dyDescent="0.45">
      <c r="A1644" t="s">
        <v>90</v>
      </c>
      <c r="B1644" t="s">
        <v>2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11.31795</v>
      </c>
      <c r="K1644" t="s">
        <v>51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2040</v>
      </c>
      <c r="J1645">
        <v>151.89005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2.1284000000000001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156.75184999999999</v>
      </c>
      <c r="K1647" t="s">
        <v>48</v>
      </c>
    </row>
    <row r="1648" spans="1:11" x14ac:dyDescent="0.45">
      <c r="A1648" t="s">
        <v>90</v>
      </c>
      <c r="B1648" t="s">
        <v>3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12.250499999999999</v>
      </c>
      <c r="K1648" t="s">
        <v>51</v>
      </c>
    </row>
    <row r="1649" spans="1:11" x14ac:dyDescent="0.45">
      <c r="A1649" t="s">
        <v>90</v>
      </c>
      <c r="B1649" t="s">
        <v>4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631.73509999999999</v>
      </c>
      <c r="K1649" t="s">
        <v>48</v>
      </c>
    </row>
    <row r="1650" spans="1:11" x14ac:dyDescent="0.45">
      <c r="A1650" t="s">
        <v>90</v>
      </c>
      <c r="B1650" t="s">
        <v>4</v>
      </c>
      <c r="C1650" t="s">
        <v>84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2045</v>
      </c>
      <c r="J1650">
        <v>476.49209999999999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155.96764999999999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2045</v>
      </c>
      <c r="J1652">
        <v>9.5977999999999994</v>
      </c>
      <c r="K1652" t="s">
        <v>51</v>
      </c>
    </row>
    <row r="1653" spans="1:11" x14ac:dyDescent="0.45">
      <c r="A1653" t="s">
        <v>90</v>
      </c>
      <c r="B1653" t="s">
        <v>6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164.2841</v>
      </c>
      <c r="K1653" t="s">
        <v>48</v>
      </c>
    </row>
    <row r="1654" spans="1:11" x14ac:dyDescent="0.45">
      <c r="A1654" t="s">
        <v>90</v>
      </c>
      <c r="B1654" t="s">
        <v>6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19.851700000000001</v>
      </c>
      <c r="K1654" t="s">
        <v>51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152.2551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2.3030999999999997</v>
      </c>
      <c r="K1656" t="s">
        <v>51</v>
      </c>
    </row>
    <row r="1657" spans="1:11" x14ac:dyDescent="0.45">
      <c r="A1657" t="s">
        <v>90</v>
      </c>
      <c r="B1657" t="s">
        <v>2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2045</v>
      </c>
      <c r="J1657">
        <v>165.28035</v>
      </c>
      <c r="K1657" t="s">
        <v>48</v>
      </c>
    </row>
    <row r="1658" spans="1:11" x14ac:dyDescent="0.45">
      <c r="A1658" t="s">
        <v>90</v>
      </c>
      <c r="B1658" t="s">
        <v>2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15.792400000000001</v>
      </c>
      <c r="K1658" t="s">
        <v>51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2045</v>
      </c>
      <c r="J1659">
        <v>147.23054999999999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-2.8233999999999999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162.84375</v>
      </c>
      <c r="K1661" t="s">
        <v>48</v>
      </c>
    </row>
    <row r="1662" spans="1:11" x14ac:dyDescent="0.45">
      <c r="A1662" t="s">
        <v>90</v>
      </c>
      <c r="B1662" t="s">
        <v>3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15.83755</v>
      </c>
      <c r="K1662" t="s">
        <v>51</v>
      </c>
    </row>
    <row r="1663" spans="1:11" x14ac:dyDescent="0.45">
      <c r="A1663" t="s">
        <v>90</v>
      </c>
      <c r="B1663" t="s">
        <v>4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636.16184999999996</v>
      </c>
      <c r="K1663" t="s">
        <v>48</v>
      </c>
    </row>
    <row r="1664" spans="1:11" x14ac:dyDescent="0.45">
      <c r="A1664" t="s">
        <v>90</v>
      </c>
      <c r="B1664" t="s">
        <v>4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2050</v>
      </c>
      <c r="J1664">
        <v>481.65109999999999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154.24180000000001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2050</v>
      </c>
      <c r="J1666">
        <v>6.8651</v>
      </c>
      <c r="K1666" t="s">
        <v>51</v>
      </c>
    </row>
    <row r="1667" spans="1:11" x14ac:dyDescent="0.45">
      <c r="A1667" t="s">
        <v>90</v>
      </c>
      <c r="B1667" t="s">
        <v>6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169.73525000000001</v>
      </c>
      <c r="K1667" t="s">
        <v>48</v>
      </c>
    </row>
    <row r="1668" spans="1:11" x14ac:dyDescent="0.45">
      <c r="A1668" t="s">
        <v>90</v>
      </c>
      <c r="B1668" t="s">
        <v>6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25.446399999999997</v>
      </c>
      <c r="K1668" t="s">
        <v>51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2050</v>
      </c>
      <c r="J1669">
        <v>150.18565000000001</v>
      </c>
      <c r="K1669" t="s">
        <v>48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-2.4999999999999967E-2</v>
      </c>
      <c r="K1670" t="s">
        <v>51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2050</v>
      </c>
      <c r="J1671">
        <v>225.67275000000001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76.102500000000006</v>
      </c>
      <c r="K1672" t="s">
        <v>51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2050</v>
      </c>
      <c r="J1673">
        <v>140.0068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-11.179449999999999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166.54140000000001</v>
      </c>
      <c r="K1675" t="s">
        <v>48</v>
      </c>
    </row>
    <row r="1676" spans="1:11" x14ac:dyDescent="0.45">
      <c r="A1676" t="s">
        <v>90</v>
      </c>
      <c r="B1676" t="s">
        <v>3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17.33015</v>
      </c>
      <c r="K1676" t="s">
        <v>51</v>
      </c>
    </row>
    <row r="1677" spans="1:11" x14ac:dyDescent="0.45">
      <c r="A1677" t="s">
        <v>90</v>
      </c>
      <c r="B1677" t="s">
        <v>4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555.08230000000003</v>
      </c>
      <c r="K1677" t="s">
        <v>48</v>
      </c>
    </row>
    <row r="1678" spans="1:11" x14ac:dyDescent="0.45">
      <c r="A1678" t="s">
        <v>90</v>
      </c>
      <c r="B1678" t="s">
        <v>4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2055</v>
      </c>
      <c r="J1678">
        <v>400.44754999999998</v>
      </c>
      <c r="K1678" t="s">
        <v>51</v>
      </c>
    </row>
    <row r="1679" spans="1:11" x14ac:dyDescent="0.45">
      <c r="A1679" t="s">
        <v>90</v>
      </c>
      <c r="B1679" t="s">
        <v>0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157.30734999999999</v>
      </c>
      <c r="K1679" t="s">
        <v>48</v>
      </c>
    </row>
    <row r="1680" spans="1:11" x14ac:dyDescent="0.45">
      <c r="A1680" t="s">
        <v>90</v>
      </c>
      <c r="B1680" t="s">
        <v>0</v>
      </c>
      <c r="C1680" t="s">
        <v>84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2055</v>
      </c>
      <c r="J1680">
        <v>7.6591499999999995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173.18344999999999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26.7651</v>
      </c>
      <c r="K1682" t="s">
        <v>51</v>
      </c>
    </row>
    <row r="1683" spans="1:11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2055</v>
      </c>
      <c r="J1683">
        <v>146.44240000000002</v>
      </c>
      <c r="K1683" t="s">
        <v>48</v>
      </c>
    </row>
    <row r="1684" spans="1:11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-1.97305</v>
      </c>
      <c r="K1684" t="s">
        <v>51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2055</v>
      </c>
      <c r="J1685">
        <v>220.3981</v>
      </c>
      <c r="K1685" t="s">
        <v>48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69.063900000000004</v>
      </c>
      <c r="K1686" t="s">
        <v>51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2055</v>
      </c>
      <c r="J1687">
        <v>133.58229999999998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-16.926349999999999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166.47620000000001</v>
      </c>
      <c r="K1689" t="s">
        <v>48</v>
      </c>
    </row>
    <row r="1690" spans="1:11" x14ac:dyDescent="0.45">
      <c r="A1690" t="s">
        <v>90</v>
      </c>
      <c r="B1690" t="s">
        <v>3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14.72095</v>
      </c>
      <c r="K1690" t="s">
        <v>51</v>
      </c>
    </row>
    <row r="1691" spans="1:11" x14ac:dyDescent="0.45">
      <c r="A1691" t="s">
        <v>90</v>
      </c>
      <c r="B1691" t="s">
        <v>4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445.22315000000003</v>
      </c>
      <c r="K1691" t="s">
        <v>48</v>
      </c>
    </row>
    <row r="1692" spans="1:11" x14ac:dyDescent="0.45">
      <c r="A1692" t="s">
        <v>90</v>
      </c>
      <c r="B1692" t="s">
        <v>4</v>
      </c>
      <c r="C1692" t="s">
        <v>84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2060</v>
      </c>
      <c r="J1692">
        <v>289.05430000000001</v>
      </c>
      <c r="K1692" t="s">
        <v>51</v>
      </c>
    </row>
    <row r="1693" spans="1:11" x14ac:dyDescent="0.45">
      <c r="A1693" t="s">
        <v>90</v>
      </c>
      <c r="B1693" t="s">
        <v>0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160.45285000000001</v>
      </c>
      <c r="K1693" t="s">
        <v>48</v>
      </c>
    </row>
    <row r="1694" spans="1:11" x14ac:dyDescent="0.45">
      <c r="A1694" t="s">
        <v>90</v>
      </c>
      <c r="B1694" t="s">
        <v>0</v>
      </c>
      <c r="C1694" t="s">
        <v>84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2060</v>
      </c>
      <c r="J1694">
        <v>8.1195500000000003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173.83575000000002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26.178700000000003</v>
      </c>
      <c r="K1696" t="s">
        <v>51</v>
      </c>
    </row>
    <row r="1697" spans="1:11" x14ac:dyDescent="0.45">
      <c r="A1697" t="s">
        <v>90</v>
      </c>
      <c r="B1697" t="s">
        <v>5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2060</v>
      </c>
      <c r="J1697">
        <v>142.49600000000001</v>
      </c>
      <c r="K1697" t="s">
        <v>48</v>
      </c>
    </row>
    <row r="1698" spans="1:11" x14ac:dyDescent="0.45">
      <c r="A1698" t="s">
        <v>90</v>
      </c>
      <c r="B1698" t="s">
        <v>5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-4.6429</v>
      </c>
      <c r="K1698" t="s">
        <v>51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2060</v>
      </c>
      <c r="J1699">
        <v>181.12290000000002</v>
      </c>
      <c r="K1699" t="s">
        <v>48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27.589849999999998</v>
      </c>
      <c r="K1700" t="s">
        <v>51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2060</v>
      </c>
      <c r="J1701">
        <v>131.50245000000001</v>
      </c>
      <c r="K1701" t="s">
        <v>48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-18.205350000000003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167.57675</v>
      </c>
      <c r="K1703" t="s">
        <v>48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15.062950000000001</v>
      </c>
      <c r="K1704" t="s">
        <v>51</v>
      </c>
    </row>
    <row r="1705" spans="1:11" x14ac:dyDescent="0.45">
      <c r="A1705" t="s">
        <v>90</v>
      </c>
      <c r="B1705" t="s">
        <v>4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376.37880000000001</v>
      </c>
      <c r="K1705" t="s">
        <v>48</v>
      </c>
    </row>
    <row r="1706" spans="1:11" x14ac:dyDescent="0.45">
      <c r="A1706" t="s">
        <v>90</v>
      </c>
      <c r="B1706" t="s">
        <v>4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2065</v>
      </c>
      <c r="J1706">
        <v>218.92615000000001</v>
      </c>
      <c r="K1706" t="s">
        <v>51</v>
      </c>
    </row>
    <row r="1707" spans="1:11" x14ac:dyDescent="0.45">
      <c r="A1707" t="s">
        <v>90</v>
      </c>
      <c r="B1707" t="s">
        <v>0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161.74115</v>
      </c>
      <c r="K1707" t="s">
        <v>48</v>
      </c>
    </row>
    <row r="1708" spans="1:11" x14ac:dyDescent="0.45">
      <c r="A1708" t="s">
        <v>90</v>
      </c>
      <c r="B1708" t="s">
        <v>0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2065</v>
      </c>
      <c r="J1708">
        <v>8.8506999999999998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175.09399999999999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26.15185</v>
      </c>
      <c r="K1710" t="s">
        <v>51</v>
      </c>
    </row>
    <row r="1711" spans="1:11" x14ac:dyDescent="0.45">
      <c r="A1711" t="s">
        <v>90</v>
      </c>
      <c r="B1711" t="s">
        <v>5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2065</v>
      </c>
      <c r="J1711">
        <v>142.93759999999997</v>
      </c>
      <c r="K1711" t="s">
        <v>48</v>
      </c>
    </row>
    <row r="1712" spans="1:11" x14ac:dyDescent="0.45">
      <c r="A1712" t="s">
        <v>90</v>
      </c>
      <c r="B1712" t="s">
        <v>5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-3.8224</v>
      </c>
      <c r="K1712" t="s">
        <v>51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2065</v>
      </c>
      <c r="J1713">
        <v>181.92515</v>
      </c>
      <c r="K1713" t="s">
        <v>48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26.718350000000001</v>
      </c>
      <c r="K1714" t="s">
        <v>51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2065</v>
      </c>
      <c r="J1715">
        <v>132.35570000000001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-16.791550000000001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166.41675000000001</v>
      </c>
      <c r="K1717" t="s">
        <v>48</v>
      </c>
    </row>
    <row r="1718" spans="1:11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13.242650000000001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317.09090000000003</v>
      </c>
      <c r="K1719" t="s">
        <v>48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2070</v>
      </c>
      <c r="J1720">
        <v>158.39435</v>
      </c>
      <c r="K1720" t="s">
        <v>51</v>
      </c>
    </row>
    <row r="1721" spans="1:11" x14ac:dyDescent="0.45">
      <c r="A1721" t="s">
        <v>90</v>
      </c>
      <c r="B1721" t="s">
        <v>0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162.8048</v>
      </c>
      <c r="K1721" t="s">
        <v>48</v>
      </c>
    </row>
    <row r="1722" spans="1:11" x14ac:dyDescent="0.45">
      <c r="A1722" t="s">
        <v>90</v>
      </c>
      <c r="B1722" t="s">
        <v>0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2070</v>
      </c>
      <c r="J1722">
        <v>9.3633999999999986</v>
      </c>
      <c r="K1722" t="s">
        <v>51</v>
      </c>
    </row>
    <row r="1723" spans="1:11" x14ac:dyDescent="0.45">
      <c r="A1723" t="s">
        <v>90</v>
      </c>
      <c r="B1723" t="s">
        <v>6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175.32210000000001</v>
      </c>
      <c r="K1723" t="s">
        <v>48</v>
      </c>
    </row>
    <row r="1724" spans="1:11" x14ac:dyDescent="0.45">
      <c r="A1724" t="s">
        <v>90</v>
      </c>
      <c r="B1724" t="s">
        <v>6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25.126049999999999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2070</v>
      </c>
      <c r="J1725">
        <v>143.23000000000002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-3.0070999999999999</v>
      </c>
      <c r="K1726" t="s">
        <v>51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2070</v>
      </c>
      <c r="J1727">
        <v>182.02760000000001</v>
      </c>
      <c r="K1727" t="s">
        <v>48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25.202349999999999</v>
      </c>
      <c r="K1728" t="s">
        <v>51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2070</v>
      </c>
      <c r="J1729">
        <v>133.12430000000001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-15.428650000000001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168.98930000000001</v>
      </c>
      <c r="K1731" t="s">
        <v>48</v>
      </c>
    </row>
    <row r="1732" spans="1:11" x14ac:dyDescent="0.45">
      <c r="A1732" t="s">
        <v>90</v>
      </c>
      <c r="B1732" t="s">
        <v>3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14.44685</v>
      </c>
      <c r="K1732" t="s">
        <v>51</v>
      </c>
    </row>
    <row r="1733" spans="1:11" x14ac:dyDescent="0.45">
      <c r="A1733" t="s">
        <v>90</v>
      </c>
      <c r="B1733" t="s">
        <v>4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296.29084999999998</v>
      </c>
      <c r="K1733" t="s">
        <v>48</v>
      </c>
    </row>
    <row r="1734" spans="1:11" x14ac:dyDescent="0.45">
      <c r="A1734" t="s">
        <v>90</v>
      </c>
      <c r="B1734" t="s">
        <v>4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2075</v>
      </c>
      <c r="J1734">
        <v>136.9426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165.07445000000001</v>
      </c>
      <c r="K1735" t="s">
        <v>48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10.3865</v>
      </c>
      <c r="K1736" t="s">
        <v>51</v>
      </c>
    </row>
    <row r="1737" spans="1:11" x14ac:dyDescent="0.45">
      <c r="A1737" t="s">
        <v>90</v>
      </c>
      <c r="B1737" t="s">
        <v>6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173.83165</v>
      </c>
      <c r="K1737" t="s">
        <v>48</v>
      </c>
    </row>
    <row r="1738" spans="1:11" x14ac:dyDescent="0.45">
      <c r="A1738" t="s">
        <v>90</v>
      </c>
      <c r="B1738" t="s">
        <v>6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23.182299999999998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2075</v>
      </c>
      <c r="J1739">
        <v>144.56099999999998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-2.6522999999999999</v>
      </c>
      <c r="K1740" t="s">
        <v>51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2075</v>
      </c>
      <c r="J1741">
        <v>181.26179999999999</v>
      </c>
      <c r="K1741" t="s">
        <v>48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23.7745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2075</v>
      </c>
      <c r="J1743">
        <v>135.96359999999999</v>
      </c>
      <c r="K1743" t="s">
        <v>48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-13.2658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169.57380000000001</v>
      </c>
      <c r="K1745" t="s">
        <v>48</v>
      </c>
    </row>
    <row r="1746" spans="1:11" x14ac:dyDescent="0.45">
      <c r="A1746" t="s">
        <v>90</v>
      </c>
      <c r="B1746" t="s">
        <v>3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13.67375</v>
      </c>
      <c r="K1746" t="s">
        <v>51</v>
      </c>
    </row>
    <row r="1747" spans="1:11" x14ac:dyDescent="0.45">
      <c r="A1747" t="s">
        <v>90</v>
      </c>
      <c r="B1747" t="s">
        <v>4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279.23340000000002</v>
      </c>
      <c r="K1747" t="s">
        <v>48</v>
      </c>
    </row>
    <row r="1748" spans="1:11" x14ac:dyDescent="0.45">
      <c r="A1748" t="s">
        <v>90</v>
      </c>
      <c r="B1748" t="s">
        <v>4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2080</v>
      </c>
      <c r="J1748">
        <v>119.23965000000001</v>
      </c>
      <c r="K1748" t="s">
        <v>51</v>
      </c>
    </row>
    <row r="1749" spans="1:11" x14ac:dyDescent="0.45">
      <c r="A1749" t="s">
        <v>90</v>
      </c>
      <c r="B1749" t="s">
        <v>0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167.73115000000001</v>
      </c>
      <c r="K1749" t="s">
        <v>48</v>
      </c>
    </row>
    <row r="1750" spans="1:11" x14ac:dyDescent="0.45">
      <c r="A1750" t="s">
        <v>90</v>
      </c>
      <c r="B1750" t="s">
        <v>0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2080</v>
      </c>
      <c r="J1750">
        <v>11.7925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172.62915000000001</v>
      </c>
      <c r="K1751" t="s">
        <v>48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21.5078</v>
      </c>
      <c r="K1752" t="s">
        <v>51</v>
      </c>
    </row>
    <row r="1753" spans="1:11" x14ac:dyDescent="0.45">
      <c r="A1753" t="s">
        <v>90</v>
      </c>
      <c r="B1753" t="s">
        <v>5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2080</v>
      </c>
      <c r="J1753">
        <v>145.82765000000001</v>
      </c>
      <c r="K1753" t="s">
        <v>48</v>
      </c>
    </row>
    <row r="1754" spans="1:11" x14ac:dyDescent="0.45">
      <c r="A1754" t="s">
        <v>90</v>
      </c>
      <c r="B1754" t="s">
        <v>5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-2.3464499999999999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2080</v>
      </c>
      <c r="J1755">
        <v>180.73360000000002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22.574649999999998</v>
      </c>
      <c r="K1756" t="s">
        <v>51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2080</v>
      </c>
      <c r="J1757">
        <v>138.46339999999998</v>
      </c>
      <c r="K1757" t="s">
        <v>48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-11.429349999999999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167.40685000000002</v>
      </c>
      <c r="K1759" t="s">
        <v>48</v>
      </c>
    </row>
    <row r="1760" spans="1:11" x14ac:dyDescent="0.45">
      <c r="A1760" t="s">
        <v>90</v>
      </c>
      <c r="B1760" t="s">
        <v>3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12.909800000000001</v>
      </c>
      <c r="K1760" t="s">
        <v>51</v>
      </c>
    </row>
    <row r="1761" spans="1:11" x14ac:dyDescent="0.45">
      <c r="A1761" t="s">
        <v>90</v>
      </c>
      <c r="B1761" t="s">
        <v>4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272.86969999999997</v>
      </c>
      <c r="K1761" t="s">
        <v>48</v>
      </c>
    </row>
    <row r="1762" spans="1:11" x14ac:dyDescent="0.45">
      <c r="A1762" t="s">
        <v>90</v>
      </c>
      <c r="B1762" t="s">
        <v>4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2085</v>
      </c>
      <c r="J1762">
        <v>113.89160000000001</v>
      </c>
      <c r="K1762" t="s">
        <v>51</v>
      </c>
    </row>
    <row r="1763" spans="1:11" x14ac:dyDescent="0.45">
      <c r="A1763" t="s">
        <v>90</v>
      </c>
      <c r="B1763" t="s">
        <v>0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167.14505</v>
      </c>
      <c r="K1763" t="s">
        <v>48</v>
      </c>
    </row>
    <row r="1764" spans="1:11" x14ac:dyDescent="0.45">
      <c r="A1764" t="s">
        <v>90</v>
      </c>
      <c r="B1764" t="s">
        <v>0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2085</v>
      </c>
      <c r="J1764">
        <v>12.728100000000001</v>
      </c>
      <c r="K1764" t="s">
        <v>51</v>
      </c>
    </row>
    <row r="1765" spans="1:11" x14ac:dyDescent="0.45">
      <c r="A1765" t="s">
        <v>90</v>
      </c>
      <c r="B1765" t="s">
        <v>6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170.43869999999998</v>
      </c>
      <c r="K1765" t="s">
        <v>48</v>
      </c>
    </row>
    <row r="1766" spans="1:11" x14ac:dyDescent="0.45">
      <c r="A1766" t="s">
        <v>90</v>
      </c>
      <c r="B1766" t="s">
        <v>6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20.16865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2085</v>
      </c>
      <c r="J1767">
        <v>146.29840000000002</v>
      </c>
      <c r="K1767" t="s">
        <v>48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-1.4628999999999999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2085</v>
      </c>
      <c r="J1769">
        <v>180.83985000000001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23.3931</v>
      </c>
      <c r="K1770" t="s">
        <v>51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2085</v>
      </c>
      <c r="J1771">
        <v>139.65105</v>
      </c>
      <c r="K1771" t="s">
        <v>48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-9.5896499999999989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165.11525</v>
      </c>
      <c r="K1773" t="s">
        <v>48</v>
      </c>
    </row>
    <row r="1774" spans="1:11" x14ac:dyDescent="0.45">
      <c r="A1774" t="s">
        <v>90</v>
      </c>
      <c r="B1774" t="s">
        <v>3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12.014200000000001</v>
      </c>
      <c r="K1774" t="s">
        <v>51</v>
      </c>
    </row>
    <row r="1775" spans="1:11" x14ac:dyDescent="0.45">
      <c r="A1775" t="s">
        <v>90</v>
      </c>
      <c r="B1775" t="s">
        <v>4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265.74620000000004</v>
      </c>
      <c r="K1775" t="s">
        <v>48</v>
      </c>
    </row>
    <row r="1776" spans="1:11" x14ac:dyDescent="0.45">
      <c r="A1776" t="s">
        <v>90</v>
      </c>
      <c r="B1776" t="s">
        <v>4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107.7569</v>
      </c>
      <c r="K1776" t="s">
        <v>51</v>
      </c>
    </row>
    <row r="1777" spans="1:11" x14ac:dyDescent="0.45">
      <c r="A1777" t="s">
        <v>90</v>
      </c>
      <c r="B1777" t="s">
        <v>0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166.59415000000001</v>
      </c>
      <c r="K1777" t="s">
        <v>48</v>
      </c>
    </row>
    <row r="1778" spans="1:11" x14ac:dyDescent="0.45">
      <c r="A1778" t="s">
        <v>90</v>
      </c>
      <c r="B1778" t="s">
        <v>0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13.6921</v>
      </c>
      <c r="K1778" t="s">
        <v>51</v>
      </c>
    </row>
    <row r="1779" spans="1:11" x14ac:dyDescent="0.45">
      <c r="A1779" t="s">
        <v>90</v>
      </c>
      <c r="B1779" t="s">
        <v>6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168.30914999999999</v>
      </c>
      <c r="K1779" t="s">
        <v>48</v>
      </c>
    </row>
    <row r="1780" spans="1:11" x14ac:dyDescent="0.45">
      <c r="A1780" t="s">
        <v>90</v>
      </c>
      <c r="B1780" t="s">
        <v>6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18.8719</v>
      </c>
      <c r="K1780" t="s">
        <v>51</v>
      </c>
    </row>
    <row r="1781" spans="1:11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2090</v>
      </c>
      <c r="J1781">
        <v>147.47415000000001</v>
      </c>
      <c r="K1781" t="s">
        <v>48</v>
      </c>
    </row>
    <row r="1782" spans="1:11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0.12760000000000002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2090</v>
      </c>
      <c r="J1783">
        <v>180.47045</v>
      </c>
      <c r="K1783" t="s">
        <v>48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23.7164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2090</v>
      </c>
      <c r="J1785">
        <v>142.52695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-6.0677000000000003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162.83645000000001</v>
      </c>
      <c r="K1787" t="s">
        <v>48</v>
      </c>
    </row>
    <row r="1788" spans="1:11" x14ac:dyDescent="0.45">
      <c r="A1788" t="s">
        <v>90</v>
      </c>
      <c r="B1788" t="s">
        <v>3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10.869949999999999</v>
      </c>
      <c r="K1788" t="s">
        <v>51</v>
      </c>
    </row>
    <row r="1789" spans="1:11" x14ac:dyDescent="0.45">
      <c r="A1789" t="s">
        <v>90</v>
      </c>
      <c r="B1789" t="s">
        <v>4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253.56675000000001</v>
      </c>
      <c r="K1789" t="s">
        <v>48</v>
      </c>
    </row>
    <row r="1790" spans="1:11" x14ac:dyDescent="0.45">
      <c r="A1790" t="s">
        <v>90</v>
      </c>
      <c r="B1790" t="s">
        <v>4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2095</v>
      </c>
      <c r="J1790">
        <v>97.211849999999998</v>
      </c>
      <c r="K1790" t="s">
        <v>51</v>
      </c>
    </row>
    <row r="1791" spans="1:11" x14ac:dyDescent="0.45">
      <c r="A1791" t="s">
        <v>90</v>
      </c>
      <c r="B1791" t="s">
        <v>0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165.92155</v>
      </c>
      <c r="K1791" t="s">
        <v>48</v>
      </c>
    </row>
    <row r="1792" spans="1:11" x14ac:dyDescent="0.45">
      <c r="A1792" t="s">
        <v>90</v>
      </c>
      <c r="B1792" t="s">
        <v>0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2095</v>
      </c>
      <c r="J1792">
        <v>14.1777</v>
      </c>
      <c r="K1792" t="s">
        <v>51</v>
      </c>
    </row>
    <row r="1793" spans="1:11" x14ac:dyDescent="0.45">
      <c r="A1793" t="s">
        <v>90</v>
      </c>
      <c r="B1793" t="s">
        <v>6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165.43335000000002</v>
      </c>
      <c r="K1793" t="s">
        <v>48</v>
      </c>
    </row>
    <row r="1794" spans="1:11" x14ac:dyDescent="0.45">
      <c r="A1794" t="s">
        <v>90</v>
      </c>
      <c r="B1794" t="s">
        <v>6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16.734100000000002</v>
      </c>
      <c r="K1794" t="s">
        <v>51</v>
      </c>
    </row>
    <row r="1795" spans="1:11" x14ac:dyDescent="0.45">
      <c r="A1795" t="s">
        <v>90</v>
      </c>
      <c r="B1795" t="s">
        <v>5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2095</v>
      </c>
      <c r="J1795">
        <v>147.01249999999999</v>
      </c>
      <c r="K1795" t="s">
        <v>48</v>
      </c>
    </row>
    <row r="1796" spans="1:11" x14ac:dyDescent="0.45">
      <c r="A1796" t="s">
        <v>90</v>
      </c>
      <c r="B1796" t="s">
        <v>5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0.45965000000000006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2095</v>
      </c>
      <c r="J1797">
        <v>177.61490000000001</v>
      </c>
      <c r="K1797" t="s">
        <v>48</v>
      </c>
    </row>
    <row r="1798" spans="1:11" x14ac:dyDescent="0.45">
      <c r="A1798" t="s">
        <v>90</v>
      </c>
      <c r="B1798" t="s">
        <v>2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21.679449999999999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2095</v>
      </c>
      <c r="J1799">
        <v>145.90805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-1.6537999999999999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160.4794</v>
      </c>
      <c r="K1801" t="s">
        <v>48</v>
      </c>
    </row>
    <row r="1802" spans="1:11" x14ac:dyDescent="0.45">
      <c r="A1802" t="s">
        <v>90</v>
      </c>
      <c r="B1802" t="s">
        <v>3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9.6465999999999994</v>
      </c>
      <c r="K1802" t="s">
        <v>51</v>
      </c>
    </row>
    <row r="1803" spans="1:11" x14ac:dyDescent="0.45">
      <c r="A1803" t="s">
        <v>90</v>
      </c>
      <c r="B1803" t="s">
        <v>4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244.40230000000003</v>
      </c>
      <c r="K1803" t="s">
        <v>48</v>
      </c>
    </row>
    <row r="1804" spans="1:11" x14ac:dyDescent="0.45">
      <c r="A1804" t="s">
        <v>90</v>
      </c>
      <c r="B1804" t="s">
        <v>4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2100</v>
      </c>
      <c r="J1804">
        <v>89.64425</v>
      </c>
      <c r="K1804" t="s">
        <v>51</v>
      </c>
    </row>
    <row r="1805" spans="1:11" x14ac:dyDescent="0.45">
      <c r="A1805" t="s">
        <v>90</v>
      </c>
      <c r="B1805" t="s">
        <v>0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164.68530000000001</v>
      </c>
      <c r="K1805" t="s">
        <v>48</v>
      </c>
    </row>
    <row r="1806" spans="1:11" x14ac:dyDescent="0.45">
      <c r="A1806" t="s">
        <v>90</v>
      </c>
      <c r="B1806" t="s">
        <v>0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2100</v>
      </c>
      <c r="J1806">
        <v>14.0901</v>
      </c>
      <c r="K1806" t="s">
        <v>51</v>
      </c>
    </row>
    <row r="1807" spans="1:11" x14ac:dyDescent="0.45">
      <c r="A1807" t="s">
        <v>90</v>
      </c>
      <c r="B1807" t="s">
        <v>6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162.8621</v>
      </c>
      <c r="K1807" t="s">
        <v>48</v>
      </c>
    </row>
    <row r="1808" spans="1:11" x14ac:dyDescent="0.45">
      <c r="A1808" t="s">
        <v>90</v>
      </c>
      <c r="B1808" t="s">
        <v>6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14.87945</v>
      </c>
      <c r="K1808" t="s">
        <v>51</v>
      </c>
    </row>
    <row r="1809" spans="1:11" x14ac:dyDescent="0.45">
      <c r="A1809" t="s">
        <v>90</v>
      </c>
      <c r="B1809" t="s">
        <v>5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146.13650000000001</v>
      </c>
      <c r="K1809" t="s">
        <v>48</v>
      </c>
    </row>
    <row r="1810" spans="1:11" x14ac:dyDescent="0.45">
      <c r="A1810" t="s">
        <v>90</v>
      </c>
      <c r="B1810" t="s">
        <v>5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0.39439999999999997</v>
      </c>
      <c r="K1810" t="s">
        <v>51</v>
      </c>
    </row>
    <row r="1811" spans="1:11" x14ac:dyDescent="0.45">
      <c r="A1811" t="s">
        <v>90</v>
      </c>
      <c r="B1811" t="s">
        <v>2</v>
      </c>
      <c r="C1811" t="s">
        <v>84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2100</v>
      </c>
      <c r="J1811">
        <v>175.58010000000002</v>
      </c>
      <c r="K1811" t="s">
        <v>48</v>
      </c>
    </row>
    <row r="1812" spans="1:11" x14ac:dyDescent="0.45">
      <c r="A1812" t="s">
        <v>90</v>
      </c>
      <c r="B1812" t="s">
        <v>2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20.473599999999998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146.143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-0.39594999999999997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9.4899999999999998E-2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0.1774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0.2382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0.43140000000000001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0.74629999999999996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1.43E-2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1.83E-2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2.2100000000000002E-2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2.6800000000000001E-2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0.03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3.4200000000000001E-2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4.07E-2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1.6199999999999999E-2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2.1100000000000001E-2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1.9199999999999998E-2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1.7600000000000001E-2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1.8200000000000001E-2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2.4400000000000002E-2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2.8500000000000001E-2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5.0000000000000001E-4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3.8999999999999998E-3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8.8999999999999999E-3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1E-4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1.2999999999999999E-3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4.1999999999999997E-3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1.8987999999999998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2.8576000000000001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5.5000000000000005E-3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5.5000000000000005E-3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5.5000000000000005E-3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1.6499999999999997E-2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3.85E-2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1.3511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3.5651000000000002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3.1457000000000002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5.367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7.0838000000000001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7.4763000000000002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8.7202999999999999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1.9661999999999999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1.615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1.7063999999999999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2.1709999999999998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2.6179000000000001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2.0156999999999998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2.2633000000000001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2.8098999999999998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3.3917999999999999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3.9051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4.1246999999999998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4.9743000000000004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4.4941000000000004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4.8894000000000002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5.0796999999999999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5.641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5.3113999999999999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175.74879999999999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174.17500000000001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159.6277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158.4812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155.78460000000001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154.30719999999999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151.11609999999999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13.957599999999999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18.988299999999999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10.1265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10.780200000000001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10.55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12.7875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12.8865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1.49E-2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1.83E-2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2.2200000000000001E-2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2.9899999999999999E-2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3.5499999999999997E-2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3.8199999999999998E-2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4.1099999999999998E-2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1.7600000000000001E-2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2.2200000000000001E-2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2.1999999999999999E-2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2.07E-2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2.2200000000000001E-2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2.9899999999999999E-2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3.5900000000000001E-2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2.0000000000000001E-4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5.9999999999999995E-4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1.4E-3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2.5999999999999999E-3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1.9458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2.6978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3.2618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4.3146000000000004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4.5965999999999996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5.9501999999999997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7.3225999999999996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5.5000000000000005E-3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1.1000000000000001E-2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1.6499999999999997E-2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2.2000000000000002E-2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7.6999999999999999E-2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1.3511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4.2782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2.5712000000000002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2.1154000000000002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4.1441999999999997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3.4339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2.8203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1.9661999999999999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1.603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1.4175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1.5760000000000001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1.661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1.7467999999999999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1.841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2.0156999999999998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2.2612000000000001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2.3734000000000002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3.0924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3.2919999999999998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3.6415999999999999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3.9622999999999999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4.6092000000000004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5.0312999999999999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5.5602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6.0583999999999998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175.60409999999999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173.21449999999999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174.99260000000001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182.92169999999999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185.8965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194.43350000000001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195.38499999999999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13.8072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18.0793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21.968399999999999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29.657399999999999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32.673499999999997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43.744799999999998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47.146099999999997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0.12479999999999999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0.1694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0.2964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0.49730000000000002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1.52E-2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1.8800000000000001E-2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2.3099999999999999E-2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2.75E-2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3.1399999999999997E-2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3.61E-2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4.3099999999999999E-2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1.7899999999999999E-2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2.2800000000000001E-2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2.29E-2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1.9E-2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1.8800000000000001E-2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2.4899999999999999E-2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3.09E-2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5.0000000000000001E-4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4.1999999999999997E-3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1.03E-2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1.1999999999999999E-3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3.5000000000000001E-3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7.1000000000000004E-3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1.9645999999999999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2.7165999999999997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3.2993999999999999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5.5000000000000005E-3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5.5000000000000005E-3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5.5000000000000005E-3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5.5000000000000005E-3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1.6499999999999997E-2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2.75E-2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1.3511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4.2782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2.5712000000000002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8.2174999999999994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11.3034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1.9661999999999999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1.603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1.4175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2.0849000000000002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2.6640999999999999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2.0156999999999998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2.2612000000000001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2.3734000000000002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3.4872000000000001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4.0233999999999996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4.2594000000000003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5.1487999999999996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4.6092000000000004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5.8960999999999997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5.1154000000000002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175.64570000000001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173.73509999999999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176.04580000000001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166.33009999999999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163.02000000000001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161.02000000000001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157.22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13.841799999999999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18.129100000000001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22.085699999999999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14.1172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13.4542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15.9315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16.117999999999999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4.1099999999999998E-2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4.8800000000000003E-2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0.2114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0.26469999999999999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1.47E-2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1.8800000000000001E-2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2.8400000000000002E-2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3.3399999999999999E-2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3.8399999999999997E-2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4.5499999999999999E-2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1.67E-2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2.1999999999999999E-2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2.1999999999999999E-2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1.95E-2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1.9800000000000002E-2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2.81E-2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3.5999999999999997E-2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1E-4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4.0000000000000002E-4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1.1000000000000001E-3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2.8999999999999998E-3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5.5999999999999999E-3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1.9176000000000002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2.7729999999999997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3.2523999999999997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5.5000000000000005E-3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5.5000000000000005E-3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5.5000000000000005E-3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1.6499999999999997E-2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3.85E-2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1.3511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4.2782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2.5712000000000002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3.4333999999999998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6.8171999999999997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5.7111999999999998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1.9661999999999999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1.603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1.4175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2.2206999999999999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2.1526000000000001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2.0146000000000002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2.0156999999999998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2.2612000000000001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2.3734000000000002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3.6726999999999999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3.9340999999999999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4.1013000000000002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5.0133999999999999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4.6092000000000004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5.6050000000000004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6.1375999999999999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6.4734999999999996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175.25890000000001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173.90729999999999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175.9906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164.62129999999999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162.01220000000001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159.07329999999999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155.11109999999999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13.4611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18.291899999999998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22.0152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12.023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11.9206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14.4655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15.454499999999999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0.24440000000000001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0.50380000000000003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1.0972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1.6634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1.2586999999999999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1.4500000000000001E-2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1.8200000000000001E-2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2.93E-2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3.2099999999999997E-2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3.32E-2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3.8600000000000002E-2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4.36E-2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1.5699999999999999E-2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2.0899999999999998E-2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2.5100000000000001E-2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2.7199999999999998E-2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3.2000000000000001E-2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3.4099999999999998E-2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3.56E-2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1E-4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5.0000000000000001E-4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1.4E-3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1.9E-3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6.6E-3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4.4000000000000003E-3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8.6999999999999994E-3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1.26E-2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1.29E-2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2.0116000000000001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2.9327999999999999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5.5000000000000005E-3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1.6499999999999997E-2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3.2999999999999995E-2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2.75E-2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3.85E-2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7.1499999999999994E-2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0.1265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1.3511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3.5651000000000002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0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5.2774999999999999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10.8195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1.9661999999999999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1.615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3.9855999999999998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4.6886999999999999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5.4470999999999998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2.0156999999999998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2.2633000000000001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0.78639999999999999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3.5508000000000002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4.4855999999999998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4.9785000000000004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4.4941000000000004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8.0112000000000005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3.7957999999999998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176.46809999999999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176.7336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169.5821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171.70760000000001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172.01300000000001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161.02330000000001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154.86349999999999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14.650399999999999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20.556699999999999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19.3126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22.266999999999999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23.139700000000001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15.4323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11.8912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1.46E-2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1.8499999999999999E-2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2.1899999999999999E-2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2.8500000000000001E-2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3.3599999999999998E-2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3.6600000000000001E-2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1.6199999999999999E-2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2.1000000000000001E-2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2.1000000000000001E-2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1.8700000000000001E-2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1.9400000000000001E-2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2.6499999999999999E-2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3.2300000000000002E-2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1E-4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4.0000000000000002E-4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1.1000000000000001E-3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2.7000000000000001E-3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1.9176000000000002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2.867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3.2430000000000003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1.5416000000000001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0.16919999999999999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5.5000000000000005E-3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5.5000000000000005E-3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5.5000000000000005E-3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1.6499999999999997E-2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3.2999999999999995E-2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6.0500000000000005E-2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1.3511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3.5651000000000002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2.8376000000000001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2.1943000000000001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5.9964000000000004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3.6823000000000001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1.9661999999999999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1.615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1.3788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1.5017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1.5983000000000001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2.0156999999999998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2.2633000000000001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2.4053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3.262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3.7614000000000001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3.9350000000000001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4.7306999999999997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4.4941000000000004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5.2838000000000003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5.2546999999999997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6.1520999999999999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6.2039999999999997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175.22280000000001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173.554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174.9956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170.4616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165.70670000000001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164.91829999999999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163.2336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13.434100000000001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18.377099999999999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21.7165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17.762799999999999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13.9306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15.8422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16.4787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0.1623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0.32090000000000002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1.0188999999999999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1.3147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2.2347999999999999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1.32E-2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1.6299999999999999E-2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1.7899999999999999E-2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2.1100000000000001E-2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2.52E-2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2.7799999999999998E-2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3.2199999999999999E-2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1.61E-2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2.0799999999999999E-2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1.7899999999999999E-2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1.6500000000000001E-2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1.5599999999999999E-2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1.9900000000000001E-2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2.9100000000000001E-2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1E-4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8.9999999999999998E-4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2.8E-3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7.7999999999999996E-3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5.0000000000000001E-3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1.5E-3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4.8999999999999998E-3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1.7600000000000001E-2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1.8894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2.8388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5.5000000000000005E-3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5.5000000000000005E-3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5.5000000000000005E-3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5.5000000000000005E-3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5.5000000000000005E-3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5.5000000000000005E-3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1.3511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3.5651000000000002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28.259699999999999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24.4223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35.164099999999998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1.9661999999999999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1.615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9.1289999999999996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9.7355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11.7827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2.0156999999999998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2.2633000000000001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5.9455999999999998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2.2160000000000002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5.7712000000000003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6.9189999999999996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8.0222999999999995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4.4941000000000004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6.2022000000000004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6.0152000000000001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10.097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3.2585000000000002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3.4138999999999999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175.5436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174.88239999999999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157.9922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156.3331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155.5763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155.6808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151.89250000000001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13.7745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18.831900000000001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8.6494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8.2187000000000001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8.3461999999999996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12.1435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11.749700000000001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6.2799999999999995E-2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0.22059999999999999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0.44819999999999999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0.76239999999999997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1.1082000000000001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1.2937000000000001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10.542199999999999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9.4329999999999998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1.0271999999999999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0.74180000000000001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0.56269999999999998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0.36749999999999999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0.20949999999999999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0.1076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1.9300000000000001E-2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1.3100000000000001E-2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1.55E-2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2.1999999999999999E-2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3.0200000000000001E-2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4.0899999999999999E-2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5.1200000000000002E-2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6.2700000000000006E-2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7.2700000000000001E-2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8.1199999999999994E-2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8.8099999999999998E-2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9.1700000000000004E-2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9.0300000000000005E-2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9.0399999999999994E-2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8.8099999999999998E-2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8.7400000000000005E-2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8.4199999999999997E-2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8.0699999999999994E-2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1.7000000000000001E-2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2.0199999999999999E-2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2.1700000000000001E-2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2.4500000000000001E-2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2.52E-2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3.2000000000000001E-2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4.0300000000000002E-2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4.48E-2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5.4800000000000001E-2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6.7400000000000002E-2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7.9799999999999996E-2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0.10249999999999999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0.1234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0.1469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0.1691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0.18149999999999999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4.0000000000000002E-4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3.8999999999999998E-3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7.1999999999999998E-3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1.15E-2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1.7500000000000002E-2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2.3900000000000001E-2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2.8000000000000001E-2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3.2500000000000001E-2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3.5999999999999997E-2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3.9699999999999999E-2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4.3400000000000001E-2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4.7300000000000002E-2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5.0599999999999999E-2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5.3900000000000003E-2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5.9999999999999995E-4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1.1999999999999999E-3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2.3E-3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4.1999999999999997E-3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8.2000000000000007E-3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1.7299999999999999E-2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2.9700000000000001E-2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4.3799999999999999E-2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4.5400000000000003E-2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4.41E-2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4.1700000000000001E-2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3.9E-2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3.7100000000000001E-2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3.5200000000000002E-2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3.5200000000000002E-2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7.1000000000000004E-3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65.189400000000006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61.921999999999997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82.555199999999999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79.682100000000005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87.122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93.372500000000002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99.019000000000005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111.72839999999999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175.65369999999999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208.1696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240.68549999999999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240.43770000000001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240.19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246.29499999999999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252.4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256.17939999999999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259.9588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185.23089999999999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210.1405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152.6874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152.3152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153.69239999999999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155.68860000000001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162.71520000000001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165.72389999999999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165.92570000000001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166.9271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165.71440000000001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168.3048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169.333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167.5445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165.62029999999999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163.3262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160.9015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23.836099999999998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64.900400000000005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7.9414999999999996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7.5510999999999999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7.9295999999999998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9.8742999999999999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15.8916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16.715399999999999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14.288600000000001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14.5322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12.6632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13.8675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13.5268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13.132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12.5943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11.428800000000001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10.1328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1.2500000000000001E-2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1.49E-2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2.2700000000000001E-2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3.0200000000000001E-2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3.95E-2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4.5600000000000002E-2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5.3199999999999997E-2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5.74E-2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6.1600000000000002E-2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6.5100000000000005E-2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6.83E-2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6.8599999999999994E-2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6.9500000000000006E-2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6.7000000000000004E-2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6.5299999999999997E-2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6.3399999999999998E-2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6.2399999999999997E-2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1.77E-2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2.0500000000000001E-2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1.9900000000000001E-2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1.84E-2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2.1499999999999998E-2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2.6800000000000001E-2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3.1600000000000003E-2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4.2000000000000003E-2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5.2699999999999997E-2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6.2300000000000001E-2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8.0500000000000002E-2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9.8199999999999996E-2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0.11650000000000001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0.1341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0.1439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0.1535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4.0000000000000002E-4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1.1999999999999999E-3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2.5000000000000001E-3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4.0000000000000001E-3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6.7999999999999996E-3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1.12E-2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1.6199999999999999E-2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1.9400000000000001E-2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2.24E-2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2.53E-2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2.86E-2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3.1600000000000003E-2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3.6799999999999999E-2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3.8699999999999998E-2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6.9999999999999999E-4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2.8999999999999998E-3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8.6999999999999994E-3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1.9400000000000001E-2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3.5000000000000003E-2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5.5599999999999997E-2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5.8099999999999999E-2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5.9499999999999997E-2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5.8099999999999999E-2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5.0099999999999999E-2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5.4800000000000001E-2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5.5500000000000001E-2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7.3800000000000004E-2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8.77E-2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0.1171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0.14169999999999999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7.1000000000000004E-3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2.9999999999999997E-4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2.9999999999999997E-4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5.9999999999999995E-4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1.2999999999999999E-3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2.2000000000000001E-3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4.5999999999999999E-3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7.7999999999999996E-3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1E-4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1E-4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2.9999999999999997E-4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4.0000000000000002E-4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6.9999999999999999E-4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8.0000000000000004E-4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5.0000000000000001E-4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2.9999999999999997E-4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4.0000000000000002E-4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6.9999999999999999E-4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8.9999999999999998E-4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1.1999999999999999E-3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65.189400000000006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71.6417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82.322000000000003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82.177400000000006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92.134299999999996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101.5192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107.2972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123.56440000000001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196.03030000000001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233.6643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271.29840000000002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277.58589999999998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283.87329999999997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285.35829999999999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286.8433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296.0446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305.24590000000001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179.82310000000001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218.9076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314.62520000000001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410.36320000000001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522.87440000000004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619.7518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619.75660000000005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541.37840000000006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456.21719999999999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385.661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323.63330000000002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298.6823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278.41930000000002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273.75819999999999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267.8032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257.096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248.24770000000001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18.4297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67.89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161.95509999999999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256.32990000000001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367.73390000000001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465.54899999999998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466.8295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388.87740000000002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302.54320000000001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230.53550000000001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167.09399999999999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140.90199999999999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119.40470000000001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115.08880000000001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109.4522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99.993899999999996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92.355000000000004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5.8599999999999999E-2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1.08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2.1162000000000001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2.0731000000000002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2.2896000000000001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1.8596999999999999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1.4932000000000001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1.1428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0.82769999999999999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0.48330000000000001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0.20050000000000001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1.2571000000000001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2.5000000000000001E-3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1.3100000000000001E-2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1.55E-2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2.3E-2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3.0300000000000001E-2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4.0599999999999997E-2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5.0799999999999998E-2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6.4199999999999993E-2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7.5600000000000001E-2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8.5900000000000004E-2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8.7400000000000005E-2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8.8700000000000001E-2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8.8300000000000003E-2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8.8900000000000007E-2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8.6999999999999994E-2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8.6099999999999996E-2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8.3500000000000005E-2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8.1000000000000003E-2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1.7000000000000001E-2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1.9699999999999999E-2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1.9300000000000001E-2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1.9E-2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2.1999999999999999E-2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3.09E-2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4.0899999999999999E-2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4.4900000000000002E-2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5.28E-2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6.5199999999999994E-2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7.6600000000000001E-2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9.8500000000000004E-2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0.1187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0.14180000000000001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0.16400000000000001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0.17710000000000001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0.18990000000000001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4.0000000000000002E-4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1.1999999999999999E-3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3.0999999999999999E-3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5.3E-3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8.6999999999999994E-3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2.0400000000000001E-2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2.4299999999999999E-2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2.8199999999999999E-2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3.2000000000000001E-2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3.5799999999999998E-2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3.9600000000000003E-2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4.3499999999999997E-2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4.7100000000000003E-2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5.0500000000000003E-2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6.9999999999999999E-4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2.8E-3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8.2000000000000007E-3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3.8999999999999998E-3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8.3999999999999995E-3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1.8599999999999998E-2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3.39E-2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5.16E-2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4.9700000000000001E-2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4.7100000000000003E-2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4.2700000000000002E-2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3.9300000000000002E-2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3.7400000000000003E-2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3.4500000000000003E-2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3.4700000000000002E-2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3.4099999999999998E-2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7.0000000000000001E-3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2.9999999999999997E-4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2.0000000000000001E-4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65.189400000000006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71.6417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82.322000000000003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68.520799999999994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86.9435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95.804100000000005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100.61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115.91070000000001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174.76320000000001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209.32820000000001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243.8931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248.1831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252.47300000000001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256.3689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260.2647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267.13749999999999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274.0102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187.37700000000001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226.36359999999999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309.54079999999999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386.78370000000001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157.5317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154.5147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153.29519999999999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156.68510000000001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160.0386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161.48230000000001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162.65690000000001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164.25239999999999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166.48089999999999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165.78139999999999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165.3244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164.08029999999999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162.04060000000001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25.981100000000001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74.888499999999993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155.9478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241.84379999999999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11.5038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8.4640000000000004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6.1853999999999996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7.2142999999999997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7.7514000000000003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8.6387999999999998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9.27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9.6090999999999998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10.582000000000001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11.415100000000001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12.4856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12.426299999999999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11.563499999999999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1.35E-2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0.12520000000000001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0.22059999999999999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0.2379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0.17730000000000001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0.1091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8.5199999999999998E-2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6.6400000000000001E-2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5.4199999999999998E-2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4.0399999999999998E-2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2.1899999999999999E-2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1.3100000000000001E-2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1.55E-2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2.3E-2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2.92E-2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3.8600000000000002E-2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4.9000000000000002E-2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6.1600000000000002E-2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7.3499999999999996E-2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8.6099999999999996E-2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8.77E-2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8.7599999999999997E-2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8.5999999999999993E-2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8.5599999999999996E-2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8.3699999999999997E-2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8.2900000000000001E-2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8.0199999999999994E-2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7.7600000000000002E-2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1.7000000000000001E-2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1.9699999999999999E-2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1.9300000000000001E-2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2.06E-2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2.2499999999999999E-2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2.93E-2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3.7699999999999997E-2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4.2599999999999999E-2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5.0700000000000002E-2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6.3100000000000003E-2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7.4099999999999999E-2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9.5100000000000004E-2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0.1143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0.13689999999999999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0.15859999999999999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0.18379999999999999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4.0000000000000002E-4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1.2999999999999999E-3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3.0000000000000001E-3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5.4000000000000003E-3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8.8000000000000005E-3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1.4500000000000001E-2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2.0799999999999999E-2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2.4400000000000002E-2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2.8000000000000001E-2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3.1399999999999997E-2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3.85E-2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4.2299999999999997E-2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4.5499999999999999E-2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4.8300000000000003E-2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6.9999999999999999E-4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2.8E-3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2.3E-3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1.0200000000000001E-2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3.0800000000000001E-2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5.8700000000000002E-2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8.0500000000000002E-2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9.0800000000000006E-2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8.5800000000000001E-2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8.0600000000000005E-2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7.5399999999999995E-2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7.0800000000000002E-2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6.5799999999999997E-2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5.9499999999999997E-2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5.5E-2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5.0599999999999999E-2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7.0000000000000001E-3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2.9999999999999997E-4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2.0000000000000001E-4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5.9999999999999995E-4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8.0000000000000004E-4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6.9999999999999999E-4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6.9999999999999999E-4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6.9999999999999999E-4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5.0000000000000001E-4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4.0000000000000002E-4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2.9999999999999997E-4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1E-4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1E-4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65.189400000000006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71.6417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82.322000000000003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56.825000000000003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80.382400000000004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95.475800000000007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100.7205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112.4838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180.77109999999999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216.25239999999999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251.7337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256.35910000000001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260.98450000000003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264.11110000000002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267.23770000000002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277.30810000000002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287.37849999999997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184.65799999999999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224.7448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310.31110000000001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162.33269999999999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154.3074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156.0436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158.77809999999999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158.14320000000001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154.73320000000001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155.4913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156.31870000000001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157.2268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158.04910000000001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158.0009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157.5523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155.9091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153.92590000000001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23.262599999999999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73.269199999999998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156.71729999999999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18.4297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10.2516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12.2431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14.301500000000001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12.0854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7.2900999999999998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7.0811000000000002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6.9683000000000002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7.7285000000000004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8.3806999999999992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9.4019999999999992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9.9984000000000002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9.1746999999999996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7.9919000000000002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1.83E-2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0.28289999999999998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1.0223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2.3599000000000001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4.6130000000000004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7.3281999999999998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10.881399999999999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9.6701999999999995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8.1347000000000005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7.2126999999999999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6.3540000000000001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5.7531999999999996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5.2724000000000002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4.8718000000000004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4.5837000000000003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1.23E-2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1.04E-2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1.15E-2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1.38E-2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1.66E-2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1.6400000000000001E-2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1.8499999999999999E-2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2.1000000000000001E-2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2.47E-2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2.53E-2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2.4299999999999999E-2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2.24E-2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2.3800000000000002E-2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2.52E-2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2.5399999999999999E-2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2.5600000000000001E-2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1.7000000000000001E-2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2.2100000000000002E-2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2.29E-2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2.6200000000000001E-2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2.5100000000000001E-2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3.49E-2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4.7199999999999999E-2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6.0499999999999998E-2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7.6700000000000004E-2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9.2399999999999996E-2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0.1067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0.12640000000000001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0.14369999999999999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0.16170000000000001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0.17799999999999999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0.1971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5.0000000000000001E-4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8.0000000000000004E-4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3.0000000000000001E-3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6.4000000000000003E-3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3.6499999999999998E-2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4.36E-2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5.0599999999999999E-2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5.2200000000000003E-2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5.3699999999999998E-2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5.57E-2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5.8299999999999998E-2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5.9900000000000002E-2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6.1400000000000003E-2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5.9999999999999995E-4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6.9999999999999999E-4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2.2000000000000001E-3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3.8E-3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5.7000000000000002E-3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8.3000000000000001E-3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1.43E-2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1.8700000000000001E-2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1.9900000000000001E-2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2.1999999999999999E-2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2.23E-2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2.1999999999999999E-2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2.1899999999999999E-2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2.5499999999999998E-2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2.8500000000000001E-2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6.7000000000000002E-3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2.0000000000000001E-4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1E-4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1E-4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65.189400000000006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58.661700000000003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68.229900000000001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75.018900000000002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79.469300000000004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76.842299999999994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75.689099999999996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112.3095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177.87960000000001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207.03749999999999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236.19540000000001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256.12860000000001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276.06169999999997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288.7824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301.50299999999999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319.31810000000002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337.13319999999999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187.51249999999999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230.9323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170.39089999999999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152.0455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153.4837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152.3665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150.9195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147.62090000000001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143.70830000000001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144.12559999999999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144.59350000000001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145.2799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146.15780000000001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146.69710000000001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147.4879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147.7004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147.3622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26.1374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85.734200000000001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25.0868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5.2401999999999997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4.0330000000000004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2.4401999999999999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0.60460000000000003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-0.91349999999999998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-3.4131999999999998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-2.5537000000000001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-1.5226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-1.7958000000000001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-1.8573999999999999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-0.88460000000000005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0.34100000000000003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1.2934000000000001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1.7183999999999999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1.6500000000000001E-2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7.9899999999999999E-2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0.16969999999999999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0.15379999999999999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0.2198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0.94879999999999998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0.8669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0.70199999999999996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0.51349999999999996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0.36969999999999997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0.2087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4.7300000000000002E-2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1.9300000000000001E-2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1.3299999999999999E-2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1.5900000000000001E-2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2.24E-2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3.1199999999999999E-2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4.2099999999999999E-2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5.2900000000000003E-2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6.2199999999999998E-2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7.0199999999999999E-2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7.4099999999999999E-2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7.7399999999999997E-2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7.9699999999999993E-2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7.9000000000000001E-2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7.9100000000000004E-2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7.7299999999999994E-2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7.6300000000000007E-2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7.3899999999999993E-2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7.1199999999999999E-2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1.6799999999999999E-2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1.9900000000000001E-2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2.1000000000000001E-2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2.3300000000000001E-2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2.5100000000000001E-2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3.2099999999999997E-2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3.8699999999999998E-2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4.3400000000000001E-2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4.8599999999999997E-2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5.9200000000000003E-2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7.0400000000000004E-2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9.06E-2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0.1094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0.12939999999999999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0.1484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0.1598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0.17150000000000001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4.0000000000000002E-4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5.4999999999999997E-3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8.5000000000000006E-3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1.3599999999999999E-2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1.8499999999999999E-2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2.1399999999999999E-2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2.5000000000000001E-2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2.8299999999999999E-2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3.1699999999999999E-2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3.49E-2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3.7999999999999999E-2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4.0399999999999998E-2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4.2999999999999997E-2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5.9999999999999995E-4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1.4E-3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2.2000000000000001E-3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4.3E-3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4.19E-2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7.4999999999999997E-2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5.7599999999999998E-2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5.6000000000000001E-2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5.3699999999999998E-2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5.0999999999999997E-2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5.11E-2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5.3100000000000001E-2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5.3999999999999999E-2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5.5100000000000003E-2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7.1000000000000004E-3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1E-4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5.0000000000000001E-4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8.9999999999999998E-4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2.5000000000000001E-3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4.4000000000000003E-3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2.0000000000000001E-4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2.9999999999999997E-4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2.9999999999999997E-4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4.0000000000000002E-4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4.0000000000000002E-4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2.9999999999999997E-4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2.9999999999999997E-4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2.0000000000000001E-4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1E-4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65.189400000000006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67.219700000000003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81.729200000000006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81.053100000000001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91.525800000000004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100.8032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105.5977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122.996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186.6404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221.33600000000001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256.03149999999999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258.7167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261.40190000000001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261.93950000000001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262.47710000000001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273.22559999999999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283.9742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185.17009999999999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214.815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199.4316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179.27549999999999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161.99209999999999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165.64240000000001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216.03020000000001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218.52930000000001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181.78569999999999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182.87049999999999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183.2484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182.38509999999999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181.73820000000001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180.80359999999999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179.68530000000001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176.453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174.0772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23.773399999999999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69.313699999999997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52.578800000000001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30.2822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10.978999999999999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15.277699999999999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65.797300000000007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66.323400000000007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26.9057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26.2241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24.8889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23.600899999999999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22.523299999999999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22.659700000000001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22.591899999999999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20.352399999999999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18.9816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3.0499999999999999E-2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0.626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2.7054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6.9082999999999997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14.0783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20.159600000000001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21.542400000000001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19.755600000000001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18.028400000000001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15.5373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13.571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11.670400000000001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8.2973999999999997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3.3874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1.6537999999999999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1.2999999999999999E-2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1.55E-2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2.18E-2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2.9100000000000001E-2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3.9199999999999999E-2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5.0099999999999999E-2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6.4500000000000002E-2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7.9399999999999998E-2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9.2200000000000004E-2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9.7500000000000003E-2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0.1019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0.10349999999999999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0.1052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0.1022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9.8199999999999996E-2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9.4500000000000001E-2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1.72E-2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2.1100000000000001E-2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2.3800000000000002E-2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2.3800000000000002E-2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3.2800000000000003E-2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4.4200000000000003E-2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5.0900000000000001E-2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6.1899999999999997E-2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7.6899999999999996E-2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9.11E-2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0.1172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0.1401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0.1653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0.18859999999999999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0.20169999999999999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0.2142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4.0000000000000002E-4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4.1000000000000003E-3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7.9000000000000008E-3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1.41E-2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2.1499999999999998E-2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2.9700000000000001E-2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3.5000000000000003E-2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3.9699999999999999E-2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4.3999999999999997E-2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4.82E-2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5.21E-2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5.6099999999999997E-2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5.9400000000000001E-2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6.2300000000000001E-2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5.0000000000000001E-4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1.1999999999999999E-3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3.3E-3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9.2999999999999992E-3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2.3599999999999999E-2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5.1299999999999998E-2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8.5599999999999996E-2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0.1232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0.12280000000000001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0.1195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0.10879999999999999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0.1008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9.2700000000000005E-2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7.1999999999999995E-2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3.2800000000000003E-2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1.7500000000000002E-2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6.8999999999999999E-3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65.189400000000006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58.546300000000002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78.862399999999994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82.082499999999996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90.008200000000002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89.726200000000006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98.991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118.2259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183.56209999999999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230.09540000000001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276.62880000000001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295.81920000000002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315.00959999999998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360.05939999999998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405.10919999999999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322.42540000000002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239.74160000000001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175.97409999999999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182.61089999999999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153.50620000000001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151.9213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151.5275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147.38740000000001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140.5154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134.11359999999999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131.2441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132.06639999999999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132.82480000000001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135.85720000000001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138.40889999999999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139.52269999999999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142.19390000000001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146.1704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146.61340000000001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14.572800000000001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36.434899999999999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6.9074999999999998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4.3578999999999999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1.9323999999999999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-2.7136999999999998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-10.7445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-16.460999999999999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-18.557200000000002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-17.207000000000001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-15.882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-13.5608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-11.7067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-9.9397000000000002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-6.6220999999999997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-1.589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-9.8199999999999996E-2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1.47E-2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0.12659999999999999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0.46600000000000003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0.74450000000000005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0.94869999999999999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6.9112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7.008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0.81559999999999999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5.9356999999999998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0.4703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0.30649999999999999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0.1762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9.0399999999999994E-2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1.3100000000000001E-2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1.32E-2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1.5599999999999999E-2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2.1899999999999999E-2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3.0599999999999999E-2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4.1300000000000003E-2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5.2200000000000003E-2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6.4100000000000004E-2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7.3999999999999996E-2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8.1799999999999998E-2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8.7499999999999994E-2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9.0899999999999995E-2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8.9700000000000002E-2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9.0300000000000005E-2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8.8499999999999995E-2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8.7900000000000006E-2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8.5099999999999995E-2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8.2199999999999995E-2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1.7000000000000001E-2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2.01E-2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2.1600000000000001E-2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2.4E-2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2.5000000000000001E-2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3.1800000000000002E-2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4.07E-2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4.6800000000000001E-2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5.5300000000000002E-2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6.8099999999999994E-2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8.1199999999999994E-2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0.1043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0.12520000000000001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0.14899999999999999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0.1719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0.185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0.1981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4.0000000000000002E-4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1.2999999999999999E-3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3.8999999999999998E-3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7.4000000000000003E-3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1.1900000000000001E-2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1.7899999999999999E-2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2.5000000000000001E-2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2.87E-2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3.32E-2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3.6799999999999999E-2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4.1000000000000002E-2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4.9299999999999997E-2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5.2699999999999997E-2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5.6000000000000001E-2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5.9999999999999995E-4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1.4E-3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2.2000000000000001E-3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3.7000000000000002E-3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7.9000000000000008E-3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3.1199999999999999E-2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5.0099999999999999E-2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5.04E-2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4.7899999999999998E-2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4.1599999999999998E-2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3.9300000000000002E-2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3.6799999999999999E-2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3.7199999999999997E-2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3.73E-2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7.1000000000000004E-3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1E-4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65.189400000000006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61.805500000000002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81.849900000000005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80.075100000000006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88.605800000000002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93.779899999999998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100.3021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115.6756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174.43260000000001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209.61189999999999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244.79130000000001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245.42269999999999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246.05410000000001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256.73770000000002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267.42140000000001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266.28449999999998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265.14749999999998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187.4872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215.13630000000001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202.61009999999999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153.75880000000001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156.12100000000001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157.8151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163.959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167.35890000000001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167.02670000000001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168.22640000000001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167.1191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169.6738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169.81460000000001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167.26920000000001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164.61019999999999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162.3467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160.0573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26.0899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69.956999999999994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57.881599999999999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8.8164999999999996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10.0207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11.7135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16.842500000000001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17.944900000000001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15.1533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15.5937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13.822100000000001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15.026199999999999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13.8207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12.6876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11.434100000000001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10.3111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9.1603999999999992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1.3100000000000001E-2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1.55E-2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2.3E-2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3.0700000000000002E-2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3.9600000000000003E-2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4.5900000000000003E-2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5.3800000000000001E-2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5.8299999999999998E-2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6.2100000000000002E-2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6.5699999999999995E-2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7.0000000000000007E-2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7.1199999999999999E-2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7.2900000000000006E-2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7.1499999999999994E-2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7.1300000000000002E-2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7.0199999999999999E-2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6.9500000000000006E-2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1.7000000000000001E-2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1.9699999999999999E-2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1.9699999999999999E-2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1.95E-2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1.8700000000000001E-2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2.2100000000000002E-2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2.7699999999999999E-2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3.3099999999999997E-2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4.3700000000000003E-2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5.4899999999999997E-2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6.5600000000000006E-2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8.5500000000000007E-2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0.10440000000000001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0.12529999999999999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0.14549999999999999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0.1583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0.1704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4.0000000000000002E-4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1.1999999999999999E-3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2.5000000000000001E-3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4.1000000000000003E-3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6.7000000000000002E-3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1.0800000000000001E-2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1.54E-2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1.8700000000000001E-2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2.23E-2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2.5700000000000001E-2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2.9399999999999999E-2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3.2899999999999999E-2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3.6600000000000001E-2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3.9600000000000003E-2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4.2000000000000003E-2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6.9999999999999999E-4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2.8999999999999998E-3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8.8000000000000005E-3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1.9800000000000002E-2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3.6999999999999998E-2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5.9700000000000003E-2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6.0900000000000003E-2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4.7800000000000002E-2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4.36E-2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3.6400000000000002E-2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4.1300000000000003E-2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4.3900000000000002E-2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5.8999999999999997E-2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7.0300000000000001E-2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9.69E-2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0.1193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7.1000000000000004E-3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2.9999999999999997E-4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1.4E-3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3.2000000000000002E-3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5.4999999999999997E-3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1.3299999999999999E-2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2.9000000000000001E-2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1E-4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1E-4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2.9999999999999997E-4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4.0000000000000002E-4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5.9999999999999995E-4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6.9999999999999999E-4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8.9999999999999998E-4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5.9999999999999995E-4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5.0000000000000001E-4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2.9999999999999997E-4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4.0000000000000002E-4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1.1000000000000001E-3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1.1999999999999999E-3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65.189400000000006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74.065200000000004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82.773700000000005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82.451099999999997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92.590400000000002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102.31780000000001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108.9093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125.37090000000001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199.30539999999999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238.87440000000001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278.4434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284.3673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290.2912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292.40010000000001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294.50900000000001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304.34530000000001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314.18169999999998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183.1653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222.11969999999999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313.30070000000001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416.0831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531.61779999999999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643.71839999999997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652.56709999999998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568.78620000000001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434.22910000000002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367.09660000000002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310.54849999999999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293.89940000000001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280.04750000000001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271.9812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263.68920000000003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250.03749999999999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240.55690000000001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21.769200000000001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71.170299999999997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160.74610000000001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261.9248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375.53980000000001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487.43520000000001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496.47269999999997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412.01769999999999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275.56540000000001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207.3168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149.69470000000001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132.98320000000001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119.0746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112.6944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106.0616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94.4298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86.933499999999995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1.18E-2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0.77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1.6411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1.6539999999999999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1.5813999999999999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1.3007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1.0691999999999999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0.81640000000000001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0.60370000000000001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3.0356999999999998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1.5084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0.67569999999999997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1.3100000000000001E-2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1.55E-2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2.3E-2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3.0200000000000001E-2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3.9399999999999998E-2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5.1799999999999999E-2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6.5500000000000003E-2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7.7200000000000005E-2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8.5000000000000006E-2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8.5900000000000004E-2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8.77E-2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8.7599999999999997E-2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8.8700000000000001E-2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8.7599999999999997E-2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8.7400000000000005E-2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8.4900000000000003E-2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8.2699999999999996E-2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1.7000000000000001E-2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1.9699999999999999E-2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1.9400000000000001E-2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1.9199999999999998E-2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1.9699999999999999E-2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3.1E-2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4.1300000000000003E-2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4.7E-2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5.3100000000000001E-2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6.59E-2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7.8299999999999995E-2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0.1007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0.1447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0.1676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0.18140000000000001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0.1948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4.0000000000000002E-4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1.2999999999999999E-3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5.8999999999999999E-3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9.4999999999999998E-3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1.4800000000000001E-2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2.0500000000000001E-2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2.4299999999999999E-2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2.8000000000000001E-2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3.1600000000000003E-2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3.5499999999999997E-2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3.9600000000000003E-2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4.3999999999999997E-2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4.7800000000000002E-2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5.1400000000000001E-2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6.9999999999999999E-4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2.8E-3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8.0999999999999996E-3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3.8E-3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7.9000000000000008E-3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1.7999999999999999E-2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3.4700000000000002E-2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5.4399999999999997E-2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5.2299999999999999E-2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4.9700000000000001E-2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4.5400000000000003E-2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4.3299999999999998E-2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4.0800000000000003E-2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4.2299999999999997E-2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4.2599999999999999E-2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7.0000000000000001E-3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2.9999999999999997E-4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2.0000000000000001E-4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65.189400000000006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74.065200000000004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82.773700000000005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69.908299999999997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86.270899999999997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98.604600000000005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101.2509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117.4888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175.4058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209.86969999999999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244.33359999999999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251.79859999999999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259.26369999999997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263.34690000000001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267.43009999999998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266.91579999999999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266.40140000000002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181.7328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218.93430000000001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306.75700000000001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390.79160000000002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180.8733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156.6541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154.72980000000001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157.92959999999999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160.86709999999999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162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162.95269999999999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165.8965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168.98140000000001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168.5087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167.8639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167.7628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167.33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20.337299999999999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67.532899999999998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153.2842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245.67339999999999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34.719900000000003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10.3201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7.3075000000000001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8.1039999999999992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8.4877000000000002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9.0625999999999998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9.4567999999999994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11.1639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13.003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14.0411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14.8986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15.9291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16.616700000000002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3.8999999999999998E-3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3.5000000000000001E-3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5.0000000000000001E-3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6.4999999999999997E-3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7.1000000000000004E-3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6.4999999999999997E-3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5.1999999999999998E-3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4.0000000000000001E-3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2.3E-3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8.9999999999999998E-4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4.0000000000000002E-4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1.3100000000000001E-2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1.55E-2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2.3E-2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2.9600000000000001E-2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3.9600000000000003E-2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4.8500000000000001E-2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5.7500000000000002E-2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6.5500000000000003E-2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7.0400000000000004E-2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7.46E-2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7.9100000000000004E-2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7.8899999999999998E-2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7.9500000000000001E-2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7.8200000000000006E-2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7.8E-2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7.6100000000000001E-2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7.4899999999999994E-2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1.7000000000000001E-2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1.9699999999999999E-2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1.9599999999999999E-2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2.0199999999999999E-2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2.0299999999999999E-2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2.69E-2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3.3300000000000003E-2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3.95E-2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4.7E-2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5.8200000000000002E-2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6.9099999999999995E-2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8.9700000000000002E-2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0.1091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0.13150000000000001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0.15329999999999999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0.1678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0.18179999999999999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4.0000000000000002E-4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1.1999999999999999E-3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3.0999999999999999E-3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5.3E-3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8.3999999999999995E-3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1.32E-2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1.8100000000000002E-2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2.1100000000000001E-2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2.4500000000000001E-2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2.8000000000000001E-2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3.1899999999999998E-2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3.56E-2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3.9399999999999998E-2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4.2799999999999998E-2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4.58E-2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6.9999999999999999E-4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2.8E-3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1.9E-3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3.8999999999999998E-3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1.1900000000000001E-2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3.6200000000000003E-2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7.7899999999999997E-2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0.14580000000000001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0.16819999999999999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0.17780000000000001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0.1613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0.14649999999999999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0.12809999999999999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0.113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9.5500000000000002E-2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8.3199999999999996E-2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7.1000000000000004E-3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2.9999999999999997E-4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2.9999999999999997E-4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1.1999999999999999E-3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3.8E-3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5.3E-3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7.4000000000000003E-3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6.7999999999999996E-3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6.4000000000000003E-3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6.7999999999999996E-3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7.3000000000000001E-3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1.1299999999999999E-2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1.54E-2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1E-4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2.0000000000000001E-4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2.9999999999999997E-4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2.9999999999999997E-4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2.9999999999999997E-4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5.9999999999999995E-4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8.0000000000000004E-4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8.9999999999999998E-4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8.9999999999999998E-4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6.9999999999999999E-4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5.9999999999999995E-4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65.189400000000006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74.065200000000004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82.773700000000005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71.927199999999999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88.190899999999999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99.721400000000003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105.0223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121.3364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178.816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216.09190000000001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253.36789999999999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256.07470000000001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258.78140000000002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258.1191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257.45690000000002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268.91489999999999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280.37290000000002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185.23990000000001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223.60409999999999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309.3972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162.822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162.875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169.4949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180.69239999999999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188.22370000000001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192.9383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194.69669999999999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194.32550000000001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190.4365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187.20920000000001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182.87649999999999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179.066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174.95760000000001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171.79830000000001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23.8447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72.200500000000005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155.92500000000001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19.071200000000001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18.773299999999999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25.2379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35.438299999999998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41.444800000000001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45.067300000000003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45.2226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43.283799999999999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38.636099999999999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34.634900000000002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30.935300000000002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27.7454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24.293500000000002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21.766999999999999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5.7999999999999996E-3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0.26290000000000002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1.0305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2.6581000000000001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5.4523000000000001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8.7644000000000002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11.9612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10.268700000000001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8.8094999999999999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6.9227999999999996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5.4840999999999998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4.7648000000000001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3.5707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3.4904000000000002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3.5510999999999999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1.2200000000000001E-2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1.04E-2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1.1599999999999999E-2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1.3899999999999999E-2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1.6899999999999998E-2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1.7000000000000001E-2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2.0199999999999999E-2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2.2800000000000001E-2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2.6499999999999999E-2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2.6599999999999999E-2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2.5499999999999998E-2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2.3099999999999999E-2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2.4799999999999999E-2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2.63E-2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2.76E-2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2.87E-2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1.7100000000000001E-2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2.2200000000000001E-2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2.3599999999999999E-2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2.6700000000000002E-2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2.5999999999999999E-2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3.6200000000000003E-2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6.2799999999999995E-2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7.8E-2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9.4600000000000004E-2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0.10920000000000001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0.12889999999999999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0.1457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0.16600000000000001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0.18410000000000001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0.19589999999999999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0.2069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1E-4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5.0000000000000001E-4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8.9999999999999998E-4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3.0000000000000001E-3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6.4999999999999997E-3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1.2500000000000001E-2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2.5100000000000001E-2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4.0899999999999999E-2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4.8099999999999997E-2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5.5100000000000003E-2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5.6300000000000003E-2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5.79E-2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5.8500000000000003E-2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6.0199999999999997E-2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6.2100000000000002E-2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6.3799999999999996E-2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5.9999999999999995E-4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6.9999999999999999E-4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1.2999999999999999E-3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2.5999999999999999E-3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5.1999999999999998E-3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1.9199999999999998E-2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3.7600000000000001E-2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4.3999999999999997E-2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4.5600000000000002E-2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4.36E-2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4.0300000000000002E-2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3.5400000000000001E-2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2.8400000000000002E-2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2.6800000000000001E-2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2.5899999999999999E-2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6.7000000000000002E-3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2.0000000000000001E-4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1E-4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1E-4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2.0000000000000001E-4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65.189400000000006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58.235999999999997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67.398499999999999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74.374300000000005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81.156899999999993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81.905299999999997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78.530100000000004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113.97969999999999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182.10910000000001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220.8005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259.49180000000001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285.50459999999998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311.51729999999998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324.2688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337.02030000000002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361.34699999999998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385.6737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186.51050000000001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232.55189999999999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180.9623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152.35050000000001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153.8767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152.1437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149.45179999999999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145.26390000000001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141.28370000000001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141.74959999999999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141.8665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143.84209999999999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145.4975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145.8997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147.46039999999999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146.3246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144.91079999999999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25.145099999999999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87.467100000000002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35.748899999999999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5.4874999999999998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4.2304000000000004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2.1659999999999999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-0.65459999999999996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-3.0326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-5.8726000000000003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-5.0911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-4.4916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-3.5087999999999999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-2.8355000000000001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-2.0411999999999999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-8.5800000000000001E-2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-0.37409999999999999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-0.92959999999999998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1.24E-2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6.1899999999999997E-2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0.16089999999999999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0.1535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0.21859999999999999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1.2372000000000001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0.87219999999999998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0.68289999999999995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0.51319999999999999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0.3669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0.22409999999999999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5.5899999999999998E-2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2.4E-2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1.3100000000000001E-2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1.5599999999999999E-2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2.2200000000000001E-2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3.1099999999999999E-2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4.2500000000000003E-2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5.3499999999999999E-2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6.0699999999999997E-2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6.7699999999999996E-2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7.1599999999999997E-2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7.5999999999999998E-2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7.9200000000000007E-2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7.8700000000000006E-2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7.9600000000000004E-2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7.8399999999999997E-2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7.8200000000000006E-2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7.6899999999999996E-2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7.51E-2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1.7000000000000001E-2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2.1499999999999998E-2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2.35E-2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2.5000000000000001E-2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3.2199999999999999E-2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3.7400000000000003E-2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4.24E-2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4.87E-2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6.0299999999999999E-2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7.1999999999999995E-2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9.3100000000000002E-2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0.1125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0.13400000000000001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0.15490000000000001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0.16839999999999999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0.182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4.0000000000000002E-4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5.7000000000000002E-3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8.5000000000000006E-3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1.2999999999999999E-2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1.7399999999999999E-2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2.0500000000000001E-2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2.4299999999999999E-2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2.7799999999999998E-2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3.15E-2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3.5200000000000002E-2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3.8899999999999997E-2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4.2099999999999999E-2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4.53E-2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5.9999999999999995E-4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1.4E-3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2.3999999999999998E-3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4.1999999999999997E-3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5.4399999999999997E-2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7.9399999999999998E-2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6.0600000000000001E-2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5.9200000000000003E-2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5.6800000000000003E-2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5.3800000000000001E-2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5.1400000000000001E-2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5.6599999999999998E-2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6.0900000000000003E-2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6.3700000000000007E-2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6.6900000000000001E-2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7.1000000000000004E-3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4.0000000000000002E-4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5.9999999999999995E-4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1.4E-3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2.3E-3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5.1000000000000004E-3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8.6E-3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2.9999999999999997E-4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2.9999999999999997E-4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4.0000000000000002E-4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4.0000000000000002E-4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4.0000000000000002E-4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2.9999999999999997E-4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2.0000000000000001E-4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1E-4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1E-4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65.189400000000006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68.104100000000003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82.145399999999995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81.378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92.015000000000001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101.7471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106.9303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124.5981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189.88890000000001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225.32239999999999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260.7559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263.41919999999999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266.08249999999998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266.92989999999998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267.77730000000003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278.5813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289.38529999999997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182.1865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213.5993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199.12690000000001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188.80670000000001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160.8903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164.7362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235.31530000000001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222.26689999999999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180.46010000000001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180.97980000000001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180.80680000000001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180.13849999999999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179.72900000000001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180.87610000000001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181.25559999999999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178.77680000000001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177.083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20.790600000000001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67.566699999999997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51.815600000000003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40.185499999999998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11.08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15.742599999999999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86.407700000000006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71.804400000000001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28.274000000000001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27.212599999999998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25.515799999999999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23.9481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22.626000000000001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24.1265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24.840900000000001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23.006499999999999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21.965599999999998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3.1399999999999997E-2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0.57440000000000002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2.5790999999999999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6.9291999999999998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14.489800000000001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20.503699999999998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20.351700000000001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18.509499999999999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16.782399999999999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14.392799999999999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12.270200000000001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10.3047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6.7229999999999999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2.9506999999999999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1.7212000000000001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1.26E-2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1.46E-2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1.9900000000000001E-2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2.58E-2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3.4500000000000003E-2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4.36E-2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5.6300000000000003E-2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6.9099999999999995E-2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7.7899999999999997E-2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8.2199999999999995E-2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8.6800000000000002E-2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8.9300000000000004E-2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9.1499999999999998E-2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9.0499999999999997E-2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9.01E-2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8.6999999999999994E-2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8.4500000000000006E-2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1.6500000000000001E-2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1.9199999999999998E-2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2.18E-2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2.1100000000000001E-2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2.8799999999999999E-2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3.8600000000000002E-2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4.5699999999999998E-2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5.5500000000000001E-2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7.0400000000000004E-2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0.1053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0.12540000000000001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0.14799999999999999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0.16850000000000001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0.18029999999999999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0.19209999999999999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4.0000000000000002E-4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1.2999999999999999E-3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3.5999999999999999E-3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6.7999999999999996E-3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1.2500000000000001E-2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1.9E-2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2.6800000000000001E-2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3.1600000000000003E-2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3.6299999999999999E-2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4.07E-2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4.48E-2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4.8800000000000003E-2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5.5599999999999997E-2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5.8599999999999999E-2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5.0000000000000001E-4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1.1999999999999999E-3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3.2000000000000002E-3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9.5999999999999992E-3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2.5100000000000001E-2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5.57E-2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9.0700000000000003E-2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0.1237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0.11990000000000001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0.1143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0.1022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9.1200000000000003E-2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8.1100000000000005E-2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5.7000000000000002E-2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2.63E-2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1.54E-2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7.0000000000000001E-3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65.189400000000006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56.783900000000003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80.387799999999999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81.8172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88.5929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90.100499999999997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104.5163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114.9233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184.2465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232.39099999999999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280.53550000000001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297.02780000000001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313.52019999999999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359.75920000000002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405.9982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317.98239999999998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229.9667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183.22300000000001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208.29580000000001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154.6575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152.88929999999999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151.7894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147.0737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139.4982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133.05099999999999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131.76079999999999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132.64500000000001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133.4238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136.07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138.5179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139.77940000000001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142.86000000000001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145.64570000000001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145.67259999999999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21.840299999999999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61.112099999999998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7.1406999999999998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4.8080999999999996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2.0859000000000001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-2.9331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-11.6144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-17.3917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-17.8535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-16.376100000000001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-14.975300000000001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-12.970800000000001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-11.151999999999999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-9.2395999999999994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-5.5133000000000001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-1.7185999999999999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-0.69369999999999998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1.6400000000000001E-2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5.7183999999999999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8.8125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1.3100000000000001E-2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2.1899999999999999E-2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3.0099999999999998E-2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4.1300000000000003E-2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5.2200000000000003E-2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6.5199999999999994E-2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1.7100000000000001E-2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2.1000000000000001E-2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2.1999999999999999E-2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2.3699999999999999E-2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3.1399999999999997E-2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4.1200000000000001E-2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2.9999999999999997E-4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1.1999999999999999E-3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3.8999999999999998E-3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7.4000000000000003E-3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1.21E-2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6.9999999999999999E-4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2E-3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3.5999999999999999E-3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3.8999999999999998E-3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8.3999999999999995E-3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1.7600000000000001E-2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7.1000000000000004E-3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2.0000000000000001E-4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65.189400000000006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77.500299999999996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82.902199999999993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78.710599999999999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88.645499999999998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95.361699999999999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99.554900000000004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187.89789999999999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220.75829999999999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247.6277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238.40010000000001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173.4177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160.94970000000001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162.97229999999999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26.502300000000002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74.837699999999998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102.193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92.980800000000002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27.1129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14.5421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15.7835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1.35E-2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1.6400000000000001E-2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2.29E-2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3.2199999999999999E-2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4.3900000000000002E-2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5.1499999999999997E-2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5.9499999999999997E-2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1.77E-2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2.06E-2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2.1100000000000001E-2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2.1899999999999999E-2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1.9699999999999999E-2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2.3800000000000002E-2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3.0200000000000001E-2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2.9999999999999997E-4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4.3E-3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7.1999999999999998E-3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6.9999999999999999E-4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3.0999999999999999E-3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9.1000000000000004E-3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2.0299999999999999E-2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3.8899999999999997E-2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6.4199999999999993E-2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7.4999999999999997E-3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2.9999999999999997E-4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1E-4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1E-4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2.9999999999999997E-4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4.0000000000000002E-4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5.9999999999999995E-4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6.9999999999999999E-4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65.189400000000006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72.377499999999998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82.771500000000003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82.830299999999994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92.866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102.78789999999999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109.7967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182.3982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225.98779999999999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324.00310000000002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426.50599999999997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544.52340000000004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672.81629999999996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688.48479999999995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20.988099999999999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74.408600000000007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171.91030000000001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273.09059999999999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388.31439999999998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515.83659999999998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532.76379999999995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1.09E-2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5.45E-2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0.6885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1.6697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1.38E-2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2.3800000000000002E-2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3.1E-2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0.04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5.3600000000000002E-2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6.8199999999999997E-2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1.7999999999999999E-2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2.12E-2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2.1999999999999999E-2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1.9800000000000002E-2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1.9699999999999999E-2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3.1300000000000001E-2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4.1599999999999998E-2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2.9999999999999997E-4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1.4E-3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3.7000000000000002E-3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6.7000000000000002E-3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1.09E-2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6.9999999999999999E-4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3.0999999999999999E-3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8.3999999999999995E-3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3.8E-3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8.3000000000000001E-3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1.95E-2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7.4999999999999997E-3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2.9999999999999997E-4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1E-4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2.0000000000000001E-4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2.0000000000000001E-4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65.189400000000006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72.377499999999998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82.771500000000003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72.098399999999998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88.740700000000004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98.1875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100.71259999999999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186.51589999999999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231.8982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327.97640000000001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401.41649999999998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166.47219999999999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155.28120000000001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153.75380000000001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25.101400000000002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79.852999999999994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174.95189999999999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255.88939999999999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20.0685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8.8755000000000006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6.4226999999999999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1.34E-2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1.6E-2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2.3800000000000002E-2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3.2099999999999997E-2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4.2099999999999999E-2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4.9500000000000002E-2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5.7599999999999998E-2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1.7399999999999999E-2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2.0400000000000001E-2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2.06E-2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0.02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2.41E-2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0.03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4.0000000000000002E-4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1.2999999999999999E-3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2.7000000000000001E-3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4.4999999999999997E-3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7.4000000000000003E-3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6.9999999999999999E-4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3.0999999999999999E-3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8.0999999999999996E-3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1.67E-2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3.0099999999999998E-2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5.0299999999999997E-2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7.1999999999999998E-3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2.9999999999999997E-4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2.0000000000000001E-4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5.9999999999999995E-4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65.189400000000006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72.377499999999998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82.771500000000003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81.690399999999997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91.021900000000002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99.722300000000004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106.0673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183.3706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228.07069999999999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325.3426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406.03300000000002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525.79790000000003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661.57830000000001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654.89229999999998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21.974299999999999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76.053700000000006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172.32409999999999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254.64590000000001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373.77949999999998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511.53539999999998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505.67809999999997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0.18940000000000001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0.96760000000000002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2.6619000000000002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5.5389999999999997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1.1900000000000001E-2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9.9000000000000008E-3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1.0999999999999999E-2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1.3599999999999999E-2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1.5900000000000001E-2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1.54E-2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1.7999999999999999E-2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1.6500000000000001E-2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2.1000000000000001E-2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2.18E-2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2.47E-2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2.3699999999999999E-2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3.2099999999999997E-2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4.53E-2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1E-4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5.0000000000000001E-4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8.9999999999999998E-4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2.8E-3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6.0000000000000001E-3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1.1299999999999999E-2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6.9999999999999999E-4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6.9999999999999999E-4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2.5999999999999999E-3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5.3E-3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2.9999999999999997E-4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1E-4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2.0000000000000001E-4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65.189400000000006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58.802100000000003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68.122600000000006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74.635099999999994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83.389700000000005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82.111599999999996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73.984399999999994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186.3766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234.495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189.76589999999999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152.69929999999999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153.61320000000001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151.7688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148.9983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25.007899999999999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89.203199999999995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44.600299999999997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5.9809999999999999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4.3169000000000004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2.0644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-0.99070000000000003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8.0000000000000002E-3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5.21E-2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0.15720000000000001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0.1525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1.3100000000000001E-2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1.5599999999999999E-2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2.23E-2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3.1199999999999999E-2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4.2700000000000002E-2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5.3900000000000003E-2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5.9799999999999999E-2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1.7000000000000001E-2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2.01E-2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2.1399999999999999E-2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2.35E-2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2.5100000000000001E-2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3.2300000000000002E-2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3.6600000000000001E-2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4.0000000000000002E-4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3.5000000000000001E-3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5.8999999999999999E-3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8.6E-3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5.9999999999999995E-4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2.3999999999999998E-3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4.1000000000000003E-3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7.0300000000000001E-2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7.1000000000000004E-3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65.189400000000006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68.018500000000003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82.321299999999994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81.553299999999993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92.3934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102.4658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107.283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185.2193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217.27879999999999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202.143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192.5949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161.73939999999999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167.018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268.05919999999998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23.8233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70.721599999999995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54.6937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44.0428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11.555899999999999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16.426500000000001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116.2975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3.1199999999999999E-2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0.57399999999999995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2.6166999999999998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7.0990000000000002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14.5366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1.26E-2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1.47E-2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2.01E-2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2.6200000000000001E-2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3.4700000000000002E-2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4.41E-2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5.6399999999999999E-2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1.6400000000000001E-2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1.9E-2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1.9599999999999999E-2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2.1399999999999999E-2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2.1000000000000001E-2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2.86E-2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3.9100000000000003E-2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4.0000000000000002E-4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1.2999999999999999E-3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7.0000000000000001E-3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1.3100000000000001E-2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5.9999999999999995E-4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1.1999999999999999E-3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3.0999999999999999E-3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9.2999999999999992E-3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5.3900000000000003E-2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7.0000000000000001E-3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65.189400000000006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60.598199999999999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81.006500000000003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81.538899999999998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88.476399999999998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90.472200000000001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102.756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181.5889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209.38409999999999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155.60730000000001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153.13319999999999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151.9907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146.92089999999999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139.0044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20.200099999999999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62.383699999999997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8.2071000000000005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4.9410999999999996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2.1709000000000001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-3.0064000000000002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-11.6784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2025-09-16T17:05:31Z</dcterms:modified>
</cp:coreProperties>
</file>