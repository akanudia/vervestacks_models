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8_{C7470296-BCDA-48E9-BFD3-91C86EB9620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<sst xmlns="http://schemas.openxmlformats.org/spreadsheetml/2006/main" count="58717" uniqueCount="92">
  <si>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</si>
  <si>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</si>
  <si>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</si>
  <si>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</si>
  <si>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</si>
  <si>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</si>
  <si>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</si>
  <si>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</si>
  <si>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</si>
  <si>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</si>
  <si>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</si>
  <si>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</si>
  <si>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</si>
  <si>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</si>
  <si>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</si>
  <si>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</si>
  <si>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</si>
  <si>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</si>
  <si>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</si>
  <si>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</si>
  <si>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</si>
  <si>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</si>
  <si>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</si>
  <si>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</si>
  <si>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</si>
  <si>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</si>
  <si>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</si>
  <si>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</si>
  <si>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</si>
  <si>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</si>
  <si>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</si>
  <si>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</si>
  <si>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</si>
  <si>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</si>
  <si>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</si>
  <si>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</si>
  <si>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</si>
  <si>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</si>
  <si>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</si>
  <si>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</si>
  <si>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</si>
  <si>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</si>
  <si>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</si>
  <si>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</si>
  <si>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</si>
  <si>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</si>
  <si>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</si>
  <si>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</si>
  <si>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</si>
  <si>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</si>
  <si>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</si>
  <si>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</si>
  <si>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</si>
  <si>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</si>
  <si>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</si>
  <si>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</si>
  <si>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</si>
  <si>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</si>
  <si>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</si>
  <si>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</si>
  <si>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</si>
  <si>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</si>
  <si>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</si>
  <si>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</si>
  <si>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</si>
  <si>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</si>
  <si>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</si>
  <si>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</si>
  <si>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</si>
  <si>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</si>
  <si>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</si>
  <si>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</si>
  <si>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</si>
  <si>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</si>
  <si>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</si>
  <si>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</si>
  <si>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</si>
  <si>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</si>
  <si>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</si>
  <si>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</si>
  <si>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</si>
  <si>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</si>
  <si>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</si>
  <si>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</si>
  <si>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ZWE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</si>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</sst>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9.7299999999999969</c:v>
                </c:pt>
                <c:pt idx="1">
                  <c:v>11.474798061389336</c:v>
                </c:pt>
                <c:pt idx="2">
                  <c:v>13.738319870759286</c:v>
                </c:pt>
                <c:pt idx="3">
                  <c:v>16.300500807754439</c:v>
                </c:pt>
                <c:pt idx="4">
                  <c:v>19.255654281098543</c:v>
                </c:pt>
                <c:pt idx="5">
                  <c:v>22.871001615508881</c:v>
                </c:pt>
                <c:pt idx="6">
                  <c:v>28.042520193861062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2.4899999999999998</c:v>
                </c:pt>
                <c:pt idx="1">
                  <c:v>3.4593570767807584</c:v>
                </c:pt>
                <c:pt idx="2">
                  <c:v>4.1881344434165895</c:v>
                </c:pt>
                <c:pt idx="3">
                  <c:v>5.5424190564292326</c:v>
                </c:pt>
                <c:pt idx="4">
                  <c:v>5.9103268578476715</c:v>
                </c:pt>
                <c:pt idx="5">
                  <c:v>7.6706537156953418</c:v>
                </c:pt>
                <c:pt idx="6">
                  <c:v>9.4691150169596039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9.7299999999999986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9.7299999999999969</v>
      </c>
      <c r="S12" s="8">
        <f t="shared" ref="S12:X12" si="0">SUM(S17:S20)</f>
        <v>11.474798061389336</v>
      </c>
      <c r="T12" s="8">
        <f t="shared" si="0"/>
        <v>13.738319870759286</v>
      </c>
      <c r="U12" s="8">
        <f t="shared" si="0"/>
        <v>16.300500807754439</v>
      </c>
      <c r="V12" s="8">
        <f t="shared" si="0"/>
        <v>19.255654281098543</v>
      </c>
      <c r="W12" s="8">
        <f t="shared" si="0"/>
        <v>22.871001615508881</v>
      </c>
      <c r="X12" s="8">
        <f t="shared" si="0"/>
        <v>28.042520193861062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1E-4</v>
      </c>
      <c r="H16" s="10">
        <f>SUMIFS(ngfs_median!$J$2:$J$17119,ngfs_median!$B$2:$B$17119,Veda!$C$5,ngfs_median!$H$2:$H$17119,Veda!$Q16,ngfs_median!$I$2:$I$17119,Veda!H$15)</f>
        <v>6.9999999999999999E-4</v>
      </c>
      <c r="I16" s="10">
        <f>SUMIFS(ngfs_median!$J$2:$J$17119,ngfs_median!$B$2:$B$17119,Veda!$C$5,ngfs_median!$H$2:$H$17119,Veda!$Q16,ngfs_median!$I$2:$I$17119,Veda!I$15)</f>
        <v>2.8999999999999998E-3</v>
      </c>
      <c r="J16" s="10">
        <f>SUMIFS(ngfs_median!$J$2:$J$17119,ngfs_median!$B$2:$B$17119,Veda!$C$5,ngfs_median!$H$2:$H$17119,Veda!$Q16,ngfs_median!$I$2:$I$17119,Veda!J$15)</f>
        <v>8.7500000000000008E-3</v>
      </c>
      <c r="K16" s="10">
        <f>SUMIFS(ngfs_median!$J$2:$J$17119,ngfs_median!$B$2:$B$17119,Veda!$C$5,ngfs_median!$H$2:$H$17119,Veda!$Q16,ngfs_median!$I$2:$I$17119,Veda!K$15)</f>
        <v>1.9599999999999999E-2</v>
      </c>
      <c r="L16" s="10">
        <f>SUMIFS(ngfs_median!$J$2:$J$17119,ngfs_median!$B$2:$B$17119,Veda!$C$5,ngfs_median!$H$2:$H$17119,Veda!$Q16,ngfs_median!$I$2:$I$17119,Veda!L$15)</f>
        <v>3.6000000000000004E-2</v>
      </c>
      <c r="M16" s="10">
        <f>SUMIFS(ngfs_median!$J$2:$J$17119,ngfs_median!$B$2:$B$17119,Veda!$C$5,ngfs_median!$H$2:$H$17119,Veda!$Q16,ngfs_median!$I$2:$I$17119,Veda!M$15)</f>
        <v>5.765E-2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0.61111111111111105</v>
      </c>
      <c r="U16" s="6">
        <f t="shared" si="2"/>
        <v>2.2361111111111116</v>
      </c>
      <c r="V16" s="6">
        <f t="shared" si="2"/>
        <v>5.25</v>
      </c>
      <c r="W16" s="6">
        <f t="shared" si="2"/>
        <v>9.8055555555555571</v>
      </c>
      <c r="X16" s="6">
        <f t="shared" si="2"/>
        <v>15.819444444444445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</v>
      </c>
      <c r="H17" s="10">
        <f>SUMIFS(ngfs_median!$J$2:$J$17119,ngfs_median!$B$2:$B$17119,Veda!$C$5,ngfs_median!$H$2:$H$17119,Veda!$Q17,ngfs_median!$I$2:$I$17119,Veda!H$15)</f>
        <v>0</v>
      </c>
      <c r="I17" s="10">
        <f>SUMIFS(ngfs_median!$J$2:$J$17119,ngfs_median!$B$2:$B$17119,Veda!$C$5,ngfs_median!$H$2:$H$17119,Veda!$Q17,ngfs_median!$I$2:$I$17119,Veda!I$15)</f>
        <v>3.5E-4</v>
      </c>
      <c r="J17" s="10">
        <f>SUMIFS(ngfs_median!$J$2:$J$17119,ngfs_median!$B$2:$B$17119,Veda!$C$5,ngfs_median!$H$2:$H$17119,Veda!$Q17,ngfs_median!$I$2:$I$17119,Veda!J$15)</f>
        <v>1.0999999999999998E-3</v>
      </c>
      <c r="K17" s="10">
        <f>SUMIFS(ngfs_median!$J$2:$J$17119,ngfs_median!$B$2:$B$17119,Veda!$C$5,ngfs_median!$H$2:$H$17119,Veda!$Q17,ngfs_median!$I$2:$I$17119,Veda!K$15)</f>
        <v>2.5000000000000001E-3</v>
      </c>
      <c r="L17" s="10">
        <f>SUMIFS(ngfs_median!$J$2:$J$17119,ngfs_median!$B$2:$B$17119,Veda!$C$5,ngfs_median!$H$2:$H$17119,Veda!$Q17,ngfs_median!$I$2:$I$17119,Veda!L$15)</f>
        <v>4.0499999999999998E-3</v>
      </c>
      <c r="M17" s="10">
        <f>SUMIFS(ngfs_median!$J$2:$J$17119,ngfs_median!$B$2:$B$17119,Veda!$C$5,ngfs_median!$H$2:$H$17119,Veda!$Q17,ngfs_median!$I$2:$I$17119,Veda!M$15)</f>
        <v>6.7499999999999999E-3</v>
      </c>
      <c r="Q17" s="12" t="s">
        <v>10</v>
      </c>
      <c r="R17" s="6">
        <f>$Q$10*G17/SUM($G$17:$G$19)</f>
        <v>0</v>
      </c>
      <c r="S17" s="6">
        <f>R17</f>
        <v>0</v>
      </c>
      <c r="T17" s="6">
        <f t="shared" ref="T17:X17" si="3">S17</f>
        <v>0</v>
      </c>
      <c r="U17" s="6">
        <f t="shared" si="3"/>
        <v>0</v>
      </c>
      <c r="V17" s="6">
        <f t="shared" si="3"/>
        <v>0</v>
      </c>
      <c r="W17" s="6">
        <f t="shared" si="3"/>
        <v>0</v>
      </c>
      <c r="X17" s="6">
        <f t="shared" si="3"/>
        <v>0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1.7649999999999999E-2</v>
      </c>
      <c r="H18" s="10">
        <f>SUMIFS(ngfs_median!$J$2:$J$17119,ngfs_median!$B$2:$B$17119,Veda!$C$5,ngfs_median!$H$2:$H$17119,Veda!$Q18,ngfs_median!$I$2:$I$17119,Veda!H$15)</f>
        <v>2.0549999999999999E-2</v>
      </c>
      <c r="I18" s="10">
        <f>SUMIFS(ngfs_median!$J$2:$J$17119,ngfs_median!$B$2:$B$17119,Veda!$C$5,ngfs_median!$H$2:$H$17119,Veda!$Q18,ngfs_median!$I$2:$I$17119,Veda!I$15)</f>
        <v>2.0549999999999999E-2</v>
      </c>
      <c r="J18" s="10">
        <f>SUMIFS(ngfs_median!$J$2:$J$17119,ngfs_median!$B$2:$B$17119,Veda!$C$5,ngfs_median!$H$2:$H$17119,Veda!$Q18,ngfs_median!$I$2:$I$17119,Veda!J$15)</f>
        <v>2.0299999999999999E-2</v>
      </c>
      <c r="K18" s="10">
        <f>SUMIFS(ngfs_median!$J$2:$J$17119,ngfs_median!$B$2:$B$17119,Veda!$C$5,ngfs_median!$H$2:$H$17119,Veda!$Q18,ngfs_median!$I$2:$I$17119,Veda!K$15)</f>
        <v>1.9200000000000002E-2</v>
      </c>
      <c r="L18" s="10">
        <f>SUMIFS(ngfs_median!$J$2:$J$17119,ngfs_median!$B$2:$B$17119,Veda!$C$5,ngfs_median!$H$2:$H$17119,Veda!$Q18,ngfs_median!$I$2:$I$17119,Veda!L$15)</f>
        <v>2.2950000000000002E-2</v>
      </c>
      <c r="M18" s="10">
        <f>SUMIFS(ngfs_median!$J$2:$J$17119,ngfs_median!$B$2:$B$17119,Veda!$C$5,ngfs_median!$H$2:$H$17119,Veda!$Q18,ngfs_median!$I$2:$I$17119,Veda!M$15)</f>
        <v>2.895E-2</v>
      </c>
      <c r="Q18" s="12" t="s">
        <v>12</v>
      </c>
      <c r="R18" s="6">
        <f>$Q$10*G18/SUM($G$17:$G$19)</f>
        <v>5.5487722132471715</v>
      </c>
      <c r="S18" s="6">
        <f t="shared" ref="S18:X19" si="4">R18*H18/G18</f>
        <v>6.460468497576735</v>
      </c>
      <c r="T18" s="6">
        <f t="shared" si="4"/>
        <v>6.4604684975767341</v>
      </c>
      <c r="U18" s="6">
        <f t="shared" si="4"/>
        <v>6.3818739903069446</v>
      </c>
      <c r="V18" s="6">
        <f t="shared" si="4"/>
        <v>6.0360581583198698</v>
      </c>
      <c r="W18" s="6">
        <f t="shared" si="4"/>
        <v>7.2149757673667185</v>
      </c>
      <c r="X18" s="6">
        <f t="shared" si="4"/>
        <v>9.1012439418416768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1.3299999999999999E-2</v>
      </c>
      <c r="H19" s="10">
        <f>SUMIFS(ngfs_median!$J$2:$J$17119,ngfs_median!$B$2:$B$17119,Veda!$C$5,ngfs_median!$H$2:$H$17119,Veda!$Q19,ngfs_median!$I$2:$I$17119,Veda!H$15)</f>
        <v>1.5949999999999999E-2</v>
      </c>
      <c r="I19" s="10">
        <f>SUMIFS(ngfs_median!$J$2:$J$17119,ngfs_median!$B$2:$B$17119,Veda!$C$5,ngfs_median!$H$2:$H$17119,Veda!$Q19,ngfs_median!$I$2:$I$17119,Veda!I$15)</f>
        <v>2.2800000000000001E-2</v>
      </c>
      <c r="J19" s="10">
        <f>SUMIFS(ngfs_median!$J$2:$J$17119,ngfs_median!$B$2:$B$17119,Veda!$C$5,ngfs_median!$H$2:$H$17119,Veda!$Q19,ngfs_median!$I$2:$I$17119,Veda!J$15)</f>
        <v>3.0450000000000001E-2</v>
      </c>
      <c r="K19" s="10">
        <f>SUMIFS(ngfs_median!$J$2:$J$17119,ngfs_median!$B$2:$B$17119,Veda!$C$5,ngfs_median!$H$2:$H$17119,Veda!$Q19,ngfs_median!$I$2:$I$17119,Veda!K$15)</f>
        <v>3.9550000000000002E-2</v>
      </c>
      <c r="L19" s="10">
        <f>SUMIFS(ngfs_median!$J$2:$J$17119,ngfs_median!$B$2:$B$17119,Veda!$C$5,ngfs_median!$H$2:$H$17119,Veda!$Q19,ngfs_median!$I$2:$I$17119,Veda!L$15)</f>
        <v>4.5749999999999999E-2</v>
      </c>
      <c r="M19" s="10">
        <f>SUMIFS(ngfs_median!$J$2:$J$17119,ngfs_median!$B$2:$B$17119,Veda!$C$5,ngfs_median!$H$2:$H$17119,Veda!$Q19,ngfs_median!$I$2:$I$17119,Veda!M$15)</f>
        <v>5.3499999999999999E-2</v>
      </c>
      <c r="Q19" s="12" t="s">
        <v>13</v>
      </c>
      <c r="R19" s="6">
        <f>$Q$10*G19/SUM($G$17:$G$19)</f>
        <v>4.1812277867528262</v>
      </c>
      <c r="S19" s="6">
        <f t="shared" si="4"/>
        <v>5.0143295638126002</v>
      </c>
      <c r="T19" s="6">
        <f t="shared" si="4"/>
        <v>7.1678190630048464</v>
      </c>
      <c r="U19" s="6">
        <f t="shared" si="4"/>
        <v>9.5728109854604195</v>
      </c>
      <c r="V19" s="6">
        <f t="shared" si="4"/>
        <v>12.433651050080774</v>
      </c>
      <c r="W19" s="6">
        <f t="shared" si="4"/>
        <v>14.382794830371564</v>
      </c>
      <c r="X19" s="6">
        <f t="shared" si="4"/>
        <v>16.819224555735055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</v>
      </c>
      <c r="T20" s="6">
        <f t="shared" si="5"/>
        <v>0.11003231017770597</v>
      </c>
      <c r="U20" s="6">
        <f t="shared" si="5"/>
        <v>0.34581583198707588</v>
      </c>
      <c r="V20" s="6">
        <f t="shared" si="5"/>
        <v>0.7859450726978997</v>
      </c>
      <c r="W20" s="6">
        <f t="shared" si="5"/>
        <v>1.2732310177705974</v>
      </c>
      <c r="X20" s="6">
        <f t="shared" si="5"/>
        <v>2.1220516962843292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2.4899999999999998</v>
      </c>
      <c r="D22" s="12" t="s">
        <v>79</v>
      </c>
      <c r="G22" s="8">
        <f>G35/$G$35*$B22</f>
        <v>2.4899999999999998</v>
      </c>
      <c r="H22" s="8">
        <f t="shared" ref="H22:M22" si="6">H35/$G$35*$B22</f>
        <v>3.4593570767807584</v>
      </c>
      <c r="I22" s="8">
        <f t="shared" si="6"/>
        <v>4.1881344434165895</v>
      </c>
      <c r="J22" s="8">
        <f t="shared" si="6"/>
        <v>5.5424190564292326</v>
      </c>
      <c r="K22" s="8">
        <f t="shared" si="6"/>
        <v>5.9103268578476715</v>
      </c>
      <c r="L22" s="8">
        <f t="shared" si="6"/>
        <v>7.6706537156953418</v>
      </c>
      <c r="M22" s="8">
        <f t="shared" si="6"/>
        <v>9.4691150169596039</v>
      </c>
      <c r="Q22" t="s">
        <v>64</v>
      </c>
      <c r="T22" s="8">
        <f>I35*1000</f>
        <v>3272.8</v>
      </c>
      <c r="U22" s="8">
        <f>J35*1000</f>
        <v>4331.1000000000004</v>
      </c>
      <c r="V22" s="8">
        <f>K35*1000</f>
        <v>4618.5999999999995</v>
      </c>
      <c r="W22" s="8">
        <f>L35*1000</f>
        <v>5994.1999999999989</v>
      </c>
      <c r="X22" s="8">
        <f>M35*1000</f>
        <v>7399.5999999999995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2.2999999999999998</v>
      </c>
      <c r="S26" s="3">
        <f>AVERAGEIFS(historical_data_long!$D$3:$D$9999,historical_data_long!$B$3:$B$9999,"&gt;2017",historical_data_long!$A$3:$A$9999,$O26)</f>
        <v>1.92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0.4</v>
      </c>
      <c r="S27" s="3">
        <f>AVERAGEIFS(historical_data_long!$D$3:$D$9999,historical_data_long!$B$3:$B$9999,"&gt;2017",historical_data_long!$A$3:$A$9999,$O27)</f>
        <v>0.4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1.9458</v>
      </c>
      <c r="H35" s="11">
        <f>SUMIFS(ngfs_median!$J$2:$J$17119,ngfs_median!$B$2:$B$17119,Veda!$C$5,ngfs_median!$D$2:$D$17119,Veda!$D22,ngfs_median!$I$2:$I$17119,Veda!H$15)</f>
        <v>2.7033</v>
      </c>
      <c r="I35" s="11">
        <f>SUMIFS(ngfs_median!$J$2:$J$17119,ngfs_median!$B$2:$B$17119,Veda!$C$5,ngfs_median!$D$2:$D$17119,Veda!$D22,ngfs_median!$I$2:$I$17119,Veda!I$15)</f>
        <v>3.2728000000000002</v>
      </c>
      <c r="J35" s="11">
        <f>SUMIFS(ngfs_median!$J$2:$J$17119,ngfs_median!$B$2:$B$17119,Veda!$C$5,ngfs_median!$D$2:$D$17119,Veda!$D22,ngfs_median!$I$2:$I$17119,Veda!J$15)</f>
        <v>4.3311000000000002</v>
      </c>
      <c r="K35" s="11">
        <f>SUMIFS(ngfs_median!$J$2:$J$17119,ngfs_median!$B$2:$B$17119,Veda!$C$5,ngfs_median!$D$2:$D$17119,Veda!$D22,ngfs_median!$I$2:$I$17119,Veda!K$15)</f>
        <v>4.6185999999999998</v>
      </c>
      <c r="L35" s="11">
        <f>SUMIFS(ngfs_median!$J$2:$J$17119,ngfs_median!$B$2:$B$17119,Veda!$C$5,ngfs_median!$D$2:$D$17119,Veda!$D22,ngfs_median!$I$2:$I$17119,Veda!L$15)</f>
        <v>5.9941999999999993</v>
      </c>
      <c r="M35" s="11">
        <f>SUMIFS(ngfs_median!$J$2:$J$17119,ngfs_median!$B$2:$B$17119,Veda!$C$5,ngfs_median!$D$2:$D$17119,Veda!$D22,ngfs_median!$I$2:$I$17119,Veda!M$15)</f>
        <v>7.3995999999999995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3.73</v>
      </c>
    </row>
    <row r="4" spans="1:4" x14ac:dyDescent="0.45">
      <c r="A4" t="s">
        <v>36</v>
      </c>
      <c r="B4">
        <v>2000</v>
      </c>
      <c r="C4" t="s">
        <v>74</v>
      </c>
      <c r="D4">
        <v>0</v>
      </c>
    </row>
    <row r="5" spans="1:4" x14ac:dyDescent="0.45">
      <c r="A5" t="s">
        <v>56</v>
      </c>
      <c r="B5">
        <v>2000</v>
      </c>
      <c r="C5" t="s">
        <v>74</v>
      </c>
      <c r="D5">
        <v>3.19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7.0000000000000007E-2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4.91</v>
      </c>
    </row>
    <row r="13" spans="1:4" x14ac:dyDescent="0.45">
      <c r="A13" t="s">
        <v>36</v>
      </c>
      <c r="B13">
        <v>2001</v>
      </c>
      <c r="C13" t="s">
        <v>74</v>
      </c>
      <c r="D13">
        <v>0</v>
      </c>
    </row>
    <row r="14" spans="1:4" x14ac:dyDescent="0.45">
      <c r="A14" t="s">
        <v>56</v>
      </c>
      <c r="B14">
        <v>2001</v>
      </c>
      <c r="C14" t="s">
        <v>74</v>
      </c>
      <c r="D14">
        <v>2.96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0.03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4.76</v>
      </c>
    </row>
    <row r="22" spans="1:4" x14ac:dyDescent="0.45">
      <c r="A22" t="s">
        <v>36</v>
      </c>
      <c r="B22">
        <v>2002</v>
      </c>
      <c r="C22" t="s">
        <v>74</v>
      </c>
      <c r="D22">
        <v>0</v>
      </c>
    </row>
    <row r="23" spans="1:4" x14ac:dyDescent="0.45">
      <c r="A23" t="s">
        <v>56</v>
      </c>
      <c r="B23">
        <v>2002</v>
      </c>
      <c r="C23" t="s">
        <v>74</v>
      </c>
      <c r="D23">
        <v>3.81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0.01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3.44</v>
      </c>
    </row>
    <row r="31" spans="1:4" x14ac:dyDescent="0.45">
      <c r="A31" t="s">
        <v>36</v>
      </c>
      <c r="B31">
        <v>2003</v>
      </c>
      <c r="C31" t="s">
        <v>74</v>
      </c>
      <c r="D31">
        <v>0</v>
      </c>
    </row>
    <row r="32" spans="1:4" x14ac:dyDescent="0.45">
      <c r="A32" t="s">
        <v>56</v>
      </c>
      <c r="B32">
        <v>2003</v>
      </c>
      <c r="C32" t="s">
        <v>74</v>
      </c>
      <c r="D32">
        <v>5.34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0.01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4.2</v>
      </c>
    </row>
    <row r="40" spans="1:4" x14ac:dyDescent="0.45">
      <c r="A40" t="s">
        <v>36</v>
      </c>
      <c r="B40">
        <v>2004</v>
      </c>
      <c r="C40" t="s">
        <v>74</v>
      </c>
      <c r="D40">
        <v>0</v>
      </c>
    </row>
    <row r="41" spans="1:4" x14ac:dyDescent="0.45">
      <c r="A41" t="s">
        <v>56</v>
      </c>
      <c r="B41">
        <v>2004</v>
      </c>
      <c r="C41" t="s">
        <v>74</v>
      </c>
      <c r="D41">
        <v>5.5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0.02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4.43</v>
      </c>
    </row>
    <row r="49" spans="1:4" x14ac:dyDescent="0.45">
      <c r="A49" t="s">
        <v>36</v>
      </c>
      <c r="B49">
        <v>2005</v>
      </c>
      <c r="C49" t="s">
        <v>74</v>
      </c>
      <c r="D49">
        <v>0</v>
      </c>
    </row>
    <row r="50" spans="1:4" x14ac:dyDescent="0.45">
      <c r="A50" t="s">
        <v>56</v>
      </c>
      <c r="B50">
        <v>2005</v>
      </c>
      <c r="C50" t="s">
        <v>74</v>
      </c>
      <c r="D50">
        <v>4.91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0.02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0.1</v>
      </c>
    </row>
    <row r="57" spans="1:4" x14ac:dyDescent="0.45">
      <c r="A57" t="s">
        <v>34</v>
      </c>
      <c r="B57">
        <v>2006</v>
      </c>
      <c r="C57" t="s">
        <v>74</v>
      </c>
      <c r="D57">
        <v>2.5299999999999998</v>
      </c>
    </row>
    <row r="58" spans="1:4" x14ac:dyDescent="0.45">
      <c r="A58" t="s">
        <v>36</v>
      </c>
      <c r="B58">
        <v>2006</v>
      </c>
      <c r="C58" t="s">
        <v>74</v>
      </c>
      <c r="D58">
        <v>0</v>
      </c>
    </row>
    <row r="59" spans="1:4" x14ac:dyDescent="0.45">
      <c r="A59" t="s">
        <v>56</v>
      </c>
      <c r="B59">
        <v>2006</v>
      </c>
      <c r="C59" t="s">
        <v>74</v>
      </c>
      <c r="D59">
        <v>5.31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0.04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0.06</v>
      </c>
    </row>
    <row r="66" spans="1:4" x14ac:dyDescent="0.45">
      <c r="A66" t="s">
        <v>34</v>
      </c>
      <c r="B66">
        <v>2007</v>
      </c>
      <c r="C66" t="s">
        <v>74</v>
      </c>
      <c r="D66">
        <v>2.13</v>
      </c>
    </row>
    <row r="67" spans="1:4" x14ac:dyDescent="0.45">
      <c r="A67" t="s">
        <v>36</v>
      </c>
      <c r="B67">
        <v>2007</v>
      </c>
      <c r="C67" t="s">
        <v>74</v>
      </c>
      <c r="D67">
        <v>0</v>
      </c>
    </row>
    <row r="68" spans="1:4" x14ac:dyDescent="0.45">
      <c r="A68" t="s">
        <v>56</v>
      </c>
      <c r="B68">
        <v>2007</v>
      </c>
      <c r="C68" t="s">
        <v>74</v>
      </c>
      <c r="D68">
        <v>5.38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0.03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0.08</v>
      </c>
    </row>
    <row r="75" spans="1:4" x14ac:dyDescent="0.45">
      <c r="A75" t="s">
        <v>34</v>
      </c>
      <c r="B75">
        <v>2008</v>
      </c>
      <c r="C75" t="s">
        <v>74</v>
      </c>
      <c r="D75">
        <v>1.81</v>
      </c>
    </row>
    <row r="76" spans="1:4" x14ac:dyDescent="0.45">
      <c r="A76" t="s">
        <v>36</v>
      </c>
      <c r="B76">
        <v>2008</v>
      </c>
      <c r="C76" t="s">
        <v>74</v>
      </c>
      <c r="D76">
        <v>0</v>
      </c>
    </row>
    <row r="77" spans="1:4" x14ac:dyDescent="0.45">
      <c r="A77" t="s">
        <v>56</v>
      </c>
      <c r="B77">
        <v>2008</v>
      </c>
      <c r="C77" t="s">
        <v>74</v>
      </c>
      <c r="D77">
        <v>5.71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0.03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0.06</v>
      </c>
    </row>
    <row r="84" spans="1:4" x14ac:dyDescent="0.45">
      <c r="A84" t="s">
        <v>34</v>
      </c>
      <c r="B84">
        <v>2009</v>
      </c>
      <c r="C84" t="s">
        <v>74</v>
      </c>
      <c r="D84">
        <v>1.75</v>
      </c>
    </row>
    <row r="85" spans="1:4" x14ac:dyDescent="0.45">
      <c r="A85" t="s">
        <v>36</v>
      </c>
      <c r="B85">
        <v>2009</v>
      </c>
      <c r="C85" t="s">
        <v>74</v>
      </c>
      <c r="D85">
        <v>0</v>
      </c>
    </row>
    <row r="86" spans="1:4" x14ac:dyDescent="0.45">
      <c r="A86" t="s">
        <v>56</v>
      </c>
      <c r="B86">
        <v>2009</v>
      </c>
      <c r="C86" t="s">
        <v>74</v>
      </c>
      <c r="D86">
        <v>5.46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0.02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7.0000000000000007E-2</v>
      </c>
    </row>
    <row r="93" spans="1:4" x14ac:dyDescent="0.45">
      <c r="A93" t="s">
        <v>34</v>
      </c>
      <c r="B93">
        <v>2010</v>
      </c>
      <c r="C93" t="s">
        <v>74</v>
      </c>
      <c r="D93">
        <v>2.75</v>
      </c>
    </row>
    <row r="94" spans="1:4" x14ac:dyDescent="0.45">
      <c r="A94" t="s">
        <v>36</v>
      </c>
      <c r="B94">
        <v>2010</v>
      </c>
      <c r="C94" t="s">
        <v>74</v>
      </c>
      <c r="D94">
        <v>0</v>
      </c>
    </row>
    <row r="95" spans="1:4" x14ac:dyDescent="0.45">
      <c r="A95" t="s">
        <v>56</v>
      </c>
      <c r="B95">
        <v>2010</v>
      </c>
      <c r="C95" t="s">
        <v>74</v>
      </c>
      <c r="D95">
        <v>5.8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0.02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0.09</v>
      </c>
    </row>
    <row r="102" spans="1:4" x14ac:dyDescent="0.45">
      <c r="A102" t="s">
        <v>34</v>
      </c>
      <c r="B102">
        <v>2011</v>
      </c>
      <c r="C102" t="s">
        <v>74</v>
      </c>
      <c r="D102">
        <v>3.84</v>
      </c>
    </row>
    <row r="103" spans="1:4" x14ac:dyDescent="0.45">
      <c r="A103" t="s">
        <v>36</v>
      </c>
      <c r="B103">
        <v>2011</v>
      </c>
      <c r="C103" t="s">
        <v>74</v>
      </c>
      <c r="D103">
        <v>0</v>
      </c>
    </row>
    <row r="104" spans="1:4" x14ac:dyDescent="0.45">
      <c r="A104" t="s">
        <v>56</v>
      </c>
      <c r="B104">
        <v>2011</v>
      </c>
      <c r="C104" t="s">
        <v>74</v>
      </c>
      <c r="D104">
        <v>5.2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0.04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0.12</v>
      </c>
    </row>
    <row r="111" spans="1:4" x14ac:dyDescent="0.45">
      <c r="A111" t="s">
        <v>34</v>
      </c>
      <c r="B111">
        <v>2012</v>
      </c>
      <c r="C111" t="s">
        <v>74</v>
      </c>
      <c r="D111">
        <v>3.59</v>
      </c>
    </row>
    <row r="112" spans="1:4" x14ac:dyDescent="0.45">
      <c r="A112" t="s">
        <v>36</v>
      </c>
      <c r="B112">
        <v>2012</v>
      </c>
      <c r="C112" t="s">
        <v>74</v>
      </c>
      <c r="D112">
        <v>0</v>
      </c>
    </row>
    <row r="113" spans="1:4" x14ac:dyDescent="0.45">
      <c r="A113" t="s">
        <v>56</v>
      </c>
      <c r="B113">
        <v>2012</v>
      </c>
      <c r="C113" t="s">
        <v>74</v>
      </c>
      <c r="D113">
        <v>5.39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0.05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0.13</v>
      </c>
    </row>
    <row r="120" spans="1:4" x14ac:dyDescent="0.45">
      <c r="A120" t="s">
        <v>34</v>
      </c>
      <c r="B120">
        <v>2013</v>
      </c>
      <c r="C120" t="s">
        <v>74</v>
      </c>
      <c r="D120">
        <v>4.3499999999999996</v>
      </c>
    </row>
    <row r="121" spans="1:4" x14ac:dyDescent="0.45">
      <c r="A121" t="s">
        <v>36</v>
      </c>
      <c r="B121">
        <v>2013</v>
      </c>
      <c r="C121" t="s">
        <v>74</v>
      </c>
      <c r="D121">
        <v>0</v>
      </c>
    </row>
    <row r="122" spans="1:4" x14ac:dyDescent="0.45">
      <c r="A122" t="s">
        <v>56</v>
      </c>
      <c r="B122">
        <v>2013</v>
      </c>
      <c r="C122" t="s">
        <v>74</v>
      </c>
      <c r="D122">
        <v>5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0.06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0.01</v>
      </c>
    </row>
    <row r="129" spans="1:4" x14ac:dyDescent="0.45">
      <c r="A129" t="s">
        <v>34</v>
      </c>
      <c r="B129">
        <v>2014</v>
      </c>
      <c r="C129" t="s">
        <v>74</v>
      </c>
      <c r="D129">
        <v>4.4000000000000004</v>
      </c>
    </row>
    <row r="130" spans="1:4" x14ac:dyDescent="0.45">
      <c r="A130" t="s">
        <v>36</v>
      </c>
      <c r="B130">
        <v>2014</v>
      </c>
      <c r="C130" t="s">
        <v>74</v>
      </c>
      <c r="D130">
        <v>0</v>
      </c>
    </row>
    <row r="131" spans="1:4" x14ac:dyDescent="0.45">
      <c r="A131" t="s">
        <v>56</v>
      </c>
      <c r="B131">
        <v>2014</v>
      </c>
      <c r="C131" t="s">
        <v>74</v>
      </c>
      <c r="D131">
        <v>5.43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0.02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0.04</v>
      </c>
    </row>
    <row r="138" spans="1:4" x14ac:dyDescent="0.45">
      <c r="A138" t="s">
        <v>34</v>
      </c>
      <c r="B138">
        <v>2015</v>
      </c>
      <c r="C138" t="s">
        <v>74</v>
      </c>
      <c r="D138">
        <v>4.54</v>
      </c>
    </row>
    <row r="139" spans="1:4" x14ac:dyDescent="0.45">
      <c r="A139" t="s">
        <v>36</v>
      </c>
      <c r="B139">
        <v>2015</v>
      </c>
      <c r="C139" t="s">
        <v>74</v>
      </c>
      <c r="D139">
        <v>0</v>
      </c>
    </row>
    <row r="140" spans="1:4" x14ac:dyDescent="0.45">
      <c r="A140" t="s">
        <v>56</v>
      </c>
      <c r="B140">
        <v>2015</v>
      </c>
      <c r="C140" t="s">
        <v>74</v>
      </c>
      <c r="D140">
        <v>4.99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0.01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0.01</v>
      </c>
    </row>
    <row r="145" spans="1:4" x14ac:dyDescent="0.45">
      <c r="A145" t="s">
        <v>91</v>
      </c>
      <c r="B145">
        <v>2015</v>
      </c>
      <c r="C145" t="s">
        <v>74</v>
      </c>
      <c r="D145">
        <v>0</v>
      </c>
    </row>
    <row r="146" spans="1:4" x14ac:dyDescent="0.45">
      <c r="A146" t="s">
        <v>32</v>
      </c>
      <c r="B146">
        <v>2016</v>
      </c>
      <c r="C146" t="s">
        <v>74</v>
      </c>
      <c r="D146">
        <v>0.23</v>
      </c>
    </row>
    <row r="147" spans="1:4" x14ac:dyDescent="0.45">
      <c r="A147" t="s">
        <v>34</v>
      </c>
      <c r="B147">
        <v>2016</v>
      </c>
      <c r="C147" t="s">
        <v>74</v>
      </c>
      <c r="D147">
        <v>3.91</v>
      </c>
    </row>
    <row r="148" spans="1:4" x14ac:dyDescent="0.45">
      <c r="A148" t="s">
        <v>36</v>
      </c>
      <c r="B148">
        <v>2016</v>
      </c>
      <c r="C148" t="s">
        <v>74</v>
      </c>
      <c r="D148">
        <v>0</v>
      </c>
    </row>
    <row r="149" spans="1:4" x14ac:dyDescent="0.45">
      <c r="A149" t="s">
        <v>56</v>
      </c>
      <c r="B149">
        <v>2016</v>
      </c>
      <c r="C149" t="s">
        <v>74</v>
      </c>
      <c r="D149">
        <v>2.98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0.04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0.01</v>
      </c>
    </row>
    <row r="154" spans="1:4" x14ac:dyDescent="0.45">
      <c r="A154" t="s">
        <v>91</v>
      </c>
      <c r="B154">
        <v>2016</v>
      </c>
      <c r="C154" t="s">
        <v>74</v>
      </c>
      <c r="D154">
        <v>0</v>
      </c>
    </row>
    <row r="155" spans="1:4" x14ac:dyDescent="0.45">
      <c r="A155" t="s">
        <v>32</v>
      </c>
      <c r="B155">
        <v>2017</v>
      </c>
      <c r="C155" t="s">
        <v>74</v>
      </c>
      <c r="D155">
        <v>0.15</v>
      </c>
    </row>
    <row r="156" spans="1:4" x14ac:dyDescent="0.45">
      <c r="A156" t="s">
        <v>34</v>
      </c>
      <c r="B156">
        <v>2017</v>
      </c>
      <c r="C156" t="s">
        <v>74</v>
      </c>
      <c r="D156">
        <v>3.38</v>
      </c>
    </row>
    <row r="157" spans="1:4" x14ac:dyDescent="0.45">
      <c r="A157" t="s">
        <v>36</v>
      </c>
      <c r="B157">
        <v>2017</v>
      </c>
      <c r="C157" t="s">
        <v>74</v>
      </c>
      <c r="D157">
        <v>0</v>
      </c>
    </row>
    <row r="158" spans="1:4" x14ac:dyDescent="0.45">
      <c r="A158" t="s">
        <v>56</v>
      </c>
      <c r="B158">
        <v>2017</v>
      </c>
      <c r="C158" t="s">
        <v>74</v>
      </c>
      <c r="D158">
        <v>3.97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0.04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0.01</v>
      </c>
    </row>
    <row r="163" spans="1:4" x14ac:dyDescent="0.45">
      <c r="A163" t="s">
        <v>91</v>
      </c>
      <c r="B163">
        <v>2017</v>
      </c>
      <c r="C163" t="s">
        <v>74</v>
      </c>
      <c r="D163">
        <v>0</v>
      </c>
    </row>
    <row r="164" spans="1:4" x14ac:dyDescent="0.45">
      <c r="A164" t="s">
        <v>32</v>
      </c>
      <c r="B164">
        <v>2018</v>
      </c>
      <c r="C164" t="s">
        <v>74</v>
      </c>
      <c r="D164">
        <v>0.19</v>
      </c>
    </row>
    <row r="165" spans="1:4" x14ac:dyDescent="0.45">
      <c r="A165" t="s">
        <v>34</v>
      </c>
      <c r="B165">
        <v>2018</v>
      </c>
      <c r="C165" t="s">
        <v>74</v>
      </c>
      <c r="D165">
        <v>4.13</v>
      </c>
    </row>
    <row r="166" spans="1:4" x14ac:dyDescent="0.45">
      <c r="A166" t="s">
        <v>36</v>
      </c>
      <c r="B166">
        <v>2018</v>
      </c>
      <c r="C166" t="s">
        <v>74</v>
      </c>
      <c r="D166">
        <v>0</v>
      </c>
    </row>
    <row r="167" spans="1:4" x14ac:dyDescent="0.45">
      <c r="A167" t="s">
        <v>56</v>
      </c>
      <c r="B167">
        <v>2018</v>
      </c>
      <c r="C167" t="s">
        <v>74</v>
      </c>
      <c r="D167">
        <v>5.05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0.05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0.02</v>
      </c>
    </row>
    <row r="172" spans="1:4" x14ac:dyDescent="0.45">
      <c r="A172" t="s">
        <v>91</v>
      </c>
      <c r="B172">
        <v>2018</v>
      </c>
      <c r="C172" t="s">
        <v>74</v>
      </c>
      <c r="D172">
        <v>0</v>
      </c>
    </row>
    <row r="173" spans="1:4" x14ac:dyDescent="0.45">
      <c r="A173" t="s">
        <v>32</v>
      </c>
      <c r="B173">
        <v>2019</v>
      </c>
      <c r="C173" t="s">
        <v>74</v>
      </c>
      <c r="D173">
        <v>0.19</v>
      </c>
    </row>
    <row r="174" spans="1:4" x14ac:dyDescent="0.45">
      <c r="A174" t="s">
        <v>34</v>
      </c>
      <c r="B174">
        <v>2019</v>
      </c>
      <c r="C174" t="s">
        <v>74</v>
      </c>
      <c r="D174">
        <v>4.05</v>
      </c>
    </row>
    <row r="175" spans="1:4" x14ac:dyDescent="0.45">
      <c r="A175" t="s">
        <v>36</v>
      </c>
      <c r="B175">
        <v>2019</v>
      </c>
      <c r="C175" t="s">
        <v>74</v>
      </c>
      <c r="D175">
        <v>0</v>
      </c>
    </row>
    <row r="176" spans="1:4" x14ac:dyDescent="0.45">
      <c r="A176" t="s">
        <v>56</v>
      </c>
      <c r="B176">
        <v>2019</v>
      </c>
      <c r="C176" t="s">
        <v>74</v>
      </c>
      <c r="D176">
        <v>4.17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0.05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0.03</v>
      </c>
    </row>
    <row r="181" spans="1:4" x14ac:dyDescent="0.45">
      <c r="A181" t="s">
        <v>91</v>
      </c>
      <c r="B181">
        <v>2019</v>
      </c>
      <c r="C181" t="s">
        <v>74</v>
      </c>
      <c r="D181">
        <v>0</v>
      </c>
    </row>
    <row r="182" spans="1:4" x14ac:dyDescent="0.45">
      <c r="A182" t="s">
        <v>32</v>
      </c>
      <c r="B182">
        <v>2020</v>
      </c>
      <c r="C182" t="s">
        <v>74</v>
      </c>
      <c r="D182">
        <v>0.1</v>
      </c>
    </row>
    <row r="183" spans="1:4" x14ac:dyDescent="0.45">
      <c r="A183" t="s">
        <v>34</v>
      </c>
      <c r="B183">
        <v>2020</v>
      </c>
      <c r="C183" t="s">
        <v>74</v>
      </c>
      <c r="D183">
        <v>2.74</v>
      </c>
    </row>
    <row r="184" spans="1:4" x14ac:dyDescent="0.45">
      <c r="A184" t="s">
        <v>36</v>
      </c>
      <c r="B184">
        <v>2020</v>
      </c>
      <c r="C184" t="s">
        <v>74</v>
      </c>
      <c r="D184">
        <v>0</v>
      </c>
    </row>
    <row r="185" spans="1:4" x14ac:dyDescent="0.45">
      <c r="A185" t="s">
        <v>56</v>
      </c>
      <c r="B185">
        <v>2020</v>
      </c>
      <c r="C185" t="s">
        <v>74</v>
      </c>
      <c r="D185">
        <v>3.81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0.04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0.02</v>
      </c>
    </row>
    <row r="190" spans="1:4" x14ac:dyDescent="0.45">
      <c r="A190" t="s">
        <v>91</v>
      </c>
      <c r="B190">
        <v>2020</v>
      </c>
      <c r="C190" t="s">
        <v>74</v>
      </c>
      <c r="D190">
        <v>0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2.5099999999999998</v>
      </c>
    </row>
    <row r="193" spans="1:4" x14ac:dyDescent="0.45">
      <c r="A193" t="s">
        <v>36</v>
      </c>
      <c r="B193">
        <v>2021</v>
      </c>
      <c r="C193" t="s">
        <v>74</v>
      </c>
      <c r="D193">
        <v>0</v>
      </c>
    </row>
    <row r="194" spans="1:4" x14ac:dyDescent="0.45">
      <c r="A194" t="s">
        <v>56</v>
      </c>
      <c r="B194">
        <v>2021</v>
      </c>
      <c r="C194" t="s">
        <v>74</v>
      </c>
      <c r="D194">
        <v>5.93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0.02</v>
      </c>
    </row>
    <row r="199" spans="1:4" x14ac:dyDescent="0.45">
      <c r="A199" t="s">
        <v>91</v>
      </c>
      <c r="B199">
        <v>2021</v>
      </c>
      <c r="C199" t="s">
        <v>74</v>
      </c>
      <c r="D199">
        <v>0</v>
      </c>
    </row>
    <row r="200" spans="1:4" x14ac:dyDescent="0.45">
      <c r="A200" t="s">
        <v>32</v>
      </c>
      <c r="B200">
        <v>2022</v>
      </c>
      <c r="C200" t="s">
        <v>74</v>
      </c>
      <c r="D200">
        <v>0.1</v>
      </c>
    </row>
    <row r="201" spans="1:4" x14ac:dyDescent="0.45">
      <c r="A201" t="s">
        <v>34</v>
      </c>
      <c r="B201">
        <v>2022</v>
      </c>
      <c r="C201" t="s">
        <v>74</v>
      </c>
      <c r="D201">
        <v>2.92</v>
      </c>
    </row>
    <row r="202" spans="1:4" x14ac:dyDescent="0.45">
      <c r="A202" t="s">
        <v>36</v>
      </c>
      <c r="B202">
        <v>2022</v>
      </c>
      <c r="C202" t="s">
        <v>74</v>
      </c>
      <c r="D202">
        <v>0</v>
      </c>
    </row>
    <row r="203" spans="1:4" x14ac:dyDescent="0.45">
      <c r="A203" t="s">
        <v>56</v>
      </c>
      <c r="B203">
        <v>2022</v>
      </c>
      <c r="C203" t="s">
        <v>74</v>
      </c>
      <c r="D203">
        <v>5.88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0.03</v>
      </c>
    </row>
    <row r="208" spans="1:4" x14ac:dyDescent="0.45">
      <c r="A208" t="s">
        <v>91</v>
      </c>
      <c r="B208">
        <v>2022</v>
      </c>
      <c r="C208" t="s">
        <v>74</v>
      </c>
      <c r="D208">
        <v>0</v>
      </c>
    </row>
    <row r="209" spans="1:4" x14ac:dyDescent="0.45">
      <c r="A209" t="s">
        <v>32</v>
      </c>
      <c r="B209">
        <v>2000</v>
      </c>
      <c r="C209" t="s">
        <v>75</v>
      </c>
      <c r="D209">
        <v>0.06</v>
      </c>
    </row>
    <row r="210" spans="1:4" x14ac:dyDescent="0.45">
      <c r="A210" t="s">
        <v>34</v>
      </c>
      <c r="B210">
        <v>2000</v>
      </c>
      <c r="C210" t="s">
        <v>75</v>
      </c>
      <c r="D210">
        <v>0.95</v>
      </c>
    </row>
    <row r="211" spans="1:4" x14ac:dyDescent="0.45">
      <c r="A211" t="s">
        <v>36</v>
      </c>
      <c r="B211">
        <v>2000</v>
      </c>
      <c r="C211" t="s">
        <v>75</v>
      </c>
    </row>
    <row r="212" spans="1:4" x14ac:dyDescent="0.45">
      <c r="A212" t="s">
        <v>56</v>
      </c>
      <c r="B212">
        <v>2000</v>
      </c>
      <c r="C212" t="s">
        <v>75</v>
      </c>
      <c r="D212">
        <v>0.67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  <c r="D214">
        <v>0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</row>
    <row r="218" spans="1:4" x14ac:dyDescent="0.45">
      <c r="A218" t="s">
        <v>32</v>
      </c>
      <c r="B218">
        <v>2001</v>
      </c>
      <c r="C218" t="s">
        <v>75</v>
      </c>
      <c r="D218">
        <v>0.06</v>
      </c>
    </row>
    <row r="219" spans="1:4" x14ac:dyDescent="0.45">
      <c r="A219" t="s">
        <v>34</v>
      </c>
      <c r="B219">
        <v>2001</v>
      </c>
      <c r="C219" t="s">
        <v>75</v>
      </c>
      <c r="D219">
        <v>0.95</v>
      </c>
    </row>
    <row r="220" spans="1:4" x14ac:dyDescent="0.45">
      <c r="A220" t="s">
        <v>36</v>
      </c>
      <c r="B220">
        <v>2001</v>
      </c>
      <c r="C220" t="s">
        <v>75</v>
      </c>
    </row>
    <row r="221" spans="1:4" x14ac:dyDescent="0.45">
      <c r="A221" t="s">
        <v>56</v>
      </c>
      <c r="B221">
        <v>2001</v>
      </c>
      <c r="C221" t="s">
        <v>75</v>
      </c>
      <c r="D221">
        <v>0.67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  <c r="D223">
        <v>0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</row>
    <row r="227" spans="1:4" x14ac:dyDescent="0.45">
      <c r="A227" t="s">
        <v>32</v>
      </c>
      <c r="B227">
        <v>2002</v>
      </c>
      <c r="C227" t="s">
        <v>75</v>
      </c>
      <c r="D227">
        <v>0.08</v>
      </c>
    </row>
    <row r="228" spans="1:4" x14ac:dyDescent="0.45">
      <c r="A228" t="s">
        <v>34</v>
      </c>
      <c r="B228">
        <v>2002</v>
      </c>
      <c r="C228" t="s">
        <v>75</v>
      </c>
      <c r="D228">
        <v>0.95</v>
      </c>
    </row>
    <row r="229" spans="1:4" x14ac:dyDescent="0.45">
      <c r="A229" t="s">
        <v>36</v>
      </c>
      <c r="B229">
        <v>2002</v>
      </c>
      <c r="C229" t="s">
        <v>75</v>
      </c>
    </row>
    <row r="230" spans="1:4" x14ac:dyDescent="0.45">
      <c r="A230" t="s">
        <v>56</v>
      </c>
      <c r="B230">
        <v>2002</v>
      </c>
      <c r="C230" t="s">
        <v>75</v>
      </c>
      <c r="D230">
        <v>0.67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  <c r="D232">
        <v>0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</row>
    <row r="236" spans="1:4" x14ac:dyDescent="0.45">
      <c r="A236" t="s">
        <v>32</v>
      </c>
      <c r="B236">
        <v>2003</v>
      </c>
      <c r="C236" t="s">
        <v>75</v>
      </c>
      <c r="D236">
        <v>0.08</v>
      </c>
    </row>
    <row r="237" spans="1:4" x14ac:dyDescent="0.45">
      <c r="A237" t="s">
        <v>34</v>
      </c>
      <c r="B237">
        <v>2003</v>
      </c>
      <c r="C237" t="s">
        <v>75</v>
      </c>
      <c r="D237">
        <v>0.95</v>
      </c>
    </row>
    <row r="238" spans="1:4" x14ac:dyDescent="0.45">
      <c r="A238" t="s">
        <v>36</v>
      </c>
      <c r="B238">
        <v>2003</v>
      </c>
      <c r="C238" t="s">
        <v>75</v>
      </c>
    </row>
    <row r="239" spans="1:4" x14ac:dyDescent="0.45">
      <c r="A239" t="s">
        <v>56</v>
      </c>
      <c r="B239">
        <v>2003</v>
      </c>
      <c r="C239" t="s">
        <v>75</v>
      </c>
      <c r="D239">
        <v>0.67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  <c r="D241">
        <v>0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</row>
    <row r="245" spans="1:4" x14ac:dyDescent="0.45">
      <c r="A245" t="s">
        <v>32</v>
      </c>
      <c r="B245">
        <v>2004</v>
      </c>
      <c r="C245" t="s">
        <v>75</v>
      </c>
      <c r="D245">
        <v>0.08</v>
      </c>
    </row>
    <row r="246" spans="1:4" x14ac:dyDescent="0.45">
      <c r="A246" t="s">
        <v>34</v>
      </c>
      <c r="B246">
        <v>2004</v>
      </c>
      <c r="C246" t="s">
        <v>75</v>
      </c>
      <c r="D246">
        <v>0.95</v>
      </c>
    </row>
    <row r="247" spans="1:4" x14ac:dyDescent="0.45">
      <c r="A247" t="s">
        <v>36</v>
      </c>
      <c r="B247">
        <v>2004</v>
      </c>
      <c r="C247" t="s">
        <v>75</v>
      </c>
    </row>
    <row r="248" spans="1:4" x14ac:dyDescent="0.45">
      <c r="A248" t="s">
        <v>56</v>
      </c>
      <c r="B248">
        <v>2004</v>
      </c>
      <c r="C248" t="s">
        <v>75</v>
      </c>
      <c r="D248">
        <v>0.67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  <c r="D250">
        <v>0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</row>
    <row r="254" spans="1:4" x14ac:dyDescent="0.45">
      <c r="A254" t="s">
        <v>32</v>
      </c>
      <c r="B254">
        <v>2005</v>
      </c>
      <c r="C254" t="s">
        <v>75</v>
      </c>
      <c r="D254">
        <v>0.08</v>
      </c>
    </row>
    <row r="255" spans="1:4" x14ac:dyDescent="0.45">
      <c r="A255" t="s">
        <v>34</v>
      </c>
      <c r="B255">
        <v>2005</v>
      </c>
      <c r="C255" t="s">
        <v>75</v>
      </c>
      <c r="D255">
        <v>0.95</v>
      </c>
    </row>
    <row r="256" spans="1:4" x14ac:dyDescent="0.45">
      <c r="A256" t="s">
        <v>36</v>
      </c>
      <c r="B256">
        <v>2005</v>
      </c>
      <c r="C256" t="s">
        <v>75</v>
      </c>
    </row>
    <row r="257" spans="1:4" x14ac:dyDescent="0.45">
      <c r="A257" t="s">
        <v>56</v>
      </c>
      <c r="B257">
        <v>2005</v>
      </c>
      <c r="C257" t="s">
        <v>75</v>
      </c>
      <c r="D257">
        <v>0.67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  <c r="D259">
        <v>0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</row>
    <row r="263" spans="1:4" x14ac:dyDescent="0.45">
      <c r="A263" t="s">
        <v>32</v>
      </c>
      <c r="B263">
        <v>2006</v>
      </c>
      <c r="C263" t="s">
        <v>75</v>
      </c>
      <c r="D263">
        <v>0.08</v>
      </c>
    </row>
    <row r="264" spans="1:4" x14ac:dyDescent="0.45">
      <c r="A264" t="s">
        <v>34</v>
      </c>
      <c r="B264">
        <v>2006</v>
      </c>
      <c r="C264" t="s">
        <v>75</v>
      </c>
      <c r="D264">
        <v>0.95</v>
      </c>
    </row>
    <row r="265" spans="1:4" x14ac:dyDescent="0.45">
      <c r="A265" t="s">
        <v>36</v>
      </c>
      <c r="B265">
        <v>2006</v>
      </c>
      <c r="C265" t="s">
        <v>75</v>
      </c>
    </row>
    <row r="266" spans="1:4" x14ac:dyDescent="0.45">
      <c r="A266" t="s">
        <v>56</v>
      </c>
      <c r="B266">
        <v>2006</v>
      </c>
      <c r="C266" t="s">
        <v>75</v>
      </c>
      <c r="D266">
        <v>0.67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  <c r="D268">
        <v>0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</row>
    <row r="272" spans="1:4" x14ac:dyDescent="0.45">
      <c r="A272" t="s">
        <v>32</v>
      </c>
      <c r="B272">
        <v>2007</v>
      </c>
      <c r="C272" t="s">
        <v>75</v>
      </c>
      <c r="D272">
        <v>0.08</v>
      </c>
    </row>
    <row r="273" spans="1:4" x14ac:dyDescent="0.45">
      <c r="A273" t="s">
        <v>34</v>
      </c>
      <c r="B273">
        <v>2007</v>
      </c>
      <c r="C273" t="s">
        <v>75</v>
      </c>
      <c r="D273">
        <v>0.95</v>
      </c>
    </row>
    <row r="274" spans="1:4" x14ac:dyDescent="0.45">
      <c r="A274" t="s">
        <v>36</v>
      </c>
      <c r="B274">
        <v>2007</v>
      </c>
      <c r="C274" t="s">
        <v>75</v>
      </c>
    </row>
    <row r="275" spans="1:4" x14ac:dyDescent="0.45">
      <c r="A275" t="s">
        <v>56</v>
      </c>
      <c r="B275">
        <v>2007</v>
      </c>
      <c r="C275" t="s">
        <v>75</v>
      </c>
      <c r="D275">
        <v>0.67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  <c r="D277">
        <v>0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</row>
    <row r="281" spans="1:4" x14ac:dyDescent="0.45">
      <c r="A281" t="s">
        <v>32</v>
      </c>
      <c r="B281">
        <v>2008</v>
      </c>
      <c r="C281" t="s">
        <v>75</v>
      </c>
      <c r="D281">
        <v>0.08</v>
      </c>
    </row>
    <row r="282" spans="1:4" x14ac:dyDescent="0.45">
      <c r="A282" t="s">
        <v>34</v>
      </c>
      <c r="B282">
        <v>2008</v>
      </c>
      <c r="C282" t="s">
        <v>75</v>
      </c>
      <c r="D282">
        <v>0.95</v>
      </c>
    </row>
    <row r="283" spans="1:4" x14ac:dyDescent="0.45">
      <c r="A283" t="s">
        <v>36</v>
      </c>
      <c r="B283">
        <v>2008</v>
      </c>
      <c r="C283" t="s">
        <v>75</v>
      </c>
    </row>
    <row r="284" spans="1:4" x14ac:dyDescent="0.45">
      <c r="A284" t="s">
        <v>56</v>
      </c>
      <c r="B284">
        <v>2008</v>
      </c>
      <c r="C284" t="s">
        <v>75</v>
      </c>
      <c r="D284">
        <v>0.75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  <c r="D286">
        <v>0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</row>
    <row r="290" spans="1:4" x14ac:dyDescent="0.45">
      <c r="A290" t="s">
        <v>32</v>
      </c>
      <c r="B290">
        <v>2009</v>
      </c>
      <c r="C290" t="s">
        <v>75</v>
      </c>
      <c r="D290">
        <v>0.08</v>
      </c>
    </row>
    <row r="291" spans="1:4" x14ac:dyDescent="0.45">
      <c r="A291" t="s">
        <v>34</v>
      </c>
      <c r="B291">
        <v>2009</v>
      </c>
      <c r="C291" t="s">
        <v>75</v>
      </c>
      <c r="D291">
        <v>0.95</v>
      </c>
    </row>
    <row r="292" spans="1:4" x14ac:dyDescent="0.45">
      <c r="A292" t="s">
        <v>36</v>
      </c>
      <c r="B292">
        <v>2009</v>
      </c>
      <c r="C292" t="s">
        <v>75</v>
      </c>
    </row>
    <row r="293" spans="1:4" x14ac:dyDescent="0.45">
      <c r="A293" t="s">
        <v>56</v>
      </c>
      <c r="B293">
        <v>2009</v>
      </c>
      <c r="C293" t="s">
        <v>75</v>
      </c>
      <c r="D293">
        <v>0.75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  <c r="D295">
        <v>0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</row>
    <row r="299" spans="1:4" x14ac:dyDescent="0.45">
      <c r="A299" t="s">
        <v>32</v>
      </c>
      <c r="B299">
        <v>2010</v>
      </c>
      <c r="C299" t="s">
        <v>75</v>
      </c>
      <c r="D299">
        <v>0.08</v>
      </c>
    </row>
    <row r="300" spans="1:4" x14ac:dyDescent="0.45">
      <c r="A300" t="s">
        <v>34</v>
      </c>
      <c r="B300">
        <v>2010</v>
      </c>
      <c r="C300" t="s">
        <v>75</v>
      </c>
      <c r="D300">
        <v>0.95</v>
      </c>
    </row>
    <row r="301" spans="1:4" x14ac:dyDescent="0.45">
      <c r="A301" t="s">
        <v>36</v>
      </c>
      <c r="B301">
        <v>2010</v>
      </c>
      <c r="C301" t="s">
        <v>75</v>
      </c>
    </row>
    <row r="302" spans="1:4" x14ac:dyDescent="0.45">
      <c r="A302" t="s">
        <v>56</v>
      </c>
      <c r="B302">
        <v>2010</v>
      </c>
      <c r="C302" t="s">
        <v>75</v>
      </c>
      <c r="D302">
        <v>0.75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  <c r="D304">
        <v>0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</v>
      </c>
    </row>
    <row r="307" spans="1:4" x14ac:dyDescent="0.45">
      <c r="A307" t="s">
        <v>91</v>
      </c>
      <c r="B307">
        <v>2010</v>
      </c>
      <c r="C307" t="s">
        <v>75</v>
      </c>
    </row>
    <row r="308" spans="1:4" x14ac:dyDescent="0.45">
      <c r="A308" t="s">
        <v>32</v>
      </c>
      <c r="B308">
        <v>2011</v>
      </c>
      <c r="C308" t="s">
        <v>75</v>
      </c>
      <c r="D308">
        <v>0.1</v>
      </c>
    </row>
    <row r="309" spans="1:4" x14ac:dyDescent="0.45">
      <c r="A309" t="s">
        <v>34</v>
      </c>
      <c r="B309">
        <v>2011</v>
      </c>
      <c r="C309" t="s">
        <v>75</v>
      </c>
      <c r="D309">
        <v>0.95</v>
      </c>
    </row>
    <row r="310" spans="1:4" x14ac:dyDescent="0.45">
      <c r="A310" t="s">
        <v>36</v>
      </c>
      <c r="B310">
        <v>2011</v>
      </c>
      <c r="C310" t="s">
        <v>75</v>
      </c>
    </row>
    <row r="311" spans="1:4" x14ac:dyDescent="0.45">
      <c r="A311" t="s">
        <v>56</v>
      </c>
      <c r="B311">
        <v>2011</v>
      </c>
      <c r="C311" t="s">
        <v>75</v>
      </c>
      <c r="D311">
        <v>0.75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  <c r="D313">
        <v>0.01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</v>
      </c>
    </row>
    <row r="316" spans="1:4" x14ac:dyDescent="0.45">
      <c r="A316" t="s">
        <v>91</v>
      </c>
      <c r="B316">
        <v>2011</v>
      </c>
      <c r="C316" t="s">
        <v>75</v>
      </c>
    </row>
    <row r="317" spans="1:4" x14ac:dyDescent="0.45">
      <c r="A317" t="s">
        <v>32</v>
      </c>
      <c r="B317">
        <v>2012</v>
      </c>
      <c r="C317" t="s">
        <v>75</v>
      </c>
      <c r="D317">
        <v>0.1</v>
      </c>
    </row>
    <row r="318" spans="1:4" x14ac:dyDescent="0.45">
      <c r="A318" t="s">
        <v>34</v>
      </c>
      <c r="B318">
        <v>2012</v>
      </c>
      <c r="C318" t="s">
        <v>75</v>
      </c>
      <c r="D318">
        <v>0.95</v>
      </c>
    </row>
    <row r="319" spans="1:4" x14ac:dyDescent="0.45">
      <c r="A319" t="s">
        <v>36</v>
      </c>
      <c r="B319">
        <v>2012</v>
      </c>
      <c r="C319" t="s">
        <v>75</v>
      </c>
    </row>
    <row r="320" spans="1:4" x14ac:dyDescent="0.45">
      <c r="A320" t="s">
        <v>56</v>
      </c>
      <c r="B320">
        <v>2012</v>
      </c>
      <c r="C320" t="s">
        <v>75</v>
      </c>
      <c r="D320">
        <v>0.75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  <c r="D322">
        <v>0.01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</v>
      </c>
    </row>
    <row r="325" spans="1:4" x14ac:dyDescent="0.45">
      <c r="A325" t="s">
        <v>91</v>
      </c>
      <c r="B325">
        <v>2012</v>
      </c>
      <c r="C325" t="s">
        <v>75</v>
      </c>
    </row>
    <row r="326" spans="1:4" x14ac:dyDescent="0.45">
      <c r="A326" t="s">
        <v>32</v>
      </c>
      <c r="B326">
        <v>2013</v>
      </c>
      <c r="C326" t="s">
        <v>75</v>
      </c>
      <c r="D326">
        <v>0.1</v>
      </c>
    </row>
    <row r="327" spans="1:4" x14ac:dyDescent="0.45">
      <c r="A327" t="s">
        <v>34</v>
      </c>
      <c r="B327">
        <v>2013</v>
      </c>
      <c r="C327" t="s">
        <v>75</v>
      </c>
      <c r="D327">
        <v>0.95</v>
      </c>
    </row>
    <row r="328" spans="1:4" x14ac:dyDescent="0.45">
      <c r="A328" t="s">
        <v>36</v>
      </c>
      <c r="B328">
        <v>2013</v>
      </c>
      <c r="C328" t="s">
        <v>75</v>
      </c>
    </row>
    <row r="329" spans="1:4" x14ac:dyDescent="0.45">
      <c r="A329" t="s">
        <v>56</v>
      </c>
      <c r="B329">
        <v>2013</v>
      </c>
      <c r="C329" t="s">
        <v>75</v>
      </c>
      <c r="D329">
        <v>0.76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  <c r="D331">
        <v>0.01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</v>
      </c>
    </row>
    <row r="334" spans="1:4" x14ac:dyDescent="0.45">
      <c r="A334" t="s">
        <v>91</v>
      </c>
      <c r="B334">
        <v>2013</v>
      </c>
      <c r="C334" t="s">
        <v>75</v>
      </c>
    </row>
    <row r="335" spans="1:4" x14ac:dyDescent="0.45">
      <c r="A335" t="s">
        <v>32</v>
      </c>
      <c r="B335">
        <v>2014</v>
      </c>
      <c r="C335" t="s">
        <v>75</v>
      </c>
      <c r="D335">
        <v>0.1</v>
      </c>
    </row>
    <row r="336" spans="1:4" x14ac:dyDescent="0.45">
      <c r="A336" t="s">
        <v>34</v>
      </c>
      <c r="B336">
        <v>2014</v>
      </c>
      <c r="C336" t="s">
        <v>75</v>
      </c>
      <c r="D336">
        <v>0.95</v>
      </c>
    </row>
    <row r="337" spans="1:4" x14ac:dyDescent="0.45">
      <c r="A337" t="s">
        <v>36</v>
      </c>
      <c r="B337">
        <v>2014</v>
      </c>
      <c r="C337" t="s">
        <v>75</v>
      </c>
    </row>
    <row r="338" spans="1:4" x14ac:dyDescent="0.45">
      <c r="A338" t="s">
        <v>56</v>
      </c>
      <c r="B338">
        <v>2014</v>
      </c>
      <c r="C338" t="s">
        <v>75</v>
      </c>
      <c r="D338">
        <v>0.76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  <c r="D340">
        <v>0.01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</v>
      </c>
    </row>
    <row r="343" spans="1:4" x14ac:dyDescent="0.45">
      <c r="A343" t="s">
        <v>91</v>
      </c>
      <c r="B343">
        <v>2014</v>
      </c>
      <c r="C343" t="s">
        <v>75</v>
      </c>
    </row>
    <row r="344" spans="1:4" x14ac:dyDescent="0.45">
      <c r="A344" t="s">
        <v>32</v>
      </c>
      <c r="B344">
        <v>2015</v>
      </c>
      <c r="C344" t="s">
        <v>75</v>
      </c>
      <c r="D344">
        <v>0.1</v>
      </c>
    </row>
    <row r="345" spans="1:4" x14ac:dyDescent="0.45">
      <c r="A345" t="s">
        <v>34</v>
      </c>
      <c r="B345">
        <v>2015</v>
      </c>
      <c r="C345" t="s">
        <v>75</v>
      </c>
      <c r="D345">
        <v>0.95</v>
      </c>
    </row>
    <row r="346" spans="1:4" x14ac:dyDescent="0.45">
      <c r="A346" t="s">
        <v>36</v>
      </c>
      <c r="B346">
        <v>2015</v>
      </c>
      <c r="C346" t="s">
        <v>75</v>
      </c>
    </row>
    <row r="347" spans="1:4" x14ac:dyDescent="0.45">
      <c r="A347" t="s">
        <v>56</v>
      </c>
      <c r="B347">
        <v>2015</v>
      </c>
      <c r="C347" t="s">
        <v>75</v>
      </c>
      <c r="D347">
        <v>0.77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  <c r="D349">
        <v>0.01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</v>
      </c>
    </row>
    <row r="352" spans="1:4" x14ac:dyDescent="0.45">
      <c r="A352" t="s">
        <v>91</v>
      </c>
      <c r="B352">
        <v>2015</v>
      </c>
      <c r="C352" t="s">
        <v>75</v>
      </c>
    </row>
    <row r="353" spans="1:4" x14ac:dyDescent="0.45">
      <c r="A353" t="s">
        <v>32</v>
      </c>
      <c r="B353">
        <v>2016</v>
      </c>
      <c r="C353" t="s">
        <v>75</v>
      </c>
      <c r="D353">
        <v>0.1</v>
      </c>
    </row>
    <row r="354" spans="1:4" x14ac:dyDescent="0.45">
      <c r="A354" t="s">
        <v>34</v>
      </c>
      <c r="B354">
        <v>2016</v>
      </c>
      <c r="C354" t="s">
        <v>75</v>
      </c>
      <c r="D354">
        <v>0.95</v>
      </c>
    </row>
    <row r="355" spans="1:4" x14ac:dyDescent="0.45">
      <c r="A355" t="s">
        <v>36</v>
      </c>
      <c r="B355">
        <v>2016</v>
      </c>
      <c r="C355" t="s">
        <v>75</v>
      </c>
    </row>
    <row r="356" spans="1:4" x14ac:dyDescent="0.45">
      <c r="A356" t="s">
        <v>56</v>
      </c>
      <c r="B356">
        <v>2016</v>
      </c>
      <c r="C356" t="s">
        <v>75</v>
      </c>
      <c r="D356">
        <v>0.78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  <c r="D358">
        <v>0.01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</v>
      </c>
    </row>
    <row r="361" spans="1:4" x14ac:dyDescent="0.45">
      <c r="A361" t="s">
        <v>91</v>
      </c>
      <c r="B361">
        <v>2016</v>
      </c>
      <c r="C361" t="s">
        <v>75</v>
      </c>
    </row>
    <row r="362" spans="1:4" x14ac:dyDescent="0.45">
      <c r="A362" t="s">
        <v>32</v>
      </c>
      <c r="B362">
        <v>2017</v>
      </c>
      <c r="C362" t="s">
        <v>75</v>
      </c>
      <c r="D362">
        <v>0.1</v>
      </c>
    </row>
    <row r="363" spans="1:4" x14ac:dyDescent="0.45">
      <c r="A363" t="s">
        <v>34</v>
      </c>
      <c r="B363">
        <v>2017</v>
      </c>
      <c r="C363" t="s">
        <v>75</v>
      </c>
      <c r="D363">
        <v>0.95</v>
      </c>
    </row>
    <row r="364" spans="1:4" x14ac:dyDescent="0.45">
      <c r="A364" t="s">
        <v>36</v>
      </c>
      <c r="B364">
        <v>2017</v>
      </c>
      <c r="C364" t="s">
        <v>75</v>
      </c>
    </row>
    <row r="365" spans="1:4" x14ac:dyDescent="0.45">
      <c r="A365" t="s">
        <v>56</v>
      </c>
      <c r="B365">
        <v>2017</v>
      </c>
      <c r="C365" t="s">
        <v>75</v>
      </c>
      <c r="D365">
        <v>0.78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  <c r="D367">
        <v>0.01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0.01</v>
      </c>
    </row>
    <row r="370" spans="1:4" x14ac:dyDescent="0.45">
      <c r="A370" t="s">
        <v>91</v>
      </c>
      <c r="B370">
        <v>2017</v>
      </c>
      <c r="C370" t="s">
        <v>75</v>
      </c>
    </row>
    <row r="371" spans="1:4" x14ac:dyDescent="0.45">
      <c r="A371" t="s">
        <v>32</v>
      </c>
      <c r="B371">
        <v>2018</v>
      </c>
      <c r="C371" t="s">
        <v>75</v>
      </c>
      <c r="D371">
        <v>0.1</v>
      </c>
    </row>
    <row r="372" spans="1:4" x14ac:dyDescent="0.45">
      <c r="A372" t="s">
        <v>34</v>
      </c>
      <c r="B372">
        <v>2018</v>
      </c>
      <c r="C372" t="s">
        <v>75</v>
      </c>
      <c r="D372">
        <v>0.95</v>
      </c>
    </row>
    <row r="373" spans="1:4" x14ac:dyDescent="0.45">
      <c r="A373" t="s">
        <v>36</v>
      </c>
      <c r="B373">
        <v>2018</v>
      </c>
      <c r="C373" t="s">
        <v>75</v>
      </c>
    </row>
    <row r="374" spans="1:4" x14ac:dyDescent="0.45">
      <c r="A374" t="s">
        <v>56</v>
      </c>
      <c r="B374">
        <v>2018</v>
      </c>
      <c r="C374" t="s">
        <v>75</v>
      </c>
      <c r="D374">
        <v>1.08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  <c r="D376">
        <v>0.01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0.01</v>
      </c>
    </row>
    <row r="379" spans="1:4" x14ac:dyDescent="0.45">
      <c r="A379" t="s">
        <v>91</v>
      </c>
      <c r="B379">
        <v>2018</v>
      </c>
      <c r="C379" t="s">
        <v>75</v>
      </c>
    </row>
    <row r="380" spans="1:4" x14ac:dyDescent="0.45">
      <c r="A380" t="s">
        <v>32</v>
      </c>
      <c r="B380">
        <v>2019</v>
      </c>
      <c r="C380" t="s">
        <v>75</v>
      </c>
      <c r="D380">
        <v>0.1</v>
      </c>
    </row>
    <row r="381" spans="1:4" x14ac:dyDescent="0.45">
      <c r="A381" t="s">
        <v>34</v>
      </c>
      <c r="B381">
        <v>2019</v>
      </c>
      <c r="C381" t="s">
        <v>75</v>
      </c>
      <c r="D381">
        <v>0.95</v>
      </c>
    </row>
    <row r="382" spans="1:4" x14ac:dyDescent="0.45">
      <c r="A382" t="s">
        <v>36</v>
      </c>
      <c r="B382">
        <v>2019</v>
      </c>
      <c r="C382" t="s">
        <v>75</v>
      </c>
    </row>
    <row r="383" spans="1:4" x14ac:dyDescent="0.45">
      <c r="A383" t="s">
        <v>56</v>
      </c>
      <c r="B383">
        <v>2019</v>
      </c>
      <c r="C383" t="s">
        <v>75</v>
      </c>
      <c r="D383">
        <v>1.08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  <c r="D385">
        <v>0.01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0.01</v>
      </c>
    </row>
    <row r="388" spans="1:4" x14ac:dyDescent="0.45">
      <c r="A388" t="s">
        <v>91</v>
      </c>
      <c r="B388">
        <v>2019</v>
      </c>
      <c r="C388" t="s">
        <v>75</v>
      </c>
    </row>
    <row r="389" spans="1:4" x14ac:dyDescent="0.45">
      <c r="A389" t="s">
        <v>32</v>
      </c>
      <c r="B389">
        <v>2020</v>
      </c>
      <c r="C389" t="s">
        <v>75</v>
      </c>
      <c r="D389">
        <v>0.1</v>
      </c>
    </row>
    <row r="390" spans="1:4" x14ac:dyDescent="0.45">
      <c r="A390" t="s">
        <v>34</v>
      </c>
      <c r="B390">
        <v>2020</v>
      </c>
      <c r="C390" t="s">
        <v>75</v>
      </c>
      <c r="D390">
        <v>0.95</v>
      </c>
    </row>
    <row r="391" spans="1:4" x14ac:dyDescent="0.45">
      <c r="A391" t="s">
        <v>36</v>
      </c>
      <c r="B391">
        <v>2020</v>
      </c>
      <c r="C391" t="s">
        <v>75</v>
      </c>
    </row>
    <row r="392" spans="1:4" x14ac:dyDescent="0.45">
      <c r="A392" t="s">
        <v>56</v>
      </c>
      <c r="B392">
        <v>2020</v>
      </c>
      <c r="C392" t="s">
        <v>75</v>
      </c>
      <c r="D392">
        <v>1.08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  <c r="D394">
        <v>0.01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0.01</v>
      </c>
    </row>
    <row r="397" spans="1:4" x14ac:dyDescent="0.45">
      <c r="A397" t="s">
        <v>91</v>
      </c>
      <c r="B397">
        <v>2020</v>
      </c>
      <c r="C397" t="s">
        <v>75</v>
      </c>
    </row>
    <row r="398" spans="1:4" x14ac:dyDescent="0.45">
      <c r="A398" t="s">
        <v>32</v>
      </c>
      <c r="B398">
        <v>2021</v>
      </c>
      <c r="C398" t="s">
        <v>75</v>
      </c>
      <c r="D398">
        <v>0.1</v>
      </c>
    </row>
    <row r="399" spans="1:4" x14ac:dyDescent="0.45">
      <c r="A399" t="s">
        <v>34</v>
      </c>
      <c r="B399">
        <v>2021</v>
      </c>
      <c r="C399" t="s">
        <v>75</v>
      </c>
      <c r="D399">
        <v>0.95</v>
      </c>
    </row>
    <row r="400" spans="1:4" x14ac:dyDescent="0.45">
      <c r="A400" t="s">
        <v>36</v>
      </c>
      <c r="B400">
        <v>2021</v>
      </c>
      <c r="C400" t="s">
        <v>75</v>
      </c>
    </row>
    <row r="401" spans="1:4" x14ac:dyDescent="0.45">
      <c r="A401" t="s">
        <v>56</v>
      </c>
      <c r="B401">
        <v>2021</v>
      </c>
      <c r="C401" t="s">
        <v>75</v>
      </c>
      <c r="D401">
        <v>1.08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  <c r="D403">
        <v>0.01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0.03</v>
      </c>
    </row>
    <row r="406" spans="1:4" x14ac:dyDescent="0.45">
      <c r="A406" t="s">
        <v>91</v>
      </c>
      <c r="B406">
        <v>2021</v>
      </c>
      <c r="C406" t="s">
        <v>75</v>
      </c>
    </row>
    <row r="407" spans="1:4" x14ac:dyDescent="0.45">
      <c r="A407" t="s">
        <v>32</v>
      </c>
      <c r="B407">
        <v>2022</v>
      </c>
      <c r="C407" t="s">
        <v>75</v>
      </c>
      <c r="D407">
        <v>0.1</v>
      </c>
    </row>
    <row r="408" spans="1:4" x14ac:dyDescent="0.45">
      <c r="A408" t="s">
        <v>34</v>
      </c>
      <c r="B408">
        <v>2022</v>
      </c>
      <c r="C408" t="s">
        <v>75</v>
      </c>
      <c r="D408">
        <v>1</v>
      </c>
    </row>
    <row r="409" spans="1:4" x14ac:dyDescent="0.45">
      <c r="A409" t="s">
        <v>36</v>
      </c>
      <c r="B409">
        <v>2022</v>
      </c>
      <c r="C409" t="s">
        <v>75</v>
      </c>
    </row>
    <row r="410" spans="1:4" x14ac:dyDescent="0.45">
      <c r="A410" t="s">
        <v>56</v>
      </c>
      <c r="B410">
        <v>2022</v>
      </c>
      <c r="C410" t="s">
        <v>75</v>
      </c>
      <c r="D410">
        <v>1.08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  <c r="D412">
        <v>0.01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0.04</v>
      </c>
    </row>
    <row r="415" spans="1:4" x14ac:dyDescent="0.45">
      <c r="A415" t="s">
        <v>91</v>
      </c>
      <c r="B415">
        <v>2022</v>
      </c>
      <c r="C415" t="s">
        <v>75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3.2</v>
      </c>
    </row>
    <row r="418" spans="1:4" x14ac:dyDescent="0.45">
      <c r="A418" t="s">
        <v>36</v>
      </c>
      <c r="B418">
        <v>2000</v>
      </c>
      <c r="C418" t="s">
        <v>76</v>
      </c>
      <c r="D418">
        <v>0</v>
      </c>
    </row>
    <row r="419" spans="1:4" x14ac:dyDescent="0.45">
      <c r="A419" t="s">
        <v>56</v>
      </c>
      <c r="B419">
        <v>2000</v>
      </c>
      <c r="C419" t="s">
        <v>76</v>
      </c>
      <c r="D419">
        <v>0.08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0.05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4.21</v>
      </c>
    </row>
    <row r="427" spans="1:4" x14ac:dyDescent="0.45">
      <c r="A427" t="s">
        <v>36</v>
      </c>
      <c r="B427">
        <v>2001</v>
      </c>
      <c r="C427" t="s">
        <v>76</v>
      </c>
      <c r="D427">
        <v>0</v>
      </c>
    </row>
    <row r="428" spans="1:4" x14ac:dyDescent="0.45">
      <c r="A428" t="s">
        <v>56</v>
      </c>
      <c r="B428">
        <v>2001</v>
      </c>
      <c r="C428" t="s">
        <v>76</v>
      </c>
      <c r="D428">
        <v>7.0000000000000007E-2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0.02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4.08</v>
      </c>
    </row>
    <row r="436" spans="1:4" x14ac:dyDescent="0.45">
      <c r="A436" t="s">
        <v>36</v>
      </c>
      <c r="B436">
        <v>2002</v>
      </c>
      <c r="C436" t="s">
        <v>76</v>
      </c>
      <c r="D436">
        <v>0</v>
      </c>
    </row>
    <row r="437" spans="1:4" x14ac:dyDescent="0.45">
      <c r="A437" t="s">
        <v>56</v>
      </c>
      <c r="B437">
        <v>2002</v>
      </c>
      <c r="C437" t="s">
        <v>76</v>
      </c>
      <c r="D437">
        <v>0.09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0.01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2.95</v>
      </c>
    </row>
    <row r="445" spans="1:4" x14ac:dyDescent="0.45">
      <c r="A445" t="s">
        <v>36</v>
      </c>
      <c r="B445">
        <v>2003</v>
      </c>
      <c r="C445" t="s">
        <v>76</v>
      </c>
      <c r="D445">
        <v>0</v>
      </c>
    </row>
    <row r="446" spans="1:4" x14ac:dyDescent="0.45">
      <c r="A446" t="s">
        <v>56</v>
      </c>
      <c r="B446">
        <v>2003</v>
      </c>
      <c r="C446" t="s">
        <v>76</v>
      </c>
      <c r="D446">
        <v>0.13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0.01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3.6</v>
      </c>
    </row>
    <row r="454" spans="1:4" x14ac:dyDescent="0.45">
      <c r="A454" t="s">
        <v>36</v>
      </c>
      <c r="B454">
        <v>2004</v>
      </c>
      <c r="C454" t="s">
        <v>76</v>
      </c>
      <c r="D454">
        <v>0</v>
      </c>
    </row>
    <row r="455" spans="1:4" x14ac:dyDescent="0.45">
      <c r="A455" t="s">
        <v>56</v>
      </c>
      <c r="B455">
        <v>2004</v>
      </c>
      <c r="C455" t="s">
        <v>76</v>
      </c>
      <c r="D455">
        <v>0.13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0.01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3.8</v>
      </c>
    </row>
    <row r="463" spans="1:4" x14ac:dyDescent="0.45">
      <c r="A463" t="s">
        <v>36</v>
      </c>
      <c r="B463">
        <v>2005</v>
      </c>
      <c r="C463" t="s">
        <v>76</v>
      </c>
      <c r="D463">
        <v>0</v>
      </c>
    </row>
    <row r="464" spans="1:4" x14ac:dyDescent="0.45">
      <c r="A464" t="s">
        <v>56</v>
      </c>
      <c r="B464">
        <v>2005</v>
      </c>
      <c r="C464" t="s">
        <v>76</v>
      </c>
      <c r="D464">
        <v>0.12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0.01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0.02</v>
      </c>
    </row>
    <row r="471" spans="1:4" x14ac:dyDescent="0.45">
      <c r="A471" t="s">
        <v>34</v>
      </c>
      <c r="B471">
        <v>2006</v>
      </c>
      <c r="C471" t="s">
        <v>76</v>
      </c>
      <c r="D471">
        <v>2.17</v>
      </c>
    </row>
    <row r="472" spans="1:4" x14ac:dyDescent="0.45">
      <c r="A472" t="s">
        <v>36</v>
      </c>
      <c r="B472">
        <v>2006</v>
      </c>
      <c r="C472" t="s">
        <v>76</v>
      </c>
      <c r="D472">
        <v>0</v>
      </c>
    </row>
    <row r="473" spans="1:4" x14ac:dyDescent="0.45">
      <c r="A473" t="s">
        <v>56</v>
      </c>
      <c r="B473">
        <v>2006</v>
      </c>
      <c r="C473" t="s">
        <v>76</v>
      </c>
      <c r="D473">
        <v>0.13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0.03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0.01</v>
      </c>
    </row>
    <row r="480" spans="1:4" x14ac:dyDescent="0.45">
      <c r="A480" t="s">
        <v>34</v>
      </c>
      <c r="B480">
        <v>2007</v>
      </c>
      <c r="C480" t="s">
        <v>76</v>
      </c>
      <c r="D480">
        <v>1.83</v>
      </c>
    </row>
    <row r="481" spans="1:4" x14ac:dyDescent="0.45">
      <c r="A481" t="s">
        <v>36</v>
      </c>
      <c r="B481">
        <v>2007</v>
      </c>
      <c r="C481" t="s">
        <v>76</v>
      </c>
      <c r="D481">
        <v>0</v>
      </c>
    </row>
    <row r="482" spans="1:4" x14ac:dyDescent="0.45">
      <c r="A482" t="s">
        <v>56</v>
      </c>
      <c r="B482">
        <v>2007</v>
      </c>
      <c r="C482" t="s">
        <v>76</v>
      </c>
      <c r="D482">
        <v>0.13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0.02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0.02</v>
      </c>
    </row>
    <row r="489" spans="1:4" x14ac:dyDescent="0.45">
      <c r="A489" t="s">
        <v>34</v>
      </c>
      <c r="B489">
        <v>2008</v>
      </c>
      <c r="C489" t="s">
        <v>76</v>
      </c>
      <c r="D489">
        <v>1.55</v>
      </c>
    </row>
    <row r="490" spans="1:4" x14ac:dyDescent="0.45">
      <c r="A490" t="s">
        <v>36</v>
      </c>
      <c r="B490">
        <v>2008</v>
      </c>
      <c r="C490" t="s">
        <v>76</v>
      </c>
      <c r="D490">
        <v>0</v>
      </c>
    </row>
    <row r="491" spans="1:4" x14ac:dyDescent="0.45">
      <c r="A491" t="s">
        <v>56</v>
      </c>
      <c r="B491">
        <v>2008</v>
      </c>
      <c r="C491" t="s">
        <v>76</v>
      </c>
      <c r="D491">
        <v>0.14000000000000001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0.02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0.01</v>
      </c>
    </row>
    <row r="498" spans="1:4" x14ac:dyDescent="0.45">
      <c r="A498" t="s">
        <v>34</v>
      </c>
      <c r="B498">
        <v>2009</v>
      </c>
      <c r="C498" t="s">
        <v>76</v>
      </c>
      <c r="D498">
        <v>1.5</v>
      </c>
    </row>
    <row r="499" spans="1:4" x14ac:dyDescent="0.45">
      <c r="A499" t="s">
        <v>36</v>
      </c>
      <c r="B499">
        <v>2009</v>
      </c>
      <c r="C499" t="s">
        <v>76</v>
      </c>
      <c r="D499">
        <v>0</v>
      </c>
    </row>
    <row r="500" spans="1:4" x14ac:dyDescent="0.45">
      <c r="A500" t="s">
        <v>56</v>
      </c>
      <c r="B500">
        <v>2009</v>
      </c>
      <c r="C500" t="s">
        <v>76</v>
      </c>
      <c r="D500">
        <v>0.13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0.01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0.02</v>
      </c>
    </row>
    <row r="507" spans="1:4" x14ac:dyDescent="0.45">
      <c r="A507" t="s">
        <v>34</v>
      </c>
      <c r="B507">
        <v>2010</v>
      </c>
      <c r="C507" t="s">
        <v>76</v>
      </c>
      <c r="D507">
        <v>2.36</v>
      </c>
    </row>
    <row r="508" spans="1:4" x14ac:dyDescent="0.45">
      <c r="A508" t="s">
        <v>36</v>
      </c>
      <c r="B508">
        <v>2010</v>
      </c>
      <c r="C508" t="s">
        <v>76</v>
      </c>
      <c r="D508">
        <v>0</v>
      </c>
    </row>
    <row r="509" spans="1:4" x14ac:dyDescent="0.45">
      <c r="A509" t="s">
        <v>56</v>
      </c>
      <c r="B509">
        <v>2010</v>
      </c>
      <c r="C509" t="s">
        <v>76</v>
      </c>
      <c r="D509">
        <v>0.14000000000000001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0.01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0.02</v>
      </c>
    </row>
    <row r="516" spans="1:4" x14ac:dyDescent="0.45">
      <c r="A516" t="s">
        <v>34</v>
      </c>
      <c r="B516">
        <v>2011</v>
      </c>
      <c r="C516" t="s">
        <v>76</v>
      </c>
      <c r="D516">
        <v>3.29</v>
      </c>
    </row>
    <row r="517" spans="1:4" x14ac:dyDescent="0.45">
      <c r="A517" t="s">
        <v>36</v>
      </c>
      <c r="B517">
        <v>2011</v>
      </c>
      <c r="C517" t="s">
        <v>76</v>
      </c>
      <c r="D517">
        <v>0</v>
      </c>
    </row>
    <row r="518" spans="1:4" x14ac:dyDescent="0.45">
      <c r="A518" t="s">
        <v>56</v>
      </c>
      <c r="B518">
        <v>2011</v>
      </c>
      <c r="C518" t="s">
        <v>76</v>
      </c>
      <c r="D518">
        <v>0.12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0.03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0.03</v>
      </c>
    </row>
    <row r="525" spans="1:4" x14ac:dyDescent="0.45">
      <c r="A525" t="s">
        <v>34</v>
      </c>
      <c r="B525">
        <v>2012</v>
      </c>
      <c r="C525" t="s">
        <v>76</v>
      </c>
      <c r="D525">
        <v>3.08</v>
      </c>
    </row>
    <row r="526" spans="1:4" x14ac:dyDescent="0.45">
      <c r="A526" t="s">
        <v>36</v>
      </c>
      <c r="B526">
        <v>2012</v>
      </c>
      <c r="C526" t="s">
        <v>76</v>
      </c>
      <c r="D526">
        <v>0</v>
      </c>
    </row>
    <row r="527" spans="1:4" x14ac:dyDescent="0.45">
      <c r="A527" t="s">
        <v>56</v>
      </c>
      <c r="B527">
        <v>2012</v>
      </c>
      <c r="C527" t="s">
        <v>76</v>
      </c>
      <c r="D527">
        <v>0.13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0.03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0.03</v>
      </c>
    </row>
    <row r="534" spans="1:4" x14ac:dyDescent="0.45">
      <c r="A534" t="s">
        <v>34</v>
      </c>
      <c r="B534">
        <v>2013</v>
      </c>
      <c r="C534" t="s">
        <v>76</v>
      </c>
      <c r="D534">
        <v>3.73</v>
      </c>
    </row>
    <row r="535" spans="1:4" x14ac:dyDescent="0.45">
      <c r="A535" t="s">
        <v>36</v>
      </c>
      <c r="B535">
        <v>2013</v>
      </c>
      <c r="C535" t="s">
        <v>76</v>
      </c>
      <c r="D535">
        <v>0</v>
      </c>
    </row>
    <row r="536" spans="1:4" x14ac:dyDescent="0.45">
      <c r="A536" t="s">
        <v>56</v>
      </c>
      <c r="B536">
        <v>2013</v>
      </c>
      <c r="C536" t="s">
        <v>76</v>
      </c>
      <c r="D536">
        <v>0.12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0.04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3.77</v>
      </c>
    </row>
    <row r="544" spans="1:4" x14ac:dyDescent="0.45">
      <c r="A544" t="s">
        <v>36</v>
      </c>
      <c r="B544">
        <v>2014</v>
      </c>
      <c r="C544" t="s">
        <v>76</v>
      </c>
      <c r="D544">
        <v>0</v>
      </c>
    </row>
    <row r="545" spans="1:4" x14ac:dyDescent="0.45">
      <c r="A545" t="s">
        <v>56</v>
      </c>
      <c r="B545">
        <v>2014</v>
      </c>
      <c r="C545" t="s">
        <v>76</v>
      </c>
      <c r="D545">
        <v>0.13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0.01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0.01</v>
      </c>
    </row>
    <row r="552" spans="1:4" x14ac:dyDescent="0.45">
      <c r="A552" t="s">
        <v>34</v>
      </c>
      <c r="B552">
        <v>2015</v>
      </c>
      <c r="C552" t="s">
        <v>76</v>
      </c>
      <c r="D552">
        <v>3.89</v>
      </c>
    </row>
    <row r="553" spans="1:4" x14ac:dyDescent="0.45">
      <c r="A553" t="s">
        <v>36</v>
      </c>
      <c r="B553">
        <v>2015</v>
      </c>
      <c r="C553" t="s">
        <v>76</v>
      </c>
      <c r="D553">
        <v>0</v>
      </c>
    </row>
    <row r="554" spans="1:4" x14ac:dyDescent="0.45">
      <c r="A554" t="s">
        <v>56</v>
      </c>
      <c r="B554">
        <v>2015</v>
      </c>
      <c r="C554" t="s">
        <v>76</v>
      </c>
      <c r="D554">
        <v>0.12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0.01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0.05</v>
      </c>
    </row>
    <row r="561" spans="1:4" x14ac:dyDescent="0.45">
      <c r="A561" t="s">
        <v>34</v>
      </c>
      <c r="B561">
        <v>2016</v>
      </c>
      <c r="C561" t="s">
        <v>76</v>
      </c>
      <c r="D561">
        <v>3.35</v>
      </c>
    </row>
    <row r="562" spans="1:4" x14ac:dyDescent="0.45">
      <c r="A562" t="s">
        <v>36</v>
      </c>
      <c r="B562">
        <v>2016</v>
      </c>
      <c r="C562" t="s">
        <v>76</v>
      </c>
      <c r="D562">
        <v>0</v>
      </c>
    </row>
    <row r="563" spans="1:4" x14ac:dyDescent="0.45">
      <c r="A563" t="s">
        <v>56</v>
      </c>
      <c r="B563">
        <v>2016</v>
      </c>
      <c r="C563" t="s">
        <v>76</v>
      </c>
      <c r="D563">
        <v>7.0000000000000007E-2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0.03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0.03</v>
      </c>
    </row>
    <row r="570" spans="1:4" x14ac:dyDescent="0.45">
      <c r="A570" t="s">
        <v>34</v>
      </c>
      <c r="B570">
        <v>2017</v>
      </c>
      <c r="C570" t="s">
        <v>76</v>
      </c>
      <c r="D570">
        <v>2.9</v>
      </c>
    </row>
    <row r="571" spans="1:4" x14ac:dyDescent="0.45">
      <c r="A571" t="s">
        <v>36</v>
      </c>
      <c r="B571">
        <v>2017</v>
      </c>
      <c r="C571" t="s">
        <v>76</v>
      </c>
      <c r="D571">
        <v>0</v>
      </c>
    </row>
    <row r="572" spans="1:4" x14ac:dyDescent="0.45">
      <c r="A572" t="s">
        <v>56</v>
      </c>
      <c r="B572">
        <v>2017</v>
      </c>
      <c r="C572" t="s">
        <v>76</v>
      </c>
      <c r="D572">
        <v>0.09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0.03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0.04</v>
      </c>
    </row>
    <row r="579" spans="1:4" x14ac:dyDescent="0.45">
      <c r="A579" t="s">
        <v>34</v>
      </c>
      <c r="B579">
        <v>2018</v>
      </c>
      <c r="C579" t="s">
        <v>76</v>
      </c>
      <c r="D579">
        <v>3.54</v>
      </c>
    </row>
    <row r="580" spans="1:4" x14ac:dyDescent="0.45">
      <c r="A580" t="s">
        <v>36</v>
      </c>
      <c r="B580">
        <v>2018</v>
      </c>
      <c r="C580" t="s">
        <v>76</v>
      </c>
      <c r="D580">
        <v>0</v>
      </c>
    </row>
    <row r="581" spans="1:4" x14ac:dyDescent="0.45">
      <c r="A581" t="s">
        <v>56</v>
      </c>
      <c r="B581">
        <v>2018</v>
      </c>
      <c r="C581" t="s">
        <v>76</v>
      </c>
      <c r="D581">
        <v>0.12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0.03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0.04</v>
      </c>
    </row>
    <row r="588" spans="1:4" x14ac:dyDescent="0.45">
      <c r="A588" t="s">
        <v>34</v>
      </c>
      <c r="B588">
        <v>2019</v>
      </c>
      <c r="C588" t="s">
        <v>76</v>
      </c>
      <c r="D588">
        <v>3.47</v>
      </c>
    </row>
    <row r="589" spans="1:4" x14ac:dyDescent="0.45">
      <c r="A589" t="s">
        <v>36</v>
      </c>
      <c r="B589">
        <v>2019</v>
      </c>
      <c r="C589" t="s">
        <v>76</v>
      </c>
      <c r="D589">
        <v>0</v>
      </c>
    </row>
    <row r="590" spans="1:4" x14ac:dyDescent="0.45">
      <c r="A590" t="s">
        <v>56</v>
      </c>
      <c r="B590">
        <v>2019</v>
      </c>
      <c r="C590" t="s">
        <v>76</v>
      </c>
      <c r="D590">
        <v>0.1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0.03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0.02</v>
      </c>
    </row>
    <row r="597" spans="1:4" x14ac:dyDescent="0.45">
      <c r="A597" t="s">
        <v>34</v>
      </c>
      <c r="B597">
        <v>2020</v>
      </c>
      <c r="C597" t="s">
        <v>76</v>
      </c>
      <c r="D597">
        <v>2.35</v>
      </c>
    </row>
    <row r="598" spans="1:4" x14ac:dyDescent="0.45">
      <c r="A598" t="s">
        <v>36</v>
      </c>
      <c r="B598">
        <v>2020</v>
      </c>
      <c r="C598" t="s">
        <v>76</v>
      </c>
      <c r="D598">
        <v>0</v>
      </c>
    </row>
    <row r="599" spans="1:4" x14ac:dyDescent="0.45">
      <c r="A599" t="s">
        <v>56</v>
      </c>
      <c r="B599">
        <v>2020</v>
      </c>
      <c r="C599" t="s">
        <v>76</v>
      </c>
      <c r="D599">
        <v>0.09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0.03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2.15</v>
      </c>
    </row>
    <row r="607" spans="1:4" x14ac:dyDescent="0.45">
      <c r="A607" t="s">
        <v>36</v>
      </c>
      <c r="B607">
        <v>2021</v>
      </c>
      <c r="C607" t="s">
        <v>76</v>
      </c>
      <c r="D607">
        <v>0</v>
      </c>
    </row>
    <row r="608" spans="1:4" x14ac:dyDescent="0.45">
      <c r="A608" t="s">
        <v>56</v>
      </c>
      <c r="B608">
        <v>2021</v>
      </c>
      <c r="C608" t="s">
        <v>76</v>
      </c>
      <c r="D608">
        <v>0.14000000000000001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0.02</v>
      </c>
    </row>
    <row r="615" spans="1:4" x14ac:dyDescent="0.45">
      <c r="A615" t="s">
        <v>34</v>
      </c>
      <c r="B615">
        <v>2022</v>
      </c>
      <c r="C615" t="s">
        <v>76</v>
      </c>
      <c r="D615">
        <v>2.5</v>
      </c>
    </row>
    <row r="616" spans="1:4" x14ac:dyDescent="0.45">
      <c r="A616" t="s">
        <v>36</v>
      </c>
      <c r="B616">
        <v>2022</v>
      </c>
      <c r="C616" t="s">
        <v>76</v>
      </c>
      <c r="D616">
        <v>0</v>
      </c>
    </row>
    <row r="617" spans="1:4" x14ac:dyDescent="0.45">
      <c r="A617" t="s">
        <v>56</v>
      </c>
      <c r="B617">
        <v>2022</v>
      </c>
      <c r="C617" t="s">
        <v>76</v>
      </c>
      <c r="D617">
        <v>0.14000000000000001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</row>
    <row r="624" spans="1:4" x14ac:dyDescent="0.45">
      <c r="A624" t="s">
        <v>60</v>
      </c>
      <c r="B624">
        <v>2000</v>
      </c>
      <c r="C624" t="s">
        <v>74</v>
      </c>
      <c r="D624">
        <v>5.0999999999999996</v>
      </c>
    </row>
    <row r="625" spans="1:4" x14ac:dyDescent="0.45">
      <c r="A625" t="s">
        <v>59</v>
      </c>
      <c r="B625">
        <v>2001</v>
      </c>
      <c r="C625" t="s">
        <v>74</v>
      </c>
    </row>
    <row r="626" spans="1:4" x14ac:dyDescent="0.45">
      <c r="A626" t="s">
        <v>60</v>
      </c>
      <c r="B626">
        <v>2001</v>
      </c>
      <c r="C626" t="s">
        <v>74</v>
      </c>
      <c r="D626">
        <v>4.0999999999999996</v>
      </c>
    </row>
    <row r="627" spans="1:4" x14ac:dyDescent="0.45">
      <c r="A627" t="s">
        <v>59</v>
      </c>
      <c r="B627">
        <v>2002</v>
      </c>
      <c r="C627" t="s">
        <v>74</v>
      </c>
    </row>
    <row r="628" spans="1:4" x14ac:dyDescent="0.45">
      <c r="A628" t="s">
        <v>60</v>
      </c>
      <c r="B628">
        <v>2002</v>
      </c>
      <c r="C628" t="s">
        <v>74</v>
      </c>
      <c r="D628">
        <v>4</v>
      </c>
    </row>
    <row r="629" spans="1:4" x14ac:dyDescent="0.45">
      <c r="A629" t="s">
        <v>59</v>
      </c>
      <c r="B629">
        <v>2003</v>
      </c>
      <c r="C629" t="s">
        <v>74</v>
      </c>
    </row>
    <row r="630" spans="1:4" x14ac:dyDescent="0.45">
      <c r="A630" t="s">
        <v>60</v>
      </c>
      <c r="B630">
        <v>2003</v>
      </c>
      <c r="C630" t="s">
        <v>74</v>
      </c>
      <c r="D630">
        <v>3.2</v>
      </c>
    </row>
    <row r="631" spans="1:4" x14ac:dyDescent="0.45">
      <c r="A631" t="s">
        <v>59</v>
      </c>
      <c r="B631">
        <v>2004</v>
      </c>
      <c r="C631" t="s">
        <v>74</v>
      </c>
    </row>
    <row r="632" spans="1:4" x14ac:dyDescent="0.45">
      <c r="A632" t="s">
        <v>60</v>
      </c>
      <c r="B632">
        <v>2004</v>
      </c>
      <c r="C632" t="s">
        <v>74</v>
      </c>
      <c r="D632">
        <v>2</v>
      </c>
    </row>
    <row r="633" spans="1:4" x14ac:dyDescent="0.45">
      <c r="A633" t="s">
        <v>59</v>
      </c>
      <c r="B633">
        <v>2005</v>
      </c>
      <c r="C633" t="s">
        <v>74</v>
      </c>
      <c r="D633">
        <v>0</v>
      </c>
    </row>
    <row r="634" spans="1:4" x14ac:dyDescent="0.45">
      <c r="A634" t="s">
        <v>60</v>
      </c>
      <c r="B634">
        <v>2005</v>
      </c>
      <c r="C634" t="s">
        <v>74</v>
      </c>
      <c r="D634">
        <v>3</v>
      </c>
    </row>
    <row r="635" spans="1:4" x14ac:dyDescent="0.45">
      <c r="A635" t="s">
        <v>59</v>
      </c>
      <c r="B635">
        <v>2006</v>
      </c>
      <c r="C635" t="s">
        <v>74</v>
      </c>
      <c r="D635">
        <v>0.3</v>
      </c>
    </row>
    <row r="636" spans="1:4" x14ac:dyDescent="0.45">
      <c r="A636" t="s">
        <v>60</v>
      </c>
      <c r="B636">
        <v>2006</v>
      </c>
      <c r="C636" t="s">
        <v>74</v>
      </c>
      <c r="D636">
        <v>4.2</v>
      </c>
    </row>
    <row r="637" spans="1:4" x14ac:dyDescent="0.45">
      <c r="A637" t="s">
        <v>59</v>
      </c>
      <c r="B637">
        <v>2007</v>
      </c>
      <c r="C637" t="s">
        <v>74</v>
      </c>
      <c r="D637">
        <v>0</v>
      </c>
    </row>
    <row r="638" spans="1:4" x14ac:dyDescent="0.45">
      <c r="A638" t="s">
        <v>60</v>
      </c>
      <c r="B638">
        <v>2007</v>
      </c>
      <c r="C638" t="s">
        <v>74</v>
      </c>
      <c r="D638">
        <v>3</v>
      </c>
    </row>
    <row r="639" spans="1:4" x14ac:dyDescent="0.45">
      <c r="A639" t="s">
        <v>59</v>
      </c>
      <c r="B639">
        <v>2008</v>
      </c>
      <c r="C639" t="s">
        <v>74</v>
      </c>
      <c r="D639">
        <v>0.6</v>
      </c>
    </row>
    <row r="640" spans="1:4" x14ac:dyDescent="0.45">
      <c r="A640" t="s">
        <v>60</v>
      </c>
      <c r="B640">
        <v>2008</v>
      </c>
      <c r="C640" t="s">
        <v>74</v>
      </c>
      <c r="D640">
        <v>1.7</v>
      </c>
    </row>
    <row r="641" spans="1:4" x14ac:dyDescent="0.45">
      <c r="A641" t="s">
        <v>59</v>
      </c>
      <c r="B641">
        <v>2009</v>
      </c>
      <c r="C641" t="s">
        <v>74</v>
      </c>
      <c r="D641">
        <v>0.9</v>
      </c>
    </row>
    <row r="642" spans="1:4" x14ac:dyDescent="0.45">
      <c r="A642" t="s">
        <v>60</v>
      </c>
      <c r="B642">
        <v>2009</v>
      </c>
      <c r="C642" t="s">
        <v>74</v>
      </c>
      <c r="D642">
        <v>2.2000000000000002</v>
      </c>
    </row>
    <row r="643" spans="1:4" x14ac:dyDescent="0.45">
      <c r="A643" t="s">
        <v>59</v>
      </c>
      <c r="B643">
        <v>2010</v>
      </c>
      <c r="C643" t="s">
        <v>74</v>
      </c>
      <c r="D643">
        <v>1</v>
      </c>
    </row>
    <row r="644" spans="1:4" x14ac:dyDescent="0.45">
      <c r="A644" t="s">
        <v>60</v>
      </c>
      <c r="B644">
        <v>2010</v>
      </c>
      <c r="C644" t="s">
        <v>74</v>
      </c>
      <c r="D644">
        <v>1.7</v>
      </c>
    </row>
    <row r="645" spans="1:4" x14ac:dyDescent="0.45">
      <c r="A645" t="s">
        <v>59</v>
      </c>
      <c r="B645">
        <v>2011</v>
      </c>
      <c r="C645" t="s">
        <v>74</v>
      </c>
      <c r="D645">
        <v>1</v>
      </c>
    </row>
    <row r="646" spans="1:4" x14ac:dyDescent="0.45">
      <c r="A646" t="s">
        <v>60</v>
      </c>
      <c r="B646">
        <v>2011</v>
      </c>
      <c r="C646" t="s">
        <v>74</v>
      </c>
      <c r="D646">
        <v>1.6</v>
      </c>
    </row>
    <row r="647" spans="1:4" x14ac:dyDescent="0.45">
      <c r="A647" t="s">
        <v>59</v>
      </c>
      <c r="B647">
        <v>2012</v>
      </c>
      <c r="C647" t="s">
        <v>74</v>
      </c>
      <c r="D647">
        <v>0.7</v>
      </c>
    </row>
    <row r="648" spans="1:4" x14ac:dyDescent="0.45">
      <c r="A648" t="s">
        <v>60</v>
      </c>
      <c r="B648">
        <v>2012</v>
      </c>
      <c r="C648" t="s">
        <v>74</v>
      </c>
      <c r="D648">
        <v>1.1000000000000001</v>
      </c>
    </row>
    <row r="649" spans="1:4" x14ac:dyDescent="0.45">
      <c r="A649" t="s">
        <v>59</v>
      </c>
      <c r="B649">
        <v>2013</v>
      </c>
      <c r="C649" t="s">
        <v>74</v>
      </c>
      <c r="D649">
        <v>1.2</v>
      </c>
    </row>
    <row r="650" spans="1:4" x14ac:dyDescent="0.45">
      <c r="A650" t="s">
        <v>60</v>
      </c>
      <c r="B650">
        <v>2013</v>
      </c>
      <c r="C650" t="s">
        <v>74</v>
      </c>
      <c r="D650">
        <v>1.7</v>
      </c>
    </row>
    <row r="651" spans="1:4" x14ac:dyDescent="0.45">
      <c r="A651" t="s">
        <v>59</v>
      </c>
      <c r="B651">
        <v>2014</v>
      </c>
      <c r="C651" t="s">
        <v>74</v>
      </c>
      <c r="D651">
        <v>1.2</v>
      </c>
    </row>
    <row r="652" spans="1:4" x14ac:dyDescent="0.45">
      <c r="A652" t="s">
        <v>60</v>
      </c>
      <c r="B652">
        <v>2014</v>
      </c>
      <c r="C652" t="s">
        <v>74</v>
      </c>
      <c r="D652">
        <v>1.1000000000000001</v>
      </c>
    </row>
    <row r="653" spans="1:4" x14ac:dyDescent="0.45">
      <c r="A653" t="s">
        <v>59</v>
      </c>
      <c r="B653">
        <v>2015</v>
      </c>
      <c r="C653" t="s">
        <v>74</v>
      </c>
      <c r="D653">
        <v>1.2</v>
      </c>
    </row>
    <row r="654" spans="1:4" x14ac:dyDescent="0.45">
      <c r="A654" t="s">
        <v>60</v>
      </c>
      <c r="B654">
        <v>2015</v>
      </c>
      <c r="C654" t="s">
        <v>74</v>
      </c>
      <c r="D654">
        <v>1.1000000000000001</v>
      </c>
    </row>
    <row r="655" spans="1:4" x14ac:dyDescent="0.45">
      <c r="A655" t="s">
        <v>59</v>
      </c>
      <c r="B655">
        <v>2016</v>
      </c>
      <c r="C655" t="s">
        <v>74</v>
      </c>
      <c r="D655">
        <v>0.4</v>
      </c>
    </row>
    <row r="656" spans="1:4" x14ac:dyDescent="0.45">
      <c r="A656" t="s">
        <v>60</v>
      </c>
      <c r="B656">
        <v>2016</v>
      </c>
      <c r="C656" t="s">
        <v>74</v>
      </c>
      <c r="D656">
        <v>2.2000000000000002</v>
      </c>
    </row>
    <row r="657" spans="1:4" x14ac:dyDescent="0.45">
      <c r="A657" t="s">
        <v>59</v>
      </c>
      <c r="B657">
        <v>2017</v>
      </c>
      <c r="C657" t="s">
        <v>74</v>
      </c>
      <c r="D657">
        <v>0.4</v>
      </c>
    </row>
    <row r="658" spans="1:4" x14ac:dyDescent="0.45">
      <c r="A658" t="s">
        <v>60</v>
      </c>
      <c r="B658">
        <v>2017</v>
      </c>
      <c r="C658" t="s">
        <v>74</v>
      </c>
      <c r="D658">
        <v>2.6</v>
      </c>
    </row>
    <row r="659" spans="1:4" x14ac:dyDescent="0.45">
      <c r="A659" t="s">
        <v>59</v>
      </c>
      <c r="B659">
        <v>2018</v>
      </c>
      <c r="C659" t="s">
        <v>74</v>
      </c>
      <c r="D659">
        <v>0.2</v>
      </c>
    </row>
    <row r="660" spans="1:4" x14ac:dyDescent="0.45">
      <c r="A660" t="s">
        <v>60</v>
      </c>
      <c r="B660">
        <v>2018</v>
      </c>
      <c r="C660" t="s">
        <v>74</v>
      </c>
      <c r="D660">
        <v>1.2</v>
      </c>
    </row>
    <row r="661" spans="1:4" x14ac:dyDescent="0.45">
      <c r="A661" t="s">
        <v>59</v>
      </c>
      <c r="B661">
        <v>2019</v>
      </c>
      <c r="C661" t="s">
        <v>74</v>
      </c>
      <c r="D661">
        <v>0.5</v>
      </c>
    </row>
    <row r="662" spans="1:4" x14ac:dyDescent="0.45">
      <c r="A662" t="s">
        <v>60</v>
      </c>
      <c r="B662">
        <v>2019</v>
      </c>
      <c r="C662" t="s">
        <v>74</v>
      </c>
      <c r="D662">
        <v>1.6</v>
      </c>
    </row>
    <row r="663" spans="1:4" x14ac:dyDescent="0.45">
      <c r="A663" t="s">
        <v>59</v>
      </c>
      <c r="B663">
        <v>2020</v>
      </c>
      <c r="C663" t="s">
        <v>74</v>
      </c>
      <c r="D663">
        <v>0.4</v>
      </c>
    </row>
    <row r="664" spans="1:4" x14ac:dyDescent="0.45">
      <c r="A664" t="s">
        <v>60</v>
      </c>
      <c r="B664">
        <v>2020</v>
      </c>
      <c r="C664" t="s">
        <v>74</v>
      </c>
      <c r="D664">
        <v>2.2999999999999998</v>
      </c>
    </row>
    <row r="665" spans="1:4" x14ac:dyDescent="0.45">
      <c r="A665" t="s">
        <v>59</v>
      </c>
      <c r="B665">
        <v>2021</v>
      </c>
      <c r="C665" t="s">
        <v>74</v>
      </c>
      <c r="D665">
        <v>0.5</v>
      </c>
    </row>
    <row r="666" spans="1:4" x14ac:dyDescent="0.45">
      <c r="A666" t="s">
        <v>60</v>
      </c>
      <c r="B666">
        <v>2021</v>
      </c>
      <c r="C666" t="s">
        <v>74</v>
      </c>
      <c r="D666">
        <v>2.2000000000000002</v>
      </c>
    </row>
    <row r="667" spans="1:4" x14ac:dyDescent="0.45">
      <c r="A667" t="s">
        <v>59</v>
      </c>
      <c r="B667">
        <v>2022</v>
      </c>
      <c r="C667" t="s">
        <v>74</v>
      </c>
      <c r="D667">
        <v>0.4</v>
      </c>
    </row>
    <row r="668" spans="1:4" x14ac:dyDescent="0.45">
      <c r="A668" t="s">
        <v>60</v>
      </c>
      <c r="B668">
        <v>2022</v>
      </c>
      <c r="C668" t="s">
        <v>74</v>
      </c>
      <c r="D668">
        <v>2.2999999999999998</v>
      </c>
    </row>
    <row r="669" spans="1:4" x14ac:dyDescent="0.45">
      <c r="A669" t="s">
        <v>59</v>
      </c>
      <c r="B669">
        <v>2023</v>
      </c>
      <c r="C669" t="s">
        <v>74</v>
      </c>
    </row>
    <row r="670" spans="1:4" x14ac:dyDescent="0.45">
      <c r="A670" t="s">
        <v>60</v>
      </c>
      <c r="B670">
        <v>2023</v>
      </c>
      <c r="C670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1.8987999999999998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2.8576000000000001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1.9458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2.6978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3.2618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4.3146000000000004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4.5965999999999996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5.9501999999999997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7.3225999999999996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1.9645999999999999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2.7165999999999997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3.2993999999999999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1.9176000000000002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2.7729999999999997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3.2523999999999997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2.0116000000000001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2.9327999999999999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1.9176000000000002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2.867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3.2430000000000003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1.5416000000000001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0.16919999999999999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9.4000000000000004E-3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1.8894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2.8388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5.5000000000000005E-3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5.5000000000000005E-3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5.5000000000000005E-3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1.6499999999999997E-2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3.85E-2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5.5000000000000005E-3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1.1000000000000001E-2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1.6499999999999997E-2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2.2000000000000002E-2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4.4000000000000004E-2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7.6999999999999999E-2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5.5000000000000005E-3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5.5000000000000005E-3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5.5000000000000005E-3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5.5000000000000005E-3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1.6499999999999997E-2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2.75E-2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5.5000000000000005E-3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5.5000000000000005E-3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5.5000000000000005E-3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1.6499999999999997E-2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3.85E-2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5.5000000000000005E-3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1.6499999999999997E-2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3.2999999999999995E-2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2.75E-2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3.85E-2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7.1499999999999994E-2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0.1265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5.5000000000000005E-3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5.5000000000000005E-3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5.5000000000000005E-3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1.6499999999999997E-2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3.2999999999999995E-2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6.0500000000000005E-2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5.5000000000000005E-3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5.5000000000000005E-3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5.5000000000000005E-3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5.5000000000000005E-3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5.5000000000000005E-3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5.5000000000000005E-3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3.1399999999999997E-2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9.69E-2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0.34320000000000001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0.61419999999999997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0.92725000000000002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1.1212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8.7266999999999992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8.2204999999999995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0.9214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3.3387500000000001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0.51649999999999996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0.33699999999999997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0.19284999999999999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9.9000000000000005E-2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1.6199999999999999E-2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0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0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5.45E-3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5.6550000000000003E-2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0.72924999999999995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1.6554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1.86355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1.9355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1.5802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1.2812000000000001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0.97960000000000003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0.7157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1.7594999999999998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0.85444999999999993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0.96640000000000004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1.25E-3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8.6999999999999994E-3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2.6150000000000003E-2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0.1082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0.1222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9.2200000000000004E-2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5.7800000000000004E-2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4.5199999999999997E-2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3.5200000000000002E-2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2.8249999999999997E-2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2.0649999999999998E-2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1.115E-2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0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0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1.205E-2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0.27290000000000003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1.0264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2.5090000000000003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5.0326500000000003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8.0463000000000005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11.421299999999999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9.9694500000000001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8.4721000000000011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7.0677500000000002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5.9190500000000004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5.2590000000000003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4.4215499999999999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4.1811000000000007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4.0674000000000001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0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1.0200000000000001E-2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5.6999999999999995E-2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0.15905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0.153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0.21920000000000001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1.093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0.86955000000000005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0.69245000000000001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0.51334999999999997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0.36829999999999996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0.21639999999999998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5.16E-2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2.1650000000000003E-2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3.1299999999999994E-2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0.57420000000000004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2.5979000000000001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6.9187499999999993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14.284050000000001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20.33165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20.947050000000001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19.132550000000002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17.4054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14.96505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12.9206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10.987550000000001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7.5101999999999993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3.1690499999999999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1.6875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186.35905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212.63839999999999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181.1189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156.12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155.95280000000002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156.75184999999999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162.84375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166.54140000000001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166.47620000000001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167.57675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166.41675000000001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168.98930000000001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169.57380000000001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167.40685000000002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165.11525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162.83645000000001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160.4794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181.11065000000002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220.51364999999998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313.96294999999998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413.22315000000003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527.24610000000007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631.73509999999999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636.16184999999996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555.08230000000003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445.22315000000003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376.37880000000001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317.09090000000003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296.29084999999998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279.23340000000002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272.86969999999997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265.74620000000004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253.56675000000001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244.40230000000003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184.12434999999999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222.64895000000001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308.14890000000003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388.78764999999999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164.74610000000001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155.96764999999999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154.24180000000001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157.30734999999999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160.45285000000001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161.74115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162.8048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165.07445000000001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167.73115000000001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167.14505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166.59415000000001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165.92155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164.68530000000001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184.01429999999999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224.17444999999998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309.85415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163.72165000000001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162.4436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164.2841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169.73525000000001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173.18344999999999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173.83575000000002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175.09399999999999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175.32210000000001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173.83165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172.62915000000001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170.43869999999998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168.30914999999999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165.43335000000002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162.8621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186.44355000000002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231.74209999999999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175.67660000000001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152.5249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153.74495000000002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152.2551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150.18565000000001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146.44240000000002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142.49600000000001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142.93759999999997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143.23000000000002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144.56099999999998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145.82765000000001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146.29840000000002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147.47415000000001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147.01249999999999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146.13650000000001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183.67829999999998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214.20715000000001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199.27924999999999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184.0411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161.86574999999999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165.28035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225.67275000000001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220.3981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181.12290000000002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181.92515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182.02760000000001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181.26179999999999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180.73360000000002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180.83985000000001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180.47045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177.61490000000001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175.58010000000002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178.78149999999999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195.45335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155.13240000000002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153.01124999999999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151.89005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147.23054999999999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140.0068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133.58229999999998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131.50245000000001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132.35570000000001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133.12430000000001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135.96359999999999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138.46339999999998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139.65105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142.52695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145.90805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146.143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24.963000000000001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67.428699999999992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34.004049999999999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9.7983499999999992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10.285350000000001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12.250499999999999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15.83755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17.33015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14.72095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15.062950000000001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13.242650000000001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14.44685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13.67375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12.909800000000001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12.014200000000001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10.869949999999999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9.6465999999999994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19.7089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69.530149999999992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161.35059999999999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259.12734999999998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371.63684999999998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476.49209999999999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481.65109999999999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400.44754999999998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289.05430000000001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218.92615000000001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158.39435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136.9426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119.23965000000001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113.89160000000001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107.7569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97.211849999999998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89.64425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22.719349999999999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71.210700000000003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154.61599999999999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243.7586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16.76135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9.5977999999999994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6.8651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7.6591499999999995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8.1195500000000003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8.8506999999999998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9.3633999999999986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10.3865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11.7925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12.728100000000001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13.6921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14.1777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14.0901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22.618449999999999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72.734849999999994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156.32114999999999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18.750450000000001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15.34695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19.851700000000001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25.446399999999997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26.7651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26.178700000000003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26.15185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25.126049999999999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23.182299999999998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21.5078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20.16865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18.8719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16.734100000000002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14.87945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25.076499999999999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86.600650000000002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30.417850000000001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5.7342499999999994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4.2736499999999999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2.3030999999999997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-2.4999999999999967E-2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-1.97305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-4.6429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-3.8224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-3.0070999999999999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-2.6522999999999999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-2.3464499999999999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-1.4628999999999999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0.12760000000000002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0.45965000000000006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0.39439999999999997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22.282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68.440200000000004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52.197200000000002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35.233849999999997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11.31795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15.792400000000001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76.102500000000006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69.063900000000004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27.589849999999998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26.718350000000001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25.202349999999999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23.7745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22.574649999999998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23.3931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23.7164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21.679449999999999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20.473599999999998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17.38645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48.773499999999999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7.6738999999999997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4.8745999999999992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2.1284000000000001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-2.8233999999999999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-11.179449999999999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-16.926349999999999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-18.205350000000003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-16.791550000000001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-15.428650000000001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-13.2658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-11.429349999999999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-9.5896499999999989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-6.0677000000000003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-1.6537999999999999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-0.39594999999999997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1.315E-2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1.555E-2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2.1949999999999997E-2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3.015E-2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4.1099999999999998E-2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5.1700000000000003E-2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6.3400000000000012E-2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7.3349999999999999E-2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8.1499999999999989E-2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8.7799999999999989E-2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9.1299999999999992E-2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9.035E-2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8.829999999999999E-2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8.7650000000000006E-2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8.4650000000000003E-2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8.1449999999999995E-2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1.3299999999999999E-2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1.5949999999999999E-2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2.2800000000000001E-2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3.0450000000000001E-2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3.9550000000000002E-2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4.5749999999999999E-2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5.3499999999999999E-2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5.7849999999999999E-2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6.1850000000000002E-2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6.54E-2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6.9150000000000003E-2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6.989999999999999E-2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7.1200000000000013E-2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6.9250000000000006E-2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6.83E-2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6.6799999999999998E-2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6.5950000000000009E-2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1.345E-2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1.6199999999999999E-2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2.3050000000000001E-2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3.0249999999999999E-2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3.9699999999999999E-2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5.1299999999999998E-2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6.4849999999999991E-2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7.6399999999999996E-2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8.5449999999999998E-2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8.6650000000000005E-2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8.8200000000000001E-2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8.795E-2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8.8800000000000004E-2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8.7299999999999989E-2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8.6749999999999994E-2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8.4199999999999997E-2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8.1850000000000006E-2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1.3250000000000001E-2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1.575E-2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2.3E-2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2.9400000000000003E-2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3.9100000000000003E-2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4.8750000000000002E-2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5.7550000000000004E-2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6.9500000000000006E-2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7.825E-2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8.115E-2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8.3350000000000007E-2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8.2449999999999996E-2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8.2549999999999998E-2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8.0949999999999994E-2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8.0449999999999994E-2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7.8149999999999997E-2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7.6249999999999998E-2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1.225E-2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1.04E-2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1.155E-2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1.3849999999999999E-2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1.6750000000000001E-2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1.67E-2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1.9349999999999999E-2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2.1900000000000003E-2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2.5599999999999998E-2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2.5950000000000001E-2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2.4899999999999999E-2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2.35E-2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2.2749999999999999E-2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2.4300000000000002E-2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2.5750000000000002E-2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2.6499999999999999E-2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2.7150000000000001E-2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1.32E-2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1.575E-2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2.2249999999999999E-2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3.1149999999999997E-2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4.2300000000000004E-2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5.3199999999999997E-2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6.0249999999999998E-2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6.8949999999999997E-2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7.2849999999999998E-2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7.669999999999999E-2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7.9449999999999993E-2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7.8850000000000003E-2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7.9350000000000004E-2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7.7850000000000003E-2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7.7250000000000013E-2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7.5399999999999995E-2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7.3149999999999993E-2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1.2799999999999999E-2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1.5099999999999999E-2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0.02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2.6000000000000002E-2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3.4600000000000006E-2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4.385E-2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5.6349999999999997E-2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7.4249999999999997E-2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8.5050000000000001E-2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8.9849999999999999E-2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9.4350000000000003E-2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9.64E-2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9.8349999999999993E-2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9.6849999999999992E-2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9.6149999999999999E-2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9.2599999999999988E-2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8.9499999999999996E-2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1.7000000000000001E-2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2.0150000000000001E-2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2.1299999999999999E-2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2.3E-2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2.435E-2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3.1600000000000003E-2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4.0500000000000001E-2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4.58E-2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5.5050000000000002E-2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6.7750000000000005E-2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8.0499999999999988E-2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0.10339999999999999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0.12429999999999999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0.14795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0.17049999999999998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0.18325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0.1958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1.7649999999999999E-2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2.0549999999999999E-2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2.0549999999999999E-2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2.0299999999999999E-2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1.9200000000000002E-2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2.2950000000000002E-2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2.895E-2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3.2350000000000004E-2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4.2849999999999999E-2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5.3800000000000001E-2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6.3950000000000007E-2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8.3000000000000004E-2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0.1013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0.12090000000000001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0.13979999999999998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0.15110000000000001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0.16194999999999998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1.745E-2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2.0449999999999999E-2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2.07E-2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1.9099999999999999E-2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1.9699999999999999E-2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3.0949999999999998E-2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4.1099999999999998E-2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4.5950000000000005E-2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5.2949999999999997E-2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6.5549999999999997E-2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7.7449999999999991E-2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9.9599999999999994E-2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0.11985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0.14324999999999999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0.1658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0.17925000000000002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0.19235000000000002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1.7000000000000001E-2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2.0049999999999998E-2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2.01E-2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2.0400000000000001E-2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2.0150000000000001E-2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2.75E-2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3.465E-2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4.1050000000000003E-2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4.8850000000000005E-2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6.0650000000000003E-2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7.1599999999999997E-2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9.240000000000001E-2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0.11169999999999999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0.13419999999999999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0.15594999999999998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0.16970000000000002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0.18279999999999999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1.6750000000000001E-2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2.155E-2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2.325E-2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2.6450000000000001E-2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2.555E-2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3.4500000000000003E-2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4.6249999999999999E-2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6.1649999999999996E-2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7.7350000000000002E-2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9.35E-2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0.10795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0.12764999999999999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0.1447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0.16385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0.18104999999999999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0.19195000000000001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0.20200000000000001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1.6899999999999998E-2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2.01E-2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2.12E-2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2.3400000000000001E-2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2.5050000000000003E-2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3.2149999999999998E-2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3.7000000000000005E-2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4.2900000000000001E-2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4.8649999999999999E-2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5.9749999999999998E-2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7.1199999999999999E-2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9.1850000000000001E-2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0.11094999999999999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0.13169999999999998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0.15165000000000001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0.1641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0.17675000000000002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1.6449999999999999E-2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1.9699999999999999E-2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1.9799999999999998E-2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2.1600000000000001E-2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2.1049999999999999E-2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2.87E-2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3.8850000000000003E-2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4.8299999999999996E-2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5.8700000000000002E-2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7.3649999999999993E-2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8.695E-2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0.11125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0.13275000000000001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0.15665000000000001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0.17854999999999999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0.191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0.20315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0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3.5E-4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1.2499999999999998E-3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3.8999999999999998E-3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7.3000000000000001E-3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1.17E-2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1.77E-2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2.445E-2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2.835E-2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3.2850000000000004E-2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3.6400000000000002E-2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4.0349999999999997E-2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4.4249999999999998E-2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4.8299999999999996E-2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5.1650000000000001E-2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5.4949999999999999E-2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0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3.5E-4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1.0999999999999998E-3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2.5000000000000001E-3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4.0499999999999998E-3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6.7499999999999999E-3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1.0999999999999999E-2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1.5800000000000002E-2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1.9050000000000001E-2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2.2350000000000002E-2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2.5500000000000002E-2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2.8999999999999998E-2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3.2250000000000001E-2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3.5549999999999998E-2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3.8199999999999998E-2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4.0349999999999997E-2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0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3.5E-4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1.2499999999999998E-3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3.1999999999999997E-3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5.5999999999999999E-3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9.8999999999999991E-3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1.44E-2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2.0450000000000003E-2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2.4299999999999999E-2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2.81E-2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3.1800000000000002E-2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3.5650000000000001E-2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3.9600000000000003E-2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4.3749999999999997E-2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4.7450000000000006E-2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5.0950000000000002E-2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0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4.0000000000000002E-4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1.2499999999999998E-3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2.8500000000000001E-3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4.8999999999999998E-3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7.9000000000000008E-3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1.3850000000000001E-2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1.9450000000000002E-2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2.2749999999999999E-2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2.6250000000000002E-2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2.9699999999999997E-2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3.3399999999999999E-2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3.705E-2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4.0849999999999997E-2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4.4149999999999995E-2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4.7050000000000002E-2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0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1E-4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5.0000000000000001E-4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8.9999999999999998E-4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2.8999999999999998E-3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6.45E-3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1.1650000000000001E-2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2.3350000000000003E-2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3.8699999999999998E-2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4.5850000000000002E-2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5.2850000000000001E-2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5.4250000000000007E-2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5.5800000000000002E-2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5.7099999999999998E-2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5.9249999999999997E-2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6.0999999999999999E-2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6.2600000000000003E-2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0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4.0000000000000002E-4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1.4E-3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3.3E-3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5.5999999999999999E-3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8.5000000000000006E-3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1.3299999999999999E-2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1.7950000000000001E-2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2.095E-2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2.4649999999999998E-2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2.8049999999999999E-2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3.1600000000000003E-2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3.5049999999999998E-2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3.8449999999999998E-2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4.1249999999999995E-2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4.4149999999999995E-2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0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4.0000000000000002E-4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1.2999999999999999E-3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3.65E-3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7.4000000000000003E-3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1.2800000000000001E-2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2.0249999999999997E-2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2.8250000000000001E-2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3.3300000000000003E-2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3.7999999999999999E-2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4.2349999999999999E-2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4.65E-2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5.0450000000000002E-2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5.4399999999999997E-2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5.7499999999999996E-2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6.0450000000000004E-2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5.5216500000000002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6.60215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6.0046499999999998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5.1157500000000002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8.59145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5.8168000000000006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1.71675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2.2217500000000001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2.3062499999999999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2.3628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2.2217500000000001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1.8105500000000001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5.1727499999999997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5.7955500000000004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65.189400000000006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61.863749999999996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82.202550000000002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79.196349999999995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87.863900000000001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93.5762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99.286950000000004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113.702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175.04315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208.89075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242.73840000000001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242.93020000000001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243.12205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251.51634999999999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259.91070000000002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261.23194999999998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262.55314999999996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65.189400000000006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72.009600000000006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82.546750000000003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82.314250000000001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92.362349999999992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101.91849999999999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108.10325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124.46765000000001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197.66784999999999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236.26935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274.87090000000001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280.97659999999996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287.08224999999999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288.87919999999997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290.67615000000001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300.19495000000001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309.71379999999999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65.189400000000006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72.009600000000006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82.546750000000003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69.214550000000003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86.607200000000006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96.995800000000003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100.6613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116.69974999999999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175.08449999999999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209.59895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244.11335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249.99084999999999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255.86834999999999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259.85789999999997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263.84739999999999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267.02665000000002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270.20580000000001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65.189400000000006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72.009600000000006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82.546750000000003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64.376100000000008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84.286650000000009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97.598600000000005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102.87139999999999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116.9101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179.79354999999998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216.17214999999999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252.55079999999998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256.21690000000001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259.88295000000005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261.11509999999998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262.34730000000002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273.11149999999998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283.87569999999999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65.189400000000006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58.44885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67.760549999999995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74.5047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80.313099999999991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79.373799999999989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74.836749999999995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113.1446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179.99435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213.91899999999998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247.84360000000001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270.81659999999999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293.78949999999998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306.5256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319.26165000000003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340.33254999999997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361.40345000000002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65.189400000000006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67.619100000000003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81.937299999999993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81.215550000000007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91.770399999999995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101.27515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106.26400000000001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123.79705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188.26465000000002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223.32920000000001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258.39369999999997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261.06795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263.74220000000003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264.43470000000002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265.12720000000002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275.90345000000002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286.67975000000001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65.189400000000006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57.665100000000002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79.625100000000003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81.678049999999999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88.534649999999999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89.913350000000008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100.87350000000001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116.5746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183.90429999999998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231.2432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278.58215000000001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296.42349999999999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314.26490000000001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359.90930000000003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405.55369999999999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320.20389999999998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234.85415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7.1000000000000004E-3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1E-4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7.1000000000000004E-3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2.9999999999999997E-4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5.0000000000000002E-5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1.9999999999999998E-4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5.9999999999999995E-4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2.2500000000000003E-3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3.8500000000000001E-3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8.9499999999999996E-3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1.84E-2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7.0000000000000001E-3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2.9999999999999997E-4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7.1000000000000004E-3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2.9999999999999997E-4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6.9999999999999999E-4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2.2000000000000001E-3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3.0500000000000002E-3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4.0499999999999998E-3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3.7499999999999999E-3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3.5500000000000002E-3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3.6499999999999996E-3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3.8500000000000001E-3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5.7999999999999996E-3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7.7499999999999999E-3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6.7000000000000002E-3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2.0000000000000001E-4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7.1000000000000004E-3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2.0000000000000001E-4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5.0000000000000002E-5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2.0000000000000001E-4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3.5E-4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9.5E-4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1.5999999999999999E-3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3.8000000000000004E-3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6.5000000000000006E-3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7.0000000000000001E-3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1E-4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1E-4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1E-4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1E-4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1E-4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1E-4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1E-4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1E-4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5.0000000000000002E-5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1E-4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1E-4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2.9999999999999997E-4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4.0000000000000002E-4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5.9999999999999995E-4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6.9999999999999999E-4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8.5000000000000006E-4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5.9999999999999995E-4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5.0000000000000001E-4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2.9999999999999997E-4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4.0000000000000002E-4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5.9999999999999995E-4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7.5000000000000002E-4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9.5E-4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1.0500000000000002E-3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1.1999999999999999E-3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1E-4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2.0000000000000001E-4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2.0000000000000001E-4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0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2.0000000000000001E-4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2.9999999999999997E-4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2.5000000000000001E-4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2.5000000000000001E-4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3.9999999999999996E-4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5.0000000000000001E-4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5.0000000000000001E-4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4.0000000000000002E-4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3.5E-4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2.9999999999999997E-4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2.0000000000000001E-4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1E-4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1E-4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1E-4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1E-4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1E-4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2.0000000000000001E-4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2.9999999999999997E-4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2.9999999999999997E-4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4.0000000000000002E-4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4.0000000000000002E-4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3.5E-4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2.9999999999999997E-4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2.0000000000000001E-4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1E-4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1E-4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1E-4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0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0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1E-4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5.9999999999999995E-4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1.2999999999999999E-3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2.2500000000000003E-3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3.8E-3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8.0500000000000016E-3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1.7250000000000001E-2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3.0449999999999998E-2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4.6949999999999999E-2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4.7899999999999998E-2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4.5999999999999999E-2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4.3249999999999997E-2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4.0300000000000002E-2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3.8199999999999998E-2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3.585E-2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3.6199999999999996E-2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3.6250000000000004E-2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1E-4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6.9999999999999999E-4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2.8999999999999998E-3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8.7500000000000008E-3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1.9599999999999999E-2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3.6000000000000004E-2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5.765E-2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5.9499999999999997E-2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5.3650000000000003E-2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5.0849999999999999E-2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4.3249999999999997E-2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4.8050000000000002E-2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4.9700000000000001E-2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6.6400000000000001E-2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7.9000000000000001E-2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0.107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0.1305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1E-4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6.9999999999999999E-4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2.8E-3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8.150000000000001E-3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3.8E-3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8.0999999999999996E-3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1.8299999999999997E-2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3.4299999999999997E-2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5.2999999999999999E-2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5.1000000000000004E-2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4.8399999999999999E-2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4.4900000000000002E-2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4.2349999999999999E-2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4.0349999999999997E-2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3.7650000000000003E-2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3.85E-2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3.8349999999999995E-2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1E-4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6.9999999999999999E-4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2.8E-3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2.0999999999999999E-3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7.0500000000000007E-3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2.0999999999999998E-2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4.3249999999999997E-2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7.9199999999999993E-2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0.11830000000000002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0.127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0.12920000000000001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0.11835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0.10865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9.6949999999999995E-2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8.6249999999999993E-2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7.5249999999999997E-2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6.6900000000000001E-2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1E-4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5.9999999999999995E-4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6.9999999999999999E-4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1.2999999999999999E-3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2.5999999999999999E-3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5.2499999999999995E-3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1.03E-2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1.3749999999999998E-2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2.5950000000000001E-2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3.1350000000000003E-2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3.2750000000000001E-2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3.2799999999999996E-2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3.1300000000000001E-2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2.87E-2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2.5149999999999999E-2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2.615E-2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2.7200000000000002E-2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1E-4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5.9999999999999995E-4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1.4E-3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2.3E-3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4.15E-3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0.01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4.8149999999999998E-2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7.7199999999999991E-2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5.91E-2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5.7599999999999998E-2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5.525E-2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5.2400000000000002E-2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5.015E-2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5.3849999999999995E-2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5.7000000000000002E-2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5.885E-2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6.0999999999999999E-2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1E-4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5.0000000000000001E-4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1.1999999999999999E-3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3.2500000000000003E-3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9.4500000000000001E-3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2.41E-2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5.2600000000000001E-2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8.8150000000000006E-2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0.12345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0.12135000000000001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0.1169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0.1055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9.6000000000000002E-2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8.6900000000000005E-2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6.4500000000000002E-2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2.955E-2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1.6449999999999999E-2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9.4899999999999998E-2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0.1774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0.2382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0.43140000000000001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0.74629999999999996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1.43E-2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1.83E-2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2.2100000000000002E-2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2.6800000000000001E-2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0.03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3.4200000000000001E-2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4.07E-2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1.6199999999999999E-2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2.1100000000000001E-2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1.9199999999999998E-2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1.7600000000000001E-2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1.8200000000000001E-2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2.4400000000000002E-2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2.8500000000000001E-2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1E-4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5.0000000000000001E-4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3.8999999999999998E-3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8.8999999999999999E-3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1E-4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1.2999999999999999E-3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4.1999999999999997E-3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1.8987999999999998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2.8576000000000001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5.5000000000000005E-3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5.5000000000000005E-3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5.5000000000000005E-3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1.6499999999999997E-2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3.85E-2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1.3511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3.5651000000000002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3.1457000000000002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5.367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7.0838000000000001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7.4763000000000002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8.7202999999999999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1.9661999999999999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1.615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1.7063999999999999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2.1709999999999998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1.9769000000000001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2.6179000000000001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2.0156999999999998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2.2633000000000001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2.8098999999999998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3.3917999999999999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3.9051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4.1246999999999998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4.9743000000000004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4.4941000000000004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4.8894000000000002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5.0796999999999999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5.641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5.3113999999999999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175.74879999999999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174.17500000000001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159.6277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158.4812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155.78460000000001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154.30719999999999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151.11609999999999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13.957599999999999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18.988299999999999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10.1265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10.780200000000001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10.55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12.7875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12.8865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1.49E-2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1.83E-2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2.2200000000000001E-2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2.9899999999999999E-2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3.5499999999999997E-2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3.8199999999999998E-2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4.1099999999999998E-2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1.7600000000000001E-2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2.2200000000000001E-2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2.1999999999999999E-2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2.07E-2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2.2200000000000001E-2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2.9899999999999999E-2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3.5900000000000001E-2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1E-4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2.0000000000000001E-4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5.9999999999999995E-4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1.4E-3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2.5999999999999999E-3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1.9458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2.6978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3.2618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4.3146000000000004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4.5965999999999996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5.9501999999999997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7.3225999999999996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5.5000000000000005E-3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1.1000000000000001E-2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1.6499999999999997E-2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2.2000000000000002E-2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4.4000000000000004E-2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7.6999999999999999E-2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1.3511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4.2782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2.5712000000000002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2.1154000000000002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4.1441999999999997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3.4339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2.8203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1.9661999999999999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1.603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1.4175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1.5760000000000001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1.661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1.7467999999999999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1.841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2.0156999999999998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2.2612000000000001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2.3734000000000002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3.0924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3.2919999999999998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3.6415999999999999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3.9622999999999999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4.6092000000000004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5.0312999999999999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5.5602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6.0583999999999998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175.60409999999999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173.21449999999999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174.99260000000001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182.92169999999999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185.8965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194.43350000000001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195.38499999999999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13.8072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18.0793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21.968399999999999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29.657399999999999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32.673499999999997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43.744799999999998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47.146099999999997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0.12479999999999999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0.1694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0.2964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0.49730000000000002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1.52E-2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1.8800000000000001E-2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2.3099999999999999E-2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2.75E-2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3.1399999999999997E-2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3.61E-2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4.3099999999999999E-2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1.7899999999999999E-2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2.2800000000000001E-2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2.29E-2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1.9E-2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1.8800000000000001E-2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2.4899999999999999E-2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3.09E-2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1E-4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5.0000000000000001E-4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4.1999999999999997E-3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1.03E-2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1.1999999999999999E-3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3.5000000000000001E-3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7.1000000000000004E-3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1.9645999999999999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2.7165999999999997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3.2993999999999999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5.5000000000000005E-3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5.5000000000000005E-3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5.5000000000000005E-3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5.5000000000000005E-3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1.6499999999999997E-2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2.75E-2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1.3511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4.2782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2.5712000000000002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8.2174999999999994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11.3034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1.9661999999999999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1.603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1.4175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2.0849000000000002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2.6640999999999999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2.0156999999999998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2.2612000000000001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2.3734000000000002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3.4872000000000001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4.0233999999999996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4.2594000000000003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5.1487999999999996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4.6092000000000004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5.8960999999999997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5.1154000000000002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175.64570000000001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173.73509999999999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176.04580000000001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166.33009999999999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163.02000000000001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161.02000000000001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157.22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13.841799999999999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18.129100000000001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22.085699999999999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14.1172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13.4542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15.9315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16.117999999999999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4.1099999999999998E-2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4.8800000000000003E-2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0.2114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0.26469999999999999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1.47E-2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1.8800000000000001E-2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2.23E-2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2.8400000000000002E-2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3.3399999999999999E-2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3.8399999999999997E-2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4.5499999999999999E-2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1.67E-2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2.1999999999999999E-2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2.1999999999999999E-2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1.95E-2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1.9800000000000002E-2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2.81E-2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3.5999999999999997E-2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1E-4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4.0000000000000002E-4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1.1000000000000001E-3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2.8999999999999998E-3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5.5999999999999999E-3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1E-4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1.9176000000000002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2.7729999999999997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3.2523999999999997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5.5000000000000005E-3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5.5000000000000005E-3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5.5000000000000005E-3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1.6499999999999997E-2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3.85E-2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1.3511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4.2782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2.5712000000000002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3.4333999999999998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6.8171999999999997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5.7111999999999998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1.9661999999999999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1.603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1.4175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2.2206999999999999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2.1526000000000001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2.0146000000000002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2.0156999999999998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2.2612000000000001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2.3734000000000002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3.6726999999999999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3.9340999999999999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4.1013000000000002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5.0133999999999999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4.6092000000000004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5.6050000000000004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6.1375999999999999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6.4734999999999996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175.25890000000001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173.90729999999999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175.9906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164.62129999999999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162.01220000000001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159.07329999999999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155.11109999999999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13.4611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18.291899999999998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22.0152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12.023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11.9206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14.4655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15.454499999999999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0.24440000000000001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0.50380000000000003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1.0972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1.6634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1.2586999999999999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1.4500000000000001E-2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1.8200000000000001E-2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2.93E-2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3.2099999999999997E-2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3.32E-2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3.8600000000000002E-2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4.36E-2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1.5699999999999999E-2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2.0899999999999998E-2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2.5100000000000001E-2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2.7199999999999998E-2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3.2000000000000001E-2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3.4099999999999998E-2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3.56E-2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1E-4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5.0000000000000001E-4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1.4E-3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1.9E-3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6.6E-3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1.06E-2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1.8E-3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4.4000000000000003E-3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8.6999999999999994E-3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1.26E-2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1.29E-2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2.0116000000000001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2.9327999999999999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5.5000000000000005E-3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1.6499999999999997E-2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3.2999999999999995E-2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2.75E-2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3.85E-2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7.1499999999999994E-2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0.1265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1.3511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3.5651000000000002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0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5.2774999999999999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10.8195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1.9661999999999999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1.615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3.9855999999999998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4.6886999999999999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5.4470999999999998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2.0156999999999998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2.2633000000000001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0.78639999999999999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3.5508000000000002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4.4855999999999998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4.9785000000000004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4.4941000000000004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8.0112000000000005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3.7957999999999998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176.46809999999999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176.7336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169.5821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171.70760000000001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172.01300000000001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161.02330000000001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154.86349999999999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14.650399999999999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20.556699999999999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19.3126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22.266999999999999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23.139700000000001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15.4323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11.8912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1.46E-2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1.8499999999999999E-2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2.1899999999999999E-2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2.8500000000000001E-2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3.3599999999999998E-2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3.6600000000000001E-2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1.6199999999999999E-2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2.1000000000000001E-2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2.1000000000000001E-2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1.8700000000000001E-2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1.9400000000000001E-2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2.6499999999999999E-2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3.2300000000000002E-2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1E-4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4.0000000000000002E-4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1.1000000000000001E-3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2.7000000000000001E-3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4.4000000000000003E-3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1.9176000000000002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2.867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3.2430000000000003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1.5416000000000001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0.16919999999999999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9.4000000000000004E-3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9.4000000000000004E-3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5.5000000000000005E-3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5.5000000000000005E-3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5.5000000000000005E-3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1.6499999999999997E-2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3.2999999999999995E-2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6.0500000000000005E-2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1.3511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3.5651000000000002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2.8376000000000001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2.1943000000000001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5.9964000000000004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3.6823000000000001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1.9661999999999999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1.615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1.3788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1.5017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1.5983000000000001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2.0156999999999998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2.2633000000000001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2.4053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3.262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3.7614000000000001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3.9350000000000001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4.7306999999999997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4.4941000000000004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5.2838000000000003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5.2546999999999997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6.1520999999999999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6.2039999999999997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175.22280000000001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173.554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174.9956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170.4616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165.70670000000001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164.91829999999999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163.2336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13.434100000000001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18.377099999999999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21.7165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17.762799999999999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13.9306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15.8422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16.4787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0.1623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0.32090000000000002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1.0188999999999999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1.3147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2.2347999999999999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1.32E-2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1.6299999999999999E-2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1.7899999999999999E-2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2.1100000000000001E-2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2.52E-2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2.7799999999999998E-2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3.2199999999999999E-2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1.61E-2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2.0799999999999999E-2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1.7899999999999999E-2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1.6500000000000001E-2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1.5599999999999999E-2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1.9900000000000001E-2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2.9100000000000001E-2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1E-4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8.9999999999999998E-4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2.8E-3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7.7999999999999996E-3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5.0000000000000001E-3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1.5E-3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4.8999999999999998E-3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1.12E-2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1.7600000000000001E-2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2.5399999999999999E-2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1.8894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2.8388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5.5000000000000005E-3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5.5000000000000005E-3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5.5000000000000005E-3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5.5000000000000005E-3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5.5000000000000005E-3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5.5000000000000005E-3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1.3511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3.5651000000000002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28.259699999999999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24.4223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35.164099999999998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1.9661999999999999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1.615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9.1289999999999996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9.7355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11.7827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2.0156999999999998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2.2633000000000001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5.9455999999999998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2.2160000000000002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5.7712000000000003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6.9189999999999996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8.0222999999999995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4.4941000000000004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6.2022000000000004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6.0152000000000001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10.097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3.2585000000000002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3.4138999999999999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175.5436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174.88239999999999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157.9922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156.3331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155.5763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155.6808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151.89250000000001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13.7745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18.831900000000001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8.6494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8.2187000000000001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8.3461999999999996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12.1435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11.749700000000001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6.2799999999999995E-2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0.22059999999999999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0.44819999999999999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0.76239999999999997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1.1082000000000001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1.2937000000000001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10.542199999999999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9.4329999999999998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1.0271999999999999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0.74180000000000001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0.56269999999999998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0.36749999999999999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0.20949999999999999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0.1076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1.9300000000000001E-2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1.3100000000000001E-2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1.55E-2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2.1999999999999999E-2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3.0200000000000001E-2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4.0899999999999999E-2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5.1200000000000002E-2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6.2700000000000006E-2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7.2700000000000001E-2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8.1199999999999994E-2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8.8099999999999998E-2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9.1700000000000004E-2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9.0300000000000005E-2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9.0399999999999994E-2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8.8099999999999998E-2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8.7400000000000005E-2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8.4199999999999997E-2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8.0699999999999994E-2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1.7000000000000001E-2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2.0199999999999999E-2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2.1700000000000001E-2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2.4500000000000001E-2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2.52E-2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3.2000000000000001E-2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4.0300000000000002E-2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4.48E-2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5.4800000000000001E-2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6.7400000000000002E-2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7.9799999999999996E-2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0.10249999999999999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0.1234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0.1469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0.1691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0.18149999999999999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4.0000000000000002E-4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1.4E-3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3.8999999999999998E-3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7.1999999999999998E-3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1.15E-2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1.7500000000000002E-2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2.3900000000000001E-2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2.8000000000000001E-2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3.2500000000000001E-2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3.5999999999999997E-2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3.9699999999999999E-2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4.3400000000000001E-2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4.7300000000000002E-2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5.0599999999999999E-2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5.3900000000000003E-2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5.9999999999999995E-4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1.1999999999999999E-3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2.3E-3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4.1999999999999997E-3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8.2000000000000007E-3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1.7299999999999999E-2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2.9700000000000001E-2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4.3799999999999999E-2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4.5400000000000003E-2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4.41E-2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4.1700000000000001E-2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3.9E-2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3.7100000000000001E-2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3.49E-2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3.5200000000000002E-2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3.5200000000000002E-2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7.1000000000000004E-3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1E-4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65.189400000000006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61.921999999999997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82.555199999999999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79.682100000000005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87.122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93.372500000000002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99.019000000000005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111.72839999999999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175.65369999999999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208.1696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240.68549999999999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240.43770000000001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240.19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246.29499999999999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252.4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256.17939999999999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259.9588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185.23089999999999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210.1405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152.6874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152.3152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153.69239999999999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155.68860000000001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162.71520000000001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165.72389999999999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165.92570000000001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166.9271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165.71440000000001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168.3048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169.333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167.5445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165.62029999999999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163.3262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160.9015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23.836099999999998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64.900400000000005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7.9414999999999996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7.5510999999999999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7.9295999999999998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9.8742999999999999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15.8916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16.715399999999999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14.288600000000001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14.5322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12.6632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13.8675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13.5268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13.132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12.5943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11.428800000000001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10.1328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1.2500000000000001E-2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1.49E-2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2.2700000000000001E-2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3.0200000000000001E-2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3.95E-2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4.5600000000000002E-2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5.3199999999999997E-2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5.74E-2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6.1600000000000002E-2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6.5100000000000005E-2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6.83E-2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6.8599999999999994E-2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6.9500000000000006E-2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6.7000000000000004E-2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6.5299999999999997E-2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6.3399999999999998E-2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6.2399999999999997E-2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1.77E-2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2.0500000000000001E-2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0.02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1.9900000000000001E-2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1.84E-2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2.1499999999999998E-2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2.6800000000000001E-2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3.1600000000000003E-2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4.2000000000000003E-2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5.2699999999999997E-2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6.2300000000000001E-2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8.0500000000000002E-2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9.8199999999999996E-2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0.11650000000000001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0.1341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0.1439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0.1535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4.0000000000000002E-4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1.1999999999999999E-3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2.5000000000000001E-3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4.0000000000000001E-3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6.7999999999999996E-3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1.12E-2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1.6199999999999999E-2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1.9400000000000001E-2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2.24E-2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2.53E-2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2.86E-2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3.1600000000000003E-2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3.6799999999999999E-2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3.8699999999999998E-2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6.9999999999999999E-4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2.8999999999999998E-3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8.6999999999999994E-3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1.9400000000000001E-2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3.5000000000000003E-2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5.5599999999999997E-2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5.8099999999999999E-2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5.9499999999999997E-2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5.8099999999999999E-2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5.0099999999999999E-2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5.4800000000000001E-2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5.5500000000000001E-2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7.3800000000000004E-2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8.77E-2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0.1171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0.14169999999999999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7.1000000000000004E-3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2.9999999999999997E-4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2.9999999999999997E-4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5.9999999999999995E-4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1.2999999999999999E-3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2.2000000000000001E-3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4.5999999999999999E-3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7.7999999999999996E-3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1E-4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1E-4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2.9999999999999997E-4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4.0000000000000002E-4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5.0000000000000001E-4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6.9999999999999999E-4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8.0000000000000004E-4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5.9999999999999995E-4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5.0000000000000001E-4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2.9999999999999997E-4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4.0000000000000002E-4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5.9999999999999995E-4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6.9999999999999999E-4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8.9999999999999998E-4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1.1999999999999999E-3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65.189400000000006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71.6417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82.322000000000003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82.177400000000006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92.134299999999996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101.5192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107.2972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123.56440000000001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196.03030000000001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233.6643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271.29840000000002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277.58589999999998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283.87329999999997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285.35829999999999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286.8433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296.0446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305.24590000000001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179.82310000000001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218.9076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314.62520000000001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410.36320000000001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522.87440000000004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619.7518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619.75660000000005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541.37840000000006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456.21719999999999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385.661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323.63330000000002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298.6823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278.41930000000002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273.75819999999999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267.8032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257.096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248.24770000000001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18.4297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67.89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161.95509999999999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256.32990000000001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367.73390000000001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465.54899999999998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466.8295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388.87740000000002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302.54320000000001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230.53550000000001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167.09399999999999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140.90199999999999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119.40470000000001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115.08880000000001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109.4522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99.993899999999996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92.355000000000004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5.8599999999999999E-2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1.08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2.1162000000000001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2.0731000000000002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2.2896000000000001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1.8596999999999999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1.4932000000000001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1.1428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0.82769999999999999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0.48330000000000001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0.20050000000000001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1.2571000000000001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2.5000000000000001E-3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1.3100000000000001E-2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1.55E-2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2.3E-2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3.0300000000000001E-2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4.0599999999999997E-2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5.0799999999999998E-2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6.4199999999999993E-2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7.5600000000000001E-2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8.5900000000000004E-2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8.7400000000000005E-2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8.8700000000000001E-2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8.8300000000000003E-2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8.8900000000000007E-2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8.6999999999999994E-2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8.6099999999999996E-2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8.3500000000000005E-2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8.1000000000000003E-2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1.7000000000000001E-2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1.9699999999999999E-2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1.9300000000000001E-2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1.9E-2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2.1999999999999999E-2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3.09E-2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4.0899999999999999E-2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4.4900000000000002E-2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5.28E-2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6.5199999999999994E-2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7.6600000000000001E-2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9.8500000000000004E-2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0.1187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0.14180000000000001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0.16400000000000001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0.17710000000000001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0.18990000000000001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4.0000000000000002E-4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1.1999999999999999E-3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3.0999999999999999E-3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5.3E-3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8.6999999999999994E-3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1.4E-2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2.0400000000000001E-2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2.4299999999999999E-2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2.8199999999999999E-2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3.2000000000000001E-2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3.5799999999999998E-2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3.9600000000000003E-2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4.3499999999999997E-2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4.7100000000000003E-2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5.0500000000000003E-2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6.9999999999999999E-4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2.8E-3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8.2000000000000007E-3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3.8999999999999998E-3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8.3999999999999995E-3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1.8599999999999998E-2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3.39E-2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5.16E-2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4.9700000000000001E-2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4.7100000000000003E-2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4.2700000000000002E-2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3.9300000000000002E-2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3.7400000000000003E-2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3.4500000000000003E-2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3.4700000000000002E-2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3.4099999999999998E-2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7.0000000000000001E-3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2.9999999999999997E-4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1E-4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2.0000000000000001E-4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2.0000000000000001E-4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65.189400000000006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71.6417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82.322000000000003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68.520799999999994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86.9435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95.804100000000005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100.61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115.91070000000001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174.76320000000001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209.32820000000001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243.8931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248.1831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252.47300000000001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256.3689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260.2647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267.13749999999999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274.0102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187.37700000000001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226.36359999999999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309.54079999999999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386.78370000000001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157.5317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154.5147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153.29519999999999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156.68510000000001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160.0386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161.48230000000001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162.65690000000001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164.25239999999999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166.48089999999999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165.78139999999999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165.3244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164.08029999999999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162.04060000000001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25.981100000000001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74.888499999999993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155.9478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241.84379999999999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11.5038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8.4640000000000004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6.1853999999999996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7.2142999999999997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7.7514000000000003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8.6387999999999998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9.27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9.6090999999999998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10.582000000000001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11.415100000000001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12.4856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12.426299999999999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11.563499999999999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1.35E-2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0.12520000000000001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0.22059999999999999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0.2379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0.17730000000000001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0.1091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8.5199999999999998E-2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6.6400000000000001E-2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5.4199999999999998E-2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4.0399999999999998E-2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2.1899999999999999E-2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1.3100000000000001E-2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1.55E-2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2.3E-2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2.92E-2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3.8600000000000002E-2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4.9000000000000002E-2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6.1600000000000002E-2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7.3499999999999996E-2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8.6099999999999996E-2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8.77E-2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8.7599999999999997E-2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8.5999999999999993E-2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8.5599999999999996E-2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8.3699999999999997E-2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8.2900000000000001E-2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8.0199999999999994E-2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7.7600000000000002E-2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1.7000000000000001E-2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1.9699999999999999E-2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1.9300000000000001E-2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2.06E-2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2.2499999999999999E-2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2.93E-2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3.7699999999999997E-2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4.2599999999999999E-2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5.0700000000000002E-2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6.3100000000000003E-2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7.4099999999999999E-2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9.5100000000000004E-2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0.1143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0.13689999999999999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0.15859999999999999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0.1716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0.18379999999999999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4.0000000000000002E-4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1.2999999999999999E-3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3.0000000000000001E-3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5.4000000000000003E-3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8.8000000000000005E-3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1.4500000000000001E-2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2.0799999999999999E-2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2.4400000000000002E-2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2.8000000000000001E-2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3.1399999999999997E-2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3.49E-2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3.85E-2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4.2299999999999997E-2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4.5499999999999999E-2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4.8300000000000003E-2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6.9999999999999999E-4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2.8E-3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2.3E-3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1.0200000000000001E-2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3.0800000000000001E-2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5.8700000000000002E-2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8.0500000000000002E-2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9.0800000000000006E-2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8.5800000000000001E-2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8.0600000000000005E-2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7.5399999999999995E-2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7.0800000000000002E-2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6.5799999999999997E-2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5.9499999999999997E-2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5.5E-2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5.0599999999999999E-2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7.0000000000000001E-3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2.9999999999999997E-4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2.0000000000000001E-4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5.9999999999999995E-4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8.0000000000000004E-4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6.9999999999999999E-4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6.9999999999999999E-4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6.9999999999999999E-4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5.0000000000000001E-4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4.0000000000000002E-4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2.9999999999999997E-4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1E-4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1E-4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2.0000000000000001E-4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65.189400000000006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71.6417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82.322000000000003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56.825000000000003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80.382400000000004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95.475800000000007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100.7205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112.4838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180.77109999999999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216.25239999999999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251.7337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256.35910000000001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260.98450000000003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264.11110000000002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267.23770000000002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277.30810000000002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287.37849999999997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184.65799999999999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224.7448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310.31110000000001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162.33269999999999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154.3074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156.0436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158.77809999999999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158.14320000000001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154.73320000000001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155.4913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156.31870000000001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157.2268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158.04910000000001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158.0009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157.5523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155.9091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153.92590000000001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23.262599999999999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73.269199999999998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156.71729999999999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18.4297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10.2516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12.2431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14.301500000000001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12.0854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7.2900999999999998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7.0811000000000002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6.9683000000000002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7.7285000000000004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8.3806999999999992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9.4019999999999992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9.9984000000000002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9.1746999999999996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7.9919000000000002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1.83E-2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0.28289999999999998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1.0223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2.3599000000000001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4.6130000000000004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7.3281999999999998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10.881399999999999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9.6701999999999995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8.1347000000000005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7.2126999999999999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6.3540000000000001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5.7531999999999996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5.2724000000000002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4.8718000000000004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4.5837000000000003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1.23E-2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1.04E-2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1.15E-2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1.38E-2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1.66E-2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1.6400000000000001E-2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1.8499999999999999E-2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2.1000000000000001E-2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2.47E-2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2.53E-2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2.4299999999999999E-2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2.3E-2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2.24E-2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2.3800000000000002E-2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2.52E-2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2.5399999999999999E-2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2.5600000000000001E-2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1.7000000000000001E-2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2.2100000000000002E-2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2.29E-2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2.6200000000000001E-2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2.5100000000000001E-2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3.49E-2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4.7199999999999999E-2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6.0499999999999998E-2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7.6700000000000004E-2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9.2399999999999996E-2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0.1067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0.12640000000000001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0.14369999999999999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0.16170000000000001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0.17799999999999999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0.188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0.1971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5.0000000000000001E-4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8.0000000000000004E-4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3.0000000000000001E-3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6.4000000000000003E-3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1.2E-2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2.1600000000000001E-2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3.6499999999999998E-2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4.36E-2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5.0599999999999999E-2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5.2200000000000003E-2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5.3699999999999998E-2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5.57E-2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5.8299999999999998E-2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5.9900000000000002E-2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6.1400000000000003E-2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5.9999999999999995E-4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6.9999999999999999E-4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1.1999999999999999E-3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2.2000000000000001E-3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3.8E-3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5.7000000000000002E-3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8.3000000000000001E-3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1.43E-2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1.8700000000000001E-2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1.9900000000000001E-2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2.1999999999999999E-2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2.23E-2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2.1999999999999999E-2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2.1899999999999999E-2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2.5499999999999998E-2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2.8500000000000001E-2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6.7000000000000002E-3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2.0000000000000001E-4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1E-4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1E-4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1E-4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65.189400000000006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58.661700000000003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68.229900000000001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75.018900000000002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79.469300000000004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76.842299999999994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75.689099999999996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112.3095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177.87960000000001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207.03749999999999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236.19540000000001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256.12860000000001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276.06169999999997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288.7824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301.50299999999999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319.31810000000002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337.13319999999999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187.51249999999999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230.9323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170.39089999999999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152.0455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153.4837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152.3665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150.9195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147.62090000000001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143.70830000000001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144.12559999999999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144.59350000000001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145.2799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146.15780000000001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146.69710000000001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147.4879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147.7004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147.3622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26.1374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85.734200000000001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25.0868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5.2401999999999997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4.0330000000000004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2.4401999999999999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0.60460000000000003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-0.91349999999999998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-3.4131999999999998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-2.5537000000000001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-1.5226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-1.7958000000000001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-1.8573999999999999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-0.88460000000000005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0.34100000000000003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1.2934000000000001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1.7183999999999999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1.6500000000000001E-2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7.9899999999999999E-2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0.16969999999999999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0.15379999999999999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0.2198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0.94879999999999998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0.8669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0.70199999999999996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0.51349999999999996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0.36969999999999997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0.2087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4.7300000000000002E-2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1.9300000000000001E-2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1.3299999999999999E-2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1.5900000000000001E-2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2.24E-2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3.1199999999999999E-2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4.2099999999999999E-2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5.2900000000000003E-2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6.2199999999999998E-2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7.0199999999999999E-2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7.4099999999999999E-2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7.7399999999999997E-2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7.9699999999999993E-2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7.9000000000000001E-2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7.9100000000000004E-2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7.7299999999999994E-2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7.6300000000000007E-2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7.3899999999999993E-2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7.1199999999999999E-2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1.6799999999999999E-2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1.9900000000000001E-2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2.1000000000000001E-2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2.3300000000000001E-2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2.5100000000000001E-2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3.2099999999999997E-2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3.8699999999999998E-2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4.3400000000000001E-2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4.8599999999999997E-2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5.9200000000000003E-2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7.0400000000000004E-2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9.06E-2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0.1094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0.12939999999999999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0.1484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0.1598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0.17150000000000001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4.0000000000000002E-4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1.4E-3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3.3E-3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5.4999999999999997E-3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8.5000000000000006E-3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1.3599999999999999E-2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1.8499999999999999E-2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2.1399999999999999E-2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2.5000000000000001E-2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2.8299999999999999E-2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3.1699999999999999E-2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3.49E-2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3.7999999999999999E-2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4.0399999999999998E-2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4.2999999999999997E-2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5.9999999999999995E-4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1.4E-3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2.2000000000000001E-3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4.3E-3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4.19E-2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7.4999999999999997E-2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5.7599999999999998E-2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5.6000000000000001E-2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5.3699999999999998E-2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5.0999999999999997E-2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5.11E-2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5.3100000000000001E-2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5.3999999999999999E-2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5.5100000000000003E-2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7.1000000000000004E-3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1E-4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5.0000000000000001E-4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8.9999999999999998E-4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2.5000000000000001E-3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4.4000000000000003E-3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1E-4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2.0000000000000001E-4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2.9999999999999997E-4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2.9999999999999997E-4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4.0000000000000002E-4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4.0000000000000002E-4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2.9999999999999997E-4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2.9999999999999997E-4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2.0000000000000001E-4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1E-4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65.189400000000006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67.219700000000003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81.729200000000006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81.053100000000001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91.525800000000004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100.8032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105.5977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122.996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186.6404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221.33600000000001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256.03149999999999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258.7167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261.40190000000001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261.93950000000001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262.47710000000001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273.22559999999999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283.9742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185.17009999999999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214.815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199.4316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179.27549999999999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161.99209999999999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165.64240000000001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216.03020000000001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218.52930000000001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181.78569999999999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182.87049999999999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183.2484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182.38509999999999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181.73820000000001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180.80359999999999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179.68530000000001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176.453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174.0772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23.773399999999999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69.313699999999997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52.578800000000001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30.2822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10.978999999999999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15.277699999999999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65.797300000000007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66.323400000000007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26.9057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26.2241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24.8889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23.600899999999999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22.523299999999999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22.659700000000001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22.591899999999999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20.352399999999999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18.9816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3.0499999999999999E-2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0.626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2.7054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6.9082999999999997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14.0783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20.159600000000001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21.542400000000001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19.755600000000001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18.028400000000001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15.5373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13.571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11.670400000000001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8.2973999999999997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3.3874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1.6537999999999999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1.2999999999999999E-2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1.55E-2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2.18E-2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2.9100000000000001E-2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3.9199999999999999E-2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5.0099999999999999E-2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6.4500000000000002E-2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7.9399999999999998E-2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9.2200000000000004E-2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9.7500000000000003E-2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0.1019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0.10349999999999999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0.1052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0.1032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0.1022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9.8199999999999996E-2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9.4500000000000001E-2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1.72E-2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2.1100000000000001E-2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2.3800000000000002E-2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2.3800000000000002E-2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3.2800000000000003E-2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4.4200000000000003E-2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5.0900000000000001E-2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6.1899999999999997E-2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7.6899999999999996E-2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9.11E-2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0.1172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0.1401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0.1653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0.18859999999999999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0.20169999999999999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0.2142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4.0000000000000002E-4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1.4E-3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4.1000000000000003E-3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7.9000000000000008E-3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1.41E-2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2.1499999999999998E-2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2.9700000000000001E-2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3.5000000000000003E-2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3.9699999999999999E-2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4.3999999999999997E-2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4.82E-2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5.21E-2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5.6099999999999997E-2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5.9400000000000001E-2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6.2300000000000001E-2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5.0000000000000001E-4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1.1999999999999999E-3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3.3E-3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9.2999999999999992E-3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2.3599999999999999E-2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5.1299999999999998E-2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8.5599999999999996E-2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0.1232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0.12280000000000001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0.1195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0.10879999999999999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0.1008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9.2700000000000005E-2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7.1999999999999995E-2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3.2800000000000003E-2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1.7500000000000002E-2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6.8999999999999999E-3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65.189400000000006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58.546300000000002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78.862399999999994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82.082499999999996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90.008200000000002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89.726200000000006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98.991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118.2259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183.56209999999999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230.09540000000001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276.62880000000001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295.81920000000002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315.00959999999998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360.05939999999998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405.10919999999999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322.42540000000002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239.74160000000001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175.97409999999999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182.61089999999999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153.50620000000001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151.9213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151.5275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147.38740000000001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140.5154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134.11359999999999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131.2441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132.06639999999999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132.82480000000001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135.85720000000001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138.40889999999999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139.52269999999999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142.19390000000001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146.1704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146.61340000000001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14.572800000000001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36.434899999999999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6.9074999999999998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4.3578999999999999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1.9323999999999999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-2.7136999999999998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-10.7445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-16.460999999999999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-18.557200000000002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-17.207000000000001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-15.882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-13.5608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-11.7067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-9.9397000000000002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-6.6220999999999997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-1.589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-9.8199999999999996E-2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1.47E-2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0.12659999999999999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0.46600000000000003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0.74450000000000005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0.94869999999999999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6.9112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7.008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0.81559999999999999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5.9356999999999998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0.4703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0.30649999999999999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0.1762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9.0399999999999994E-2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1.3100000000000001E-2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1.32E-2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1.5599999999999999E-2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2.1899999999999999E-2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3.0599999999999999E-2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4.1300000000000003E-2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5.2200000000000003E-2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6.4100000000000004E-2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7.3999999999999996E-2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8.1799999999999998E-2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8.7499999999999994E-2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9.0899999999999995E-2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8.9700000000000002E-2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9.0300000000000005E-2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8.8499999999999995E-2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8.7900000000000006E-2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8.5099999999999995E-2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8.2199999999999995E-2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1.7000000000000001E-2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2.01E-2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2.1600000000000001E-2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2.4E-2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2.5000000000000001E-2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3.1800000000000002E-2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4.07E-2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4.6800000000000001E-2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5.5300000000000002E-2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6.8099999999999994E-2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8.1199999999999994E-2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0.1043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0.12520000000000001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0.14899999999999999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0.1719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0.185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0.1981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4.0000000000000002E-4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1.2999999999999999E-3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3.8999999999999998E-3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7.4000000000000003E-3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1.1900000000000001E-2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1.7899999999999999E-2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2.5000000000000001E-2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2.87E-2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3.32E-2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3.6799999999999999E-2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4.1000000000000002E-2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4.5100000000000001E-2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4.9299999999999997E-2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5.2699999999999997E-2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5.6000000000000001E-2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5.9999999999999995E-4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1.4E-3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2.2000000000000001E-3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3.7000000000000002E-3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7.9000000000000008E-3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1.72E-2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3.1199999999999999E-2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5.0099999999999999E-2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5.04E-2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4.7899999999999998E-2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4.1599999999999998E-2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3.9300000000000002E-2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3.6799999999999999E-2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3.7199999999999997E-2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3.73E-2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7.1000000000000004E-3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1E-4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65.189400000000006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61.805500000000002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81.849900000000005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80.075100000000006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88.605800000000002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93.779899999999998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100.3021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115.6756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174.43260000000001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209.61189999999999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244.79130000000001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245.42269999999999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246.05410000000001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256.73770000000002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267.42140000000001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266.28449999999998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265.14749999999998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187.4872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215.13630000000001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202.61009999999999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153.75880000000001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156.12100000000001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157.8151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163.959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167.35890000000001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167.02670000000001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168.22640000000001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167.1191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169.6738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169.81460000000001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167.26920000000001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164.61019999999999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162.3467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160.0573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26.0899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69.956999999999994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57.881599999999999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8.8164999999999996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10.0207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11.7135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16.842500000000001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17.944900000000001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15.1533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15.5937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13.822100000000001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15.026199999999999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13.8207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12.6876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11.434100000000001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10.3111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9.1603999999999992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1.3100000000000001E-2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1.55E-2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2.3E-2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3.0700000000000002E-2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3.9600000000000003E-2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4.5900000000000003E-2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5.3800000000000001E-2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5.8299999999999998E-2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6.2100000000000002E-2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6.5699999999999995E-2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7.0000000000000007E-2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7.1199999999999999E-2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7.2900000000000006E-2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7.1499999999999994E-2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7.1300000000000002E-2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7.0199999999999999E-2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6.9500000000000006E-2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1.7000000000000001E-2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1.9699999999999999E-2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1.9699999999999999E-2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1.95E-2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1.8700000000000001E-2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2.2100000000000002E-2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2.7699999999999999E-2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3.3099999999999997E-2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4.3700000000000003E-2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5.4899999999999997E-2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6.5600000000000006E-2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8.5500000000000007E-2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0.10440000000000001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0.12529999999999999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0.14549999999999999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0.1583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0.1704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4.0000000000000002E-4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1.1999999999999999E-3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2.5000000000000001E-3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4.1000000000000003E-3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6.7000000000000002E-3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1.0800000000000001E-2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1.54E-2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1.8700000000000001E-2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2.23E-2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2.5700000000000001E-2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2.9399999999999999E-2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3.2899999999999999E-2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3.6600000000000001E-2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3.9600000000000003E-2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4.2000000000000003E-2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6.9999999999999999E-4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2.8999999999999998E-3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8.8000000000000005E-3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1.9800000000000002E-2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3.6999999999999998E-2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5.9700000000000003E-2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6.0900000000000003E-2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4.7800000000000002E-2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4.36E-2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3.6400000000000002E-2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4.1300000000000003E-2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4.3900000000000002E-2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5.8999999999999997E-2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7.0300000000000001E-2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9.69E-2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0.1193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7.1000000000000004E-3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2.9999999999999997E-4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2.9999999999999997E-4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1.4E-3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3.2000000000000002E-3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5.4999999999999997E-3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1.3299999999999999E-2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2.9000000000000001E-2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1E-4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1E-4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2.9999999999999997E-4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4.0000000000000002E-4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5.9999999999999995E-4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6.9999999999999999E-4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8.9999999999999998E-4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5.9999999999999995E-4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5.0000000000000001E-4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2.9999999999999997E-4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4.0000000000000002E-4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5.9999999999999995E-4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8.0000000000000004E-4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1.1000000000000001E-3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1.1999999999999999E-3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65.189400000000006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74.065200000000004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82.773700000000005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82.451099999999997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92.590400000000002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102.31780000000001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108.9093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125.37090000000001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199.30539999999999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238.87440000000001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278.4434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284.3673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290.2912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292.40010000000001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294.50900000000001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304.34530000000001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314.18169999999998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183.1653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222.11969999999999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313.30070000000001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416.0831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531.61779999999999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643.71839999999997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652.56709999999998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568.78620000000001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434.22910000000002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367.09660000000002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310.54849999999999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293.89940000000001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280.04750000000001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271.9812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263.68920000000003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250.03749999999999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240.55690000000001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21.769200000000001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71.170299999999997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160.74610000000001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261.9248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375.53980000000001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487.43520000000001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496.47269999999997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412.01769999999999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275.56540000000001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207.3168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149.69470000000001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132.98320000000001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119.0746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112.6944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106.0616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94.4298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86.933499999999995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1.18E-2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0.77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1.6411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1.6539999999999999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1.5813999999999999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1.3007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1.0691999999999999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0.81640000000000001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0.60370000000000001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3.0356999999999998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1.5084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0.67569999999999997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1.3100000000000001E-2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1.55E-2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2.3E-2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3.0200000000000001E-2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3.9399999999999998E-2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5.1799999999999999E-2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6.5500000000000003E-2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7.7200000000000005E-2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8.5000000000000006E-2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8.5900000000000004E-2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8.77E-2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8.7599999999999997E-2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8.8700000000000001E-2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8.7599999999999997E-2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8.7400000000000005E-2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8.4900000000000003E-2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8.2699999999999996E-2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1.7000000000000001E-2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1.9699999999999999E-2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1.9400000000000001E-2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1.9199999999999998E-2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1.9699999999999999E-2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3.1E-2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4.1300000000000003E-2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4.7E-2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5.3100000000000001E-2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6.59E-2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7.8299999999999995E-2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0.1007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0.1447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0.1676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0.18140000000000001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0.1948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4.0000000000000002E-4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1.2999999999999999E-3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3.3E-3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5.8999999999999999E-3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9.4999999999999998E-3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1.4800000000000001E-2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2.0500000000000001E-2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2.4299999999999999E-2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2.8000000000000001E-2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3.1600000000000003E-2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3.5499999999999997E-2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3.9600000000000003E-2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4.3999999999999997E-2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4.7800000000000002E-2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5.1400000000000001E-2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6.9999999999999999E-4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2.8E-3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8.0999999999999996E-3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3.8E-3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7.9000000000000008E-3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1.7999999999999999E-2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3.4700000000000002E-2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5.4399999999999997E-2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5.2299999999999999E-2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4.9700000000000001E-2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4.5400000000000003E-2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4.3299999999999998E-2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4.0800000000000003E-2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4.2299999999999997E-2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4.2599999999999999E-2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7.0000000000000001E-3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2.9999999999999997E-4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1E-4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2.0000000000000001E-4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2.0000000000000001E-4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65.189400000000006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74.065200000000004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82.773700000000005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69.908299999999997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86.270899999999997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98.604600000000005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101.2509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117.4888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175.4058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209.86969999999999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244.33359999999999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251.79859999999999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259.26369999999997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263.34690000000001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267.43009999999998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266.91579999999999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266.40140000000002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181.7328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218.93430000000001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306.75700000000001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390.79160000000002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180.8733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156.6541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154.72980000000001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157.92959999999999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160.86709999999999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162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162.95269999999999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165.8965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168.98140000000001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168.5087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167.8639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167.7628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167.33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20.337299999999999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67.532899999999998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153.2842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245.67339999999999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34.719900000000003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10.3201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7.3075000000000001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8.1039999999999992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8.4877000000000002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9.0625999999999998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9.4567999999999994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11.1639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13.003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14.0411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14.8986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15.9291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16.616700000000002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3.8999999999999998E-3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3.5000000000000001E-3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5.0000000000000001E-3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6.4999999999999997E-3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7.1000000000000004E-3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6.4999999999999997E-3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5.1999999999999998E-3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4.0000000000000001E-3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2.3E-3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8.9999999999999998E-4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4.0000000000000002E-4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1.3100000000000001E-2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1.55E-2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2.3E-2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2.9600000000000001E-2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3.9600000000000003E-2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4.8500000000000001E-2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5.7500000000000002E-2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6.5500000000000003E-2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7.0400000000000004E-2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7.46E-2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7.9100000000000004E-2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7.8899999999999998E-2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7.9500000000000001E-2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7.8200000000000006E-2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7.8E-2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7.6100000000000001E-2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7.4899999999999994E-2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1.7000000000000001E-2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1.9699999999999999E-2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1.9599999999999999E-2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2.0199999999999999E-2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2.0299999999999999E-2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2.69E-2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3.3300000000000003E-2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3.95E-2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4.7E-2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5.8200000000000002E-2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6.9099999999999995E-2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8.9700000000000002E-2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0.1091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0.13150000000000001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0.15329999999999999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0.1678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0.18179999999999999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4.0000000000000002E-4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1.1999999999999999E-3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3.0999999999999999E-3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5.3E-3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8.3999999999999995E-3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1.32E-2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1.8100000000000002E-2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2.1100000000000001E-2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2.4500000000000001E-2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2.8000000000000001E-2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3.1899999999999998E-2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3.56E-2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3.9399999999999998E-2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4.2799999999999998E-2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4.58E-2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6.9999999999999999E-4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2.8E-3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1.9E-3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3.8999999999999998E-3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1.1900000000000001E-2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3.6200000000000003E-2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7.7899999999999997E-2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0.14580000000000001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0.16819999999999999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0.17780000000000001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0.1613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0.14649999999999999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0.12809999999999999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0.113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9.5500000000000002E-2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8.3199999999999996E-2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7.1000000000000004E-3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2.9999999999999997E-4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2.9999999999999997E-4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1.1999999999999999E-3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3.8E-3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5.3E-3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7.4000000000000003E-3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6.7999999999999996E-3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6.4000000000000003E-3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6.7999999999999996E-3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7.3000000000000001E-3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1.1299999999999999E-2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1.54E-2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1E-4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2.0000000000000001E-4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2.9999999999999997E-4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2.9999999999999997E-4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2.9999999999999997E-4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2.9999999999999997E-4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5.0000000000000001E-4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5.9999999999999995E-4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8.0000000000000004E-4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8.9999999999999998E-4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8.9999999999999998E-4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6.9999999999999999E-4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5.9999999999999995E-4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65.189400000000006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74.065200000000004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82.773700000000005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71.927199999999999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88.190899999999999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99.721400000000003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105.0223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121.3364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178.816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216.09190000000001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253.36789999999999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256.07470000000001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258.78140000000002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258.1191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257.45690000000002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268.91489999999999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280.37290000000002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185.23990000000001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223.60409999999999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309.3972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162.822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162.875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169.4949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180.69239999999999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188.22370000000001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192.9383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194.69669999999999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194.32550000000001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190.4365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187.20920000000001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182.87649999999999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179.066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174.95760000000001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171.79830000000001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23.8447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72.200500000000005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155.92500000000001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19.071200000000001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18.773299999999999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25.2379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35.438299999999998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41.444800000000001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45.067300000000003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45.2226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43.283799999999999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38.636099999999999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34.634900000000002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30.935300000000002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27.7454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24.293500000000002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21.766999999999999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5.7999999999999996E-3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0.26290000000000002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1.0305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2.6581000000000001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5.4523000000000001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8.7644000000000002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11.9612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10.268700000000001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8.8094999999999999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6.9227999999999996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5.4840999999999998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4.7648000000000001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3.5707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3.4904000000000002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3.5510999999999999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1.2200000000000001E-2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1.04E-2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1.1599999999999999E-2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1.3899999999999999E-2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1.6899999999999998E-2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1.7000000000000001E-2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2.0199999999999999E-2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2.2800000000000001E-2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2.6499999999999999E-2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2.6599999999999999E-2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2.5499999999999998E-2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2.4E-2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2.3099999999999999E-2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2.4799999999999999E-2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2.63E-2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2.76E-2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2.87E-2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1.7100000000000001E-2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2.2200000000000001E-2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2.3599999999999999E-2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2.6700000000000002E-2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2.5999999999999999E-2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3.6200000000000003E-2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5.0099999999999999E-2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6.2799999999999995E-2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7.8E-2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9.4600000000000004E-2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0.10920000000000001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0.12889999999999999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0.1457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0.16600000000000001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0.18410000000000001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0.19589999999999999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0.2069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1E-4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5.0000000000000001E-4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8.9999999999999998E-4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3.0000000000000001E-3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6.4999999999999997E-3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1.2500000000000001E-2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2.5100000000000001E-2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4.0899999999999999E-2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4.8099999999999997E-2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5.5100000000000003E-2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5.6300000000000003E-2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5.79E-2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5.8500000000000003E-2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6.0199999999999997E-2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6.2100000000000002E-2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6.3799999999999996E-2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5.9999999999999995E-4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6.9999999999999999E-4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1.2999999999999999E-3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2.5999999999999999E-3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5.1999999999999998E-3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1.9199999999999998E-2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3.7600000000000001E-2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4.3999999999999997E-2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4.5600000000000002E-2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4.36E-2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4.0300000000000002E-2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3.5400000000000001E-2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2.8400000000000002E-2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2.6800000000000001E-2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2.5899999999999999E-2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6.7000000000000002E-3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2.0000000000000001E-4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1E-4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1E-4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2.0000000000000001E-4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65.189400000000006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58.235999999999997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67.398499999999999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74.374300000000005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81.156899999999993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81.905299999999997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78.530100000000004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113.97969999999999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182.10910000000001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220.8005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259.49180000000001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285.50459999999998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311.51729999999998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324.2688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337.02030000000002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361.34699999999998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385.6737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186.51050000000001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232.55189999999999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180.9623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152.35050000000001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153.8767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152.1437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149.45179999999999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145.26390000000001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141.28370000000001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141.74959999999999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141.8665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143.84209999999999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145.4975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145.8997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147.46039999999999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146.3246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144.91079999999999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25.145099999999999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87.467100000000002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35.748899999999999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5.4874999999999998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4.2304000000000004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2.1659999999999999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-0.65459999999999996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-3.0326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-5.8726000000000003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-5.0911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-4.4916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-3.5087999999999999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-2.8355000000000001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-2.0411999999999999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-8.5800000000000001E-2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-0.37409999999999999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-0.92959999999999998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1.24E-2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6.1899999999999997E-2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0.16089999999999999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0.1535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0.21859999999999999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1.2372000000000001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0.87219999999999998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0.68289999999999995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0.51319999999999999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0.3669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0.22409999999999999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5.5899999999999998E-2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2.4E-2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1.3100000000000001E-2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1.5599999999999999E-2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2.2200000000000001E-2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3.1099999999999999E-2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4.2500000000000003E-2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5.3499999999999999E-2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6.0699999999999997E-2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6.7699999999999996E-2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7.1599999999999997E-2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7.5999999999999998E-2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7.9200000000000007E-2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7.8700000000000006E-2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7.9600000000000004E-2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7.8399999999999997E-2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7.8200000000000006E-2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7.6899999999999996E-2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7.51E-2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1.7000000000000001E-2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2.1499999999999998E-2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2.35E-2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2.5000000000000001E-2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3.2199999999999999E-2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3.7400000000000003E-2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4.24E-2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4.87E-2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6.0299999999999999E-2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7.1999999999999995E-2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9.3100000000000002E-2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0.1125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0.13400000000000001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0.15490000000000001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0.16839999999999999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0.182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4.0000000000000002E-4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1.4E-3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3.3E-3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5.7000000000000002E-3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8.5000000000000006E-3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1.2999999999999999E-2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1.7399999999999999E-2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2.0500000000000001E-2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2.4299999999999999E-2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2.7799999999999998E-2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3.15E-2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3.5200000000000002E-2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3.8899999999999997E-2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4.2099999999999999E-2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4.53E-2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5.9999999999999995E-4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1.4E-3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2.3999999999999998E-3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4.1999999999999997E-3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5.4399999999999997E-2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7.9399999999999998E-2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6.0600000000000001E-2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5.9200000000000003E-2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5.6800000000000003E-2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5.3800000000000001E-2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5.1400000000000001E-2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5.6599999999999998E-2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6.0900000000000003E-2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6.3700000000000007E-2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6.6900000000000001E-2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7.1000000000000004E-3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2.0000000000000001E-4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4.0000000000000002E-4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5.9999999999999995E-4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1.4E-3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2.3E-3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5.1000000000000004E-3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8.6E-3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1E-4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2.9999999999999997E-4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2.9999999999999997E-4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4.0000000000000002E-4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4.0000000000000002E-4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4.0000000000000002E-4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2.9999999999999997E-4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2.0000000000000001E-4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1E-4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1E-4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65.189400000000006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68.104100000000003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82.145399999999995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81.378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92.015000000000001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101.7471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106.9303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124.5981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189.88890000000001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225.32239999999999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260.7559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263.41919999999999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266.08249999999998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266.92989999999998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267.77730000000003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278.5813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289.38529999999997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182.1865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213.5993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199.12690000000001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188.80670000000001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160.8903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164.7362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235.31530000000001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222.26689999999999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180.46010000000001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180.97980000000001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180.80680000000001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180.13849999999999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179.72900000000001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180.87610000000001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181.25559999999999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178.77680000000001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177.083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20.790600000000001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67.566699999999997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51.815600000000003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40.185499999999998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11.08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15.742599999999999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86.407700000000006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71.804400000000001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28.274000000000001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27.212599999999998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25.515799999999999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23.9481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22.626000000000001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24.1265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24.840900000000001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23.006499999999999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21.965599999999998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3.1399999999999997E-2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0.57440000000000002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2.5790999999999999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6.9291999999999998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14.489800000000001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20.503699999999998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20.351700000000001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18.509499999999999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16.782399999999999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14.392799999999999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12.270200000000001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10.3047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6.7229999999999999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2.9506999999999999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1.7212000000000001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1.26E-2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1.46E-2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1.9900000000000001E-2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2.58E-2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3.4500000000000003E-2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4.36E-2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5.6300000000000003E-2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6.9099999999999995E-2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7.7899999999999997E-2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8.2199999999999995E-2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8.6800000000000002E-2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8.9300000000000004E-2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9.1499999999999998E-2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9.0499999999999997E-2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9.01E-2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8.6999999999999994E-2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8.4500000000000006E-2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1.6500000000000001E-2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1.9199999999999998E-2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2.18E-2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2.1100000000000001E-2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2.8799999999999999E-2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3.8600000000000002E-2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4.5699999999999998E-2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5.5500000000000001E-2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7.0400000000000004E-2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8.2799999999999999E-2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0.1053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0.12540000000000001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0.14799999999999999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0.16850000000000001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0.18029999999999999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0.19209999999999999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4.0000000000000002E-4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1.2999999999999999E-3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3.5999999999999999E-3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6.7999999999999996E-3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1.2500000000000001E-2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1.9E-2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2.6800000000000001E-2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3.1600000000000003E-2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3.6299999999999999E-2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4.07E-2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4.48E-2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4.8800000000000003E-2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5.2699999999999997E-2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5.5599999999999997E-2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5.8599999999999999E-2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5.0000000000000001E-4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1.1999999999999999E-3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3.2000000000000002E-3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9.5999999999999992E-3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2.5100000000000001E-2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5.57E-2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9.0700000000000003E-2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0.1237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0.11990000000000001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0.1143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0.1022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9.1200000000000003E-2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8.1100000000000005E-2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5.7000000000000002E-2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2.63E-2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1.54E-2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7.0000000000000001E-3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65.189400000000006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56.783900000000003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80.387799999999999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81.8172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88.5929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90.100499999999997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104.5163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114.9233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184.2465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232.39099999999999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280.53550000000001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297.02780000000001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313.52019999999999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359.75920000000002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405.9982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317.98239999999998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229.9667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183.22300000000001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208.29580000000001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154.6575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152.88929999999999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151.7894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147.0737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139.4982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133.05099999999999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131.76079999999999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132.64500000000001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133.4238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136.07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138.5179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139.77940000000001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142.86000000000001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145.64570000000001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145.67259999999999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21.840299999999999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61.112099999999998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7.1406999999999998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4.8080999999999996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2.0859000000000001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-2.9331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-11.6144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-17.3917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-17.8535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-16.376100000000001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-14.975300000000001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-12.970800000000001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-11.151999999999999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-9.2395999999999994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-5.5133000000000001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-1.7185999999999999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-0.69369999999999998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1.6400000000000001E-2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1.26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5.7183999999999999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8.8125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1.3100000000000001E-2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1.55E-2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2.1899999999999999E-2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3.0099999999999998E-2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4.1300000000000003E-2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5.2200000000000003E-2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6.5199999999999994E-2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1.7100000000000001E-2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2.01E-2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2.1000000000000001E-2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2.1999999999999999E-2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2.3699999999999999E-2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3.1399999999999997E-2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4.1200000000000001E-2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2.9999999999999997E-4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1.1999999999999999E-3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3.8999999999999998E-3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7.4000000000000003E-3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1.21E-2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6.9999999999999999E-4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2E-3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3.5999999999999999E-3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3.8999999999999998E-3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8.3999999999999995E-3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1.7600000000000001E-2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7.1000000000000004E-3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2.0000000000000001E-4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1E-4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65.189400000000006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77.500299999999996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82.902199999999993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78.710599999999999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88.645499999999998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95.361699999999999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99.554900000000004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187.89789999999999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220.75829999999999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247.6277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238.40010000000001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173.4177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160.94970000000001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162.97229999999999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26.502300000000002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74.837699999999998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102.193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92.980800000000002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27.1129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14.5421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15.7835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1.35E-2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1.6400000000000001E-2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2.29E-2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3.2199999999999999E-2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4.3900000000000002E-2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5.1499999999999997E-2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5.9499999999999997E-2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1.77E-2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2.06E-2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2.1100000000000001E-2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2.1899999999999999E-2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1.9699999999999999E-2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2.3800000000000002E-2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3.0200000000000001E-2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2.9999999999999997E-4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1E-3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2.5000000000000001E-3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4.3E-3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7.1999999999999998E-3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6.9999999999999999E-4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3.0999999999999999E-3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9.1000000000000004E-3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2.0299999999999999E-2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3.8899999999999997E-2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6.4199999999999993E-2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7.4999999999999997E-3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2.9999999999999997E-4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1E-4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1E-4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2.9999999999999997E-4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4.0000000000000002E-4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5.9999999999999995E-4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6.9999999999999999E-4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65.189400000000006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72.377499999999998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82.771500000000003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82.830299999999994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92.866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102.78789999999999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109.7967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182.3982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225.98779999999999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324.00310000000002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426.50599999999997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544.52340000000004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672.81629999999996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688.48479999999995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20.988099999999999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74.408600000000007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171.91030000000001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273.09059999999999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388.31439999999998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515.83659999999998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532.76379999999995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1.09E-2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5.45E-2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0.6885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1.6697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1.38E-2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1.6899999999999998E-2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2.3800000000000002E-2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3.1E-2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0.04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5.3600000000000002E-2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6.8199999999999997E-2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1.7999999999999999E-2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2.12E-2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2.1999999999999999E-2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1.9800000000000002E-2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1.9699999999999999E-2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3.1300000000000001E-2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4.1599999999999998E-2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2.9999999999999997E-4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1.4E-3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3.7000000000000002E-3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6.7000000000000002E-3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1.09E-2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6.9999999999999999E-4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3.0999999999999999E-3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8.3999999999999995E-3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3.8E-3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8.3000000000000001E-3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1.95E-2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7.4999999999999997E-3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2.9999999999999997E-4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1E-4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2.0000000000000001E-4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2.0000000000000001E-4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65.189400000000006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72.377499999999998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82.771500000000003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72.098399999999998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88.740700000000004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98.1875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100.71259999999999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186.51589999999999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231.8982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327.97640000000001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401.41649999999998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166.47219999999999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155.28120000000001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153.75380000000001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25.101400000000002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79.852999999999994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174.95189999999999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255.88939999999999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20.0685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8.8755000000000006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6.4226999999999999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1.34E-2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1.6E-2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2.3800000000000002E-2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3.2099999999999997E-2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4.2099999999999999E-2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4.9500000000000002E-2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5.7599999999999998E-2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1.7399999999999999E-2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2.0400000000000001E-2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2.06E-2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0.02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2.41E-2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0.03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4.0000000000000002E-4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1.2999999999999999E-3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2.7000000000000001E-3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4.4999999999999997E-3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7.4000000000000003E-3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6.9999999999999999E-4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3.0999999999999999E-3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8.0999999999999996E-3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1.67E-2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3.0099999999999998E-2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5.0299999999999997E-2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7.1999999999999998E-3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2.9999999999999997E-4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1E-4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2.0000000000000001E-4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2.9999999999999997E-4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5.0000000000000001E-4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5.9999999999999995E-4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65.189400000000006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72.377499999999998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82.771500000000003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81.690399999999997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91.021900000000002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99.722300000000004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106.0673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183.3706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228.07069999999999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325.3426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406.03300000000002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525.79790000000003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661.57830000000001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654.89229999999998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21.974299999999999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76.053700000000006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172.32409999999999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254.64590000000001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373.77949999999998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511.53539999999998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505.67809999999997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0.18940000000000001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0.96760000000000002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2.6619000000000002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5.5389999999999997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1.1900000000000001E-2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9.9000000000000008E-3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1.0999999999999999E-2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1.3599999999999999E-2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1.5900000000000001E-2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1.54E-2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1.7999999999999999E-2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1.6500000000000001E-2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2.1000000000000001E-2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2.18E-2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2.47E-2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2.3699999999999999E-2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3.2099999999999997E-2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4.53E-2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1E-4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5.0000000000000001E-4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8.9999999999999998E-4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2.8E-3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6.0000000000000001E-3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1.1299999999999999E-2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6.9999999999999999E-4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6.9999999999999999E-4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1.2999999999999999E-3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2.5999999999999999E-3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5.3E-3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2.9999999999999997E-4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1E-4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2.0000000000000001E-4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2.0000000000000001E-4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65.189400000000006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58.802100000000003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68.122600000000006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74.635099999999994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83.389700000000005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82.111599999999996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73.984399999999994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186.3766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234.495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189.76589999999999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152.69929999999999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153.61320000000001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151.7688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148.9983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25.007899999999999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89.203199999999995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44.600299999999997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5.9809999999999999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4.3169000000000004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2.0644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-0.99070000000000003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8.0000000000000002E-3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5.21E-2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0.15720000000000001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0.1525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1.3100000000000001E-2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1.5599999999999999E-2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2.23E-2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3.1199999999999999E-2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4.2700000000000002E-2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5.3900000000000003E-2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5.9799999999999999E-2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1.7000000000000001E-2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2.01E-2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2.1399999999999999E-2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2.35E-2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2.5100000000000001E-2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3.2300000000000002E-2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3.6600000000000001E-2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4.0000000000000002E-4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1.4E-3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3.5000000000000001E-3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5.8999999999999999E-3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8.6E-3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5.9999999999999995E-4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2.3999999999999998E-3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4.1000000000000003E-3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7.0300000000000001E-2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7.1000000000000004E-3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2.0000000000000001E-4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1E-4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65.189400000000006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68.018500000000003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82.321299999999994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81.553299999999993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92.3934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102.4658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107.283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185.2193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217.27879999999999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202.143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192.5949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161.73939999999999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167.018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268.05919999999998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23.8233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70.721599999999995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54.6937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44.0428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11.555899999999999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16.426500000000001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116.2975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3.1199999999999999E-2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0.57399999999999995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2.6166999999999998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7.0990000000000002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14.5366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1.26E-2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1.47E-2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2.01E-2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2.6200000000000001E-2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3.4700000000000002E-2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4.41E-2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5.6399999999999999E-2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1.6400000000000001E-2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1.9E-2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1.9599999999999999E-2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2.1399999999999999E-2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2.1000000000000001E-2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2.86E-2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3.9100000000000003E-2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4.0000000000000002E-4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1.2999999999999999E-3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3.7000000000000002E-3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7.0000000000000001E-3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1.3100000000000001E-2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5.9999999999999995E-4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1.1999999999999999E-3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3.0999999999999999E-3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9.2999999999999992E-3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2.46E-2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5.3900000000000003E-2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7.0000000000000001E-3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65.189400000000006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60.598199999999999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81.006500000000003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81.538899999999998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88.476399999999998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90.472200000000001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102.756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181.5889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209.38409999999999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155.60730000000001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153.13319999999999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151.9907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146.92089999999999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139.0044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20.200099999999999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62.383699999999997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8.2071000000000005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4.9410999999999996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2.1709000000000001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-3.0064000000000002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-11.6784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2025-09-16T16:58:37Z</dcterms:modified>
</cp:coreProperties>
</file>