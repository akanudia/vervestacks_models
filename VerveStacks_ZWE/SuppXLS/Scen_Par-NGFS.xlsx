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DBAD49E4-C645-4BED-B5FC-9A7C3524EA5B}" xr6:coauthVersionLast="47" xr6:coauthVersionMax="47" xr10:uidLastSave="{00000000-0000-0000-0000-000000000000}"/>
  <bookViews>
    <workbookView xWindow="1837" yWindow="1837" windowWidth="21600" windowHeight="12683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<sst xmlns="http://schemas.openxmlformats.org/spreadsheetml/2006/main" count="58717" uniqueCount="92">
  <si>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</si>
  <si>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</si>
  <si>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</si>
  <si>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</si>
  <si>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</si>
  <si>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</si>
  <si>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</si>
  <si>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</si>
  <si>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</si>
  <si>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</si>
  <si>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</si>
  <si>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</si>
  <si>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</si>
  <si>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</si>
  <si>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</si>
  <si>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</si>
  <si>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</si>
  <si>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</si>
  <si>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</si>
  <si>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</si>
  <si>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</si>
  <si>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</si>
  <si>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</si>
  <si>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</si>
  <si>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</si>
  <si>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</si>
  <si>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</si>
  <si>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</si>
  <si>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</si>
  <si>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</si>
  <si>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</si>
  <si>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</si>
  <si>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</si>
  <si>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</si>
  <si>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</si>
  <si>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</si>
  <si>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</si>
  <si>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</si>
  <si>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</si>
  <si>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</si>
  <si>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</si>
  <si>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</si>
  <si>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</si>
  <si>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</si>
  <si>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</si>
  <si>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</si>
  <si>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</si>
  <si>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</si>
  <si>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</si>
  <si>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</si>
  <si>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</si>
  <si>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</si>
  <si>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</si>
  <si>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</si>
  <si>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</si>
  <si>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</si>
  <si>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</si>
  <si>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</si>
  <si>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</si>
  <si>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</si>
  <si>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</si>
  <si>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</si>
  <si>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</si>
  <si>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</si>
  <si>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</si>
  <si>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</si>
  <si>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</si>
  <si>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</si>
  <si>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</si>
  <si>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</si>
  <si>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</si>
  <si>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</si>
  <si>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</si>
  <si>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</si>
  <si>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</si>
  <si>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</si>
  <si>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</si>
  <si>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</si>
  <si>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</si>
  <si>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</si>
  <si>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</si>
  <si>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</si>
  <si>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</si>
  <si>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</si>
  <si>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ZWE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</si>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</sst>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9.7299999999999969</c:v>
                </c:pt>
                <c:pt idx="1">
                  <c:v>11.474798061389336</c:v>
                </c:pt>
                <c:pt idx="2">
                  <c:v>13.738319870759286</c:v>
                </c:pt>
                <c:pt idx="3">
                  <c:v>16.300500807754439</c:v>
                </c:pt>
                <c:pt idx="4">
                  <c:v>19.255654281098543</c:v>
                </c:pt>
                <c:pt idx="5">
                  <c:v>22.871001615508881</c:v>
                </c:pt>
                <c:pt idx="6">
                  <c:v>28.042520193861062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2.4899999999999998</c:v>
                </c:pt>
                <c:pt idx="1">
                  <c:v>3.4593570767807584</c:v>
                </c:pt>
                <c:pt idx="2">
                  <c:v>4.1881344434165895</c:v>
                </c:pt>
                <c:pt idx="3">
                  <c:v>5.5424190564292326</c:v>
                </c:pt>
                <c:pt idx="4">
                  <c:v>5.9103268578476715</c:v>
                </c:pt>
                <c:pt idx="5">
                  <c:v>7.6706537156953418</c:v>
                </c:pt>
                <c:pt idx="6">
                  <c:v>9.4691150169596039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9.7299999999999986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9.7299999999999969</v>
      </c>
      <c r="S12" s="8">
        <f t="shared" ref="S12:X12" si="0">SUM(S17:S20)</f>
        <v>11.474798061389336</v>
      </c>
      <c r="T12" s="8">
        <f t="shared" si="0"/>
        <v>13.738319870759286</v>
      </c>
      <c r="U12" s="8">
        <f t="shared" si="0"/>
        <v>16.300500807754439</v>
      </c>
      <c r="V12" s="8">
        <f t="shared" si="0"/>
        <v>19.255654281098543</v>
      </c>
      <c r="W12" s="8">
        <f t="shared" si="0"/>
        <v>22.871001615508881</v>
      </c>
      <c r="X12" s="8">
        <f t="shared" si="0"/>
        <v>28.042520193861062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1E-4</v>
      </c>
      <c r="H16" s="10">
        <f>SUMIFS(ngfs_median!$J$2:$J$17119,ngfs_median!$B$2:$B$17119,Veda!$C$5,ngfs_median!$H$2:$H$17119,Veda!$Q16,ngfs_median!$I$2:$I$17119,Veda!H$15)</f>
        <v>6.9999999999999999E-4</v>
      </c>
      <c r="I16" s="10">
        <f>SUMIFS(ngfs_median!$J$2:$J$17119,ngfs_median!$B$2:$B$17119,Veda!$C$5,ngfs_median!$H$2:$H$17119,Veda!$Q16,ngfs_median!$I$2:$I$17119,Veda!I$15)</f>
        <v>2.8999999999999998E-3</v>
      </c>
      <c r="J16" s="10">
        <f>SUMIFS(ngfs_median!$J$2:$J$17119,ngfs_median!$B$2:$B$17119,Veda!$C$5,ngfs_median!$H$2:$H$17119,Veda!$Q16,ngfs_median!$I$2:$I$17119,Veda!J$15)</f>
        <v>8.7500000000000008E-3</v>
      </c>
      <c r="K16" s="10">
        <f>SUMIFS(ngfs_median!$J$2:$J$17119,ngfs_median!$B$2:$B$17119,Veda!$C$5,ngfs_median!$H$2:$H$17119,Veda!$Q16,ngfs_median!$I$2:$I$17119,Veda!K$15)</f>
        <v>1.9599999999999999E-2</v>
      </c>
      <c r="L16" s="10">
        <f>SUMIFS(ngfs_median!$J$2:$J$17119,ngfs_median!$B$2:$B$17119,Veda!$C$5,ngfs_median!$H$2:$H$17119,Veda!$Q16,ngfs_median!$I$2:$I$17119,Veda!L$15)</f>
        <v>3.6000000000000004E-2</v>
      </c>
      <c r="M16" s="10">
        <f>SUMIFS(ngfs_median!$J$2:$J$17119,ngfs_median!$B$2:$B$17119,Veda!$C$5,ngfs_median!$H$2:$H$17119,Veda!$Q16,ngfs_median!$I$2:$I$17119,Veda!M$15)</f>
        <v>5.765E-2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0.61111111111111105</v>
      </c>
      <c r="U16" s="6">
        <f t="shared" si="2"/>
        <v>2.2361111111111116</v>
      </c>
      <c r="V16" s="6">
        <f t="shared" si="2"/>
        <v>5.25</v>
      </c>
      <c r="W16" s="6">
        <f t="shared" si="2"/>
        <v>9.8055555555555571</v>
      </c>
      <c r="X16" s="6">
        <f t="shared" si="2"/>
        <v>15.819444444444445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</v>
      </c>
      <c r="H17" s="10">
        <f>SUMIFS(ngfs_median!$J$2:$J$17119,ngfs_median!$B$2:$B$17119,Veda!$C$5,ngfs_median!$H$2:$H$17119,Veda!$Q17,ngfs_median!$I$2:$I$17119,Veda!H$15)</f>
        <v>0</v>
      </c>
      <c r="I17" s="10">
        <f>SUMIFS(ngfs_median!$J$2:$J$17119,ngfs_median!$B$2:$B$17119,Veda!$C$5,ngfs_median!$H$2:$H$17119,Veda!$Q17,ngfs_median!$I$2:$I$17119,Veda!I$15)</f>
        <v>3.5E-4</v>
      </c>
      <c r="J17" s="10">
        <f>SUMIFS(ngfs_median!$J$2:$J$17119,ngfs_median!$B$2:$B$17119,Veda!$C$5,ngfs_median!$H$2:$H$17119,Veda!$Q17,ngfs_median!$I$2:$I$17119,Veda!J$15)</f>
        <v>1.0999999999999998E-3</v>
      </c>
      <c r="K17" s="10">
        <f>SUMIFS(ngfs_median!$J$2:$J$17119,ngfs_median!$B$2:$B$17119,Veda!$C$5,ngfs_median!$H$2:$H$17119,Veda!$Q17,ngfs_median!$I$2:$I$17119,Veda!K$15)</f>
        <v>2.5000000000000001E-3</v>
      </c>
      <c r="L17" s="10">
        <f>SUMIFS(ngfs_median!$J$2:$J$17119,ngfs_median!$B$2:$B$17119,Veda!$C$5,ngfs_median!$H$2:$H$17119,Veda!$Q17,ngfs_median!$I$2:$I$17119,Veda!L$15)</f>
        <v>4.0499999999999998E-3</v>
      </c>
      <c r="M17" s="10">
        <f>SUMIFS(ngfs_median!$J$2:$J$17119,ngfs_median!$B$2:$B$17119,Veda!$C$5,ngfs_median!$H$2:$H$17119,Veda!$Q17,ngfs_median!$I$2:$I$17119,Veda!M$15)</f>
        <v>6.7499999999999999E-3</v>
      </c>
      <c r="Q17" s="12" t="s">
        <v>10</v>
      </c>
      <c r="R17" s="6">
        <f>$Q$10*G17/SUM($G$17:$G$19)</f>
        <v>0</v>
      </c>
      <c r="S17" s="6">
        <f>R17</f>
        <v>0</v>
      </c>
      <c r="T17" s="6">
        <f t="shared" ref="T17:X17" si="3">S17</f>
        <v>0</v>
      </c>
      <c r="U17" s="6">
        <f t="shared" si="3"/>
        <v>0</v>
      </c>
      <c r="V17" s="6">
        <f t="shared" si="3"/>
        <v>0</v>
      </c>
      <c r="W17" s="6">
        <f t="shared" si="3"/>
        <v>0</v>
      </c>
      <c r="X17" s="6">
        <f t="shared" si="3"/>
        <v>0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1.7649999999999999E-2</v>
      </c>
      <c r="H18" s="10">
        <f>SUMIFS(ngfs_median!$J$2:$J$17119,ngfs_median!$B$2:$B$17119,Veda!$C$5,ngfs_median!$H$2:$H$17119,Veda!$Q18,ngfs_median!$I$2:$I$17119,Veda!H$15)</f>
        <v>2.0549999999999999E-2</v>
      </c>
      <c r="I18" s="10">
        <f>SUMIFS(ngfs_median!$J$2:$J$17119,ngfs_median!$B$2:$B$17119,Veda!$C$5,ngfs_median!$H$2:$H$17119,Veda!$Q18,ngfs_median!$I$2:$I$17119,Veda!I$15)</f>
        <v>2.0549999999999999E-2</v>
      </c>
      <c r="J18" s="10">
        <f>SUMIFS(ngfs_median!$J$2:$J$17119,ngfs_median!$B$2:$B$17119,Veda!$C$5,ngfs_median!$H$2:$H$17119,Veda!$Q18,ngfs_median!$I$2:$I$17119,Veda!J$15)</f>
        <v>2.0299999999999999E-2</v>
      </c>
      <c r="K18" s="10">
        <f>SUMIFS(ngfs_median!$J$2:$J$17119,ngfs_median!$B$2:$B$17119,Veda!$C$5,ngfs_median!$H$2:$H$17119,Veda!$Q18,ngfs_median!$I$2:$I$17119,Veda!K$15)</f>
        <v>1.9200000000000002E-2</v>
      </c>
      <c r="L18" s="10">
        <f>SUMIFS(ngfs_median!$J$2:$J$17119,ngfs_median!$B$2:$B$17119,Veda!$C$5,ngfs_median!$H$2:$H$17119,Veda!$Q18,ngfs_median!$I$2:$I$17119,Veda!L$15)</f>
        <v>2.2950000000000002E-2</v>
      </c>
      <c r="M18" s="10">
        <f>SUMIFS(ngfs_median!$J$2:$J$17119,ngfs_median!$B$2:$B$17119,Veda!$C$5,ngfs_median!$H$2:$H$17119,Veda!$Q18,ngfs_median!$I$2:$I$17119,Veda!M$15)</f>
        <v>2.895E-2</v>
      </c>
      <c r="Q18" s="12" t="s">
        <v>12</v>
      </c>
      <c r="R18" s="6">
        <f>$Q$10*G18/SUM($G$17:$G$19)</f>
        <v>5.5487722132471715</v>
      </c>
      <c r="S18" s="6">
        <f t="shared" ref="S18:X19" si="4">R18*H18/G18</f>
        <v>6.460468497576735</v>
      </c>
      <c r="T18" s="6">
        <f t="shared" si="4"/>
        <v>6.4604684975767341</v>
      </c>
      <c r="U18" s="6">
        <f t="shared" si="4"/>
        <v>6.3818739903069446</v>
      </c>
      <c r="V18" s="6">
        <f t="shared" si="4"/>
        <v>6.0360581583198698</v>
      </c>
      <c r="W18" s="6">
        <f t="shared" si="4"/>
        <v>7.2149757673667185</v>
      </c>
      <c r="X18" s="6">
        <f t="shared" si="4"/>
        <v>9.1012439418416768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1.3299999999999999E-2</v>
      </c>
      <c r="H19" s="10">
        <f>SUMIFS(ngfs_median!$J$2:$J$17119,ngfs_median!$B$2:$B$17119,Veda!$C$5,ngfs_median!$H$2:$H$17119,Veda!$Q19,ngfs_median!$I$2:$I$17119,Veda!H$15)</f>
        <v>1.5949999999999999E-2</v>
      </c>
      <c r="I19" s="10">
        <f>SUMIFS(ngfs_median!$J$2:$J$17119,ngfs_median!$B$2:$B$17119,Veda!$C$5,ngfs_median!$H$2:$H$17119,Veda!$Q19,ngfs_median!$I$2:$I$17119,Veda!I$15)</f>
        <v>2.2800000000000001E-2</v>
      </c>
      <c r="J19" s="10">
        <f>SUMIFS(ngfs_median!$J$2:$J$17119,ngfs_median!$B$2:$B$17119,Veda!$C$5,ngfs_median!$H$2:$H$17119,Veda!$Q19,ngfs_median!$I$2:$I$17119,Veda!J$15)</f>
        <v>3.0450000000000001E-2</v>
      </c>
      <c r="K19" s="10">
        <f>SUMIFS(ngfs_median!$J$2:$J$17119,ngfs_median!$B$2:$B$17119,Veda!$C$5,ngfs_median!$H$2:$H$17119,Veda!$Q19,ngfs_median!$I$2:$I$17119,Veda!K$15)</f>
        <v>3.9550000000000002E-2</v>
      </c>
      <c r="L19" s="10">
        <f>SUMIFS(ngfs_median!$J$2:$J$17119,ngfs_median!$B$2:$B$17119,Veda!$C$5,ngfs_median!$H$2:$H$17119,Veda!$Q19,ngfs_median!$I$2:$I$17119,Veda!L$15)</f>
        <v>4.5749999999999999E-2</v>
      </c>
      <c r="M19" s="10">
        <f>SUMIFS(ngfs_median!$J$2:$J$17119,ngfs_median!$B$2:$B$17119,Veda!$C$5,ngfs_median!$H$2:$H$17119,Veda!$Q19,ngfs_median!$I$2:$I$17119,Veda!M$15)</f>
        <v>5.3499999999999999E-2</v>
      </c>
      <c r="Q19" s="12" t="s">
        <v>13</v>
      </c>
      <c r="R19" s="6">
        <f>$Q$10*G19/SUM($G$17:$G$19)</f>
        <v>4.1812277867528262</v>
      </c>
      <c r="S19" s="6">
        <f t="shared" si="4"/>
        <v>5.0143295638126002</v>
      </c>
      <c r="T19" s="6">
        <f t="shared" si="4"/>
        <v>7.1678190630048464</v>
      </c>
      <c r="U19" s="6">
        <f t="shared" si="4"/>
        <v>9.5728109854604195</v>
      </c>
      <c r="V19" s="6">
        <f t="shared" si="4"/>
        <v>12.433651050080774</v>
      </c>
      <c r="W19" s="6">
        <f t="shared" si="4"/>
        <v>14.382794830371564</v>
      </c>
      <c r="X19" s="6">
        <f t="shared" si="4"/>
        <v>16.819224555735055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0</v>
      </c>
      <c r="T20" s="6">
        <f t="shared" si="5"/>
        <v>0.11003231017770597</v>
      </c>
      <c r="U20" s="6">
        <f t="shared" si="5"/>
        <v>0.34581583198707588</v>
      </c>
      <c r="V20" s="6">
        <f t="shared" si="5"/>
        <v>0.7859450726978997</v>
      </c>
      <c r="W20" s="6">
        <f t="shared" si="5"/>
        <v>1.2732310177705974</v>
      </c>
      <c r="X20" s="6">
        <f t="shared" si="5"/>
        <v>2.1220516962843292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2.4899999999999998</v>
      </c>
      <c r="D22" s="12" t="s">
        <v>79</v>
      </c>
      <c r="G22" s="8">
        <f>G35/$G$35*$B22</f>
        <v>2.4899999999999998</v>
      </c>
      <c r="H22" s="8">
        <f t="shared" ref="H22:M22" si="6">H35/$G$35*$B22</f>
        <v>3.4593570767807584</v>
      </c>
      <c r="I22" s="8">
        <f t="shared" si="6"/>
        <v>4.1881344434165895</v>
      </c>
      <c r="J22" s="8">
        <f t="shared" si="6"/>
        <v>5.5424190564292326</v>
      </c>
      <c r="K22" s="8">
        <f t="shared" si="6"/>
        <v>5.9103268578476715</v>
      </c>
      <c r="L22" s="8">
        <f t="shared" si="6"/>
        <v>7.6706537156953418</v>
      </c>
      <c r="M22" s="8">
        <f t="shared" si="6"/>
        <v>9.4691150169596039</v>
      </c>
      <c r="Q22" t="s">
        <v>64</v>
      </c>
      <c r="T22" s="8">
        <f>I35*1000</f>
        <v>3272.8</v>
      </c>
      <c r="U22" s="8">
        <f>J35*1000</f>
        <v>4331.1000000000004</v>
      </c>
      <c r="V22" s="8">
        <f>K35*1000</f>
        <v>4618.5999999999995</v>
      </c>
      <c r="W22" s="8">
        <f>L35*1000</f>
        <v>5994.1999999999989</v>
      </c>
      <c r="X22" s="8">
        <f>M35*1000</f>
        <v>7399.5999999999995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2.2999999999999998</v>
      </c>
      <c r="S26" s="3">
        <f>AVERAGEIFS(historical_data_long!$D$3:$D$9999,historical_data_long!$B$3:$B$9999,"&gt;2017",historical_data_long!$A$3:$A$9999,$O26)</f>
        <v>1.92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0.4</v>
      </c>
      <c r="S27" s="3">
        <f>AVERAGEIFS(historical_data_long!$D$3:$D$9999,historical_data_long!$B$3:$B$9999,"&gt;2017",historical_data_long!$A$3:$A$9999,$O27)</f>
        <v>0.4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1.9458</v>
      </c>
      <c r="H35" s="11">
        <f>SUMIFS(ngfs_median!$J$2:$J$17119,ngfs_median!$B$2:$B$17119,Veda!$C$5,ngfs_median!$D$2:$D$17119,Veda!$D22,ngfs_median!$I$2:$I$17119,Veda!H$15)</f>
        <v>2.7033</v>
      </c>
      <c r="I35" s="11">
        <f>SUMIFS(ngfs_median!$J$2:$J$17119,ngfs_median!$B$2:$B$17119,Veda!$C$5,ngfs_median!$D$2:$D$17119,Veda!$D22,ngfs_median!$I$2:$I$17119,Veda!I$15)</f>
        <v>3.2728000000000002</v>
      </c>
      <c r="J35" s="11">
        <f>SUMIFS(ngfs_median!$J$2:$J$17119,ngfs_median!$B$2:$B$17119,Veda!$C$5,ngfs_median!$D$2:$D$17119,Veda!$D22,ngfs_median!$I$2:$I$17119,Veda!J$15)</f>
        <v>4.3311000000000002</v>
      </c>
      <c r="K35" s="11">
        <f>SUMIFS(ngfs_median!$J$2:$J$17119,ngfs_median!$B$2:$B$17119,Veda!$C$5,ngfs_median!$D$2:$D$17119,Veda!$D22,ngfs_median!$I$2:$I$17119,Veda!K$15)</f>
        <v>4.6185999999999998</v>
      </c>
      <c r="L35" s="11">
        <f>SUMIFS(ngfs_median!$J$2:$J$17119,ngfs_median!$B$2:$B$17119,Veda!$C$5,ngfs_median!$D$2:$D$17119,Veda!$D22,ngfs_median!$I$2:$I$17119,Veda!L$15)</f>
        <v>5.9941999999999993</v>
      </c>
      <c r="M35" s="11">
        <f>SUMIFS(ngfs_median!$J$2:$J$17119,ngfs_median!$B$2:$B$17119,Veda!$C$5,ngfs_median!$D$2:$D$17119,Veda!$D22,ngfs_median!$I$2:$I$17119,Veda!M$15)</f>
        <v>7.3995999999999995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3.73</v>
      </c>
    </row>
    <row r="4" spans="1:4" x14ac:dyDescent="0.45">
      <c r="A4" t="s">
        <v>36</v>
      </c>
      <c r="B4">
        <v>2000</v>
      </c>
      <c r="C4" t="s">
        <v>74</v>
      </c>
      <c r="D4">
        <v>0</v>
      </c>
    </row>
    <row r="5" spans="1:4" x14ac:dyDescent="0.45">
      <c r="A5" t="s">
        <v>56</v>
      </c>
      <c r="B5">
        <v>2000</v>
      </c>
      <c r="C5" t="s">
        <v>74</v>
      </c>
      <c r="D5">
        <v>3.19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7.0000000000000007E-2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4.91</v>
      </c>
    </row>
    <row r="13" spans="1:4" x14ac:dyDescent="0.45">
      <c r="A13" t="s">
        <v>36</v>
      </c>
      <c r="B13">
        <v>2001</v>
      </c>
      <c r="C13" t="s">
        <v>74</v>
      </c>
      <c r="D13">
        <v>0</v>
      </c>
    </row>
    <row r="14" spans="1:4" x14ac:dyDescent="0.45">
      <c r="A14" t="s">
        <v>56</v>
      </c>
      <c r="B14">
        <v>2001</v>
      </c>
      <c r="C14" t="s">
        <v>74</v>
      </c>
      <c r="D14">
        <v>2.96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0.03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4.76</v>
      </c>
    </row>
    <row r="22" spans="1:4" x14ac:dyDescent="0.45">
      <c r="A22" t="s">
        <v>36</v>
      </c>
      <c r="B22">
        <v>2002</v>
      </c>
      <c r="C22" t="s">
        <v>74</v>
      </c>
      <c r="D22">
        <v>0</v>
      </c>
    </row>
    <row r="23" spans="1:4" x14ac:dyDescent="0.45">
      <c r="A23" t="s">
        <v>56</v>
      </c>
      <c r="B23">
        <v>2002</v>
      </c>
      <c r="C23" t="s">
        <v>74</v>
      </c>
      <c r="D23">
        <v>3.81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0.01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3.44</v>
      </c>
    </row>
    <row r="31" spans="1:4" x14ac:dyDescent="0.45">
      <c r="A31" t="s">
        <v>36</v>
      </c>
      <c r="B31">
        <v>2003</v>
      </c>
      <c r="C31" t="s">
        <v>74</v>
      </c>
      <c r="D31">
        <v>0</v>
      </c>
    </row>
    <row r="32" spans="1:4" x14ac:dyDescent="0.45">
      <c r="A32" t="s">
        <v>56</v>
      </c>
      <c r="B32">
        <v>2003</v>
      </c>
      <c r="C32" t="s">
        <v>74</v>
      </c>
      <c r="D32">
        <v>5.34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0.01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4.2</v>
      </c>
    </row>
    <row r="40" spans="1:4" x14ac:dyDescent="0.45">
      <c r="A40" t="s">
        <v>36</v>
      </c>
      <c r="B40">
        <v>2004</v>
      </c>
      <c r="C40" t="s">
        <v>74</v>
      </c>
      <c r="D40">
        <v>0</v>
      </c>
    </row>
    <row r="41" spans="1:4" x14ac:dyDescent="0.45">
      <c r="A41" t="s">
        <v>56</v>
      </c>
      <c r="B41">
        <v>2004</v>
      </c>
      <c r="C41" t="s">
        <v>74</v>
      </c>
      <c r="D41">
        <v>5.5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0.02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4.43</v>
      </c>
    </row>
    <row r="49" spans="1:4" x14ac:dyDescent="0.45">
      <c r="A49" t="s">
        <v>36</v>
      </c>
      <c r="B49">
        <v>2005</v>
      </c>
      <c r="C49" t="s">
        <v>74</v>
      </c>
      <c r="D49">
        <v>0</v>
      </c>
    </row>
    <row r="50" spans="1:4" x14ac:dyDescent="0.45">
      <c r="A50" t="s">
        <v>56</v>
      </c>
      <c r="B50">
        <v>2005</v>
      </c>
      <c r="C50" t="s">
        <v>74</v>
      </c>
      <c r="D50">
        <v>4.91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0.02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0.1</v>
      </c>
    </row>
    <row r="57" spans="1:4" x14ac:dyDescent="0.45">
      <c r="A57" t="s">
        <v>34</v>
      </c>
      <c r="B57">
        <v>2006</v>
      </c>
      <c r="C57" t="s">
        <v>74</v>
      </c>
      <c r="D57">
        <v>2.5299999999999998</v>
      </c>
    </row>
    <row r="58" spans="1:4" x14ac:dyDescent="0.45">
      <c r="A58" t="s">
        <v>36</v>
      </c>
      <c r="B58">
        <v>2006</v>
      </c>
      <c r="C58" t="s">
        <v>74</v>
      </c>
      <c r="D58">
        <v>0</v>
      </c>
    </row>
    <row r="59" spans="1:4" x14ac:dyDescent="0.45">
      <c r="A59" t="s">
        <v>56</v>
      </c>
      <c r="B59">
        <v>2006</v>
      </c>
      <c r="C59" t="s">
        <v>74</v>
      </c>
      <c r="D59">
        <v>5.31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0.04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0.06</v>
      </c>
    </row>
    <row r="66" spans="1:4" x14ac:dyDescent="0.45">
      <c r="A66" t="s">
        <v>34</v>
      </c>
      <c r="B66">
        <v>2007</v>
      </c>
      <c r="C66" t="s">
        <v>74</v>
      </c>
      <c r="D66">
        <v>2.13</v>
      </c>
    </row>
    <row r="67" spans="1:4" x14ac:dyDescent="0.45">
      <c r="A67" t="s">
        <v>36</v>
      </c>
      <c r="B67">
        <v>2007</v>
      </c>
      <c r="C67" t="s">
        <v>74</v>
      </c>
      <c r="D67">
        <v>0</v>
      </c>
    </row>
    <row r="68" spans="1:4" x14ac:dyDescent="0.45">
      <c r="A68" t="s">
        <v>56</v>
      </c>
      <c r="B68">
        <v>2007</v>
      </c>
      <c r="C68" t="s">
        <v>74</v>
      </c>
      <c r="D68">
        <v>5.38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0.03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0.08</v>
      </c>
    </row>
    <row r="75" spans="1:4" x14ac:dyDescent="0.45">
      <c r="A75" t="s">
        <v>34</v>
      </c>
      <c r="B75">
        <v>2008</v>
      </c>
      <c r="C75" t="s">
        <v>74</v>
      </c>
      <c r="D75">
        <v>1.81</v>
      </c>
    </row>
    <row r="76" spans="1:4" x14ac:dyDescent="0.45">
      <c r="A76" t="s">
        <v>36</v>
      </c>
      <c r="B76">
        <v>2008</v>
      </c>
      <c r="C76" t="s">
        <v>74</v>
      </c>
      <c r="D76">
        <v>0</v>
      </c>
    </row>
    <row r="77" spans="1:4" x14ac:dyDescent="0.45">
      <c r="A77" t="s">
        <v>56</v>
      </c>
      <c r="B77">
        <v>2008</v>
      </c>
      <c r="C77" t="s">
        <v>74</v>
      </c>
      <c r="D77">
        <v>5.71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0.03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0.06</v>
      </c>
    </row>
    <row r="84" spans="1:4" x14ac:dyDescent="0.45">
      <c r="A84" t="s">
        <v>34</v>
      </c>
      <c r="B84">
        <v>2009</v>
      </c>
      <c r="C84" t="s">
        <v>74</v>
      </c>
      <c r="D84">
        <v>1.75</v>
      </c>
    </row>
    <row r="85" spans="1:4" x14ac:dyDescent="0.45">
      <c r="A85" t="s">
        <v>36</v>
      </c>
      <c r="B85">
        <v>2009</v>
      </c>
      <c r="C85" t="s">
        <v>74</v>
      </c>
      <c r="D85">
        <v>0</v>
      </c>
    </row>
    <row r="86" spans="1:4" x14ac:dyDescent="0.45">
      <c r="A86" t="s">
        <v>56</v>
      </c>
      <c r="B86">
        <v>2009</v>
      </c>
      <c r="C86" t="s">
        <v>74</v>
      </c>
      <c r="D86">
        <v>5.46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0.02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7.0000000000000007E-2</v>
      </c>
    </row>
    <row r="93" spans="1:4" x14ac:dyDescent="0.45">
      <c r="A93" t="s">
        <v>34</v>
      </c>
      <c r="B93">
        <v>2010</v>
      </c>
      <c r="C93" t="s">
        <v>74</v>
      </c>
      <c r="D93">
        <v>2.75</v>
      </c>
    </row>
    <row r="94" spans="1:4" x14ac:dyDescent="0.45">
      <c r="A94" t="s">
        <v>36</v>
      </c>
      <c r="B94">
        <v>2010</v>
      </c>
      <c r="C94" t="s">
        <v>74</v>
      </c>
      <c r="D94">
        <v>0</v>
      </c>
    </row>
    <row r="95" spans="1:4" x14ac:dyDescent="0.45">
      <c r="A95" t="s">
        <v>56</v>
      </c>
      <c r="B95">
        <v>2010</v>
      </c>
      <c r="C95" t="s">
        <v>74</v>
      </c>
      <c r="D95">
        <v>5.8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0.02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0.09</v>
      </c>
    </row>
    <row r="102" spans="1:4" x14ac:dyDescent="0.45">
      <c r="A102" t="s">
        <v>34</v>
      </c>
      <c r="B102">
        <v>2011</v>
      </c>
      <c r="C102" t="s">
        <v>74</v>
      </c>
      <c r="D102">
        <v>3.84</v>
      </c>
    </row>
    <row r="103" spans="1:4" x14ac:dyDescent="0.45">
      <c r="A103" t="s">
        <v>36</v>
      </c>
      <c r="B103">
        <v>2011</v>
      </c>
      <c r="C103" t="s">
        <v>74</v>
      </c>
      <c r="D103">
        <v>0</v>
      </c>
    </row>
    <row r="104" spans="1:4" x14ac:dyDescent="0.45">
      <c r="A104" t="s">
        <v>56</v>
      </c>
      <c r="B104">
        <v>2011</v>
      </c>
      <c r="C104" t="s">
        <v>74</v>
      </c>
      <c r="D104">
        <v>5.2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0.04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0.12</v>
      </c>
    </row>
    <row r="111" spans="1:4" x14ac:dyDescent="0.45">
      <c r="A111" t="s">
        <v>34</v>
      </c>
      <c r="B111">
        <v>2012</v>
      </c>
      <c r="C111" t="s">
        <v>74</v>
      </c>
      <c r="D111">
        <v>3.59</v>
      </c>
    </row>
    <row r="112" spans="1:4" x14ac:dyDescent="0.45">
      <c r="A112" t="s">
        <v>36</v>
      </c>
      <c r="B112">
        <v>2012</v>
      </c>
      <c r="C112" t="s">
        <v>74</v>
      </c>
      <c r="D112">
        <v>0</v>
      </c>
    </row>
    <row r="113" spans="1:4" x14ac:dyDescent="0.45">
      <c r="A113" t="s">
        <v>56</v>
      </c>
      <c r="B113">
        <v>2012</v>
      </c>
      <c r="C113" t="s">
        <v>74</v>
      </c>
      <c r="D113">
        <v>5.39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0.05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0.13</v>
      </c>
    </row>
    <row r="120" spans="1:4" x14ac:dyDescent="0.45">
      <c r="A120" t="s">
        <v>34</v>
      </c>
      <c r="B120">
        <v>2013</v>
      </c>
      <c r="C120" t="s">
        <v>74</v>
      </c>
      <c r="D120">
        <v>4.3499999999999996</v>
      </c>
    </row>
    <row r="121" spans="1:4" x14ac:dyDescent="0.45">
      <c r="A121" t="s">
        <v>36</v>
      </c>
      <c r="B121">
        <v>2013</v>
      </c>
      <c r="C121" t="s">
        <v>74</v>
      </c>
      <c r="D121">
        <v>0</v>
      </c>
    </row>
    <row r="122" spans="1:4" x14ac:dyDescent="0.45">
      <c r="A122" t="s">
        <v>56</v>
      </c>
      <c r="B122">
        <v>2013</v>
      </c>
      <c r="C122" t="s">
        <v>74</v>
      </c>
      <c r="D122">
        <v>5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0.06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0.01</v>
      </c>
    </row>
    <row r="129" spans="1:4" x14ac:dyDescent="0.45">
      <c r="A129" t="s">
        <v>34</v>
      </c>
      <c r="B129">
        <v>2014</v>
      </c>
      <c r="C129" t="s">
        <v>74</v>
      </c>
      <c r="D129">
        <v>4.4000000000000004</v>
      </c>
    </row>
    <row r="130" spans="1:4" x14ac:dyDescent="0.45">
      <c r="A130" t="s">
        <v>36</v>
      </c>
      <c r="B130">
        <v>2014</v>
      </c>
      <c r="C130" t="s">
        <v>74</v>
      </c>
      <c r="D130">
        <v>0</v>
      </c>
    </row>
    <row r="131" spans="1:4" x14ac:dyDescent="0.45">
      <c r="A131" t="s">
        <v>56</v>
      </c>
      <c r="B131">
        <v>2014</v>
      </c>
      <c r="C131" t="s">
        <v>74</v>
      </c>
      <c r="D131">
        <v>5.43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0.02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0.04</v>
      </c>
    </row>
    <row r="138" spans="1:4" x14ac:dyDescent="0.45">
      <c r="A138" t="s">
        <v>34</v>
      </c>
      <c r="B138">
        <v>2015</v>
      </c>
      <c r="C138" t="s">
        <v>74</v>
      </c>
      <c r="D138">
        <v>4.54</v>
      </c>
    </row>
    <row r="139" spans="1:4" x14ac:dyDescent="0.45">
      <c r="A139" t="s">
        <v>36</v>
      </c>
      <c r="B139">
        <v>2015</v>
      </c>
      <c r="C139" t="s">
        <v>74</v>
      </c>
      <c r="D139">
        <v>0</v>
      </c>
    </row>
    <row r="140" spans="1:4" x14ac:dyDescent="0.45">
      <c r="A140" t="s">
        <v>56</v>
      </c>
      <c r="B140">
        <v>2015</v>
      </c>
      <c r="C140" t="s">
        <v>74</v>
      </c>
      <c r="D140">
        <v>4.99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0.01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0.01</v>
      </c>
    </row>
    <row r="145" spans="1:4" x14ac:dyDescent="0.45">
      <c r="A145" t="s">
        <v>91</v>
      </c>
      <c r="B145">
        <v>2015</v>
      </c>
      <c r="C145" t="s">
        <v>74</v>
      </c>
      <c r="D145">
        <v>0</v>
      </c>
    </row>
    <row r="146" spans="1:4" x14ac:dyDescent="0.45">
      <c r="A146" t="s">
        <v>32</v>
      </c>
      <c r="B146">
        <v>2016</v>
      </c>
      <c r="C146" t="s">
        <v>74</v>
      </c>
      <c r="D146">
        <v>0.23</v>
      </c>
    </row>
    <row r="147" spans="1:4" x14ac:dyDescent="0.45">
      <c r="A147" t="s">
        <v>34</v>
      </c>
      <c r="B147">
        <v>2016</v>
      </c>
      <c r="C147" t="s">
        <v>74</v>
      </c>
      <c r="D147">
        <v>3.91</v>
      </c>
    </row>
    <row r="148" spans="1:4" x14ac:dyDescent="0.45">
      <c r="A148" t="s">
        <v>36</v>
      </c>
      <c r="B148">
        <v>2016</v>
      </c>
      <c r="C148" t="s">
        <v>74</v>
      </c>
      <c r="D148">
        <v>0</v>
      </c>
    </row>
    <row r="149" spans="1:4" x14ac:dyDescent="0.45">
      <c r="A149" t="s">
        <v>56</v>
      </c>
      <c r="B149">
        <v>2016</v>
      </c>
      <c r="C149" t="s">
        <v>74</v>
      </c>
      <c r="D149">
        <v>2.98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0.04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0.01</v>
      </c>
    </row>
    <row r="154" spans="1:4" x14ac:dyDescent="0.45">
      <c r="A154" t="s">
        <v>91</v>
      </c>
      <c r="B154">
        <v>2016</v>
      </c>
      <c r="C154" t="s">
        <v>74</v>
      </c>
      <c r="D154">
        <v>0</v>
      </c>
    </row>
    <row r="155" spans="1:4" x14ac:dyDescent="0.45">
      <c r="A155" t="s">
        <v>32</v>
      </c>
      <c r="B155">
        <v>2017</v>
      </c>
      <c r="C155" t="s">
        <v>74</v>
      </c>
      <c r="D155">
        <v>0.15</v>
      </c>
    </row>
    <row r="156" spans="1:4" x14ac:dyDescent="0.45">
      <c r="A156" t="s">
        <v>34</v>
      </c>
      <c r="B156">
        <v>2017</v>
      </c>
      <c r="C156" t="s">
        <v>74</v>
      </c>
      <c r="D156">
        <v>3.38</v>
      </c>
    </row>
    <row r="157" spans="1:4" x14ac:dyDescent="0.45">
      <c r="A157" t="s">
        <v>36</v>
      </c>
      <c r="B157">
        <v>2017</v>
      </c>
      <c r="C157" t="s">
        <v>74</v>
      </c>
      <c r="D157">
        <v>0</v>
      </c>
    </row>
    <row r="158" spans="1:4" x14ac:dyDescent="0.45">
      <c r="A158" t="s">
        <v>56</v>
      </c>
      <c r="B158">
        <v>2017</v>
      </c>
      <c r="C158" t="s">
        <v>74</v>
      </c>
      <c r="D158">
        <v>3.97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0.04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0.01</v>
      </c>
    </row>
    <row r="163" spans="1:4" x14ac:dyDescent="0.45">
      <c r="A163" t="s">
        <v>91</v>
      </c>
      <c r="B163">
        <v>2017</v>
      </c>
      <c r="C163" t="s">
        <v>74</v>
      </c>
      <c r="D163">
        <v>0</v>
      </c>
    </row>
    <row r="164" spans="1:4" x14ac:dyDescent="0.45">
      <c r="A164" t="s">
        <v>32</v>
      </c>
      <c r="B164">
        <v>2018</v>
      </c>
      <c r="C164" t="s">
        <v>74</v>
      </c>
      <c r="D164">
        <v>0.19</v>
      </c>
    </row>
    <row r="165" spans="1:4" x14ac:dyDescent="0.45">
      <c r="A165" t="s">
        <v>34</v>
      </c>
      <c r="B165">
        <v>2018</v>
      </c>
      <c r="C165" t="s">
        <v>74</v>
      </c>
      <c r="D165">
        <v>4.13</v>
      </c>
    </row>
    <row r="166" spans="1:4" x14ac:dyDescent="0.45">
      <c r="A166" t="s">
        <v>36</v>
      </c>
      <c r="B166">
        <v>2018</v>
      </c>
      <c r="C166" t="s">
        <v>74</v>
      </c>
      <c r="D166">
        <v>0</v>
      </c>
    </row>
    <row r="167" spans="1:4" x14ac:dyDescent="0.45">
      <c r="A167" t="s">
        <v>56</v>
      </c>
      <c r="B167">
        <v>2018</v>
      </c>
      <c r="C167" t="s">
        <v>74</v>
      </c>
      <c r="D167">
        <v>5.05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0.05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0.02</v>
      </c>
    </row>
    <row r="172" spans="1:4" x14ac:dyDescent="0.45">
      <c r="A172" t="s">
        <v>91</v>
      </c>
      <c r="B172">
        <v>2018</v>
      </c>
      <c r="C172" t="s">
        <v>74</v>
      </c>
      <c r="D172">
        <v>0</v>
      </c>
    </row>
    <row r="173" spans="1:4" x14ac:dyDescent="0.45">
      <c r="A173" t="s">
        <v>32</v>
      </c>
      <c r="B173">
        <v>2019</v>
      </c>
      <c r="C173" t="s">
        <v>74</v>
      </c>
      <c r="D173">
        <v>0.19</v>
      </c>
    </row>
    <row r="174" spans="1:4" x14ac:dyDescent="0.45">
      <c r="A174" t="s">
        <v>34</v>
      </c>
      <c r="B174">
        <v>2019</v>
      </c>
      <c r="C174" t="s">
        <v>74</v>
      </c>
      <c r="D174">
        <v>4.05</v>
      </c>
    </row>
    <row r="175" spans="1:4" x14ac:dyDescent="0.45">
      <c r="A175" t="s">
        <v>36</v>
      </c>
      <c r="B175">
        <v>2019</v>
      </c>
      <c r="C175" t="s">
        <v>74</v>
      </c>
      <c r="D175">
        <v>0</v>
      </c>
    </row>
    <row r="176" spans="1:4" x14ac:dyDescent="0.45">
      <c r="A176" t="s">
        <v>56</v>
      </c>
      <c r="B176">
        <v>2019</v>
      </c>
      <c r="C176" t="s">
        <v>74</v>
      </c>
      <c r="D176">
        <v>4.17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0.05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0.03</v>
      </c>
    </row>
    <row r="181" spans="1:4" x14ac:dyDescent="0.45">
      <c r="A181" t="s">
        <v>91</v>
      </c>
      <c r="B181">
        <v>2019</v>
      </c>
      <c r="C181" t="s">
        <v>74</v>
      </c>
      <c r="D181">
        <v>0</v>
      </c>
    </row>
    <row r="182" spans="1:4" x14ac:dyDescent="0.45">
      <c r="A182" t="s">
        <v>32</v>
      </c>
      <c r="B182">
        <v>2020</v>
      </c>
      <c r="C182" t="s">
        <v>74</v>
      </c>
      <c r="D182">
        <v>0.1</v>
      </c>
    </row>
    <row r="183" spans="1:4" x14ac:dyDescent="0.45">
      <c r="A183" t="s">
        <v>34</v>
      </c>
      <c r="B183">
        <v>2020</v>
      </c>
      <c r="C183" t="s">
        <v>74</v>
      </c>
      <c r="D183">
        <v>2.74</v>
      </c>
    </row>
    <row r="184" spans="1:4" x14ac:dyDescent="0.45">
      <c r="A184" t="s">
        <v>36</v>
      </c>
      <c r="B184">
        <v>2020</v>
      </c>
      <c r="C184" t="s">
        <v>74</v>
      </c>
      <c r="D184">
        <v>0</v>
      </c>
    </row>
    <row r="185" spans="1:4" x14ac:dyDescent="0.45">
      <c r="A185" t="s">
        <v>56</v>
      </c>
      <c r="B185">
        <v>2020</v>
      </c>
      <c r="C185" t="s">
        <v>74</v>
      </c>
      <c r="D185">
        <v>3.81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0.04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0.02</v>
      </c>
    </row>
    <row r="190" spans="1:4" x14ac:dyDescent="0.45">
      <c r="A190" t="s">
        <v>91</v>
      </c>
      <c r="B190">
        <v>2020</v>
      </c>
      <c r="C190" t="s">
        <v>74</v>
      </c>
      <c r="D190">
        <v>0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2.5099999999999998</v>
      </c>
    </row>
    <row r="193" spans="1:4" x14ac:dyDescent="0.45">
      <c r="A193" t="s">
        <v>36</v>
      </c>
      <c r="B193">
        <v>2021</v>
      </c>
      <c r="C193" t="s">
        <v>74</v>
      </c>
      <c r="D193">
        <v>0</v>
      </c>
    </row>
    <row r="194" spans="1:4" x14ac:dyDescent="0.45">
      <c r="A194" t="s">
        <v>56</v>
      </c>
      <c r="B194">
        <v>2021</v>
      </c>
      <c r="C194" t="s">
        <v>74</v>
      </c>
      <c r="D194">
        <v>5.93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0.02</v>
      </c>
    </row>
    <row r="199" spans="1:4" x14ac:dyDescent="0.45">
      <c r="A199" t="s">
        <v>91</v>
      </c>
      <c r="B199">
        <v>2021</v>
      </c>
      <c r="C199" t="s">
        <v>74</v>
      </c>
      <c r="D199">
        <v>0</v>
      </c>
    </row>
    <row r="200" spans="1:4" x14ac:dyDescent="0.45">
      <c r="A200" t="s">
        <v>32</v>
      </c>
      <c r="B200">
        <v>2022</v>
      </c>
      <c r="C200" t="s">
        <v>74</v>
      </c>
      <c r="D200">
        <v>0.1</v>
      </c>
    </row>
    <row r="201" spans="1:4" x14ac:dyDescent="0.45">
      <c r="A201" t="s">
        <v>34</v>
      </c>
      <c r="B201">
        <v>2022</v>
      </c>
      <c r="C201" t="s">
        <v>74</v>
      </c>
      <c r="D201">
        <v>2.92</v>
      </c>
    </row>
    <row r="202" spans="1:4" x14ac:dyDescent="0.45">
      <c r="A202" t="s">
        <v>36</v>
      </c>
      <c r="B202">
        <v>2022</v>
      </c>
      <c r="C202" t="s">
        <v>74</v>
      </c>
      <c r="D202">
        <v>0</v>
      </c>
    </row>
    <row r="203" spans="1:4" x14ac:dyDescent="0.45">
      <c r="A203" t="s">
        <v>56</v>
      </c>
      <c r="B203">
        <v>2022</v>
      </c>
      <c r="C203" t="s">
        <v>74</v>
      </c>
      <c r="D203">
        <v>5.88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0.03</v>
      </c>
    </row>
    <row r="208" spans="1:4" x14ac:dyDescent="0.45">
      <c r="A208" t="s">
        <v>91</v>
      </c>
      <c r="B208">
        <v>2022</v>
      </c>
      <c r="C208" t="s">
        <v>74</v>
      </c>
      <c r="D208">
        <v>0</v>
      </c>
    </row>
    <row r="209" spans="1:4" x14ac:dyDescent="0.45">
      <c r="A209" t="s">
        <v>32</v>
      </c>
      <c r="B209">
        <v>2000</v>
      </c>
      <c r="C209" t="s">
        <v>75</v>
      </c>
      <c r="D209">
        <v>0.06</v>
      </c>
    </row>
    <row r="210" spans="1:4" x14ac:dyDescent="0.45">
      <c r="A210" t="s">
        <v>34</v>
      </c>
      <c r="B210">
        <v>2000</v>
      </c>
      <c r="C210" t="s">
        <v>75</v>
      </c>
      <c r="D210">
        <v>0.95</v>
      </c>
    </row>
    <row r="211" spans="1:4" x14ac:dyDescent="0.45">
      <c r="A211" t="s">
        <v>36</v>
      </c>
      <c r="B211">
        <v>2000</v>
      </c>
      <c r="C211" t="s">
        <v>75</v>
      </c>
    </row>
    <row r="212" spans="1:4" x14ac:dyDescent="0.45">
      <c r="A212" t="s">
        <v>56</v>
      </c>
      <c r="B212">
        <v>2000</v>
      </c>
      <c r="C212" t="s">
        <v>75</v>
      </c>
      <c r="D212">
        <v>0.67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</row>
    <row r="218" spans="1:4" x14ac:dyDescent="0.45">
      <c r="A218" t="s">
        <v>32</v>
      </c>
      <c r="B218">
        <v>2001</v>
      </c>
      <c r="C218" t="s">
        <v>75</v>
      </c>
      <c r="D218">
        <v>0.06</v>
      </c>
    </row>
    <row r="219" spans="1:4" x14ac:dyDescent="0.45">
      <c r="A219" t="s">
        <v>34</v>
      </c>
      <c r="B219">
        <v>2001</v>
      </c>
      <c r="C219" t="s">
        <v>75</v>
      </c>
      <c r="D219">
        <v>0.95</v>
      </c>
    </row>
    <row r="220" spans="1:4" x14ac:dyDescent="0.45">
      <c r="A220" t="s">
        <v>36</v>
      </c>
      <c r="B220">
        <v>2001</v>
      </c>
      <c r="C220" t="s">
        <v>75</v>
      </c>
    </row>
    <row r="221" spans="1:4" x14ac:dyDescent="0.45">
      <c r="A221" t="s">
        <v>56</v>
      </c>
      <c r="B221">
        <v>2001</v>
      </c>
      <c r="C221" t="s">
        <v>75</v>
      </c>
      <c r="D221">
        <v>0.67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</row>
    <row r="227" spans="1:4" x14ac:dyDescent="0.45">
      <c r="A227" t="s">
        <v>32</v>
      </c>
      <c r="B227">
        <v>2002</v>
      </c>
      <c r="C227" t="s">
        <v>75</v>
      </c>
      <c r="D227">
        <v>0.08</v>
      </c>
    </row>
    <row r="228" spans="1:4" x14ac:dyDescent="0.45">
      <c r="A228" t="s">
        <v>34</v>
      </c>
      <c r="B228">
        <v>2002</v>
      </c>
      <c r="C228" t="s">
        <v>75</v>
      </c>
      <c r="D228">
        <v>0.95</v>
      </c>
    </row>
    <row r="229" spans="1:4" x14ac:dyDescent="0.45">
      <c r="A229" t="s">
        <v>36</v>
      </c>
      <c r="B229">
        <v>2002</v>
      </c>
      <c r="C229" t="s">
        <v>75</v>
      </c>
    </row>
    <row r="230" spans="1:4" x14ac:dyDescent="0.45">
      <c r="A230" t="s">
        <v>56</v>
      </c>
      <c r="B230">
        <v>2002</v>
      </c>
      <c r="C230" t="s">
        <v>75</v>
      </c>
      <c r="D230">
        <v>0.67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</row>
    <row r="236" spans="1:4" x14ac:dyDescent="0.45">
      <c r="A236" t="s">
        <v>32</v>
      </c>
      <c r="B236">
        <v>2003</v>
      </c>
      <c r="C236" t="s">
        <v>75</v>
      </c>
      <c r="D236">
        <v>0.08</v>
      </c>
    </row>
    <row r="237" spans="1:4" x14ac:dyDescent="0.45">
      <c r="A237" t="s">
        <v>34</v>
      </c>
      <c r="B237">
        <v>2003</v>
      </c>
      <c r="C237" t="s">
        <v>75</v>
      </c>
      <c r="D237">
        <v>0.95</v>
      </c>
    </row>
    <row r="238" spans="1:4" x14ac:dyDescent="0.45">
      <c r="A238" t="s">
        <v>36</v>
      </c>
      <c r="B238">
        <v>2003</v>
      </c>
      <c r="C238" t="s">
        <v>75</v>
      </c>
    </row>
    <row r="239" spans="1:4" x14ac:dyDescent="0.45">
      <c r="A239" t="s">
        <v>56</v>
      </c>
      <c r="B239">
        <v>2003</v>
      </c>
      <c r="C239" t="s">
        <v>75</v>
      </c>
      <c r="D239">
        <v>0.67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</row>
    <row r="245" spans="1:4" x14ac:dyDescent="0.45">
      <c r="A245" t="s">
        <v>32</v>
      </c>
      <c r="B245">
        <v>2004</v>
      </c>
      <c r="C245" t="s">
        <v>75</v>
      </c>
      <c r="D245">
        <v>0.08</v>
      </c>
    </row>
    <row r="246" spans="1:4" x14ac:dyDescent="0.45">
      <c r="A246" t="s">
        <v>34</v>
      </c>
      <c r="B246">
        <v>2004</v>
      </c>
      <c r="C246" t="s">
        <v>75</v>
      </c>
      <c r="D246">
        <v>0.95</v>
      </c>
    </row>
    <row r="247" spans="1:4" x14ac:dyDescent="0.45">
      <c r="A247" t="s">
        <v>36</v>
      </c>
      <c r="B247">
        <v>2004</v>
      </c>
      <c r="C247" t="s">
        <v>75</v>
      </c>
    </row>
    <row r="248" spans="1:4" x14ac:dyDescent="0.45">
      <c r="A248" t="s">
        <v>56</v>
      </c>
      <c r="B248">
        <v>2004</v>
      </c>
      <c r="C248" t="s">
        <v>75</v>
      </c>
      <c r="D248">
        <v>0.67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</row>
    <row r="254" spans="1:4" x14ac:dyDescent="0.45">
      <c r="A254" t="s">
        <v>32</v>
      </c>
      <c r="B254">
        <v>2005</v>
      </c>
      <c r="C254" t="s">
        <v>75</v>
      </c>
      <c r="D254">
        <v>0.08</v>
      </c>
    </row>
    <row r="255" spans="1:4" x14ac:dyDescent="0.45">
      <c r="A255" t="s">
        <v>34</v>
      </c>
      <c r="B255">
        <v>2005</v>
      </c>
      <c r="C255" t="s">
        <v>75</v>
      </c>
      <c r="D255">
        <v>0.95</v>
      </c>
    </row>
    <row r="256" spans="1:4" x14ac:dyDescent="0.45">
      <c r="A256" t="s">
        <v>36</v>
      </c>
      <c r="B256">
        <v>2005</v>
      </c>
      <c r="C256" t="s">
        <v>75</v>
      </c>
    </row>
    <row r="257" spans="1:4" x14ac:dyDescent="0.45">
      <c r="A257" t="s">
        <v>56</v>
      </c>
      <c r="B257">
        <v>2005</v>
      </c>
      <c r="C257" t="s">
        <v>75</v>
      </c>
      <c r="D257">
        <v>0.67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</row>
    <row r="263" spans="1:4" x14ac:dyDescent="0.45">
      <c r="A263" t="s">
        <v>32</v>
      </c>
      <c r="B263">
        <v>2006</v>
      </c>
      <c r="C263" t="s">
        <v>75</v>
      </c>
      <c r="D263">
        <v>0.08</v>
      </c>
    </row>
    <row r="264" spans="1:4" x14ac:dyDescent="0.45">
      <c r="A264" t="s">
        <v>34</v>
      </c>
      <c r="B264">
        <v>2006</v>
      </c>
      <c r="C264" t="s">
        <v>75</v>
      </c>
      <c r="D264">
        <v>0.95</v>
      </c>
    </row>
    <row r="265" spans="1:4" x14ac:dyDescent="0.45">
      <c r="A265" t="s">
        <v>36</v>
      </c>
      <c r="B265">
        <v>2006</v>
      </c>
      <c r="C265" t="s">
        <v>75</v>
      </c>
    </row>
    <row r="266" spans="1:4" x14ac:dyDescent="0.45">
      <c r="A266" t="s">
        <v>56</v>
      </c>
      <c r="B266">
        <v>2006</v>
      </c>
      <c r="C266" t="s">
        <v>75</v>
      </c>
      <c r="D266">
        <v>0.67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</row>
    <row r="272" spans="1:4" x14ac:dyDescent="0.45">
      <c r="A272" t="s">
        <v>32</v>
      </c>
      <c r="B272">
        <v>2007</v>
      </c>
      <c r="C272" t="s">
        <v>75</v>
      </c>
      <c r="D272">
        <v>0.08</v>
      </c>
    </row>
    <row r="273" spans="1:4" x14ac:dyDescent="0.45">
      <c r="A273" t="s">
        <v>34</v>
      </c>
      <c r="B273">
        <v>2007</v>
      </c>
      <c r="C273" t="s">
        <v>75</v>
      </c>
      <c r="D273">
        <v>0.95</v>
      </c>
    </row>
    <row r="274" spans="1:4" x14ac:dyDescent="0.45">
      <c r="A274" t="s">
        <v>36</v>
      </c>
      <c r="B274">
        <v>2007</v>
      </c>
      <c r="C274" t="s">
        <v>75</v>
      </c>
    </row>
    <row r="275" spans="1:4" x14ac:dyDescent="0.45">
      <c r="A275" t="s">
        <v>56</v>
      </c>
      <c r="B275">
        <v>2007</v>
      </c>
      <c r="C275" t="s">
        <v>75</v>
      </c>
      <c r="D275">
        <v>0.67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</row>
    <row r="281" spans="1:4" x14ac:dyDescent="0.45">
      <c r="A281" t="s">
        <v>32</v>
      </c>
      <c r="B281">
        <v>2008</v>
      </c>
      <c r="C281" t="s">
        <v>75</v>
      </c>
      <c r="D281">
        <v>0.08</v>
      </c>
    </row>
    <row r="282" spans="1:4" x14ac:dyDescent="0.45">
      <c r="A282" t="s">
        <v>34</v>
      </c>
      <c r="B282">
        <v>2008</v>
      </c>
      <c r="C282" t="s">
        <v>75</v>
      </c>
      <c r="D282">
        <v>0.95</v>
      </c>
    </row>
    <row r="283" spans="1:4" x14ac:dyDescent="0.45">
      <c r="A283" t="s">
        <v>36</v>
      </c>
      <c r="B283">
        <v>2008</v>
      </c>
      <c r="C283" t="s">
        <v>75</v>
      </c>
    </row>
    <row r="284" spans="1:4" x14ac:dyDescent="0.45">
      <c r="A284" t="s">
        <v>56</v>
      </c>
      <c r="B284">
        <v>2008</v>
      </c>
      <c r="C284" t="s">
        <v>75</v>
      </c>
      <c r="D284">
        <v>0.75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</row>
    <row r="290" spans="1:4" x14ac:dyDescent="0.45">
      <c r="A290" t="s">
        <v>32</v>
      </c>
      <c r="B290">
        <v>2009</v>
      </c>
      <c r="C290" t="s">
        <v>75</v>
      </c>
      <c r="D290">
        <v>0.08</v>
      </c>
    </row>
    <row r="291" spans="1:4" x14ac:dyDescent="0.45">
      <c r="A291" t="s">
        <v>34</v>
      </c>
      <c r="B291">
        <v>2009</v>
      </c>
      <c r="C291" t="s">
        <v>75</v>
      </c>
      <c r="D291">
        <v>0.95</v>
      </c>
    </row>
    <row r="292" spans="1:4" x14ac:dyDescent="0.45">
      <c r="A292" t="s">
        <v>36</v>
      </c>
      <c r="B292">
        <v>2009</v>
      </c>
      <c r="C292" t="s">
        <v>75</v>
      </c>
    </row>
    <row r="293" spans="1:4" x14ac:dyDescent="0.45">
      <c r="A293" t="s">
        <v>56</v>
      </c>
      <c r="B293">
        <v>2009</v>
      </c>
      <c r="C293" t="s">
        <v>75</v>
      </c>
      <c r="D293">
        <v>0.75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</row>
    <row r="299" spans="1:4" x14ac:dyDescent="0.45">
      <c r="A299" t="s">
        <v>32</v>
      </c>
      <c r="B299">
        <v>2010</v>
      </c>
      <c r="C299" t="s">
        <v>75</v>
      </c>
      <c r="D299">
        <v>0.08</v>
      </c>
    </row>
    <row r="300" spans="1:4" x14ac:dyDescent="0.45">
      <c r="A300" t="s">
        <v>34</v>
      </c>
      <c r="B300">
        <v>2010</v>
      </c>
      <c r="C300" t="s">
        <v>75</v>
      </c>
      <c r="D300">
        <v>0.95</v>
      </c>
    </row>
    <row r="301" spans="1:4" x14ac:dyDescent="0.45">
      <c r="A301" t="s">
        <v>36</v>
      </c>
      <c r="B301">
        <v>2010</v>
      </c>
      <c r="C301" t="s">
        <v>75</v>
      </c>
    </row>
    <row r="302" spans="1:4" x14ac:dyDescent="0.45">
      <c r="A302" t="s">
        <v>56</v>
      </c>
      <c r="B302">
        <v>2010</v>
      </c>
      <c r="C302" t="s">
        <v>75</v>
      </c>
      <c r="D302">
        <v>0.75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</v>
      </c>
    </row>
    <row r="307" spans="1:4" x14ac:dyDescent="0.45">
      <c r="A307" t="s">
        <v>91</v>
      </c>
      <c r="B307">
        <v>2010</v>
      </c>
      <c r="C307" t="s">
        <v>75</v>
      </c>
    </row>
    <row r="308" spans="1:4" x14ac:dyDescent="0.45">
      <c r="A308" t="s">
        <v>32</v>
      </c>
      <c r="B308">
        <v>2011</v>
      </c>
      <c r="C308" t="s">
        <v>75</v>
      </c>
      <c r="D308">
        <v>0.1</v>
      </c>
    </row>
    <row r="309" spans="1:4" x14ac:dyDescent="0.45">
      <c r="A309" t="s">
        <v>34</v>
      </c>
      <c r="B309">
        <v>2011</v>
      </c>
      <c r="C309" t="s">
        <v>75</v>
      </c>
      <c r="D309">
        <v>0.95</v>
      </c>
    </row>
    <row r="310" spans="1:4" x14ac:dyDescent="0.45">
      <c r="A310" t="s">
        <v>36</v>
      </c>
      <c r="B310">
        <v>2011</v>
      </c>
      <c r="C310" t="s">
        <v>75</v>
      </c>
    </row>
    <row r="311" spans="1:4" x14ac:dyDescent="0.45">
      <c r="A311" t="s">
        <v>56</v>
      </c>
      <c r="B311">
        <v>2011</v>
      </c>
      <c r="C311" t="s">
        <v>75</v>
      </c>
      <c r="D311">
        <v>0.75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0.01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</v>
      </c>
    </row>
    <row r="316" spans="1:4" x14ac:dyDescent="0.45">
      <c r="A316" t="s">
        <v>91</v>
      </c>
      <c r="B316">
        <v>2011</v>
      </c>
      <c r="C316" t="s">
        <v>75</v>
      </c>
    </row>
    <row r="317" spans="1:4" x14ac:dyDescent="0.45">
      <c r="A317" t="s">
        <v>32</v>
      </c>
      <c r="B317">
        <v>2012</v>
      </c>
      <c r="C317" t="s">
        <v>75</v>
      </c>
      <c r="D317">
        <v>0.1</v>
      </c>
    </row>
    <row r="318" spans="1:4" x14ac:dyDescent="0.45">
      <c r="A318" t="s">
        <v>34</v>
      </c>
      <c r="B318">
        <v>2012</v>
      </c>
      <c r="C318" t="s">
        <v>75</v>
      </c>
      <c r="D318">
        <v>0.95</v>
      </c>
    </row>
    <row r="319" spans="1:4" x14ac:dyDescent="0.45">
      <c r="A319" t="s">
        <v>36</v>
      </c>
      <c r="B319">
        <v>2012</v>
      </c>
      <c r="C319" t="s">
        <v>75</v>
      </c>
    </row>
    <row r="320" spans="1:4" x14ac:dyDescent="0.45">
      <c r="A320" t="s">
        <v>56</v>
      </c>
      <c r="B320">
        <v>2012</v>
      </c>
      <c r="C320" t="s">
        <v>75</v>
      </c>
      <c r="D320">
        <v>0.75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0.01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</v>
      </c>
    </row>
    <row r="325" spans="1:4" x14ac:dyDescent="0.45">
      <c r="A325" t="s">
        <v>91</v>
      </c>
      <c r="B325">
        <v>2012</v>
      </c>
      <c r="C325" t="s">
        <v>75</v>
      </c>
    </row>
    <row r="326" spans="1:4" x14ac:dyDescent="0.45">
      <c r="A326" t="s">
        <v>32</v>
      </c>
      <c r="B326">
        <v>2013</v>
      </c>
      <c r="C326" t="s">
        <v>75</v>
      </c>
      <c r="D326">
        <v>0.1</v>
      </c>
    </row>
    <row r="327" spans="1:4" x14ac:dyDescent="0.45">
      <c r="A327" t="s">
        <v>34</v>
      </c>
      <c r="B327">
        <v>2013</v>
      </c>
      <c r="C327" t="s">
        <v>75</v>
      </c>
      <c r="D327">
        <v>0.95</v>
      </c>
    </row>
    <row r="328" spans="1:4" x14ac:dyDescent="0.45">
      <c r="A328" t="s">
        <v>36</v>
      </c>
      <c r="B328">
        <v>2013</v>
      </c>
      <c r="C328" t="s">
        <v>75</v>
      </c>
    </row>
    <row r="329" spans="1:4" x14ac:dyDescent="0.45">
      <c r="A329" t="s">
        <v>56</v>
      </c>
      <c r="B329">
        <v>2013</v>
      </c>
      <c r="C329" t="s">
        <v>75</v>
      </c>
      <c r="D329">
        <v>0.76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0.01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</v>
      </c>
    </row>
    <row r="334" spans="1:4" x14ac:dyDescent="0.45">
      <c r="A334" t="s">
        <v>91</v>
      </c>
      <c r="B334">
        <v>2013</v>
      </c>
      <c r="C334" t="s">
        <v>75</v>
      </c>
    </row>
    <row r="335" spans="1:4" x14ac:dyDescent="0.45">
      <c r="A335" t="s">
        <v>32</v>
      </c>
      <c r="B335">
        <v>2014</v>
      </c>
      <c r="C335" t="s">
        <v>75</v>
      </c>
      <c r="D335">
        <v>0.1</v>
      </c>
    </row>
    <row r="336" spans="1:4" x14ac:dyDescent="0.45">
      <c r="A336" t="s">
        <v>34</v>
      </c>
      <c r="B336">
        <v>2014</v>
      </c>
      <c r="C336" t="s">
        <v>75</v>
      </c>
      <c r="D336">
        <v>0.95</v>
      </c>
    </row>
    <row r="337" spans="1:4" x14ac:dyDescent="0.45">
      <c r="A337" t="s">
        <v>36</v>
      </c>
      <c r="B337">
        <v>2014</v>
      </c>
      <c r="C337" t="s">
        <v>75</v>
      </c>
    </row>
    <row r="338" spans="1:4" x14ac:dyDescent="0.45">
      <c r="A338" t="s">
        <v>56</v>
      </c>
      <c r="B338">
        <v>2014</v>
      </c>
      <c r="C338" t="s">
        <v>75</v>
      </c>
      <c r="D338">
        <v>0.76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0.01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</v>
      </c>
    </row>
    <row r="343" spans="1:4" x14ac:dyDescent="0.45">
      <c r="A343" t="s">
        <v>91</v>
      </c>
      <c r="B343">
        <v>2014</v>
      </c>
      <c r="C343" t="s">
        <v>75</v>
      </c>
    </row>
    <row r="344" spans="1:4" x14ac:dyDescent="0.45">
      <c r="A344" t="s">
        <v>32</v>
      </c>
      <c r="B344">
        <v>2015</v>
      </c>
      <c r="C344" t="s">
        <v>75</v>
      </c>
      <c r="D344">
        <v>0.1</v>
      </c>
    </row>
    <row r="345" spans="1:4" x14ac:dyDescent="0.45">
      <c r="A345" t="s">
        <v>34</v>
      </c>
      <c r="B345">
        <v>2015</v>
      </c>
      <c r="C345" t="s">
        <v>75</v>
      </c>
      <c r="D345">
        <v>0.95</v>
      </c>
    </row>
    <row r="346" spans="1:4" x14ac:dyDescent="0.45">
      <c r="A346" t="s">
        <v>36</v>
      </c>
      <c r="B346">
        <v>2015</v>
      </c>
      <c r="C346" t="s">
        <v>75</v>
      </c>
    </row>
    <row r="347" spans="1:4" x14ac:dyDescent="0.45">
      <c r="A347" t="s">
        <v>56</v>
      </c>
      <c r="B347">
        <v>2015</v>
      </c>
      <c r="C347" t="s">
        <v>75</v>
      </c>
      <c r="D347">
        <v>0.77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0.01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</v>
      </c>
    </row>
    <row r="352" spans="1:4" x14ac:dyDescent="0.45">
      <c r="A352" t="s">
        <v>91</v>
      </c>
      <c r="B352">
        <v>2015</v>
      </c>
      <c r="C352" t="s">
        <v>75</v>
      </c>
    </row>
    <row r="353" spans="1:4" x14ac:dyDescent="0.45">
      <c r="A353" t="s">
        <v>32</v>
      </c>
      <c r="B353">
        <v>2016</v>
      </c>
      <c r="C353" t="s">
        <v>75</v>
      </c>
      <c r="D353">
        <v>0.1</v>
      </c>
    </row>
    <row r="354" spans="1:4" x14ac:dyDescent="0.45">
      <c r="A354" t="s">
        <v>34</v>
      </c>
      <c r="B354">
        <v>2016</v>
      </c>
      <c r="C354" t="s">
        <v>75</v>
      </c>
      <c r="D354">
        <v>0.95</v>
      </c>
    </row>
    <row r="355" spans="1:4" x14ac:dyDescent="0.45">
      <c r="A355" t="s">
        <v>36</v>
      </c>
      <c r="B355">
        <v>2016</v>
      </c>
      <c r="C355" t="s">
        <v>75</v>
      </c>
    </row>
    <row r="356" spans="1:4" x14ac:dyDescent="0.45">
      <c r="A356" t="s">
        <v>56</v>
      </c>
      <c r="B356">
        <v>2016</v>
      </c>
      <c r="C356" t="s">
        <v>75</v>
      </c>
      <c r="D356">
        <v>0.78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0.01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</v>
      </c>
    </row>
    <row r="361" spans="1:4" x14ac:dyDescent="0.45">
      <c r="A361" t="s">
        <v>91</v>
      </c>
      <c r="B361">
        <v>2016</v>
      </c>
      <c r="C361" t="s">
        <v>75</v>
      </c>
    </row>
    <row r="362" spans="1:4" x14ac:dyDescent="0.45">
      <c r="A362" t="s">
        <v>32</v>
      </c>
      <c r="B362">
        <v>2017</v>
      </c>
      <c r="C362" t="s">
        <v>75</v>
      </c>
      <c r="D362">
        <v>0.1</v>
      </c>
    </row>
    <row r="363" spans="1:4" x14ac:dyDescent="0.45">
      <c r="A363" t="s">
        <v>34</v>
      </c>
      <c r="B363">
        <v>2017</v>
      </c>
      <c r="C363" t="s">
        <v>75</v>
      </c>
      <c r="D363">
        <v>0.95</v>
      </c>
    </row>
    <row r="364" spans="1:4" x14ac:dyDescent="0.45">
      <c r="A364" t="s">
        <v>36</v>
      </c>
      <c r="B364">
        <v>2017</v>
      </c>
      <c r="C364" t="s">
        <v>75</v>
      </c>
    </row>
    <row r="365" spans="1:4" x14ac:dyDescent="0.45">
      <c r="A365" t="s">
        <v>56</v>
      </c>
      <c r="B365">
        <v>2017</v>
      </c>
      <c r="C365" t="s">
        <v>75</v>
      </c>
      <c r="D365">
        <v>0.78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0.01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0.01</v>
      </c>
    </row>
    <row r="370" spans="1:4" x14ac:dyDescent="0.45">
      <c r="A370" t="s">
        <v>91</v>
      </c>
      <c r="B370">
        <v>2017</v>
      </c>
      <c r="C370" t="s">
        <v>75</v>
      </c>
    </row>
    <row r="371" spans="1:4" x14ac:dyDescent="0.45">
      <c r="A371" t="s">
        <v>32</v>
      </c>
      <c r="B371">
        <v>2018</v>
      </c>
      <c r="C371" t="s">
        <v>75</v>
      </c>
      <c r="D371">
        <v>0.1</v>
      </c>
    </row>
    <row r="372" spans="1:4" x14ac:dyDescent="0.45">
      <c r="A372" t="s">
        <v>34</v>
      </c>
      <c r="B372">
        <v>2018</v>
      </c>
      <c r="C372" t="s">
        <v>75</v>
      </c>
      <c r="D372">
        <v>0.95</v>
      </c>
    </row>
    <row r="373" spans="1:4" x14ac:dyDescent="0.45">
      <c r="A373" t="s">
        <v>36</v>
      </c>
      <c r="B373">
        <v>2018</v>
      </c>
      <c r="C373" t="s">
        <v>75</v>
      </c>
    </row>
    <row r="374" spans="1:4" x14ac:dyDescent="0.45">
      <c r="A374" t="s">
        <v>56</v>
      </c>
      <c r="B374">
        <v>2018</v>
      </c>
      <c r="C374" t="s">
        <v>75</v>
      </c>
      <c r="D374">
        <v>1.08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0.01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0.01</v>
      </c>
    </row>
    <row r="379" spans="1:4" x14ac:dyDescent="0.45">
      <c r="A379" t="s">
        <v>91</v>
      </c>
      <c r="B379">
        <v>2018</v>
      </c>
      <c r="C379" t="s">
        <v>75</v>
      </c>
    </row>
    <row r="380" spans="1:4" x14ac:dyDescent="0.45">
      <c r="A380" t="s">
        <v>32</v>
      </c>
      <c r="B380">
        <v>2019</v>
      </c>
      <c r="C380" t="s">
        <v>75</v>
      </c>
      <c r="D380">
        <v>0.1</v>
      </c>
    </row>
    <row r="381" spans="1:4" x14ac:dyDescent="0.45">
      <c r="A381" t="s">
        <v>34</v>
      </c>
      <c r="B381">
        <v>2019</v>
      </c>
      <c r="C381" t="s">
        <v>75</v>
      </c>
      <c r="D381">
        <v>0.95</v>
      </c>
    </row>
    <row r="382" spans="1:4" x14ac:dyDescent="0.45">
      <c r="A382" t="s">
        <v>36</v>
      </c>
      <c r="B382">
        <v>2019</v>
      </c>
      <c r="C382" t="s">
        <v>75</v>
      </c>
    </row>
    <row r="383" spans="1:4" x14ac:dyDescent="0.45">
      <c r="A383" t="s">
        <v>56</v>
      </c>
      <c r="B383">
        <v>2019</v>
      </c>
      <c r="C383" t="s">
        <v>75</v>
      </c>
      <c r="D383">
        <v>1.08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0.01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0.01</v>
      </c>
    </row>
    <row r="388" spans="1:4" x14ac:dyDescent="0.45">
      <c r="A388" t="s">
        <v>91</v>
      </c>
      <c r="B388">
        <v>2019</v>
      </c>
      <c r="C388" t="s">
        <v>75</v>
      </c>
    </row>
    <row r="389" spans="1:4" x14ac:dyDescent="0.45">
      <c r="A389" t="s">
        <v>32</v>
      </c>
      <c r="B389">
        <v>2020</v>
      </c>
      <c r="C389" t="s">
        <v>75</v>
      </c>
      <c r="D389">
        <v>0.1</v>
      </c>
    </row>
    <row r="390" spans="1:4" x14ac:dyDescent="0.45">
      <c r="A390" t="s">
        <v>34</v>
      </c>
      <c r="B390">
        <v>2020</v>
      </c>
      <c r="C390" t="s">
        <v>75</v>
      </c>
      <c r="D390">
        <v>0.95</v>
      </c>
    </row>
    <row r="391" spans="1:4" x14ac:dyDescent="0.45">
      <c r="A391" t="s">
        <v>36</v>
      </c>
      <c r="B391">
        <v>2020</v>
      </c>
      <c r="C391" t="s">
        <v>75</v>
      </c>
    </row>
    <row r="392" spans="1:4" x14ac:dyDescent="0.45">
      <c r="A392" t="s">
        <v>56</v>
      </c>
      <c r="B392">
        <v>2020</v>
      </c>
      <c r="C392" t="s">
        <v>75</v>
      </c>
      <c r="D392">
        <v>1.08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0.01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0.01</v>
      </c>
    </row>
    <row r="397" spans="1:4" x14ac:dyDescent="0.45">
      <c r="A397" t="s">
        <v>91</v>
      </c>
      <c r="B397">
        <v>2020</v>
      </c>
      <c r="C397" t="s">
        <v>75</v>
      </c>
    </row>
    <row r="398" spans="1:4" x14ac:dyDescent="0.45">
      <c r="A398" t="s">
        <v>32</v>
      </c>
      <c r="B398">
        <v>2021</v>
      </c>
      <c r="C398" t="s">
        <v>75</v>
      </c>
      <c r="D398">
        <v>0.1</v>
      </c>
    </row>
    <row r="399" spans="1:4" x14ac:dyDescent="0.45">
      <c r="A399" t="s">
        <v>34</v>
      </c>
      <c r="B399">
        <v>2021</v>
      </c>
      <c r="C399" t="s">
        <v>75</v>
      </c>
      <c r="D399">
        <v>0.95</v>
      </c>
    </row>
    <row r="400" spans="1:4" x14ac:dyDescent="0.45">
      <c r="A400" t="s">
        <v>36</v>
      </c>
      <c r="B400">
        <v>2021</v>
      </c>
      <c r="C400" t="s">
        <v>75</v>
      </c>
    </row>
    <row r="401" spans="1:4" x14ac:dyDescent="0.45">
      <c r="A401" t="s">
        <v>56</v>
      </c>
      <c r="B401">
        <v>2021</v>
      </c>
      <c r="C401" t="s">
        <v>75</v>
      </c>
      <c r="D401">
        <v>1.08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0.01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0.03</v>
      </c>
    </row>
    <row r="406" spans="1:4" x14ac:dyDescent="0.45">
      <c r="A406" t="s">
        <v>91</v>
      </c>
      <c r="B406">
        <v>2021</v>
      </c>
      <c r="C406" t="s">
        <v>75</v>
      </c>
    </row>
    <row r="407" spans="1:4" x14ac:dyDescent="0.45">
      <c r="A407" t="s">
        <v>32</v>
      </c>
      <c r="B407">
        <v>2022</v>
      </c>
      <c r="C407" t="s">
        <v>75</v>
      </c>
      <c r="D407">
        <v>0.1</v>
      </c>
    </row>
    <row r="408" spans="1:4" x14ac:dyDescent="0.45">
      <c r="A408" t="s">
        <v>34</v>
      </c>
      <c r="B408">
        <v>2022</v>
      </c>
      <c r="C408" t="s">
        <v>75</v>
      </c>
      <c r="D408">
        <v>1</v>
      </c>
    </row>
    <row r="409" spans="1:4" x14ac:dyDescent="0.45">
      <c r="A409" t="s">
        <v>36</v>
      </c>
      <c r="B409">
        <v>2022</v>
      </c>
      <c r="C409" t="s">
        <v>75</v>
      </c>
    </row>
    <row r="410" spans="1:4" x14ac:dyDescent="0.45">
      <c r="A410" t="s">
        <v>56</v>
      </c>
      <c r="B410">
        <v>2022</v>
      </c>
      <c r="C410" t="s">
        <v>75</v>
      </c>
      <c r="D410">
        <v>1.08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0.01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0.04</v>
      </c>
    </row>
    <row r="415" spans="1:4" x14ac:dyDescent="0.45">
      <c r="A415" t="s">
        <v>91</v>
      </c>
      <c r="B415">
        <v>2022</v>
      </c>
      <c r="C415" t="s">
        <v>75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3.2</v>
      </c>
    </row>
    <row r="418" spans="1:4" x14ac:dyDescent="0.45">
      <c r="A418" t="s">
        <v>36</v>
      </c>
      <c r="B418">
        <v>2000</v>
      </c>
      <c r="C418" t="s">
        <v>76</v>
      </c>
      <c r="D418">
        <v>0</v>
      </c>
    </row>
    <row r="419" spans="1:4" x14ac:dyDescent="0.45">
      <c r="A419" t="s">
        <v>56</v>
      </c>
      <c r="B419">
        <v>2000</v>
      </c>
      <c r="C419" t="s">
        <v>76</v>
      </c>
      <c r="D419">
        <v>0.08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0.05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4.21</v>
      </c>
    </row>
    <row r="427" spans="1:4" x14ac:dyDescent="0.45">
      <c r="A427" t="s">
        <v>36</v>
      </c>
      <c r="B427">
        <v>2001</v>
      </c>
      <c r="C427" t="s">
        <v>76</v>
      </c>
      <c r="D427">
        <v>0</v>
      </c>
    </row>
    <row r="428" spans="1:4" x14ac:dyDescent="0.45">
      <c r="A428" t="s">
        <v>56</v>
      </c>
      <c r="B428">
        <v>2001</v>
      </c>
      <c r="C428" t="s">
        <v>76</v>
      </c>
      <c r="D428">
        <v>7.0000000000000007E-2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0.02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4.08</v>
      </c>
    </row>
    <row r="436" spans="1:4" x14ac:dyDescent="0.45">
      <c r="A436" t="s">
        <v>36</v>
      </c>
      <c r="B436">
        <v>2002</v>
      </c>
      <c r="C436" t="s">
        <v>76</v>
      </c>
      <c r="D436">
        <v>0</v>
      </c>
    </row>
    <row r="437" spans="1:4" x14ac:dyDescent="0.45">
      <c r="A437" t="s">
        <v>56</v>
      </c>
      <c r="B437">
        <v>2002</v>
      </c>
      <c r="C437" t="s">
        <v>76</v>
      </c>
      <c r="D437">
        <v>0.09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0.01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2.95</v>
      </c>
    </row>
    <row r="445" spans="1:4" x14ac:dyDescent="0.45">
      <c r="A445" t="s">
        <v>36</v>
      </c>
      <c r="B445">
        <v>2003</v>
      </c>
      <c r="C445" t="s">
        <v>76</v>
      </c>
      <c r="D445">
        <v>0</v>
      </c>
    </row>
    <row r="446" spans="1:4" x14ac:dyDescent="0.45">
      <c r="A446" t="s">
        <v>56</v>
      </c>
      <c r="B446">
        <v>2003</v>
      </c>
      <c r="C446" t="s">
        <v>76</v>
      </c>
      <c r="D446">
        <v>0.13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0.01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3.6</v>
      </c>
    </row>
    <row r="454" spans="1:4" x14ac:dyDescent="0.45">
      <c r="A454" t="s">
        <v>36</v>
      </c>
      <c r="B454">
        <v>2004</v>
      </c>
      <c r="C454" t="s">
        <v>76</v>
      </c>
      <c r="D454">
        <v>0</v>
      </c>
    </row>
    <row r="455" spans="1:4" x14ac:dyDescent="0.45">
      <c r="A455" t="s">
        <v>56</v>
      </c>
      <c r="B455">
        <v>2004</v>
      </c>
      <c r="C455" t="s">
        <v>76</v>
      </c>
      <c r="D455">
        <v>0.13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0.01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3.8</v>
      </c>
    </row>
    <row r="463" spans="1:4" x14ac:dyDescent="0.45">
      <c r="A463" t="s">
        <v>36</v>
      </c>
      <c r="B463">
        <v>2005</v>
      </c>
      <c r="C463" t="s">
        <v>76</v>
      </c>
      <c r="D463">
        <v>0</v>
      </c>
    </row>
    <row r="464" spans="1:4" x14ac:dyDescent="0.45">
      <c r="A464" t="s">
        <v>56</v>
      </c>
      <c r="B464">
        <v>2005</v>
      </c>
      <c r="C464" t="s">
        <v>76</v>
      </c>
      <c r="D464">
        <v>0.12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0.01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0.02</v>
      </c>
    </row>
    <row r="471" spans="1:4" x14ac:dyDescent="0.45">
      <c r="A471" t="s">
        <v>34</v>
      </c>
      <c r="B471">
        <v>2006</v>
      </c>
      <c r="C471" t="s">
        <v>76</v>
      </c>
      <c r="D471">
        <v>2.17</v>
      </c>
    </row>
    <row r="472" spans="1:4" x14ac:dyDescent="0.45">
      <c r="A472" t="s">
        <v>36</v>
      </c>
      <c r="B472">
        <v>2006</v>
      </c>
      <c r="C472" t="s">
        <v>76</v>
      </c>
      <c r="D472">
        <v>0</v>
      </c>
    </row>
    <row r="473" spans="1:4" x14ac:dyDescent="0.45">
      <c r="A473" t="s">
        <v>56</v>
      </c>
      <c r="B473">
        <v>2006</v>
      </c>
      <c r="C473" t="s">
        <v>76</v>
      </c>
      <c r="D473">
        <v>0.13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0.03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0.01</v>
      </c>
    </row>
    <row r="480" spans="1:4" x14ac:dyDescent="0.45">
      <c r="A480" t="s">
        <v>34</v>
      </c>
      <c r="B480">
        <v>2007</v>
      </c>
      <c r="C480" t="s">
        <v>76</v>
      </c>
      <c r="D480">
        <v>1.83</v>
      </c>
    </row>
    <row r="481" spans="1:4" x14ac:dyDescent="0.45">
      <c r="A481" t="s">
        <v>36</v>
      </c>
      <c r="B481">
        <v>2007</v>
      </c>
      <c r="C481" t="s">
        <v>76</v>
      </c>
      <c r="D481">
        <v>0</v>
      </c>
    </row>
    <row r="482" spans="1:4" x14ac:dyDescent="0.45">
      <c r="A482" t="s">
        <v>56</v>
      </c>
      <c r="B482">
        <v>2007</v>
      </c>
      <c r="C482" t="s">
        <v>76</v>
      </c>
      <c r="D482">
        <v>0.13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0.02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0.02</v>
      </c>
    </row>
    <row r="489" spans="1:4" x14ac:dyDescent="0.45">
      <c r="A489" t="s">
        <v>34</v>
      </c>
      <c r="B489">
        <v>2008</v>
      </c>
      <c r="C489" t="s">
        <v>76</v>
      </c>
      <c r="D489">
        <v>1.55</v>
      </c>
    </row>
    <row r="490" spans="1:4" x14ac:dyDescent="0.45">
      <c r="A490" t="s">
        <v>36</v>
      </c>
      <c r="B490">
        <v>2008</v>
      </c>
      <c r="C490" t="s">
        <v>76</v>
      </c>
      <c r="D490">
        <v>0</v>
      </c>
    </row>
    <row r="491" spans="1:4" x14ac:dyDescent="0.45">
      <c r="A491" t="s">
        <v>56</v>
      </c>
      <c r="B491">
        <v>2008</v>
      </c>
      <c r="C491" t="s">
        <v>76</v>
      </c>
      <c r="D491">
        <v>0.14000000000000001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0.02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0.01</v>
      </c>
    </row>
    <row r="498" spans="1:4" x14ac:dyDescent="0.45">
      <c r="A498" t="s">
        <v>34</v>
      </c>
      <c r="B498">
        <v>2009</v>
      </c>
      <c r="C498" t="s">
        <v>76</v>
      </c>
      <c r="D498">
        <v>1.5</v>
      </c>
    </row>
    <row r="499" spans="1:4" x14ac:dyDescent="0.45">
      <c r="A499" t="s">
        <v>36</v>
      </c>
      <c r="B499">
        <v>2009</v>
      </c>
      <c r="C499" t="s">
        <v>76</v>
      </c>
      <c r="D499">
        <v>0</v>
      </c>
    </row>
    <row r="500" spans="1:4" x14ac:dyDescent="0.45">
      <c r="A500" t="s">
        <v>56</v>
      </c>
      <c r="B500">
        <v>2009</v>
      </c>
      <c r="C500" t="s">
        <v>76</v>
      </c>
      <c r="D500">
        <v>0.13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0.01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0.02</v>
      </c>
    </row>
    <row r="507" spans="1:4" x14ac:dyDescent="0.45">
      <c r="A507" t="s">
        <v>34</v>
      </c>
      <c r="B507">
        <v>2010</v>
      </c>
      <c r="C507" t="s">
        <v>76</v>
      </c>
      <c r="D507">
        <v>2.36</v>
      </c>
    </row>
    <row r="508" spans="1:4" x14ac:dyDescent="0.45">
      <c r="A508" t="s">
        <v>36</v>
      </c>
      <c r="B508">
        <v>2010</v>
      </c>
      <c r="C508" t="s">
        <v>76</v>
      </c>
      <c r="D508">
        <v>0</v>
      </c>
    </row>
    <row r="509" spans="1:4" x14ac:dyDescent="0.45">
      <c r="A509" t="s">
        <v>56</v>
      </c>
      <c r="B509">
        <v>2010</v>
      </c>
      <c r="C509" t="s">
        <v>76</v>
      </c>
      <c r="D509">
        <v>0.14000000000000001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0.01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0.02</v>
      </c>
    </row>
    <row r="516" spans="1:4" x14ac:dyDescent="0.45">
      <c r="A516" t="s">
        <v>34</v>
      </c>
      <c r="B516">
        <v>2011</v>
      </c>
      <c r="C516" t="s">
        <v>76</v>
      </c>
      <c r="D516">
        <v>3.29</v>
      </c>
    </row>
    <row r="517" spans="1:4" x14ac:dyDescent="0.45">
      <c r="A517" t="s">
        <v>36</v>
      </c>
      <c r="B517">
        <v>2011</v>
      </c>
      <c r="C517" t="s">
        <v>76</v>
      </c>
      <c r="D517">
        <v>0</v>
      </c>
    </row>
    <row r="518" spans="1:4" x14ac:dyDescent="0.45">
      <c r="A518" t="s">
        <v>56</v>
      </c>
      <c r="B518">
        <v>2011</v>
      </c>
      <c r="C518" t="s">
        <v>76</v>
      </c>
      <c r="D518">
        <v>0.12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0.03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0.03</v>
      </c>
    </row>
    <row r="525" spans="1:4" x14ac:dyDescent="0.45">
      <c r="A525" t="s">
        <v>34</v>
      </c>
      <c r="B525">
        <v>2012</v>
      </c>
      <c r="C525" t="s">
        <v>76</v>
      </c>
      <c r="D525">
        <v>3.08</v>
      </c>
    </row>
    <row r="526" spans="1:4" x14ac:dyDescent="0.45">
      <c r="A526" t="s">
        <v>36</v>
      </c>
      <c r="B526">
        <v>2012</v>
      </c>
      <c r="C526" t="s">
        <v>76</v>
      </c>
      <c r="D526">
        <v>0</v>
      </c>
    </row>
    <row r="527" spans="1:4" x14ac:dyDescent="0.45">
      <c r="A527" t="s">
        <v>56</v>
      </c>
      <c r="B527">
        <v>2012</v>
      </c>
      <c r="C527" t="s">
        <v>76</v>
      </c>
      <c r="D527">
        <v>0.13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0.03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0.03</v>
      </c>
    </row>
    <row r="534" spans="1:4" x14ac:dyDescent="0.45">
      <c r="A534" t="s">
        <v>34</v>
      </c>
      <c r="B534">
        <v>2013</v>
      </c>
      <c r="C534" t="s">
        <v>76</v>
      </c>
      <c r="D534">
        <v>3.73</v>
      </c>
    </row>
    <row r="535" spans="1:4" x14ac:dyDescent="0.45">
      <c r="A535" t="s">
        <v>36</v>
      </c>
      <c r="B535">
        <v>2013</v>
      </c>
      <c r="C535" t="s">
        <v>76</v>
      </c>
      <c r="D535">
        <v>0</v>
      </c>
    </row>
    <row r="536" spans="1:4" x14ac:dyDescent="0.45">
      <c r="A536" t="s">
        <v>56</v>
      </c>
      <c r="B536">
        <v>2013</v>
      </c>
      <c r="C536" t="s">
        <v>76</v>
      </c>
      <c r="D536">
        <v>0.12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0.04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3.77</v>
      </c>
    </row>
    <row r="544" spans="1:4" x14ac:dyDescent="0.45">
      <c r="A544" t="s">
        <v>36</v>
      </c>
      <c r="B544">
        <v>2014</v>
      </c>
      <c r="C544" t="s">
        <v>76</v>
      </c>
      <c r="D544">
        <v>0</v>
      </c>
    </row>
    <row r="545" spans="1:4" x14ac:dyDescent="0.45">
      <c r="A545" t="s">
        <v>56</v>
      </c>
      <c r="B545">
        <v>2014</v>
      </c>
      <c r="C545" t="s">
        <v>76</v>
      </c>
      <c r="D545">
        <v>0.13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0.01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0.01</v>
      </c>
    </row>
    <row r="552" spans="1:4" x14ac:dyDescent="0.45">
      <c r="A552" t="s">
        <v>34</v>
      </c>
      <c r="B552">
        <v>2015</v>
      </c>
      <c r="C552" t="s">
        <v>76</v>
      </c>
      <c r="D552">
        <v>3.89</v>
      </c>
    </row>
    <row r="553" spans="1:4" x14ac:dyDescent="0.45">
      <c r="A553" t="s">
        <v>36</v>
      </c>
      <c r="B553">
        <v>2015</v>
      </c>
      <c r="C553" t="s">
        <v>76</v>
      </c>
      <c r="D553">
        <v>0</v>
      </c>
    </row>
    <row r="554" spans="1:4" x14ac:dyDescent="0.45">
      <c r="A554" t="s">
        <v>56</v>
      </c>
      <c r="B554">
        <v>2015</v>
      </c>
      <c r="C554" t="s">
        <v>76</v>
      </c>
      <c r="D554">
        <v>0.12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0.01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0.05</v>
      </c>
    </row>
    <row r="561" spans="1:4" x14ac:dyDescent="0.45">
      <c r="A561" t="s">
        <v>34</v>
      </c>
      <c r="B561">
        <v>2016</v>
      </c>
      <c r="C561" t="s">
        <v>76</v>
      </c>
      <c r="D561">
        <v>3.35</v>
      </c>
    </row>
    <row r="562" spans="1:4" x14ac:dyDescent="0.45">
      <c r="A562" t="s">
        <v>36</v>
      </c>
      <c r="B562">
        <v>2016</v>
      </c>
      <c r="C562" t="s">
        <v>76</v>
      </c>
      <c r="D562">
        <v>0</v>
      </c>
    </row>
    <row r="563" spans="1:4" x14ac:dyDescent="0.45">
      <c r="A563" t="s">
        <v>56</v>
      </c>
      <c r="B563">
        <v>2016</v>
      </c>
      <c r="C563" t="s">
        <v>76</v>
      </c>
      <c r="D563">
        <v>7.0000000000000007E-2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0.03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0.03</v>
      </c>
    </row>
    <row r="570" spans="1:4" x14ac:dyDescent="0.45">
      <c r="A570" t="s">
        <v>34</v>
      </c>
      <c r="B570">
        <v>2017</v>
      </c>
      <c r="C570" t="s">
        <v>76</v>
      </c>
      <c r="D570">
        <v>2.9</v>
      </c>
    </row>
    <row r="571" spans="1:4" x14ac:dyDescent="0.45">
      <c r="A571" t="s">
        <v>36</v>
      </c>
      <c r="B571">
        <v>2017</v>
      </c>
      <c r="C571" t="s">
        <v>76</v>
      </c>
      <c r="D571">
        <v>0</v>
      </c>
    </row>
    <row r="572" spans="1:4" x14ac:dyDescent="0.45">
      <c r="A572" t="s">
        <v>56</v>
      </c>
      <c r="B572">
        <v>2017</v>
      </c>
      <c r="C572" t="s">
        <v>76</v>
      </c>
      <c r="D572">
        <v>0.09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0.03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0.04</v>
      </c>
    </row>
    <row r="579" spans="1:4" x14ac:dyDescent="0.45">
      <c r="A579" t="s">
        <v>34</v>
      </c>
      <c r="B579">
        <v>2018</v>
      </c>
      <c r="C579" t="s">
        <v>76</v>
      </c>
      <c r="D579">
        <v>3.54</v>
      </c>
    </row>
    <row r="580" spans="1:4" x14ac:dyDescent="0.45">
      <c r="A580" t="s">
        <v>36</v>
      </c>
      <c r="B580">
        <v>2018</v>
      </c>
      <c r="C580" t="s">
        <v>76</v>
      </c>
      <c r="D580">
        <v>0</v>
      </c>
    </row>
    <row r="581" spans="1:4" x14ac:dyDescent="0.45">
      <c r="A581" t="s">
        <v>56</v>
      </c>
      <c r="B581">
        <v>2018</v>
      </c>
      <c r="C581" t="s">
        <v>76</v>
      </c>
      <c r="D581">
        <v>0.12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0.04</v>
      </c>
    </row>
    <row r="588" spans="1:4" x14ac:dyDescent="0.45">
      <c r="A588" t="s">
        <v>34</v>
      </c>
      <c r="B588">
        <v>2019</v>
      </c>
      <c r="C588" t="s">
        <v>76</v>
      </c>
      <c r="D588">
        <v>3.47</v>
      </c>
    </row>
    <row r="589" spans="1:4" x14ac:dyDescent="0.45">
      <c r="A589" t="s">
        <v>36</v>
      </c>
      <c r="B589">
        <v>2019</v>
      </c>
      <c r="C589" t="s">
        <v>76</v>
      </c>
      <c r="D589">
        <v>0</v>
      </c>
    </row>
    <row r="590" spans="1:4" x14ac:dyDescent="0.45">
      <c r="A590" t="s">
        <v>56</v>
      </c>
      <c r="B590">
        <v>2019</v>
      </c>
      <c r="C590" t="s">
        <v>76</v>
      </c>
      <c r="D590">
        <v>0.1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0.03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0.02</v>
      </c>
    </row>
    <row r="597" spans="1:4" x14ac:dyDescent="0.45">
      <c r="A597" t="s">
        <v>34</v>
      </c>
      <c r="B597">
        <v>2020</v>
      </c>
      <c r="C597" t="s">
        <v>76</v>
      </c>
      <c r="D597">
        <v>2.35</v>
      </c>
    </row>
    <row r="598" spans="1:4" x14ac:dyDescent="0.45">
      <c r="A598" t="s">
        <v>36</v>
      </c>
      <c r="B598">
        <v>2020</v>
      </c>
      <c r="C598" t="s">
        <v>76</v>
      </c>
      <c r="D598">
        <v>0</v>
      </c>
    </row>
    <row r="599" spans="1:4" x14ac:dyDescent="0.45">
      <c r="A599" t="s">
        <v>56</v>
      </c>
      <c r="B599">
        <v>2020</v>
      </c>
      <c r="C599" t="s">
        <v>76</v>
      </c>
      <c r="D599">
        <v>0.09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0.03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2.15</v>
      </c>
    </row>
    <row r="607" spans="1:4" x14ac:dyDescent="0.45">
      <c r="A607" t="s">
        <v>36</v>
      </c>
      <c r="B607">
        <v>2021</v>
      </c>
      <c r="C607" t="s">
        <v>76</v>
      </c>
      <c r="D607">
        <v>0</v>
      </c>
    </row>
    <row r="608" spans="1:4" x14ac:dyDescent="0.45">
      <c r="A608" t="s">
        <v>56</v>
      </c>
      <c r="B608">
        <v>2021</v>
      </c>
      <c r="C608" t="s">
        <v>76</v>
      </c>
      <c r="D608">
        <v>0.14000000000000001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0.02</v>
      </c>
    </row>
    <row r="615" spans="1:4" x14ac:dyDescent="0.45">
      <c r="A615" t="s">
        <v>34</v>
      </c>
      <c r="B615">
        <v>2022</v>
      </c>
      <c r="C615" t="s">
        <v>76</v>
      </c>
      <c r="D615">
        <v>2.5</v>
      </c>
    </row>
    <row r="616" spans="1:4" x14ac:dyDescent="0.45">
      <c r="A616" t="s">
        <v>36</v>
      </c>
      <c r="B616">
        <v>2022</v>
      </c>
      <c r="C616" t="s">
        <v>76</v>
      </c>
      <c r="D616">
        <v>0</v>
      </c>
    </row>
    <row r="617" spans="1:4" x14ac:dyDescent="0.45">
      <c r="A617" t="s">
        <v>56</v>
      </c>
      <c r="B617">
        <v>2022</v>
      </c>
      <c r="C617" t="s">
        <v>76</v>
      </c>
      <c r="D617">
        <v>0.14000000000000001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</row>
    <row r="624" spans="1:4" x14ac:dyDescent="0.45">
      <c r="A624" t="s">
        <v>60</v>
      </c>
      <c r="B624">
        <v>2000</v>
      </c>
      <c r="C624" t="s">
        <v>74</v>
      </c>
      <c r="D624">
        <v>5.0999999999999996</v>
      </c>
    </row>
    <row r="625" spans="1:4" x14ac:dyDescent="0.45">
      <c r="A625" t="s">
        <v>59</v>
      </c>
      <c r="B625">
        <v>2001</v>
      </c>
      <c r="C625" t="s">
        <v>74</v>
      </c>
    </row>
    <row r="626" spans="1:4" x14ac:dyDescent="0.45">
      <c r="A626" t="s">
        <v>60</v>
      </c>
      <c r="B626">
        <v>2001</v>
      </c>
      <c r="C626" t="s">
        <v>74</v>
      </c>
      <c r="D626">
        <v>4.0999999999999996</v>
      </c>
    </row>
    <row r="627" spans="1:4" x14ac:dyDescent="0.45">
      <c r="A627" t="s">
        <v>59</v>
      </c>
      <c r="B627">
        <v>2002</v>
      </c>
      <c r="C627" t="s">
        <v>74</v>
      </c>
    </row>
    <row r="628" spans="1:4" x14ac:dyDescent="0.45">
      <c r="A628" t="s">
        <v>60</v>
      </c>
      <c r="B628">
        <v>2002</v>
      </c>
      <c r="C628" t="s">
        <v>74</v>
      </c>
      <c r="D628">
        <v>4</v>
      </c>
    </row>
    <row r="629" spans="1:4" x14ac:dyDescent="0.45">
      <c r="A629" t="s">
        <v>59</v>
      </c>
      <c r="B629">
        <v>2003</v>
      </c>
      <c r="C629" t="s">
        <v>74</v>
      </c>
    </row>
    <row r="630" spans="1:4" x14ac:dyDescent="0.45">
      <c r="A630" t="s">
        <v>60</v>
      </c>
      <c r="B630">
        <v>2003</v>
      </c>
      <c r="C630" t="s">
        <v>74</v>
      </c>
      <c r="D630">
        <v>3.2</v>
      </c>
    </row>
    <row r="631" spans="1:4" x14ac:dyDescent="0.45">
      <c r="A631" t="s">
        <v>59</v>
      </c>
      <c r="B631">
        <v>2004</v>
      </c>
      <c r="C631" t="s">
        <v>74</v>
      </c>
    </row>
    <row r="632" spans="1:4" x14ac:dyDescent="0.45">
      <c r="A632" t="s">
        <v>60</v>
      </c>
      <c r="B632">
        <v>2004</v>
      </c>
      <c r="C632" t="s">
        <v>74</v>
      </c>
      <c r="D632">
        <v>2</v>
      </c>
    </row>
    <row r="633" spans="1:4" x14ac:dyDescent="0.45">
      <c r="A633" t="s">
        <v>59</v>
      </c>
      <c r="B633">
        <v>2005</v>
      </c>
      <c r="C633" t="s">
        <v>74</v>
      </c>
      <c r="D633">
        <v>0</v>
      </c>
    </row>
    <row r="634" spans="1:4" x14ac:dyDescent="0.45">
      <c r="A634" t="s">
        <v>60</v>
      </c>
      <c r="B634">
        <v>2005</v>
      </c>
      <c r="C634" t="s">
        <v>74</v>
      </c>
      <c r="D634">
        <v>3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4.2</v>
      </c>
    </row>
    <row r="637" spans="1:4" x14ac:dyDescent="0.45">
      <c r="A637" t="s">
        <v>59</v>
      </c>
      <c r="B637">
        <v>2007</v>
      </c>
      <c r="C637" t="s">
        <v>74</v>
      </c>
      <c r="D637">
        <v>0</v>
      </c>
    </row>
    <row r="638" spans="1:4" x14ac:dyDescent="0.45">
      <c r="A638" t="s">
        <v>60</v>
      </c>
      <c r="B638">
        <v>2007</v>
      </c>
      <c r="C638" t="s">
        <v>74</v>
      </c>
      <c r="D638">
        <v>3</v>
      </c>
    </row>
    <row r="639" spans="1:4" x14ac:dyDescent="0.45">
      <c r="A639" t="s">
        <v>59</v>
      </c>
      <c r="B639">
        <v>2008</v>
      </c>
      <c r="C639" t="s">
        <v>74</v>
      </c>
      <c r="D639">
        <v>0.6</v>
      </c>
    </row>
    <row r="640" spans="1:4" x14ac:dyDescent="0.45">
      <c r="A640" t="s">
        <v>60</v>
      </c>
      <c r="B640">
        <v>2008</v>
      </c>
      <c r="C640" t="s">
        <v>74</v>
      </c>
      <c r="D640">
        <v>1.7</v>
      </c>
    </row>
    <row r="641" spans="1:4" x14ac:dyDescent="0.45">
      <c r="A641" t="s">
        <v>59</v>
      </c>
      <c r="B641">
        <v>2009</v>
      </c>
      <c r="C641" t="s">
        <v>74</v>
      </c>
      <c r="D641">
        <v>0.9</v>
      </c>
    </row>
    <row r="642" spans="1:4" x14ac:dyDescent="0.45">
      <c r="A642" t="s">
        <v>60</v>
      </c>
      <c r="B642">
        <v>2009</v>
      </c>
      <c r="C642" t="s">
        <v>74</v>
      </c>
      <c r="D642">
        <v>2.2000000000000002</v>
      </c>
    </row>
    <row r="643" spans="1:4" x14ac:dyDescent="0.45">
      <c r="A643" t="s">
        <v>59</v>
      </c>
      <c r="B643">
        <v>2010</v>
      </c>
      <c r="C643" t="s">
        <v>74</v>
      </c>
      <c r="D643">
        <v>1</v>
      </c>
    </row>
    <row r="644" spans="1:4" x14ac:dyDescent="0.45">
      <c r="A644" t="s">
        <v>60</v>
      </c>
      <c r="B644">
        <v>2010</v>
      </c>
      <c r="C644" t="s">
        <v>74</v>
      </c>
      <c r="D644">
        <v>1.7</v>
      </c>
    </row>
    <row r="645" spans="1:4" x14ac:dyDescent="0.45">
      <c r="A645" t="s">
        <v>59</v>
      </c>
      <c r="B645">
        <v>2011</v>
      </c>
      <c r="C645" t="s">
        <v>74</v>
      </c>
      <c r="D645">
        <v>1</v>
      </c>
    </row>
    <row r="646" spans="1:4" x14ac:dyDescent="0.45">
      <c r="A646" t="s">
        <v>60</v>
      </c>
      <c r="B646">
        <v>2011</v>
      </c>
      <c r="C646" t="s">
        <v>74</v>
      </c>
      <c r="D646">
        <v>1.6</v>
      </c>
    </row>
    <row r="647" spans="1:4" x14ac:dyDescent="0.45">
      <c r="A647" t="s">
        <v>59</v>
      </c>
      <c r="B647">
        <v>2012</v>
      </c>
      <c r="C647" t="s">
        <v>74</v>
      </c>
      <c r="D647">
        <v>0.7</v>
      </c>
    </row>
    <row r="648" spans="1:4" x14ac:dyDescent="0.45">
      <c r="A648" t="s">
        <v>60</v>
      </c>
      <c r="B648">
        <v>2012</v>
      </c>
      <c r="C648" t="s">
        <v>74</v>
      </c>
      <c r="D648">
        <v>1.1000000000000001</v>
      </c>
    </row>
    <row r="649" spans="1:4" x14ac:dyDescent="0.45">
      <c r="A649" t="s">
        <v>59</v>
      </c>
      <c r="B649">
        <v>2013</v>
      </c>
      <c r="C649" t="s">
        <v>74</v>
      </c>
      <c r="D649">
        <v>1.2</v>
      </c>
    </row>
    <row r="650" spans="1:4" x14ac:dyDescent="0.45">
      <c r="A650" t="s">
        <v>60</v>
      </c>
      <c r="B650">
        <v>2013</v>
      </c>
      <c r="C650" t="s">
        <v>74</v>
      </c>
      <c r="D650">
        <v>1.7</v>
      </c>
    </row>
    <row r="651" spans="1:4" x14ac:dyDescent="0.45">
      <c r="A651" t="s">
        <v>59</v>
      </c>
      <c r="B651">
        <v>2014</v>
      </c>
      <c r="C651" t="s">
        <v>74</v>
      </c>
      <c r="D651">
        <v>1.2</v>
      </c>
    </row>
    <row r="652" spans="1:4" x14ac:dyDescent="0.45">
      <c r="A652" t="s">
        <v>60</v>
      </c>
      <c r="B652">
        <v>2014</v>
      </c>
      <c r="C652" t="s">
        <v>74</v>
      </c>
      <c r="D652">
        <v>1.1000000000000001</v>
      </c>
    </row>
    <row r="653" spans="1:4" x14ac:dyDescent="0.45">
      <c r="A653" t="s">
        <v>59</v>
      </c>
      <c r="B653">
        <v>2015</v>
      </c>
      <c r="C653" t="s">
        <v>74</v>
      </c>
      <c r="D653">
        <v>1.2</v>
      </c>
    </row>
    <row r="654" spans="1:4" x14ac:dyDescent="0.45">
      <c r="A654" t="s">
        <v>60</v>
      </c>
      <c r="B654">
        <v>2015</v>
      </c>
      <c r="C654" t="s">
        <v>74</v>
      </c>
      <c r="D654">
        <v>1.1000000000000001</v>
      </c>
    </row>
    <row r="655" spans="1:4" x14ac:dyDescent="0.45">
      <c r="A655" t="s">
        <v>59</v>
      </c>
      <c r="B655">
        <v>2016</v>
      </c>
      <c r="C655" t="s">
        <v>74</v>
      </c>
      <c r="D655">
        <v>0.4</v>
      </c>
    </row>
    <row r="656" spans="1:4" x14ac:dyDescent="0.45">
      <c r="A656" t="s">
        <v>60</v>
      </c>
      <c r="B656">
        <v>2016</v>
      </c>
      <c r="C656" t="s">
        <v>74</v>
      </c>
      <c r="D656">
        <v>2.2000000000000002</v>
      </c>
    </row>
    <row r="657" spans="1:4" x14ac:dyDescent="0.45">
      <c r="A657" t="s">
        <v>59</v>
      </c>
      <c r="B657">
        <v>2017</v>
      </c>
      <c r="C657" t="s">
        <v>74</v>
      </c>
      <c r="D657">
        <v>0.4</v>
      </c>
    </row>
    <row r="658" spans="1:4" x14ac:dyDescent="0.45">
      <c r="A658" t="s">
        <v>60</v>
      </c>
      <c r="B658">
        <v>2017</v>
      </c>
      <c r="C658" t="s">
        <v>74</v>
      </c>
      <c r="D658">
        <v>2.6</v>
      </c>
    </row>
    <row r="659" spans="1:4" x14ac:dyDescent="0.45">
      <c r="A659" t="s">
        <v>59</v>
      </c>
      <c r="B659">
        <v>2018</v>
      </c>
      <c r="C659" t="s">
        <v>74</v>
      </c>
      <c r="D659">
        <v>0.2</v>
      </c>
    </row>
    <row r="660" spans="1:4" x14ac:dyDescent="0.45">
      <c r="A660" t="s">
        <v>60</v>
      </c>
      <c r="B660">
        <v>2018</v>
      </c>
      <c r="C660" t="s">
        <v>74</v>
      </c>
      <c r="D660">
        <v>1.2</v>
      </c>
    </row>
    <row r="661" spans="1:4" x14ac:dyDescent="0.45">
      <c r="A661" t="s">
        <v>59</v>
      </c>
      <c r="B661">
        <v>2019</v>
      </c>
      <c r="C661" t="s">
        <v>74</v>
      </c>
      <c r="D661">
        <v>0.5</v>
      </c>
    </row>
    <row r="662" spans="1:4" x14ac:dyDescent="0.45">
      <c r="A662" t="s">
        <v>60</v>
      </c>
      <c r="B662">
        <v>2019</v>
      </c>
      <c r="C662" t="s">
        <v>74</v>
      </c>
      <c r="D662">
        <v>1.6</v>
      </c>
    </row>
    <row r="663" spans="1:4" x14ac:dyDescent="0.45">
      <c r="A663" t="s">
        <v>59</v>
      </c>
      <c r="B663">
        <v>2020</v>
      </c>
      <c r="C663" t="s">
        <v>74</v>
      </c>
      <c r="D663">
        <v>0.4</v>
      </c>
    </row>
    <row r="664" spans="1:4" x14ac:dyDescent="0.45">
      <c r="A664" t="s">
        <v>60</v>
      </c>
      <c r="B664">
        <v>2020</v>
      </c>
      <c r="C664" t="s">
        <v>74</v>
      </c>
      <c r="D664">
        <v>2.2999999999999998</v>
      </c>
    </row>
    <row r="665" spans="1:4" x14ac:dyDescent="0.45">
      <c r="A665" t="s">
        <v>59</v>
      </c>
      <c r="B665">
        <v>2021</v>
      </c>
      <c r="C665" t="s">
        <v>74</v>
      </c>
      <c r="D665">
        <v>0.5</v>
      </c>
    </row>
    <row r="666" spans="1:4" x14ac:dyDescent="0.45">
      <c r="A666" t="s">
        <v>60</v>
      </c>
      <c r="B666">
        <v>2021</v>
      </c>
      <c r="C666" t="s">
        <v>74</v>
      </c>
      <c r="D666">
        <v>2.2000000000000002</v>
      </c>
    </row>
    <row r="667" spans="1:4" x14ac:dyDescent="0.45">
      <c r="A667" t="s">
        <v>59</v>
      </c>
      <c r="B667">
        <v>2022</v>
      </c>
      <c r="C667" t="s">
        <v>74</v>
      </c>
      <c r="D667">
        <v>0.4</v>
      </c>
    </row>
    <row r="668" spans="1:4" x14ac:dyDescent="0.45">
      <c r="A668" t="s">
        <v>60</v>
      </c>
      <c r="B668">
        <v>2022</v>
      </c>
      <c r="C668" t="s">
        <v>74</v>
      </c>
      <c r="D668">
        <v>2.2999999999999998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1.8987999999999998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2.8576000000000001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1.9458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2.6978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3.2618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4.3146000000000004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4.5965999999999996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5.9501999999999997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7.3225999999999996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1.9645999999999999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2.7165999999999997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3.2993999999999999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1.9176000000000002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2.7729999999999997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3.2523999999999997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2.0116000000000001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2.9327999999999999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1.9176000000000002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2.867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3.2430000000000003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1.5416000000000001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0.16919999999999999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9.4000000000000004E-3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1.8894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2.8388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0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5.5000000000000005E-3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5.5000000000000005E-3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5.5000000000000005E-3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1.6499999999999997E-2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3.85E-2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0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5.5000000000000005E-3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1.1000000000000001E-2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1.6499999999999997E-2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2.2000000000000002E-2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4.4000000000000004E-2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7.6999999999999999E-2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0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5.5000000000000005E-3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5.5000000000000005E-3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5.5000000000000005E-3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5.5000000000000005E-3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1.6499999999999997E-2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2.75E-2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0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0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5.5000000000000005E-3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5.5000000000000005E-3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5.5000000000000005E-3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1.6499999999999997E-2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3.85E-2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5.5000000000000005E-3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1.6499999999999997E-2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3.2999999999999995E-2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2.75E-2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3.85E-2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7.1499999999999994E-2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0.1265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0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5.5000000000000005E-3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5.5000000000000005E-3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5.5000000000000005E-3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1.6499999999999997E-2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3.2999999999999995E-2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6.0500000000000005E-2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0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5.5000000000000005E-3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5.5000000000000005E-3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5.5000000000000005E-3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5.5000000000000005E-3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5.5000000000000005E-3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5.5000000000000005E-3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1.315E-2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1.555E-2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2.1949999999999997E-2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3.015E-2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4.1099999999999998E-2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5.1700000000000003E-2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6.3400000000000012E-2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7.3349999999999999E-2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8.1499999999999989E-2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8.7799999999999989E-2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9.1299999999999992E-2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0.09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9.035E-2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8.829999999999999E-2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8.7650000000000006E-2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8.4650000000000003E-2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8.1449999999999995E-2</v>
      </c>
      <c r="K165" t="s">
        <v>24</v>
      </c>
    </row>
    <row r="166" spans="1:11" x14ac:dyDescent="0.45">
      <c r="A166" t="s">
        <v>90</v>
      </c>
      <c r="B166" t="s">
        <v>4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1.3299999999999999E-2</v>
      </c>
      <c r="K166" t="s">
        <v>24</v>
      </c>
    </row>
    <row r="167" spans="1:11" x14ac:dyDescent="0.45">
      <c r="A167" t="s">
        <v>90</v>
      </c>
      <c r="B167" t="s">
        <v>4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1.5949999999999999E-2</v>
      </c>
      <c r="K167" t="s">
        <v>24</v>
      </c>
    </row>
    <row r="168" spans="1:11" x14ac:dyDescent="0.45">
      <c r="A168" t="s">
        <v>90</v>
      </c>
      <c r="B168" t="s">
        <v>4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2.2800000000000001E-2</v>
      </c>
      <c r="K168" t="s">
        <v>24</v>
      </c>
    </row>
    <row r="169" spans="1:11" x14ac:dyDescent="0.45">
      <c r="A169" t="s">
        <v>90</v>
      </c>
      <c r="B169" t="s">
        <v>4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3.0450000000000001E-2</v>
      </c>
      <c r="K169" t="s">
        <v>24</v>
      </c>
    </row>
    <row r="170" spans="1:11" x14ac:dyDescent="0.45">
      <c r="A170" t="s">
        <v>90</v>
      </c>
      <c r="B170" t="s">
        <v>4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3.9550000000000002E-2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4.5749999999999999E-2</v>
      </c>
      <c r="K171" t="s">
        <v>24</v>
      </c>
    </row>
    <row r="172" spans="1:11" x14ac:dyDescent="0.45">
      <c r="A172" t="s">
        <v>90</v>
      </c>
      <c r="B172" t="s">
        <v>4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5.3499999999999999E-2</v>
      </c>
      <c r="K172" t="s">
        <v>24</v>
      </c>
    </row>
    <row r="173" spans="1:11" x14ac:dyDescent="0.45">
      <c r="A173" t="s">
        <v>90</v>
      </c>
      <c r="B173" t="s">
        <v>4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5.7849999999999999E-2</v>
      </c>
      <c r="K173" t="s">
        <v>24</v>
      </c>
    </row>
    <row r="174" spans="1:11" x14ac:dyDescent="0.45">
      <c r="A174" t="s">
        <v>90</v>
      </c>
      <c r="B174" t="s">
        <v>4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6.1850000000000002E-2</v>
      </c>
      <c r="K174" t="s">
        <v>24</v>
      </c>
    </row>
    <row r="175" spans="1:11" x14ac:dyDescent="0.45">
      <c r="A175" t="s">
        <v>90</v>
      </c>
      <c r="B175" t="s">
        <v>4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6.54E-2</v>
      </c>
      <c r="K175" t="s">
        <v>24</v>
      </c>
    </row>
    <row r="176" spans="1:11" x14ac:dyDescent="0.45">
      <c r="A176" t="s">
        <v>90</v>
      </c>
      <c r="B176" t="s">
        <v>4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6.9150000000000003E-2</v>
      </c>
      <c r="K176" t="s">
        <v>24</v>
      </c>
    </row>
    <row r="177" spans="1:11" x14ac:dyDescent="0.45">
      <c r="A177" t="s">
        <v>90</v>
      </c>
      <c r="B177" t="s">
        <v>4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6.989999999999999E-2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7.1200000000000013E-2</v>
      </c>
      <c r="K178" t="s">
        <v>24</v>
      </c>
    </row>
    <row r="179" spans="1:11" x14ac:dyDescent="0.45">
      <c r="A179" t="s">
        <v>90</v>
      </c>
      <c r="B179" t="s">
        <v>4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6.9250000000000006E-2</v>
      </c>
      <c r="K179" t="s">
        <v>24</v>
      </c>
    </row>
    <row r="180" spans="1:11" x14ac:dyDescent="0.45">
      <c r="A180" t="s">
        <v>90</v>
      </c>
      <c r="B180" t="s">
        <v>4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6.83E-2</v>
      </c>
      <c r="K180" t="s">
        <v>24</v>
      </c>
    </row>
    <row r="181" spans="1:11" x14ac:dyDescent="0.45">
      <c r="A181" t="s">
        <v>90</v>
      </c>
      <c r="B181" t="s">
        <v>4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6.6799999999999998E-2</v>
      </c>
      <c r="K181" t="s">
        <v>24</v>
      </c>
    </row>
    <row r="182" spans="1:11" x14ac:dyDescent="0.45">
      <c r="A182" t="s">
        <v>90</v>
      </c>
      <c r="B182" t="s">
        <v>4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6.5950000000000009E-2</v>
      </c>
      <c r="K182" t="s">
        <v>24</v>
      </c>
    </row>
    <row r="183" spans="1:11" x14ac:dyDescent="0.45">
      <c r="A183" t="s">
        <v>90</v>
      </c>
      <c r="B183" t="s">
        <v>0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1.345E-2</v>
      </c>
      <c r="K183" t="s">
        <v>24</v>
      </c>
    </row>
    <row r="184" spans="1:11" x14ac:dyDescent="0.45">
      <c r="A184" t="s">
        <v>90</v>
      </c>
      <c r="B184" t="s">
        <v>0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1.6199999999999999E-2</v>
      </c>
      <c r="K184" t="s">
        <v>24</v>
      </c>
    </row>
    <row r="185" spans="1:11" x14ac:dyDescent="0.45">
      <c r="A185" t="s">
        <v>90</v>
      </c>
      <c r="B185" t="s">
        <v>0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2.3050000000000001E-2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3.0249999999999999E-2</v>
      </c>
      <c r="K186" t="s">
        <v>24</v>
      </c>
    </row>
    <row r="187" spans="1:11" x14ac:dyDescent="0.45">
      <c r="A187" t="s">
        <v>90</v>
      </c>
      <c r="B187" t="s">
        <v>0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3.9699999999999999E-2</v>
      </c>
      <c r="K187" t="s">
        <v>24</v>
      </c>
    </row>
    <row r="188" spans="1:11" x14ac:dyDescent="0.45">
      <c r="A188" t="s">
        <v>90</v>
      </c>
      <c r="B188" t="s">
        <v>0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5.1299999999999998E-2</v>
      </c>
      <c r="K188" t="s">
        <v>24</v>
      </c>
    </row>
    <row r="189" spans="1:11" x14ac:dyDescent="0.45">
      <c r="A189" t="s">
        <v>90</v>
      </c>
      <c r="B189" t="s">
        <v>0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6.4849999999999991E-2</v>
      </c>
      <c r="K189" t="s">
        <v>24</v>
      </c>
    </row>
    <row r="190" spans="1:11" x14ac:dyDescent="0.45">
      <c r="A190" t="s">
        <v>90</v>
      </c>
      <c r="B190" t="s">
        <v>0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7.6399999999999996E-2</v>
      </c>
      <c r="K190" t="s">
        <v>24</v>
      </c>
    </row>
    <row r="191" spans="1:11" x14ac:dyDescent="0.45">
      <c r="A191" t="s">
        <v>90</v>
      </c>
      <c r="B191" t="s">
        <v>0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8.5449999999999998E-2</v>
      </c>
      <c r="K191" t="s">
        <v>24</v>
      </c>
    </row>
    <row r="192" spans="1:11" x14ac:dyDescent="0.45">
      <c r="A192" t="s">
        <v>90</v>
      </c>
      <c r="B192" t="s">
        <v>0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8.6650000000000005E-2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8.8200000000000001E-2</v>
      </c>
      <c r="K193" t="s">
        <v>24</v>
      </c>
    </row>
    <row r="194" spans="1:11" x14ac:dyDescent="0.45">
      <c r="A194" t="s">
        <v>90</v>
      </c>
      <c r="B194" t="s">
        <v>0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8.795E-2</v>
      </c>
      <c r="K194" t="s">
        <v>24</v>
      </c>
    </row>
    <row r="195" spans="1:11" x14ac:dyDescent="0.45">
      <c r="A195" t="s">
        <v>90</v>
      </c>
      <c r="B195" t="s">
        <v>0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8.8800000000000004E-2</v>
      </c>
      <c r="K195" t="s">
        <v>24</v>
      </c>
    </row>
    <row r="196" spans="1:11" x14ac:dyDescent="0.45">
      <c r="A196" t="s">
        <v>90</v>
      </c>
      <c r="B196" t="s">
        <v>0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8.7299999999999989E-2</v>
      </c>
      <c r="K196" t="s">
        <v>24</v>
      </c>
    </row>
    <row r="197" spans="1:11" x14ac:dyDescent="0.45">
      <c r="A197" t="s">
        <v>90</v>
      </c>
      <c r="B197" t="s">
        <v>0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8.6749999999999994E-2</v>
      </c>
      <c r="K197" t="s">
        <v>24</v>
      </c>
    </row>
    <row r="198" spans="1:11" x14ac:dyDescent="0.45">
      <c r="A198" t="s">
        <v>90</v>
      </c>
      <c r="B198" t="s">
        <v>0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8.4199999999999997E-2</v>
      </c>
      <c r="K198" t="s">
        <v>24</v>
      </c>
    </row>
    <row r="199" spans="1:11" x14ac:dyDescent="0.45">
      <c r="A199" t="s">
        <v>90</v>
      </c>
      <c r="B199" t="s">
        <v>0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8.1850000000000006E-2</v>
      </c>
      <c r="K199" t="s">
        <v>24</v>
      </c>
    </row>
    <row r="200" spans="1:11" x14ac:dyDescent="0.45">
      <c r="A200" t="s">
        <v>90</v>
      </c>
      <c r="B200" t="s">
        <v>6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2020</v>
      </c>
      <c r="J200">
        <v>1.3250000000000001E-2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1.575E-2</v>
      </c>
      <c r="K201" t="s">
        <v>24</v>
      </c>
    </row>
    <row r="202" spans="1:11" x14ac:dyDescent="0.45">
      <c r="A202" t="s">
        <v>90</v>
      </c>
      <c r="B202" t="s">
        <v>6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2030</v>
      </c>
      <c r="J202">
        <v>2.3E-2</v>
      </c>
      <c r="K202" t="s">
        <v>24</v>
      </c>
    </row>
    <row r="203" spans="1:11" x14ac:dyDescent="0.45">
      <c r="A203" t="s">
        <v>90</v>
      </c>
      <c r="B203" t="s">
        <v>6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2035</v>
      </c>
      <c r="J203">
        <v>2.9400000000000003E-2</v>
      </c>
      <c r="K203" t="s">
        <v>24</v>
      </c>
    </row>
    <row r="204" spans="1:11" x14ac:dyDescent="0.45">
      <c r="A204" t="s">
        <v>90</v>
      </c>
      <c r="B204" t="s">
        <v>6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2040</v>
      </c>
      <c r="J204">
        <v>3.9100000000000003E-2</v>
      </c>
      <c r="K204" t="s">
        <v>24</v>
      </c>
    </row>
    <row r="205" spans="1:11" x14ac:dyDescent="0.45">
      <c r="A205" t="s">
        <v>90</v>
      </c>
      <c r="B205" t="s">
        <v>6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2045</v>
      </c>
      <c r="J205">
        <v>4.8750000000000002E-2</v>
      </c>
      <c r="K205" t="s">
        <v>24</v>
      </c>
    </row>
    <row r="206" spans="1:11" x14ac:dyDescent="0.45">
      <c r="A206" t="s">
        <v>90</v>
      </c>
      <c r="B206" t="s">
        <v>6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2050</v>
      </c>
      <c r="J206">
        <v>5.7550000000000004E-2</v>
      </c>
      <c r="K206" t="s">
        <v>24</v>
      </c>
    </row>
    <row r="207" spans="1:11" x14ac:dyDescent="0.45">
      <c r="A207" t="s">
        <v>90</v>
      </c>
      <c r="B207" t="s">
        <v>6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2055</v>
      </c>
      <c r="J207">
        <v>6.9500000000000006E-2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7.825E-2</v>
      </c>
      <c r="K208" t="s">
        <v>24</v>
      </c>
    </row>
    <row r="209" spans="1:11" x14ac:dyDescent="0.45">
      <c r="A209" t="s">
        <v>90</v>
      </c>
      <c r="B209" t="s">
        <v>6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2065</v>
      </c>
      <c r="J209">
        <v>8.115E-2</v>
      </c>
      <c r="K209" t="s">
        <v>24</v>
      </c>
    </row>
    <row r="210" spans="1:11" x14ac:dyDescent="0.45">
      <c r="A210" t="s">
        <v>90</v>
      </c>
      <c r="B210" t="s">
        <v>6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2070</v>
      </c>
      <c r="J210">
        <v>8.3350000000000007E-2</v>
      </c>
      <c r="K210" t="s">
        <v>24</v>
      </c>
    </row>
    <row r="211" spans="1:11" x14ac:dyDescent="0.45">
      <c r="A211" t="s">
        <v>90</v>
      </c>
      <c r="B211" t="s">
        <v>6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2075</v>
      </c>
      <c r="J211">
        <v>8.2449999999999996E-2</v>
      </c>
      <c r="K211" t="s">
        <v>24</v>
      </c>
    </row>
    <row r="212" spans="1:11" x14ac:dyDescent="0.45">
      <c r="A212" t="s">
        <v>90</v>
      </c>
      <c r="B212" t="s">
        <v>6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2080</v>
      </c>
      <c r="J212">
        <v>8.2549999999999998E-2</v>
      </c>
      <c r="K212" t="s">
        <v>24</v>
      </c>
    </row>
    <row r="213" spans="1:11" x14ac:dyDescent="0.45">
      <c r="A213" t="s">
        <v>90</v>
      </c>
      <c r="B213" t="s">
        <v>6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2085</v>
      </c>
      <c r="J213">
        <v>8.0949999999999994E-2</v>
      </c>
      <c r="K213" t="s">
        <v>24</v>
      </c>
    </row>
    <row r="214" spans="1:11" x14ac:dyDescent="0.45">
      <c r="A214" t="s">
        <v>90</v>
      </c>
      <c r="B214" t="s">
        <v>6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2090</v>
      </c>
      <c r="J214">
        <v>8.0449999999999994E-2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2095</v>
      </c>
      <c r="J215">
        <v>7.8149999999999997E-2</v>
      </c>
      <c r="K215" t="s">
        <v>24</v>
      </c>
    </row>
    <row r="216" spans="1:11" x14ac:dyDescent="0.45">
      <c r="A216" t="s">
        <v>90</v>
      </c>
      <c r="B216" t="s">
        <v>6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2100</v>
      </c>
      <c r="J216">
        <v>7.6249999999999998E-2</v>
      </c>
      <c r="K216" t="s">
        <v>24</v>
      </c>
    </row>
    <row r="217" spans="1:11" x14ac:dyDescent="0.45">
      <c r="A217" t="s">
        <v>90</v>
      </c>
      <c r="B217" t="s">
        <v>5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2020</v>
      </c>
      <c r="J217">
        <v>1.225E-2</v>
      </c>
      <c r="K217" t="s">
        <v>24</v>
      </c>
    </row>
    <row r="218" spans="1:11" x14ac:dyDescent="0.45">
      <c r="A218" t="s">
        <v>90</v>
      </c>
      <c r="B218" t="s">
        <v>5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2025</v>
      </c>
      <c r="J218">
        <v>1.04E-2</v>
      </c>
      <c r="K218" t="s">
        <v>24</v>
      </c>
    </row>
    <row r="219" spans="1:11" x14ac:dyDescent="0.45">
      <c r="A219" t="s">
        <v>90</v>
      </c>
      <c r="B219" t="s">
        <v>5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2030</v>
      </c>
      <c r="J219">
        <v>1.155E-2</v>
      </c>
      <c r="K219" t="s">
        <v>24</v>
      </c>
    </row>
    <row r="220" spans="1:11" x14ac:dyDescent="0.45">
      <c r="A220" t="s">
        <v>90</v>
      </c>
      <c r="B220" t="s">
        <v>5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2035</v>
      </c>
      <c r="J220">
        <v>1.3849999999999999E-2</v>
      </c>
      <c r="K220" t="s">
        <v>24</v>
      </c>
    </row>
    <row r="221" spans="1:11" x14ac:dyDescent="0.45">
      <c r="A221" t="s">
        <v>90</v>
      </c>
      <c r="B221" t="s">
        <v>5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2040</v>
      </c>
      <c r="J221">
        <v>1.6750000000000001E-2</v>
      </c>
      <c r="K221" t="s">
        <v>24</v>
      </c>
    </row>
    <row r="222" spans="1:11" x14ac:dyDescent="0.45">
      <c r="A222" t="s">
        <v>90</v>
      </c>
      <c r="B222" t="s">
        <v>5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2045</v>
      </c>
      <c r="J222">
        <v>1.67E-2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2050</v>
      </c>
      <c r="J223">
        <v>1.9349999999999999E-2</v>
      </c>
      <c r="K223" t="s">
        <v>24</v>
      </c>
    </row>
    <row r="224" spans="1:11" x14ac:dyDescent="0.45">
      <c r="A224" t="s">
        <v>90</v>
      </c>
      <c r="B224" t="s">
        <v>5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2055</v>
      </c>
      <c r="J224">
        <v>2.1900000000000003E-2</v>
      </c>
      <c r="K224" t="s">
        <v>24</v>
      </c>
    </row>
    <row r="225" spans="1:11" x14ac:dyDescent="0.45">
      <c r="A225" t="s">
        <v>90</v>
      </c>
      <c r="B225" t="s">
        <v>5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2060</v>
      </c>
      <c r="J225">
        <v>2.5599999999999998E-2</v>
      </c>
      <c r="K225" t="s">
        <v>24</v>
      </c>
    </row>
    <row r="226" spans="1:11" x14ac:dyDescent="0.45">
      <c r="A226" t="s">
        <v>90</v>
      </c>
      <c r="B226" t="s">
        <v>5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2065</v>
      </c>
      <c r="J226">
        <v>2.5950000000000001E-2</v>
      </c>
      <c r="K226" t="s">
        <v>24</v>
      </c>
    </row>
    <row r="227" spans="1:11" x14ac:dyDescent="0.45">
      <c r="A227" t="s">
        <v>90</v>
      </c>
      <c r="B227" t="s">
        <v>5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2070</v>
      </c>
      <c r="J227">
        <v>2.4899999999999999E-2</v>
      </c>
      <c r="K227" t="s">
        <v>24</v>
      </c>
    </row>
    <row r="228" spans="1:11" x14ac:dyDescent="0.45">
      <c r="A228" t="s">
        <v>90</v>
      </c>
      <c r="B228" t="s">
        <v>5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2.35E-2</v>
      </c>
      <c r="K228" t="s">
        <v>24</v>
      </c>
    </row>
    <row r="229" spans="1:11" x14ac:dyDescent="0.45">
      <c r="A229" t="s">
        <v>90</v>
      </c>
      <c r="B229" t="s">
        <v>5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2080</v>
      </c>
      <c r="J229">
        <v>2.2749999999999999E-2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2085</v>
      </c>
      <c r="J230">
        <v>2.4300000000000002E-2</v>
      </c>
      <c r="K230" t="s">
        <v>24</v>
      </c>
    </row>
    <row r="231" spans="1:11" x14ac:dyDescent="0.45">
      <c r="A231" t="s">
        <v>90</v>
      </c>
      <c r="B231" t="s">
        <v>5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2090</v>
      </c>
      <c r="J231">
        <v>2.5750000000000002E-2</v>
      </c>
      <c r="K231" t="s">
        <v>24</v>
      </c>
    </row>
    <row r="232" spans="1:11" x14ac:dyDescent="0.45">
      <c r="A232" t="s">
        <v>90</v>
      </c>
      <c r="B232" t="s">
        <v>5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2095</v>
      </c>
      <c r="J232">
        <v>2.6499999999999999E-2</v>
      </c>
      <c r="K232" t="s">
        <v>24</v>
      </c>
    </row>
    <row r="233" spans="1:11" x14ac:dyDescent="0.45">
      <c r="A233" t="s">
        <v>90</v>
      </c>
      <c r="B233" t="s">
        <v>5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2100</v>
      </c>
      <c r="J233">
        <v>2.7150000000000001E-2</v>
      </c>
      <c r="K233" t="s">
        <v>24</v>
      </c>
    </row>
    <row r="234" spans="1:11" x14ac:dyDescent="0.45">
      <c r="A234" t="s">
        <v>90</v>
      </c>
      <c r="B234" t="s">
        <v>2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2020</v>
      </c>
      <c r="J234">
        <v>1.32E-2</v>
      </c>
      <c r="K234" t="s">
        <v>24</v>
      </c>
    </row>
    <row r="235" spans="1:11" x14ac:dyDescent="0.45">
      <c r="A235" t="s">
        <v>90</v>
      </c>
      <c r="B235" t="s">
        <v>2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2025</v>
      </c>
      <c r="J235">
        <v>1.575E-2</v>
      </c>
      <c r="K235" t="s">
        <v>24</v>
      </c>
    </row>
    <row r="236" spans="1:11" x14ac:dyDescent="0.45">
      <c r="A236" t="s">
        <v>90</v>
      </c>
      <c r="B236" t="s">
        <v>2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2030</v>
      </c>
      <c r="J236">
        <v>2.2249999999999999E-2</v>
      </c>
      <c r="K236" t="s">
        <v>24</v>
      </c>
    </row>
    <row r="237" spans="1:11" x14ac:dyDescent="0.45">
      <c r="A237" t="s">
        <v>90</v>
      </c>
      <c r="B237" t="s">
        <v>2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2035</v>
      </c>
      <c r="J237">
        <v>3.1149999999999997E-2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2040</v>
      </c>
      <c r="J238">
        <v>4.2300000000000004E-2</v>
      </c>
      <c r="K238" t="s">
        <v>24</v>
      </c>
    </row>
    <row r="239" spans="1:11" x14ac:dyDescent="0.45">
      <c r="A239" t="s">
        <v>90</v>
      </c>
      <c r="B239" t="s">
        <v>2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2045</v>
      </c>
      <c r="J239">
        <v>5.3199999999999997E-2</v>
      </c>
      <c r="K239" t="s">
        <v>24</v>
      </c>
    </row>
    <row r="240" spans="1:11" x14ac:dyDescent="0.45">
      <c r="A240" t="s">
        <v>90</v>
      </c>
      <c r="B240" t="s">
        <v>2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2050</v>
      </c>
      <c r="J240">
        <v>6.0249999999999998E-2</v>
      </c>
      <c r="K240" t="s">
        <v>24</v>
      </c>
    </row>
    <row r="241" spans="1:11" x14ac:dyDescent="0.45">
      <c r="A241" t="s">
        <v>90</v>
      </c>
      <c r="B241" t="s">
        <v>2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2055</v>
      </c>
      <c r="J241">
        <v>6.8949999999999997E-2</v>
      </c>
      <c r="K241" t="s">
        <v>24</v>
      </c>
    </row>
    <row r="242" spans="1:11" x14ac:dyDescent="0.45">
      <c r="A242" t="s">
        <v>90</v>
      </c>
      <c r="B242" t="s">
        <v>2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2060</v>
      </c>
      <c r="J242">
        <v>7.2849999999999998E-2</v>
      </c>
      <c r="K242" t="s">
        <v>24</v>
      </c>
    </row>
    <row r="243" spans="1:11" x14ac:dyDescent="0.45">
      <c r="A243" t="s">
        <v>90</v>
      </c>
      <c r="B243" t="s">
        <v>2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2065</v>
      </c>
      <c r="J243">
        <v>7.669999999999999E-2</v>
      </c>
      <c r="K243" t="s">
        <v>24</v>
      </c>
    </row>
    <row r="244" spans="1:11" x14ac:dyDescent="0.45">
      <c r="A244" t="s">
        <v>90</v>
      </c>
      <c r="B244" t="s">
        <v>2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2070</v>
      </c>
      <c r="J244">
        <v>7.9449999999999993E-2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2075</v>
      </c>
      <c r="J245">
        <v>7.8850000000000003E-2</v>
      </c>
      <c r="K245" t="s">
        <v>24</v>
      </c>
    </row>
    <row r="246" spans="1:11" x14ac:dyDescent="0.45">
      <c r="A246" t="s">
        <v>90</v>
      </c>
      <c r="B246" t="s">
        <v>2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2080</v>
      </c>
      <c r="J246">
        <v>7.9350000000000004E-2</v>
      </c>
      <c r="K246" t="s">
        <v>24</v>
      </c>
    </row>
    <row r="247" spans="1:11" x14ac:dyDescent="0.45">
      <c r="A247" t="s">
        <v>90</v>
      </c>
      <c r="B247" t="s">
        <v>2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2085</v>
      </c>
      <c r="J247">
        <v>7.7850000000000003E-2</v>
      </c>
      <c r="K247" t="s">
        <v>24</v>
      </c>
    </row>
    <row r="248" spans="1:11" x14ac:dyDescent="0.45">
      <c r="A248" t="s">
        <v>90</v>
      </c>
      <c r="B248" t="s">
        <v>2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7.7250000000000013E-2</v>
      </c>
      <c r="K248" t="s">
        <v>24</v>
      </c>
    </row>
    <row r="249" spans="1:11" x14ac:dyDescent="0.45">
      <c r="A249" t="s">
        <v>90</v>
      </c>
      <c r="B249" t="s">
        <v>2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2095</v>
      </c>
      <c r="J249">
        <v>7.5399999999999995E-2</v>
      </c>
      <c r="K249" t="s">
        <v>24</v>
      </c>
    </row>
    <row r="250" spans="1:11" x14ac:dyDescent="0.45">
      <c r="A250" t="s">
        <v>90</v>
      </c>
      <c r="B250" t="s">
        <v>2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2100</v>
      </c>
      <c r="J250">
        <v>7.3149999999999993E-2</v>
      </c>
      <c r="K250" t="s">
        <v>24</v>
      </c>
    </row>
    <row r="251" spans="1:11" x14ac:dyDescent="0.45">
      <c r="A251" t="s">
        <v>90</v>
      </c>
      <c r="B251" t="s">
        <v>1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2020</v>
      </c>
      <c r="J251">
        <v>1.2799999999999999E-2</v>
      </c>
      <c r="K251" t="s">
        <v>24</v>
      </c>
    </row>
    <row r="252" spans="1:11" x14ac:dyDescent="0.45">
      <c r="A252" t="s">
        <v>90</v>
      </c>
      <c r="B252" t="s">
        <v>1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1.5099999999999999E-2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0.02</v>
      </c>
      <c r="K253" t="s">
        <v>24</v>
      </c>
    </row>
    <row r="254" spans="1:11" x14ac:dyDescent="0.45">
      <c r="A254" t="s">
        <v>90</v>
      </c>
      <c r="B254" t="s">
        <v>1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2035</v>
      </c>
      <c r="J254">
        <v>2.6000000000000002E-2</v>
      </c>
      <c r="K254" t="s">
        <v>24</v>
      </c>
    </row>
    <row r="255" spans="1:11" x14ac:dyDescent="0.45">
      <c r="A255" t="s">
        <v>90</v>
      </c>
      <c r="B255" t="s">
        <v>1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2040</v>
      </c>
      <c r="J255">
        <v>3.4600000000000006E-2</v>
      </c>
      <c r="K255" t="s">
        <v>24</v>
      </c>
    </row>
    <row r="256" spans="1:11" x14ac:dyDescent="0.45">
      <c r="A256" t="s">
        <v>90</v>
      </c>
      <c r="B256" t="s">
        <v>1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2045</v>
      </c>
      <c r="J256">
        <v>4.385E-2</v>
      </c>
      <c r="K256" t="s">
        <v>24</v>
      </c>
    </row>
    <row r="257" spans="1:11" x14ac:dyDescent="0.45">
      <c r="A257" t="s">
        <v>90</v>
      </c>
      <c r="B257" t="s">
        <v>1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2050</v>
      </c>
      <c r="J257">
        <v>5.6349999999999997E-2</v>
      </c>
      <c r="K257" t="s">
        <v>24</v>
      </c>
    </row>
    <row r="258" spans="1:11" x14ac:dyDescent="0.45">
      <c r="A258" t="s">
        <v>90</v>
      </c>
      <c r="B258" t="s">
        <v>1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2055</v>
      </c>
      <c r="J258">
        <v>7.4249999999999997E-2</v>
      </c>
      <c r="K258" t="s">
        <v>24</v>
      </c>
    </row>
    <row r="259" spans="1:11" x14ac:dyDescent="0.45">
      <c r="A259" t="s">
        <v>90</v>
      </c>
      <c r="B259" t="s">
        <v>1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2060</v>
      </c>
      <c r="J259">
        <v>8.5050000000000001E-2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2065</v>
      </c>
      <c r="J260">
        <v>8.9849999999999999E-2</v>
      </c>
      <c r="K260" t="s">
        <v>24</v>
      </c>
    </row>
    <row r="261" spans="1:11" x14ac:dyDescent="0.45">
      <c r="A261" t="s">
        <v>90</v>
      </c>
      <c r="B261" t="s">
        <v>1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2070</v>
      </c>
      <c r="J261">
        <v>9.4350000000000003E-2</v>
      </c>
      <c r="K261" t="s">
        <v>24</v>
      </c>
    </row>
    <row r="262" spans="1:11" x14ac:dyDescent="0.45">
      <c r="A262" t="s">
        <v>90</v>
      </c>
      <c r="B262" t="s">
        <v>1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2075</v>
      </c>
      <c r="J262">
        <v>9.64E-2</v>
      </c>
      <c r="K262" t="s">
        <v>24</v>
      </c>
    </row>
    <row r="263" spans="1:11" x14ac:dyDescent="0.45">
      <c r="A263" t="s">
        <v>90</v>
      </c>
      <c r="B263" t="s">
        <v>1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2080</v>
      </c>
      <c r="J263">
        <v>9.8349999999999993E-2</v>
      </c>
      <c r="K263" t="s">
        <v>24</v>
      </c>
    </row>
    <row r="264" spans="1:11" x14ac:dyDescent="0.45">
      <c r="A264" t="s">
        <v>90</v>
      </c>
      <c r="B264" t="s">
        <v>1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2085</v>
      </c>
      <c r="J264">
        <v>9.6849999999999992E-2</v>
      </c>
      <c r="K264" t="s">
        <v>24</v>
      </c>
    </row>
    <row r="265" spans="1:11" x14ac:dyDescent="0.45">
      <c r="A265" t="s">
        <v>90</v>
      </c>
      <c r="B265" t="s">
        <v>1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2090</v>
      </c>
      <c r="J265">
        <v>9.6149999999999999E-2</v>
      </c>
      <c r="K265" t="s">
        <v>24</v>
      </c>
    </row>
    <row r="266" spans="1:11" x14ac:dyDescent="0.45">
      <c r="A266" t="s">
        <v>90</v>
      </c>
      <c r="B266" t="s">
        <v>1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2095</v>
      </c>
      <c r="J266">
        <v>9.2599999999999988E-2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8.9499999999999996E-2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1.7000000000000001E-2</v>
      </c>
      <c r="K268" t="s">
        <v>28</v>
      </c>
    </row>
    <row r="269" spans="1:11" x14ac:dyDescent="0.45">
      <c r="A269" t="s">
        <v>90</v>
      </c>
      <c r="B269" t="s">
        <v>3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2.0150000000000001E-2</v>
      </c>
      <c r="K269" t="s">
        <v>28</v>
      </c>
    </row>
    <row r="270" spans="1:11" x14ac:dyDescent="0.45">
      <c r="A270" t="s">
        <v>90</v>
      </c>
      <c r="B270" t="s">
        <v>3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2.1299999999999999E-2</v>
      </c>
      <c r="K270" t="s">
        <v>28</v>
      </c>
    </row>
    <row r="271" spans="1:11" x14ac:dyDescent="0.45">
      <c r="A271" t="s">
        <v>90</v>
      </c>
      <c r="B271" t="s">
        <v>3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2.3E-2</v>
      </c>
      <c r="K271" t="s">
        <v>28</v>
      </c>
    </row>
    <row r="272" spans="1:11" x14ac:dyDescent="0.45">
      <c r="A272" t="s">
        <v>90</v>
      </c>
      <c r="B272" t="s">
        <v>3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2.435E-2</v>
      </c>
      <c r="K272" t="s">
        <v>28</v>
      </c>
    </row>
    <row r="273" spans="1:11" x14ac:dyDescent="0.45">
      <c r="A273" t="s">
        <v>90</v>
      </c>
      <c r="B273" t="s">
        <v>3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3.1600000000000003E-2</v>
      </c>
      <c r="K273" t="s">
        <v>28</v>
      </c>
    </row>
    <row r="274" spans="1:11" x14ac:dyDescent="0.45">
      <c r="A274" t="s">
        <v>90</v>
      </c>
      <c r="B274" t="s">
        <v>3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4.0500000000000001E-2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4.58E-2</v>
      </c>
      <c r="K275" t="s">
        <v>28</v>
      </c>
    </row>
    <row r="276" spans="1:11" x14ac:dyDescent="0.45">
      <c r="A276" t="s">
        <v>90</v>
      </c>
      <c r="B276" t="s">
        <v>3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5.5050000000000002E-2</v>
      </c>
      <c r="K276" t="s">
        <v>28</v>
      </c>
    </row>
    <row r="277" spans="1:11" x14ac:dyDescent="0.45">
      <c r="A277" t="s">
        <v>90</v>
      </c>
      <c r="B277" t="s">
        <v>3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6.7750000000000005E-2</v>
      </c>
      <c r="K277" t="s">
        <v>28</v>
      </c>
    </row>
    <row r="278" spans="1:11" x14ac:dyDescent="0.45">
      <c r="A278" t="s">
        <v>90</v>
      </c>
      <c r="B278" t="s">
        <v>3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8.0499999999999988E-2</v>
      </c>
      <c r="K278" t="s">
        <v>28</v>
      </c>
    </row>
    <row r="279" spans="1:11" x14ac:dyDescent="0.45">
      <c r="A279" t="s">
        <v>90</v>
      </c>
      <c r="B279" t="s">
        <v>3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0.10339999999999999</v>
      </c>
      <c r="K279" t="s">
        <v>28</v>
      </c>
    </row>
    <row r="280" spans="1:11" x14ac:dyDescent="0.45">
      <c r="A280" t="s">
        <v>90</v>
      </c>
      <c r="B280" t="s">
        <v>3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0.12429999999999999</v>
      </c>
      <c r="K280" t="s">
        <v>28</v>
      </c>
    </row>
    <row r="281" spans="1:11" x14ac:dyDescent="0.45">
      <c r="A281" t="s">
        <v>90</v>
      </c>
      <c r="B281" t="s">
        <v>3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0.14795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0.17049999999999998</v>
      </c>
      <c r="K282" t="s">
        <v>28</v>
      </c>
    </row>
    <row r="283" spans="1:11" x14ac:dyDescent="0.45">
      <c r="A283" t="s">
        <v>90</v>
      </c>
      <c r="B283" t="s">
        <v>3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0.18325</v>
      </c>
      <c r="K283" t="s">
        <v>28</v>
      </c>
    </row>
    <row r="284" spans="1:11" x14ac:dyDescent="0.45">
      <c r="A284" t="s">
        <v>90</v>
      </c>
      <c r="B284" t="s">
        <v>3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0.1958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1.7649999999999999E-2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2.0549999999999999E-2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2.0549999999999999E-2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2.0299999999999999E-2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1.9200000000000002E-2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2.2950000000000002E-2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2.895E-2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3.2350000000000004E-2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4.2849999999999999E-2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5.3800000000000001E-2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6.3950000000000007E-2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8.3000000000000004E-2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0.1013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0.12090000000000001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0.13979999999999998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0.15110000000000001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0.16194999999999998</v>
      </c>
      <c r="K301" t="s">
        <v>28</v>
      </c>
    </row>
    <row r="302" spans="1:11" x14ac:dyDescent="0.45">
      <c r="A302" t="s">
        <v>90</v>
      </c>
      <c r="B302" t="s">
        <v>0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2020</v>
      </c>
      <c r="J302">
        <v>1.745E-2</v>
      </c>
      <c r="K302" t="s">
        <v>28</v>
      </c>
    </row>
    <row r="303" spans="1:11" x14ac:dyDescent="0.45">
      <c r="A303" t="s">
        <v>90</v>
      </c>
      <c r="B303" t="s">
        <v>0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2025</v>
      </c>
      <c r="J303">
        <v>2.0449999999999999E-2</v>
      </c>
      <c r="K303" t="s">
        <v>28</v>
      </c>
    </row>
    <row r="304" spans="1:11" x14ac:dyDescent="0.45">
      <c r="A304" t="s">
        <v>90</v>
      </c>
      <c r="B304" t="s">
        <v>0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2030</v>
      </c>
      <c r="J304">
        <v>2.07E-2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1.9099999999999999E-2</v>
      </c>
      <c r="K305" t="s">
        <v>28</v>
      </c>
    </row>
    <row r="306" spans="1:11" x14ac:dyDescent="0.45">
      <c r="A306" t="s">
        <v>90</v>
      </c>
      <c r="B306" t="s">
        <v>0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2040</v>
      </c>
      <c r="J306">
        <v>1.9699999999999999E-2</v>
      </c>
      <c r="K306" t="s">
        <v>28</v>
      </c>
    </row>
    <row r="307" spans="1:11" x14ac:dyDescent="0.45">
      <c r="A307" t="s">
        <v>90</v>
      </c>
      <c r="B307" t="s">
        <v>0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3.0949999999999998E-2</v>
      </c>
      <c r="K307" t="s">
        <v>28</v>
      </c>
    </row>
    <row r="308" spans="1:11" x14ac:dyDescent="0.45">
      <c r="A308" t="s">
        <v>90</v>
      </c>
      <c r="B308" t="s">
        <v>0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2050</v>
      </c>
      <c r="J308">
        <v>4.1099999999999998E-2</v>
      </c>
      <c r="K308" t="s">
        <v>28</v>
      </c>
    </row>
    <row r="309" spans="1:11" x14ac:dyDescent="0.45">
      <c r="A309" t="s">
        <v>90</v>
      </c>
      <c r="B309" t="s">
        <v>0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2055</v>
      </c>
      <c r="J309">
        <v>4.5950000000000005E-2</v>
      </c>
      <c r="K309" t="s">
        <v>28</v>
      </c>
    </row>
    <row r="310" spans="1:11" x14ac:dyDescent="0.45">
      <c r="A310" t="s">
        <v>90</v>
      </c>
      <c r="B310" t="s">
        <v>0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2060</v>
      </c>
      <c r="J310">
        <v>5.2949999999999997E-2</v>
      </c>
      <c r="K310" t="s">
        <v>28</v>
      </c>
    </row>
    <row r="311" spans="1:11" x14ac:dyDescent="0.45">
      <c r="A311" t="s">
        <v>90</v>
      </c>
      <c r="B311" t="s">
        <v>0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2065</v>
      </c>
      <c r="J311">
        <v>6.5549999999999997E-2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2070</v>
      </c>
      <c r="J312">
        <v>7.7449999999999991E-2</v>
      </c>
      <c r="K312" t="s">
        <v>28</v>
      </c>
    </row>
    <row r="313" spans="1:11" x14ac:dyDescent="0.45">
      <c r="A313" t="s">
        <v>90</v>
      </c>
      <c r="B313" t="s">
        <v>0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2075</v>
      </c>
      <c r="J313">
        <v>9.9599999999999994E-2</v>
      </c>
      <c r="K313" t="s">
        <v>28</v>
      </c>
    </row>
    <row r="314" spans="1:11" x14ac:dyDescent="0.45">
      <c r="A314" t="s">
        <v>90</v>
      </c>
      <c r="B314" t="s">
        <v>0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2080</v>
      </c>
      <c r="J314">
        <v>0.11985</v>
      </c>
      <c r="K314" t="s">
        <v>28</v>
      </c>
    </row>
    <row r="315" spans="1:11" x14ac:dyDescent="0.45">
      <c r="A315" t="s">
        <v>90</v>
      </c>
      <c r="B315" t="s">
        <v>0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2085</v>
      </c>
      <c r="J315">
        <v>0.14324999999999999</v>
      </c>
      <c r="K315" t="s">
        <v>28</v>
      </c>
    </row>
    <row r="316" spans="1:11" x14ac:dyDescent="0.45">
      <c r="A316" t="s">
        <v>90</v>
      </c>
      <c r="B316" t="s">
        <v>0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2090</v>
      </c>
      <c r="J316">
        <v>0.1658</v>
      </c>
      <c r="K316" t="s">
        <v>28</v>
      </c>
    </row>
    <row r="317" spans="1:11" x14ac:dyDescent="0.45">
      <c r="A317" t="s">
        <v>90</v>
      </c>
      <c r="B317" t="s">
        <v>0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2095</v>
      </c>
      <c r="J317">
        <v>0.17925000000000002</v>
      </c>
      <c r="K317" t="s">
        <v>28</v>
      </c>
    </row>
    <row r="318" spans="1:11" x14ac:dyDescent="0.45">
      <c r="A318" t="s">
        <v>90</v>
      </c>
      <c r="B318" t="s">
        <v>0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2100</v>
      </c>
      <c r="J318">
        <v>0.19235000000000002</v>
      </c>
      <c r="K318" t="s">
        <v>28</v>
      </c>
    </row>
    <row r="319" spans="1:11" x14ac:dyDescent="0.45">
      <c r="A319" t="s">
        <v>90</v>
      </c>
      <c r="B319" t="s">
        <v>6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2020</v>
      </c>
      <c r="J319">
        <v>1.7000000000000001E-2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2025</v>
      </c>
      <c r="J320">
        <v>2.0049999999999998E-2</v>
      </c>
      <c r="K320" t="s">
        <v>28</v>
      </c>
    </row>
    <row r="321" spans="1:11" x14ac:dyDescent="0.45">
      <c r="A321" t="s">
        <v>90</v>
      </c>
      <c r="B321" t="s">
        <v>6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2030</v>
      </c>
      <c r="J321">
        <v>2.01E-2</v>
      </c>
      <c r="K321" t="s">
        <v>28</v>
      </c>
    </row>
    <row r="322" spans="1:11" x14ac:dyDescent="0.45">
      <c r="A322" t="s">
        <v>90</v>
      </c>
      <c r="B322" t="s">
        <v>6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2035</v>
      </c>
      <c r="J322">
        <v>2.0400000000000001E-2</v>
      </c>
      <c r="K322" t="s">
        <v>28</v>
      </c>
    </row>
    <row r="323" spans="1:11" x14ac:dyDescent="0.45">
      <c r="A323" t="s">
        <v>90</v>
      </c>
      <c r="B323" t="s">
        <v>6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2040</v>
      </c>
      <c r="J323">
        <v>2.0150000000000001E-2</v>
      </c>
      <c r="K323" t="s">
        <v>28</v>
      </c>
    </row>
    <row r="324" spans="1:11" x14ac:dyDescent="0.45">
      <c r="A324" t="s">
        <v>90</v>
      </c>
      <c r="B324" t="s">
        <v>6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2045</v>
      </c>
      <c r="J324">
        <v>2.75E-2</v>
      </c>
      <c r="K324" t="s">
        <v>28</v>
      </c>
    </row>
    <row r="325" spans="1:11" x14ac:dyDescent="0.45">
      <c r="A325" t="s">
        <v>90</v>
      </c>
      <c r="B325" t="s">
        <v>6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2050</v>
      </c>
      <c r="J325">
        <v>3.465E-2</v>
      </c>
      <c r="K325" t="s">
        <v>28</v>
      </c>
    </row>
    <row r="326" spans="1:11" x14ac:dyDescent="0.45">
      <c r="A326" t="s">
        <v>90</v>
      </c>
      <c r="B326" t="s">
        <v>6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2055</v>
      </c>
      <c r="J326">
        <v>4.1050000000000003E-2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4.8850000000000005E-2</v>
      </c>
      <c r="K327" t="s">
        <v>28</v>
      </c>
    </row>
    <row r="328" spans="1:11" x14ac:dyDescent="0.45">
      <c r="A328" t="s">
        <v>90</v>
      </c>
      <c r="B328" t="s">
        <v>6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2065</v>
      </c>
      <c r="J328">
        <v>6.0650000000000003E-2</v>
      </c>
      <c r="K328" t="s">
        <v>28</v>
      </c>
    </row>
    <row r="329" spans="1:11" x14ac:dyDescent="0.45">
      <c r="A329" t="s">
        <v>90</v>
      </c>
      <c r="B329" t="s">
        <v>6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2070</v>
      </c>
      <c r="J329">
        <v>7.1599999999999997E-2</v>
      </c>
      <c r="K329" t="s">
        <v>28</v>
      </c>
    </row>
    <row r="330" spans="1:11" x14ac:dyDescent="0.45">
      <c r="A330" t="s">
        <v>90</v>
      </c>
      <c r="B330" t="s">
        <v>6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2075</v>
      </c>
      <c r="J330">
        <v>9.240000000000001E-2</v>
      </c>
      <c r="K330" t="s">
        <v>28</v>
      </c>
    </row>
    <row r="331" spans="1:11" x14ac:dyDescent="0.45">
      <c r="A331" t="s">
        <v>90</v>
      </c>
      <c r="B331" t="s">
        <v>6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2080</v>
      </c>
      <c r="J331">
        <v>0.11169999999999999</v>
      </c>
      <c r="K331" t="s">
        <v>28</v>
      </c>
    </row>
    <row r="332" spans="1:11" x14ac:dyDescent="0.45">
      <c r="A332" t="s">
        <v>90</v>
      </c>
      <c r="B332" t="s">
        <v>6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2085</v>
      </c>
      <c r="J332">
        <v>0.13419999999999999</v>
      </c>
      <c r="K332" t="s">
        <v>28</v>
      </c>
    </row>
    <row r="333" spans="1:11" x14ac:dyDescent="0.45">
      <c r="A333" t="s">
        <v>90</v>
      </c>
      <c r="B333" t="s">
        <v>6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2090</v>
      </c>
      <c r="J333">
        <v>0.15594999999999998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2095</v>
      </c>
      <c r="J334">
        <v>0.16970000000000002</v>
      </c>
      <c r="K334" t="s">
        <v>28</v>
      </c>
    </row>
    <row r="335" spans="1:11" x14ac:dyDescent="0.45">
      <c r="A335" t="s">
        <v>90</v>
      </c>
      <c r="B335" t="s">
        <v>6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2100</v>
      </c>
      <c r="J335">
        <v>0.18279999999999999</v>
      </c>
      <c r="K335" t="s">
        <v>28</v>
      </c>
    </row>
    <row r="336" spans="1:11" x14ac:dyDescent="0.45">
      <c r="A336" t="s">
        <v>90</v>
      </c>
      <c r="B336" t="s">
        <v>5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2020</v>
      </c>
      <c r="J336">
        <v>1.6750000000000001E-2</v>
      </c>
      <c r="K336" t="s">
        <v>28</v>
      </c>
    </row>
    <row r="337" spans="1:11" x14ac:dyDescent="0.45">
      <c r="A337" t="s">
        <v>90</v>
      </c>
      <c r="B337" t="s">
        <v>5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2025</v>
      </c>
      <c r="J337">
        <v>2.155E-2</v>
      </c>
      <c r="K337" t="s">
        <v>28</v>
      </c>
    </row>
    <row r="338" spans="1:11" x14ac:dyDescent="0.45">
      <c r="A338" t="s">
        <v>90</v>
      </c>
      <c r="B338" t="s">
        <v>5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2030</v>
      </c>
      <c r="J338">
        <v>2.325E-2</v>
      </c>
      <c r="K338" t="s">
        <v>28</v>
      </c>
    </row>
    <row r="339" spans="1:11" x14ac:dyDescent="0.45">
      <c r="A339" t="s">
        <v>90</v>
      </c>
      <c r="B339" t="s">
        <v>5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2035</v>
      </c>
      <c r="J339">
        <v>2.6450000000000001E-2</v>
      </c>
      <c r="K339" t="s">
        <v>28</v>
      </c>
    </row>
    <row r="340" spans="1:11" x14ac:dyDescent="0.45">
      <c r="A340" t="s">
        <v>90</v>
      </c>
      <c r="B340" t="s">
        <v>5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2040</v>
      </c>
      <c r="J340">
        <v>2.555E-2</v>
      </c>
      <c r="K340" t="s">
        <v>28</v>
      </c>
    </row>
    <row r="341" spans="1:11" x14ac:dyDescent="0.45">
      <c r="A341" t="s">
        <v>90</v>
      </c>
      <c r="B341" t="s">
        <v>5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2045</v>
      </c>
      <c r="J341">
        <v>3.4500000000000003E-2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2050</v>
      </c>
      <c r="J342">
        <v>4.6249999999999999E-2</v>
      </c>
      <c r="K342" t="s">
        <v>28</v>
      </c>
    </row>
    <row r="343" spans="1:11" x14ac:dyDescent="0.45">
      <c r="A343" t="s">
        <v>90</v>
      </c>
      <c r="B343" t="s">
        <v>5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2055</v>
      </c>
      <c r="J343">
        <v>6.1649999999999996E-2</v>
      </c>
      <c r="K343" t="s">
        <v>28</v>
      </c>
    </row>
    <row r="344" spans="1:11" x14ac:dyDescent="0.45">
      <c r="A344" t="s">
        <v>90</v>
      </c>
      <c r="B344" t="s">
        <v>5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2060</v>
      </c>
      <c r="J344">
        <v>7.7350000000000002E-2</v>
      </c>
      <c r="K344" t="s">
        <v>28</v>
      </c>
    </row>
    <row r="345" spans="1:11" x14ac:dyDescent="0.45">
      <c r="A345" t="s">
        <v>90</v>
      </c>
      <c r="B345" t="s">
        <v>5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2065</v>
      </c>
      <c r="J345">
        <v>9.35E-2</v>
      </c>
      <c r="K345" t="s">
        <v>28</v>
      </c>
    </row>
    <row r="346" spans="1:11" x14ac:dyDescent="0.45">
      <c r="A346" t="s">
        <v>90</v>
      </c>
      <c r="B346" t="s">
        <v>5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2070</v>
      </c>
      <c r="J346">
        <v>0.10795</v>
      </c>
      <c r="K346" t="s">
        <v>28</v>
      </c>
    </row>
    <row r="347" spans="1:11" x14ac:dyDescent="0.45">
      <c r="A347" t="s">
        <v>90</v>
      </c>
      <c r="B347" t="s">
        <v>5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0.12764999999999999</v>
      </c>
      <c r="K347" t="s">
        <v>28</v>
      </c>
    </row>
    <row r="348" spans="1:11" x14ac:dyDescent="0.45">
      <c r="A348" t="s">
        <v>90</v>
      </c>
      <c r="B348" t="s">
        <v>5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2080</v>
      </c>
      <c r="J348">
        <v>0.1447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2085</v>
      </c>
      <c r="J349">
        <v>0.16385</v>
      </c>
      <c r="K349" t="s">
        <v>28</v>
      </c>
    </row>
    <row r="350" spans="1:11" x14ac:dyDescent="0.45">
      <c r="A350" t="s">
        <v>90</v>
      </c>
      <c r="B350" t="s">
        <v>5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2090</v>
      </c>
      <c r="J350">
        <v>0.18104999999999999</v>
      </c>
      <c r="K350" t="s">
        <v>28</v>
      </c>
    </row>
    <row r="351" spans="1:11" x14ac:dyDescent="0.45">
      <c r="A351" t="s">
        <v>90</v>
      </c>
      <c r="B351" t="s">
        <v>5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2095</v>
      </c>
      <c r="J351">
        <v>0.19195000000000001</v>
      </c>
      <c r="K351" t="s">
        <v>28</v>
      </c>
    </row>
    <row r="352" spans="1:11" x14ac:dyDescent="0.45">
      <c r="A352" t="s">
        <v>90</v>
      </c>
      <c r="B352" t="s">
        <v>5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2100</v>
      </c>
      <c r="J352">
        <v>0.20200000000000001</v>
      </c>
      <c r="K352" t="s">
        <v>28</v>
      </c>
    </row>
    <row r="353" spans="1:11" x14ac:dyDescent="0.45">
      <c r="A353" t="s">
        <v>90</v>
      </c>
      <c r="B353" t="s">
        <v>2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2020</v>
      </c>
      <c r="J353">
        <v>1.6899999999999998E-2</v>
      </c>
      <c r="K353" t="s">
        <v>28</v>
      </c>
    </row>
    <row r="354" spans="1:11" x14ac:dyDescent="0.45">
      <c r="A354" t="s">
        <v>90</v>
      </c>
      <c r="B354" t="s">
        <v>2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2025</v>
      </c>
      <c r="J354">
        <v>2.01E-2</v>
      </c>
      <c r="K354" t="s">
        <v>28</v>
      </c>
    </row>
    <row r="355" spans="1:11" x14ac:dyDescent="0.45">
      <c r="A355" t="s">
        <v>90</v>
      </c>
      <c r="B355" t="s">
        <v>2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2.12E-2</v>
      </c>
      <c r="K355" t="s">
        <v>28</v>
      </c>
    </row>
    <row r="356" spans="1:11" x14ac:dyDescent="0.45">
      <c r="A356" t="s">
        <v>90</v>
      </c>
      <c r="B356" t="s">
        <v>2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2035</v>
      </c>
      <c r="J356">
        <v>2.3400000000000001E-2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2.5050000000000003E-2</v>
      </c>
      <c r="K357" t="s">
        <v>28</v>
      </c>
    </row>
    <row r="358" spans="1:11" x14ac:dyDescent="0.45">
      <c r="A358" t="s">
        <v>90</v>
      </c>
      <c r="B358" t="s">
        <v>2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2045</v>
      </c>
      <c r="J358">
        <v>3.2149999999999998E-2</v>
      </c>
      <c r="K358" t="s">
        <v>28</v>
      </c>
    </row>
    <row r="359" spans="1:11" x14ac:dyDescent="0.45">
      <c r="A359" t="s">
        <v>90</v>
      </c>
      <c r="B359" t="s">
        <v>2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2050</v>
      </c>
      <c r="J359">
        <v>3.7000000000000005E-2</v>
      </c>
      <c r="K359" t="s">
        <v>28</v>
      </c>
    </row>
    <row r="360" spans="1:11" x14ac:dyDescent="0.45">
      <c r="A360" t="s">
        <v>90</v>
      </c>
      <c r="B360" t="s">
        <v>2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2055</v>
      </c>
      <c r="J360">
        <v>4.2900000000000001E-2</v>
      </c>
      <c r="K360" t="s">
        <v>28</v>
      </c>
    </row>
    <row r="361" spans="1:11" x14ac:dyDescent="0.45">
      <c r="A361" t="s">
        <v>90</v>
      </c>
      <c r="B361" t="s">
        <v>2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2060</v>
      </c>
      <c r="J361">
        <v>4.8649999999999999E-2</v>
      </c>
      <c r="K361" t="s">
        <v>28</v>
      </c>
    </row>
    <row r="362" spans="1:11" x14ac:dyDescent="0.45">
      <c r="A362" t="s">
        <v>90</v>
      </c>
      <c r="B362" t="s">
        <v>2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2065</v>
      </c>
      <c r="J362">
        <v>5.9749999999999998E-2</v>
      </c>
      <c r="K362" t="s">
        <v>28</v>
      </c>
    </row>
    <row r="363" spans="1:11" x14ac:dyDescent="0.45">
      <c r="A363" t="s">
        <v>90</v>
      </c>
      <c r="B363" t="s">
        <v>2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2070</v>
      </c>
      <c r="J363">
        <v>7.1199999999999999E-2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2075</v>
      </c>
      <c r="J364">
        <v>9.1850000000000001E-2</v>
      </c>
      <c r="K364" t="s">
        <v>28</v>
      </c>
    </row>
    <row r="365" spans="1:11" x14ac:dyDescent="0.45">
      <c r="A365" t="s">
        <v>90</v>
      </c>
      <c r="B365" t="s">
        <v>2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2080</v>
      </c>
      <c r="J365">
        <v>0.11094999999999999</v>
      </c>
      <c r="K365" t="s">
        <v>28</v>
      </c>
    </row>
    <row r="366" spans="1:11" x14ac:dyDescent="0.45">
      <c r="A366" t="s">
        <v>90</v>
      </c>
      <c r="B366" t="s">
        <v>2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2085</v>
      </c>
      <c r="J366">
        <v>0.13169999999999998</v>
      </c>
      <c r="K366" t="s">
        <v>28</v>
      </c>
    </row>
    <row r="367" spans="1:11" x14ac:dyDescent="0.45">
      <c r="A367" t="s">
        <v>90</v>
      </c>
      <c r="B367" t="s">
        <v>2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0.15165000000000001</v>
      </c>
      <c r="K367" t="s">
        <v>28</v>
      </c>
    </row>
    <row r="368" spans="1:11" x14ac:dyDescent="0.45">
      <c r="A368" t="s">
        <v>90</v>
      </c>
      <c r="B368" t="s">
        <v>2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2095</v>
      </c>
      <c r="J368">
        <v>0.1641</v>
      </c>
      <c r="K368" t="s">
        <v>28</v>
      </c>
    </row>
    <row r="369" spans="1:11" x14ac:dyDescent="0.45">
      <c r="A369" t="s">
        <v>90</v>
      </c>
      <c r="B369" t="s">
        <v>2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2100</v>
      </c>
      <c r="J369">
        <v>0.17675000000000002</v>
      </c>
      <c r="K369" t="s">
        <v>28</v>
      </c>
    </row>
    <row r="370" spans="1:11" x14ac:dyDescent="0.45">
      <c r="A370" t="s">
        <v>90</v>
      </c>
      <c r="B370" t="s">
        <v>1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2020</v>
      </c>
      <c r="J370">
        <v>1.6449999999999999E-2</v>
      </c>
      <c r="K370" t="s">
        <v>28</v>
      </c>
    </row>
    <row r="371" spans="1:11" x14ac:dyDescent="0.45">
      <c r="A371" t="s">
        <v>90</v>
      </c>
      <c r="B371" t="s">
        <v>1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2025</v>
      </c>
      <c r="J371">
        <v>1.9699999999999999E-2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2030</v>
      </c>
      <c r="J372">
        <v>1.9799999999999998E-2</v>
      </c>
      <c r="K372" t="s">
        <v>28</v>
      </c>
    </row>
    <row r="373" spans="1:11" x14ac:dyDescent="0.45">
      <c r="A373" t="s">
        <v>90</v>
      </c>
      <c r="B373" t="s">
        <v>1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2035</v>
      </c>
      <c r="J373">
        <v>2.1600000000000001E-2</v>
      </c>
      <c r="K373" t="s">
        <v>28</v>
      </c>
    </row>
    <row r="374" spans="1:11" x14ac:dyDescent="0.45">
      <c r="A374" t="s">
        <v>90</v>
      </c>
      <c r="B374" t="s">
        <v>1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2040</v>
      </c>
      <c r="J374">
        <v>2.1049999999999999E-2</v>
      </c>
      <c r="K374" t="s">
        <v>28</v>
      </c>
    </row>
    <row r="375" spans="1:11" x14ac:dyDescent="0.45">
      <c r="A375" t="s">
        <v>90</v>
      </c>
      <c r="B375" t="s">
        <v>1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2045</v>
      </c>
      <c r="J375">
        <v>2.87E-2</v>
      </c>
      <c r="K375" t="s">
        <v>28</v>
      </c>
    </row>
    <row r="376" spans="1:11" x14ac:dyDescent="0.45">
      <c r="A376" t="s">
        <v>90</v>
      </c>
      <c r="B376" t="s">
        <v>1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2050</v>
      </c>
      <c r="J376">
        <v>3.8850000000000003E-2</v>
      </c>
      <c r="K376" t="s">
        <v>28</v>
      </c>
    </row>
    <row r="377" spans="1:11" x14ac:dyDescent="0.45">
      <c r="A377" t="s">
        <v>90</v>
      </c>
      <c r="B377" t="s">
        <v>1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2055</v>
      </c>
      <c r="J377">
        <v>4.8299999999999996E-2</v>
      </c>
      <c r="K377" t="s">
        <v>28</v>
      </c>
    </row>
    <row r="378" spans="1:11" x14ac:dyDescent="0.45">
      <c r="A378" t="s">
        <v>90</v>
      </c>
      <c r="B378" t="s">
        <v>1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2060</v>
      </c>
      <c r="J378">
        <v>5.8700000000000002E-2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2065</v>
      </c>
      <c r="J379">
        <v>7.3649999999999993E-2</v>
      </c>
      <c r="K379" t="s">
        <v>28</v>
      </c>
    </row>
    <row r="380" spans="1:11" x14ac:dyDescent="0.45">
      <c r="A380" t="s">
        <v>90</v>
      </c>
      <c r="B380" t="s">
        <v>1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2070</v>
      </c>
      <c r="J380">
        <v>8.695E-2</v>
      </c>
      <c r="K380" t="s">
        <v>28</v>
      </c>
    </row>
    <row r="381" spans="1:11" x14ac:dyDescent="0.45">
      <c r="A381" t="s">
        <v>90</v>
      </c>
      <c r="B381" t="s">
        <v>1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2075</v>
      </c>
      <c r="J381">
        <v>0.11125</v>
      </c>
      <c r="K381" t="s">
        <v>28</v>
      </c>
    </row>
    <row r="382" spans="1:11" x14ac:dyDescent="0.45">
      <c r="A382" t="s">
        <v>90</v>
      </c>
      <c r="B382" t="s">
        <v>1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2080</v>
      </c>
      <c r="J382">
        <v>0.13275000000000001</v>
      </c>
      <c r="K382" t="s">
        <v>28</v>
      </c>
    </row>
    <row r="383" spans="1:11" x14ac:dyDescent="0.45">
      <c r="A383" t="s">
        <v>90</v>
      </c>
      <c r="B383" t="s">
        <v>1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2085</v>
      </c>
      <c r="J383">
        <v>0.15665000000000001</v>
      </c>
      <c r="K383" t="s">
        <v>28</v>
      </c>
    </row>
    <row r="384" spans="1:11" x14ac:dyDescent="0.45">
      <c r="A384" t="s">
        <v>90</v>
      </c>
      <c r="B384" t="s">
        <v>1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2090</v>
      </c>
      <c r="J384">
        <v>0.17854999999999999</v>
      </c>
      <c r="K384" t="s">
        <v>28</v>
      </c>
    </row>
    <row r="385" spans="1:11" x14ac:dyDescent="0.45">
      <c r="A385" t="s">
        <v>90</v>
      </c>
      <c r="B385" t="s">
        <v>1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2095</v>
      </c>
      <c r="J385">
        <v>0.191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0.20315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0</v>
      </c>
      <c r="K387" t="s">
        <v>27</v>
      </c>
    </row>
    <row r="388" spans="1:11" x14ac:dyDescent="0.45">
      <c r="A388" t="s">
        <v>90</v>
      </c>
      <c r="B388" t="s">
        <v>3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2025</v>
      </c>
      <c r="J388">
        <v>0</v>
      </c>
      <c r="K388" t="s">
        <v>27</v>
      </c>
    </row>
    <row r="389" spans="1:11" x14ac:dyDescent="0.45">
      <c r="A389" t="s">
        <v>90</v>
      </c>
      <c r="B389" t="s">
        <v>3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3.5E-4</v>
      </c>
      <c r="K389" t="s">
        <v>27</v>
      </c>
    </row>
    <row r="390" spans="1:11" x14ac:dyDescent="0.45">
      <c r="A390" t="s">
        <v>90</v>
      </c>
      <c r="B390" t="s">
        <v>3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2035</v>
      </c>
      <c r="J390">
        <v>1.2499999999999998E-3</v>
      </c>
      <c r="K390" t="s">
        <v>27</v>
      </c>
    </row>
    <row r="391" spans="1:11" x14ac:dyDescent="0.45">
      <c r="A391" t="s">
        <v>90</v>
      </c>
      <c r="B391" t="s">
        <v>3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2040</v>
      </c>
      <c r="J391">
        <v>3.8999999999999998E-3</v>
      </c>
      <c r="K391" t="s">
        <v>27</v>
      </c>
    </row>
    <row r="392" spans="1:11" x14ac:dyDescent="0.45">
      <c r="A392" t="s">
        <v>90</v>
      </c>
      <c r="B392" t="s">
        <v>3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2045</v>
      </c>
      <c r="J392">
        <v>7.3000000000000001E-3</v>
      </c>
      <c r="K392" t="s">
        <v>27</v>
      </c>
    </row>
    <row r="393" spans="1:11" x14ac:dyDescent="0.45">
      <c r="A393" t="s">
        <v>90</v>
      </c>
      <c r="B393" t="s">
        <v>3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2050</v>
      </c>
      <c r="J393">
        <v>1.17E-2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2055</v>
      </c>
      <c r="J394">
        <v>1.77E-2</v>
      </c>
      <c r="K394" t="s">
        <v>27</v>
      </c>
    </row>
    <row r="395" spans="1:11" x14ac:dyDescent="0.45">
      <c r="A395" t="s">
        <v>90</v>
      </c>
      <c r="B395" t="s">
        <v>3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2060</v>
      </c>
      <c r="J395">
        <v>2.445E-2</v>
      </c>
      <c r="K395" t="s">
        <v>27</v>
      </c>
    </row>
    <row r="396" spans="1:11" x14ac:dyDescent="0.45">
      <c r="A396" t="s">
        <v>90</v>
      </c>
      <c r="B396" t="s">
        <v>3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2065</v>
      </c>
      <c r="J396">
        <v>2.835E-2</v>
      </c>
      <c r="K396" t="s">
        <v>27</v>
      </c>
    </row>
    <row r="397" spans="1:11" x14ac:dyDescent="0.45">
      <c r="A397" t="s">
        <v>90</v>
      </c>
      <c r="B397" t="s">
        <v>3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2070</v>
      </c>
      <c r="J397">
        <v>3.2850000000000004E-2</v>
      </c>
      <c r="K397" t="s">
        <v>27</v>
      </c>
    </row>
    <row r="398" spans="1:11" x14ac:dyDescent="0.45">
      <c r="A398" t="s">
        <v>90</v>
      </c>
      <c r="B398" t="s">
        <v>3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2075</v>
      </c>
      <c r="J398">
        <v>3.6400000000000002E-2</v>
      </c>
      <c r="K398" t="s">
        <v>27</v>
      </c>
    </row>
    <row r="399" spans="1:11" x14ac:dyDescent="0.45">
      <c r="A399" t="s">
        <v>90</v>
      </c>
      <c r="B399" t="s">
        <v>3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2080</v>
      </c>
      <c r="J399">
        <v>4.0349999999999997E-2</v>
      </c>
      <c r="K399" t="s">
        <v>27</v>
      </c>
    </row>
    <row r="400" spans="1:11" x14ac:dyDescent="0.45">
      <c r="A400" t="s">
        <v>90</v>
      </c>
      <c r="B400" t="s">
        <v>3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2085</v>
      </c>
      <c r="J400">
        <v>4.4249999999999998E-2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2090</v>
      </c>
      <c r="J401">
        <v>4.8299999999999996E-2</v>
      </c>
      <c r="K401" t="s">
        <v>27</v>
      </c>
    </row>
    <row r="402" spans="1:11" x14ac:dyDescent="0.45">
      <c r="A402" t="s">
        <v>90</v>
      </c>
      <c r="B402" t="s">
        <v>3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2095</v>
      </c>
      <c r="J402">
        <v>5.1650000000000001E-2</v>
      </c>
      <c r="K402" t="s">
        <v>27</v>
      </c>
    </row>
    <row r="403" spans="1:11" x14ac:dyDescent="0.45">
      <c r="A403" t="s">
        <v>90</v>
      </c>
      <c r="B403" t="s">
        <v>3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2100</v>
      </c>
      <c r="J403">
        <v>5.4949999999999999E-2</v>
      </c>
      <c r="K403" t="s">
        <v>27</v>
      </c>
    </row>
    <row r="404" spans="1:11" x14ac:dyDescent="0.45">
      <c r="A404" t="s">
        <v>90</v>
      </c>
      <c r="B404" t="s">
        <v>4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2020</v>
      </c>
      <c r="J404">
        <v>0</v>
      </c>
      <c r="K404" t="s">
        <v>27</v>
      </c>
    </row>
    <row r="405" spans="1:11" x14ac:dyDescent="0.45">
      <c r="A405" t="s">
        <v>90</v>
      </c>
      <c r="B405" t="s">
        <v>4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2025</v>
      </c>
      <c r="J405">
        <v>0</v>
      </c>
      <c r="K405" t="s">
        <v>27</v>
      </c>
    </row>
    <row r="406" spans="1:11" x14ac:dyDescent="0.45">
      <c r="A406" t="s">
        <v>90</v>
      </c>
      <c r="B406" t="s">
        <v>4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3.5E-4</v>
      </c>
      <c r="K406" t="s">
        <v>27</v>
      </c>
    </row>
    <row r="407" spans="1:11" x14ac:dyDescent="0.45">
      <c r="A407" t="s">
        <v>90</v>
      </c>
      <c r="B407" t="s">
        <v>4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2035</v>
      </c>
      <c r="J407">
        <v>1.0999999999999998E-3</v>
      </c>
      <c r="K407" t="s">
        <v>27</v>
      </c>
    </row>
    <row r="408" spans="1:11" x14ac:dyDescent="0.45">
      <c r="A408" t="s">
        <v>90</v>
      </c>
      <c r="B408" t="s">
        <v>4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2040</v>
      </c>
      <c r="J408">
        <v>2.5000000000000001E-3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4.0499999999999998E-3</v>
      </c>
      <c r="K409" t="s">
        <v>27</v>
      </c>
    </row>
    <row r="410" spans="1:11" x14ac:dyDescent="0.45">
      <c r="A410" t="s">
        <v>90</v>
      </c>
      <c r="B410" t="s">
        <v>4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2050</v>
      </c>
      <c r="J410">
        <v>6.7499999999999999E-3</v>
      </c>
      <c r="K410" t="s">
        <v>27</v>
      </c>
    </row>
    <row r="411" spans="1:11" x14ac:dyDescent="0.45">
      <c r="A411" t="s">
        <v>90</v>
      </c>
      <c r="B411" t="s">
        <v>4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2055</v>
      </c>
      <c r="J411">
        <v>1.0999999999999999E-2</v>
      </c>
      <c r="K411" t="s">
        <v>27</v>
      </c>
    </row>
    <row r="412" spans="1:11" x14ac:dyDescent="0.45">
      <c r="A412" t="s">
        <v>90</v>
      </c>
      <c r="B412" t="s">
        <v>4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2060</v>
      </c>
      <c r="J412">
        <v>1.5800000000000002E-2</v>
      </c>
      <c r="K412" t="s">
        <v>27</v>
      </c>
    </row>
    <row r="413" spans="1:11" x14ac:dyDescent="0.45">
      <c r="A413" t="s">
        <v>90</v>
      </c>
      <c r="B413" t="s">
        <v>4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2065</v>
      </c>
      <c r="J413">
        <v>1.9050000000000001E-2</v>
      </c>
      <c r="K413" t="s">
        <v>27</v>
      </c>
    </row>
    <row r="414" spans="1:11" x14ac:dyDescent="0.45">
      <c r="A414" t="s">
        <v>90</v>
      </c>
      <c r="B414" t="s">
        <v>4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2070</v>
      </c>
      <c r="J414">
        <v>2.2350000000000002E-2</v>
      </c>
      <c r="K414" t="s">
        <v>27</v>
      </c>
    </row>
    <row r="415" spans="1:11" x14ac:dyDescent="0.45">
      <c r="A415" t="s">
        <v>90</v>
      </c>
      <c r="B415" t="s">
        <v>4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2075</v>
      </c>
      <c r="J415">
        <v>2.5500000000000002E-2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2080</v>
      </c>
      <c r="J416">
        <v>2.8999999999999998E-2</v>
      </c>
      <c r="K416" t="s">
        <v>27</v>
      </c>
    </row>
    <row r="417" spans="1:11" x14ac:dyDescent="0.45">
      <c r="A417" t="s">
        <v>90</v>
      </c>
      <c r="B417" t="s">
        <v>4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2085</v>
      </c>
      <c r="J417">
        <v>3.2250000000000001E-2</v>
      </c>
      <c r="K417" t="s">
        <v>27</v>
      </c>
    </row>
    <row r="418" spans="1:11" x14ac:dyDescent="0.45">
      <c r="A418" t="s">
        <v>90</v>
      </c>
      <c r="B418" t="s">
        <v>4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2090</v>
      </c>
      <c r="J418">
        <v>3.5549999999999998E-2</v>
      </c>
      <c r="K418" t="s">
        <v>27</v>
      </c>
    </row>
    <row r="419" spans="1:11" x14ac:dyDescent="0.45">
      <c r="A419" t="s">
        <v>90</v>
      </c>
      <c r="B419" t="s">
        <v>4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2095</v>
      </c>
      <c r="J419">
        <v>3.8199999999999998E-2</v>
      </c>
      <c r="K419" t="s">
        <v>27</v>
      </c>
    </row>
    <row r="420" spans="1:11" x14ac:dyDescent="0.45">
      <c r="A420" t="s">
        <v>90</v>
      </c>
      <c r="B420" t="s">
        <v>4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2100</v>
      </c>
      <c r="J420">
        <v>4.0349999999999997E-2</v>
      </c>
      <c r="K420" t="s">
        <v>27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0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3.5E-4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1.2499999999999998E-3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3.1999999999999997E-3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5.5999999999999999E-3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9.8999999999999991E-3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1.44E-2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2.0450000000000003E-2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2.4299999999999999E-2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2.81E-2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3.1800000000000002E-2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3.5650000000000001E-2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3.9600000000000003E-2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4.3749999999999997E-2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4.7450000000000006E-2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5.0950000000000002E-2</v>
      </c>
      <c r="K437" t="s">
        <v>27</v>
      </c>
    </row>
    <row r="438" spans="1:11" x14ac:dyDescent="0.45">
      <c r="A438" t="s">
        <v>90</v>
      </c>
      <c r="B438" t="s">
        <v>6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0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</v>
      </c>
      <c r="K439" t="s">
        <v>27</v>
      </c>
    </row>
    <row r="440" spans="1:11" x14ac:dyDescent="0.45">
      <c r="A440" t="s">
        <v>90</v>
      </c>
      <c r="B440" t="s">
        <v>6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4.0000000000000002E-4</v>
      </c>
      <c r="K440" t="s">
        <v>27</v>
      </c>
    </row>
    <row r="441" spans="1:11" x14ac:dyDescent="0.45">
      <c r="A441" t="s">
        <v>90</v>
      </c>
      <c r="B441" t="s">
        <v>6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1.2499999999999998E-3</v>
      </c>
      <c r="K441" t="s">
        <v>27</v>
      </c>
    </row>
    <row r="442" spans="1:11" x14ac:dyDescent="0.45">
      <c r="A442" t="s">
        <v>90</v>
      </c>
      <c r="B442" t="s">
        <v>6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2.8500000000000001E-3</v>
      </c>
      <c r="K442" t="s">
        <v>27</v>
      </c>
    </row>
    <row r="443" spans="1:11" x14ac:dyDescent="0.45">
      <c r="A443" t="s">
        <v>90</v>
      </c>
      <c r="B443" t="s">
        <v>6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4.8999999999999998E-3</v>
      </c>
      <c r="K443" t="s">
        <v>27</v>
      </c>
    </row>
    <row r="444" spans="1:11" x14ac:dyDescent="0.45">
      <c r="A444" t="s">
        <v>90</v>
      </c>
      <c r="B444" t="s">
        <v>6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7.9000000000000008E-3</v>
      </c>
      <c r="K444" t="s">
        <v>27</v>
      </c>
    </row>
    <row r="445" spans="1:11" x14ac:dyDescent="0.45">
      <c r="A445" t="s">
        <v>90</v>
      </c>
      <c r="B445" t="s">
        <v>6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1.3850000000000001E-2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1.9450000000000002E-2</v>
      </c>
      <c r="K446" t="s">
        <v>27</v>
      </c>
    </row>
    <row r="447" spans="1:11" x14ac:dyDescent="0.45">
      <c r="A447" t="s">
        <v>90</v>
      </c>
      <c r="B447" t="s">
        <v>6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2.2749999999999999E-2</v>
      </c>
      <c r="K447" t="s">
        <v>27</v>
      </c>
    </row>
    <row r="448" spans="1:11" x14ac:dyDescent="0.45">
      <c r="A448" t="s">
        <v>90</v>
      </c>
      <c r="B448" t="s">
        <v>6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2.6250000000000002E-2</v>
      </c>
      <c r="K448" t="s">
        <v>27</v>
      </c>
    </row>
    <row r="449" spans="1:11" x14ac:dyDescent="0.45">
      <c r="A449" t="s">
        <v>90</v>
      </c>
      <c r="B449" t="s">
        <v>6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2.9699999999999997E-2</v>
      </c>
      <c r="K449" t="s">
        <v>27</v>
      </c>
    </row>
    <row r="450" spans="1:11" x14ac:dyDescent="0.45">
      <c r="A450" t="s">
        <v>90</v>
      </c>
      <c r="B450" t="s">
        <v>6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3.3399999999999999E-2</v>
      </c>
      <c r="K450" t="s">
        <v>27</v>
      </c>
    </row>
    <row r="451" spans="1:11" x14ac:dyDescent="0.45">
      <c r="A451" t="s">
        <v>90</v>
      </c>
      <c r="B451" t="s">
        <v>6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3.705E-2</v>
      </c>
      <c r="K451" t="s">
        <v>27</v>
      </c>
    </row>
    <row r="452" spans="1:11" x14ac:dyDescent="0.45">
      <c r="A452" t="s">
        <v>90</v>
      </c>
      <c r="B452" t="s">
        <v>6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4.0849999999999997E-2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4.4149999999999995E-2</v>
      </c>
      <c r="K453" t="s">
        <v>27</v>
      </c>
    </row>
    <row r="454" spans="1:11" x14ac:dyDescent="0.45">
      <c r="A454" t="s">
        <v>90</v>
      </c>
      <c r="B454" t="s">
        <v>6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4.7050000000000002E-2</v>
      </c>
      <c r="K454" t="s">
        <v>27</v>
      </c>
    </row>
    <row r="455" spans="1:11" x14ac:dyDescent="0.45">
      <c r="A455" t="s">
        <v>90</v>
      </c>
      <c r="B455" t="s">
        <v>5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2020</v>
      </c>
      <c r="J455">
        <v>0</v>
      </c>
      <c r="K455" t="s">
        <v>27</v>
      </c>
    </row>
    <row r="456" spans="1:11" x14ac:dyDescent="0.45">
      <c r="A456" t="s">
        <v>90</v>
      </c>
      <c r="B456" t="s">
        <v>5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2025</v>
      </c>
      <c r="J456">
        <v>1E-4</v>
      </c>
      <c r="K456" t="s">
        <v>27</v>
      </c>
    </row>
    <row r="457" spans="1:11" x14ac:dyDescent="0.45">
      <c r="A457" t="s">
        <v>90</v>
      </c>
      <c r="B457" t="s">
        <v>5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2030</v>
      </c>
      <c r="J457">
        <v>5.0000000000000001E-4</v>
      </c>
      <c r="K457" t="s">
        <v>27</v>
      </c>
    </row>
    <row r="458" spans="1:11" x14ac:dyDescent="0.45">
      <c r="A458" t="s">
        <v>90</v>
      </c>
      <c r="B458" t="s">
        <v>5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8.9999999999999998E-4</v>
      </c>
      <c r="K458" t="s">
        <v>27</v>
      </c>
    </row>
    <row r="459" spans="1:11" x14ac:dyDescent="0.45">
      <c r="A459" t="s">
        <v>90</v>
      </c>
      <c r="B459" t="s">
        <v>5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2040</v>
      </c>
      <c r="J459">
        <v>2.8999999999999998E-3</v>
      </c>
      <c r="K459" t="s">
        <v>27</v>
      </c>
    </row>
    <row r="460" spans="1:11" x14ac:dyDescent="0.45">
      <c r="A460" t="s">
        <v>90</v>
      </c>
      <c r="B460" t="s">
        <v>5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2045</v>
      </c>
      <c r="J460">
        <v>6.45E-3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1.1650000000000001E-2</v>
      </c>
      <c r="K461" t="s">
        <v>27</v>
      </c>
    </row>
    <row r="462" spans="1:11" x14ac:dyDescent="0.45">
      <c r="A462" t="s">
        <v>90</v>
      </c>
      <c r="B462" t="s">
        <v>5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2055</v>
      </c>
      <c r="J462">
        <v>2.3350000000000003E-2</v>
      </c>
      <c r="K462" t="s">
        <v>27</v>
      </c>
    </row>
    <row r="463" spans="1:11" x14ac:dyDescent="0.45">
      <c r="A463" t="s">
        <v>90</v>
      </c>
      <c r="B463" t="s">
        <v>5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2060</v>
      </c>
      <c r="J463">
        <v>3.8699999999999998E-2</v>
      </c>
      <c r="K463" t="s">
        <v>27</v>
      </c>
    </row>
    <row r="464" spans="1:11" x14ac:dyDescent="0.45">
      <c r="A464" t="s">
        <v>90</v>
      </c>
      <c r="B464" t="s">
        <v>5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2065</v>
      </c>
      <c r="J464">
        <v>4.5850000000000002E-2</v>
      </c>
      <c r="K464" t="s">
        <v>27</v>
      </c>
    </row>
    <row r="465" spans="1:11" x14ac:dyDescent="0.45">
      <c r="A465" t="s">
        <v>90</v>
      </c>
      <c r="B465" t="s">
        <v>5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2070</v>
      </c>
      <c r="J465">
        <v>5.2850000000000001E-2</v>
      </c>
      <c r="K465" t="s">
        <v>27</v>
      </c>
    </row>
    <row r="466" spans="1:11" x14ac:dyDescent="0.45">
      <c r="A466" t="s">
        <v>90</v>
      </c>
      <c r="B466" t="s">
        <v>5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5.4250000000000007E-2</v>
      </c>
      <c r="K466" t="s">
        <v>27</v>
      </c>
    </row>
    <row r="467" spans="1:11" x14ac:dyDescent="0.45">
      <c r="A467" t="s">
        <v>90</v>
      </c>
      <c r="B467" t="s">
        <v>5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2080</v>
      </c>
      <c r="J467">
        <v>5.5800000000000002E-2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2085</v>
      </c>
      <c r="J468">
        <v>5.7099999999999998E-2</v>
      </c>
      <c r="K468" t="s">
        <v>27</v>
      </c>
    </row>
    <row r="469" spans="1:11" x14ac:dyDescent="0.45">
      <c r="A469" t="s">
        <v>90</v>
      </c>
      <c r="B469" t="s">
        <v>5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2090</v>
      </c>
      <c r="J469">
        <v>5.9249999999999997E-2</v>
      </c>
      <c r="K469" t="s">
        <v>27</v>
      </c>
    </row>
    <row r="470" spans="1:11" x14ac:dyDescent="0.45">
      <c r="A470" t="s">
        <v>90</v>
      </c>
      <c r="B470" t="s">
        <v>5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2095</v>
      </c>
      <c r="J470">
        <v>6.0999999999999999E-2</v>
      </c>
      <c r="K470" t="s">
        <v>27</v>
      </c>
    </row>
    <row r="471" spans="1:11" x14ac:dyDescent="0.45">
      <c r="A471" t="s">
        <v>90</v>
      </c>
      <c r="B471" t="s">
        <v>5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2100</v>
      </c>
      <c r="J471">
        <v>6.2600000000000003E-2</v>
      </c>
      <c r="K471" t="s">
        <v>27</v>
      </c>
    </row>
    <row r="472" spans="1:11" x14ac:dyDescent="0.45">
      <c r="A472" t="s">
        <v>90</v>
      </c>
      <c r="B472" t="s">
        <v>2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2020</v>
      </c>
      <c r="J472">
        <v>0</v>
      </c>
      <c r="K472" t="s">
        <v>27</v>
      </c>
    </row>
    <row r="473" spans="1:11" x14ac:dyDescent="0.45">
      <c r="A473" t="s">
        <v>90</v>
      </c>
      <c r="B473" t="s">
        <v>2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2025</v>
      </c>
      <c r="J473">
        <v>0</v>
      </c>
      <c r="K473" t="s">
        <v>27</v>
      </c>
    </row>
    <row r="474" spans="1:11" x14ac:dyDescent="0.45">
      <c r="A474" t="s">
        <v>90</v>
      </c>
      <c r="B474" t="s">
        <v>2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2030</v>
      </c>
      <c r="J474">
        <v>4.0000000000000002E-4</v>
      </c>
      <c r="K474" t="s">
        <v>27</v>
      </c>
    </row>
    <row r="475" spans="1:11" x14ac:dyDescent="0.45">
      <c r="A475" t="s">
        <v>90</v>
      </c>
      <c r="B475" t="s">
        <v>2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2035</v>
      </c>
      <c r="J475">
        <v>1.4E-3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2040</v>
      </c>
      <c r="J476">
        <v>3.3E-3</v>
      </c>
      <c r="K476" t="s">
        <v>27</v>
      </c>
    </row>
    <row r="477" spans="1:11" x14ac:dyDescent="0.45">
      <c r="A477" t="s">
        <v>90</v>
      </c>
      <c r="B477" t="s">
        <v>2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2045</v>
      </c>
      <c r="J477">
        <v>5.5999999999999999E-3</v>
      </c>
      <c r="K477" t="s">
        <v>27</v>
      </c>
    </row>
    <row r="478" spans="1:11" x14ac:dyDescent="0.45">
      <c r="A478" t="s">
        <v>90</v>
      </c>
      <c r="B478" t="s">
        <v>2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2050</v>
      </c>
      <c r="J478">
        <v>8.5000000000000006E-3</v>
      </c>
      <c r="K478" t="s">
        <v>27</v>
      </c>
    </row>
    <row r="479" spans="1:11" x14ac:dyDescent="0.45">
      <c r="A479" t="s">
        <v>90</v>
      </c>
      <c r="B479" t="s">
        <v>2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2055</v>
      </c>
      <c r="J479">
        <v>1.3299999999999999E-2</v>
      </c>
      <c r="K479" t="s">
        <v>27</v>
      </c>
    </row>
    <row r="480" spans="1:11" x14ac:dyDescent="0.45">
      <c r="A480" t="s">
        <v>90</v>
      </c>
      <c r="B480" t="s">
        <v>2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2060</v>
      </c>
      <c r="J480">
        <v>1.7950000000000001E-2</v>
      </c>
      <c r="K480" t="s">
        <v>27</v>
      </c>
    </row>
    <row r="481" spans="1:11" x14ac:dyDescent="0.45">
      <c r="A481" t="s">
        <v>90</v>
      </c>
      <c r="B481" t="s">
        <v>2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2065</v>
      </c>
      <c r="J481">
        <v>2.095E-2</v>
      </c>
      <c r="K481" t="s">
        <v>27</v>
      </c>
    </row>
    <row r="482" spans="1:11" x14ac:dyDescent="0.45">
      <c r="A482" t="s">
        <v>90</v>
      </c>
      <c r="B482" t="s">
        <v>2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2070</v>
      </c>
      <c r="J482">
        <v>2.4649999999999998E-2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2075</v>
      </c>
      <c r="J483">
        <v>2.8049999999999999E-2</v>
      </c>
      <c r="K483" t="s">
        <v>27</v>
      </c>
    </row>
    <row r="484" spans="1:11" x14ac:dyDescent="0.45">
      <c r="A484" t="s">
        <v>90</v>
      </c>
      <c r="B484" t="s">
        <v>2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2080</v>
      </c>
      <c r="J484">
        <v>3.1600000000000003E-2</v>
      </c>
      <c r="K484" t="s">
        <v>27</v>
      </c>
    </row>
    <row r="485" spans="1:11" x14ac:dyDescent="0.45">
      <c r="A485" t="s">
        <v>90</v>
      </c>
      <c r="B485" t="s">
        <v>2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2085</v>
      </c>
      <c r="J485">
        <v>3.5049999999999998E-2</v>
      </c>
      <c r="K485" t="s">
        <v>27</v>
      </c>
    </row>
    <row r="486" spans="1:11" x14ac:dyDescent="0.45">
      <c r="A486" t="s">
        <v>90</v>
      </c>
      <c r="B486" t="s">
        <v>2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3.8449999999999998E-2</v>
      </c>
      <c r="K486" t="s">
        <v>27</v>
      </c>
    </row>
    <row r="487" spans="1:11" x14ac:dyDescent="0.45">
      <c r="A487" t="s">
        <v>90</v>
      </c>
      <c r="B487" t="s">
        <v>2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2095</v>
      </c>
      <c r="J487">
        <v>4.1249999999999995E-2</v>
      </c>
      <c r="K487" t="s">
        <v>27</v>
      </c>
    </row>
    <row r="488" spans="1:11" x14ac:dyDescent="0.45">
      <c r="A488" t="s">
        <v>90</v>
      </c>
      <c r="B488" t="s">
        <v>2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2100</v>
      </c>
      <c r="J488">
        <v>4.4149999999999995E-2</v>
      </c>
      <c r="K488" t="s">
        <v>27</v>
      </c>
    </row>
    <row r="489" spans="1:11" x14ac:dyDescent="0.45">
      <c r="A489" t="s">
        <v>90</v>
      </c>
      <c r="B489" t="s">
        <v>1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2020</v>
      </c>
      <c r="J489">
        <v>0</v>
      </c>
      <c r="K489" t="s">
        <v>27</v>
      </c>
    </row>
    <row r="490" spans="1:11" x14ac:dyDescent="0.45">
      <c r="A490" t="s">
        <v>90</v>
      </c>
      <c r="B490" t="s">
        <v>1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2025</v>
      </c>
      <c r="J490">
        <v>0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2030</v>
      </c>
      <c r="J491">
        <v>4.0000000000000002E-4</v>
      </c>
      <c r="K491" t="s">
        <v>27</v>
      </c>
    </row>
    <row r="492" spans="1:11" x14ac:dyDescent="0.45">
      <c r="A492" t="s">
        <v>90</v>
      </c>
      <c r="B492" t="s">
        <v>1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2035</v>
      </c>
      <c r="J492">
        <v>1.2999999999999999E-3</v>
      </c>
      <c r="K492" t="s">
        <v>27</v>
      </c>
    </row>
    <row r="493" spans="1:11" x14ac:dyDescent="0.45">
      <c r="A493" t="s">
        <v>90</v>
      </c>
      <c r="B493" t="s">
        <v>1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2040</v>
      </c>
      <c r="J493">
        <v>3.65E-3</v>
      </c>
      <c r="K493" t="s">
        <v>27</v>
      </c>
    </row>
    <row r="494" spans="1:11" x14ac:dyDescent="0.45">
      <c r="A494" t="s">
        <v>90</v>
      </c>
      <c r="B494" t="s">
        <v>1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2045</v>
      </c>
      <c r="J494">
        <v>7.4000000000000003E-3</v>
      </c>
      <c r="K494" t="s">
        <v>27</v>
      </c>
    </row>
    <row r="495" spans="1:11" x14ac:dyDescent="0.45">
      <c r="A495" t="s">
        <v>90</v>
      </c>
      <c r="B495" t="s">
        <v>1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2050</v>
      </c>
      <c r="J495">
        <v>1.2800000000000001E-2</v>
      </c>
      <c r="K495" t="s">
        <v>27</v>
      </c>
    </row>
    <row r="496" spans="1:11" x14ac:dyDescent="0.45">
      <c r="A496" t="s">
        <v>90</v>
      </c>
      <c r="B496" t="s">
        <v>1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2055</v>
      </c>
      <c r="J496">
        <v>2.0249999999999997E-2</v>
      </c>
      <c r="K496" t="s">
        <v>27</v>
      </c>
    </row>
    <row r="497" spans="1:11" x14ac:dyDescent="0.45">
      <c r="A497" t="s">
        <v>90</v>
      </c>
      <c r="B497" t="s">
        <v>1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2060</v>
      </c>
      <c r="J497">
        <v>2.8250000000000001E-2</v>
      </c>
      <c r="K497" t="s">
        <v>27</v>
      </c>
    </row>
    <row r="498" spans="1:11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2065</v>
      </c>
      <c r="J498">
        <v>3.3300000000000003E-2</v>
      </c>
      <c r="K498" t="s">
        <v>27</v>
      </c>
    </row>
    <row r="499" spans="1:11" x14ac:dyDescent="0.45">
      <c r="A499" t="s">
        <v>90</v>
      </c>
      <c r="B499" t="s">
        <v>1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2070</v>
      </c>
      <c r="J499">
        <v>3.7999999999999999E-2</v>
      </c>
      <c r="K499" t="s">
        <v>27</v>
      </c>
    </row>
    <row r="500" spans="1:11" x14ac:dyDescent="0.45">
      <c r="A500" t="s">
        <v>90</v>
      </c>
      <c r="B500" t="s">
        <v>1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2075</v>
      </c>
      <c r="J500">
        <v>4.2349999999999999E-2</v>
      </c>
      <c r="K500" t="s">
        <v>27</v>
      </c>
    </row>
    <row r="501" spans="1:11" x14ac:dyDescent="0.45">
      <c r="A501" t="s">
        <v>90</v>
      </c>
      <c r="B501" t="s">
        <v>1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2080</v>
      </c>
      <c r="J501">
        <v>4.65E-2</v>
      </c>
      <c r="K501" t="s">
        <v>27</v>
      </c>
    </row>
    <row r="502" spans="1:11" x14ac:dyDescent="0.45">
      <c r="A502" t="s">
        <v>90</v>
      </c>
      <c r="B502" t="s">
        <v>1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2085</v>
      </c>
      <c r="J502">
        <v>5.0450000000000002E-2</v>
      </c>
      <c r="K502" t="s">
        <v>27</v>
      </c>
    </row>
    <row r="503" spans="1:11" x14ac:dyDescent="0.45">
      <c r="A503" t="s">
        <v>90</v>
      </c>
      <c r="B503" t="s">
        <v>1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2090</v>
      </c>
      <c r="J503">
        <v>5.4399999999999997E-2</v>
      </c>
      <c r="K503" t="s">
        <v>27</v>
      </c>
    </row>
    <row r="504" spans="1:11" x14ac:dyDescent="0.45">
      <c r="A504" t="s">
        <v>90</v>
      </c>
      <c r="B504" t="s">
        <v>1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2095</v>
      </c>
      <c r="J504">
        <v>5.7499999999999996E-2</v>
      </c>
      <c r="K504" t="s">
        <v>27</v>
      </c>
    </row>
    <row r="505" spans="1:11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6.0450000000000004E-2</v>
      </c>
      <c r="K505" t="s">
        <v>27</v>
      </c>
    </row>
    <row r="506" spans="1:11" x14ac:dyDescent="0.45">
      <c r="A506" t="s">
        <v>90</v>
      </c>
      <c r="B506" t="s">
        <v>3</v>
      </c>
      <c r="C506" t="s">
        <v>84</v>
      </c>
      <c r="D506" t="s">
        <v>85</v>
      </c>
      <c r="E506" t="s">
        <v>25</v>
      </c>
      <c r="F506" t="s">
        <v>85</v>
      </c>
      <c r="G506" t="s">
        <v>26</v>
      </c>
      <c r="H506" t="s">
        <v>82</v>
      </c>
      <c r="I506">
        <v>2020</v>
      </c>
      <c r="J506">
        <v>1E-4</v>
      </c>
      <c r="K506" t="s">
        <v>85</v>
      </c>
    </row>
    <row r="507" spans="1:11" x14ac:dyDescent="0.45">
      <c r="A507" t="s">
        <v>90</v>
      </c>
      <c r="B507" t="s">
        <v>3</v>
      </c>
      <c r="C507" t="s">
        <v>84</v>
      </c>
      <c r="D507" t="s">
        <v>85</v>
      </c>
      <c r="E507" t="s">
        <v>25</v>
      </c>
      <c r="F507" t="s">
        <v>85</v>
      </c>
      <c r="G507" t="s">
        <v>26</v>
      </c>
      <c r="H507" t="s">
        <v>82</v>
      </c>
      <c r="I507">
        <v>2025</v>
      </c>
      <c r="J507">
        <v>5.9999999999999995E-4</v>
      </c>
      <c r="K507" t="s">
        <v>85</v>
      </c>
    </row>
    <row r="508" spans="1:11" x14ac:dyDescent="0.45">
      <c r="A508" t="s">
        <v>90</v>
      </c>
      <c r="B508" t="s">
        <v>3</v>
      </c>
      <c r="C508" t="s">
        <v>84</v>
      </c>
      <c r="D508" t="s">
        <v>85</v>
      </c>
      <c r="E508" t="s">
        <v>25</v>
      </c>
      <c r="F508" t="s">
        <v>85</v>
      </c>
      <c r="G508" t="s">
        <v>26</v>
      </c>
      <c r="H508" t="s">
        <v>82</v>
      </c>
      <c r="I508">
        <v>2030</v>
      </c>
      <c r="J508">
        <v>1.2999999999999999E-3</v>
      </c>
      <c r="K508" t="s">
        <v>85</v>
      </c>
    </row>
    <row r="509" spans="1:11" x14ac:dyDescent="0.45">
      <c r="A509" t="s">
        <v>90</v>
      </c>
      <c r="B509" t="s">
        <v>3</v>
      </c>
      <c r="C509" t="s">
        <v>84</v>
      </c>
      <c r="D509" t="s">
        <v>85</v>
      </c>
      <c r="E509" t="s">
        <v>25</v>
      </c>
      <c r="F509" t="s">
        <v>85</v>
      </c>
      <c r="G509" t="s">
        <v>26</v>
      </c>
      <c r="H509" t="s">
        <v>82</v>
      </c>
      <c r="I509">
        <v>2035</v>
      </c>
      <c r="J509">
        <v>2.2500000000000003E-3</v>
      </c>
      <c r="K509" t="s">
        <v>85</v>
      </c>
    </row>
    <row r="510" spans="1:11" x14ac:dyDescent="0.45">
      <c r="A510" t="s">
        <v>90</v>
      </c>
      <c r="B510" t="s">
        <v>3</v>
      </c>
      <c r="C510" t="s">
        <v>84</v>
      </c>
      <c r="D510" t="s">
        <v>85</v>
      </c>
      <c r="E510" t="s">
        <v>25</v>
      </c>
      <c r="F510" t="s">
        <v>85</v>
      </c>
      <c r="G510" t="s">
        <v>26</v>
      </c>
      <c r="H510" t="s">
        <v>82</v>
      </c>
      <c r="I510">
        <v>2040</v>
      </c>
      <c r="J510">
        <v>3.8E-3</v>
      </c>
      <c r="K510" t="s">
        <v>85</v>
      </c>
    </row>
    <row r="511" spans="1:11" x14ac:dyDescent="0.45">
      <c r="A511" t="s">
        <v>90</v>
      </c>
      <c r="B511" t="s">
        <v>3</v>
      </c>
      <c r="C511" t="s">
        <v>84</v>
      </c>
      <c r="D511" t="s">
        <v>85</v>
      </c>
      <c r="E511" t="s">
        <v>25</v>
      </c>
      <c r="F511" t="s">
        <v>85</v>
      </c>
      <c r="G511" t="s">
        <v>26</v>
      </c>
      <c r="H511" t="s">
        <v>82</v>
      </c>
      <c r="I511">
        <v>2045</v>
      </c>
      <c r="J511">
        <v>8.0500000000000016E-3</v>
      </c>
      <c r="K511" t="s">
        <v>85</v>
      </c>
    </row>
    <row r="512" spans="1:11" x14ac:dyDescent="0.45">
      <c r="A512" t="s">
        <v>90</v>
      </c>
      <c r="B512" t="s">
        <v>3</v>
      </c>
      <c r="C512" t="s">
        <v>84</v>
      </c>
      <c r="D512" t="s">
        <v>85</v>
      </c>
      <c r="E512" t="s">
        <v>25</v>
      </c>
      <c r="F512" t="s">
        <v>85</v>
      </c>
      <c r="G512" t="s">
        <v>26</v>
      </c>
      <c r="H512" t="s">
        <v>82</v>
      </c>
      <c r="I512">
        <v>2050</v>
      </c>
      <c r="J512">
        <v>1.7250000000000001E-2</v>
      </c>
      <c r="K512" t="s">
        <v>85</v>
      </c>
    </row>
    <row r="513" spans="1:11" x14ac:dyDescent="0.45">
      <c r="A513" t="s">
        <v>90</v>
      </c>
      <c r="B513" t="s">
        <v>3</v>
      </c>
      <c r="C513" t="s">
        <v>84</v>
      </c>
      <c r="D513" t="s">
        <v>85</v>
      </c>
      <c r="E513" t="s">
        <v>25</v>
      </c>
      <c r="F513" t="s">
        <v>85</v>
      </c>
      <c r="G513" t="s">
        <v>26</v>
      </c>
      <c r="H513" t="s">
        <v>82</v>
      </c>
      <c r="I513">
        <v>2055</v>
      </c>
      <c r="J513">
        <v>3.0449999999999998E-2</v>
      </c>
      <c r="K513" t="s">
        <v>85</v>
      </c>
    </row>
    <row r="514" spans="1:11" x14ac:dyDescent="0.45">
      <c r="A514" t="s">
        <v>90</v>
      </c>
      <c r="B514" t="s">
        <v>3</v>
      </c>
      <c r="C514" t="s">
        <v>84</v>
      </c>
      <c r="D514" t="s">
        <v>85</v>
      </c>
      <c r="E514" t="s">
        <v>25</v>
      </c>
      <c r="F514" t="s">
        <v>85</v>
      </c>
      <c r="G514" t="s">
        <v>26</v>
      </c>
      <c r="H514" t="s">
        <v>82</v>
      </c>
      <c r="I514">
        <v>2060</v>
      </c>
      <c r="J514">
        <v>4.6949999999999999E-2</v>
      </c>
      <c r="K514" t="s">
        <v>85</v>
      </c>
    </row>
    <row r="515" spans="1:11" x14ac:dyDescent="0.45">
      <c r="A515" t="s">
        <v>90</v>
      </c>
      <c r="B515" t="s">
        <v>3</v>
      </c>
      <c r="C515" t="s">
        <v>84</v>
      </c>
      <c r="D515" t="s">
        <v>85</v>
      </c>
      <c r="E515" t="s">
        <v>25</v>
      </c>
      <c r="F515" t="s">
        <v>85</v>
      </c>
      <c r="G515" t="s">
        <v>26</v>
      </c>
      <c r="H515" t="s">
        <v>82</v>
      </c>
      <c r="I515">
        <v>2065</v>
      </c>
      <c r="J515">
        <v>4.7899999999999998E-2</v>
      </c>
      <c r="K515" t="s">
        <v>85</v>
      </c>
    </row>
    <row r="516" spans="1:11" x14ac:dyDescent="0.45">
      <c r="A516" t="s">
        <v>90</v>
      </c>
      <c r="B516" t="s">
        <v>3</v>
      </c>
      <c r="C516" t="s">
        <v>84</v>
      </c>
      <c r="D516" t="s">
        <v>85</v>
      </c>
      <c r="E516" t="s">
        <v>25</v>
      </c>
      <c r="F516" t="s">
        <v>85</v>
      </c>
      <c r="G516" t="s">
        <v>26</v>
      </c>
      <c r="H516" t="s">
        <v>82</v>
      </c>
      <c r="I516">
        <v>2070</v>
      </c>
      <c r="J516">
        <v>4.5999999999999999E-2</v>
      </c>
      <c r="K516" t="s">
        <v>85</v>
      </c>
    </row>
    <row r="517" spans="1:11" x14ac:dyDescent="0.45">
      <c r="A517" t="s">
        <v>90</v>
      </c>
      <c r="B517" t="s">
        <v>3</v>
      </c>
      <c r="C517" t="s">
        <v>84</v>
      </c>
      <c r="D517" t="s">
        <v>85</v>
      </c>
      <c r="E517" t="s">
        <v>25</v>
      </c>
      <c r="F517" t="s">
        <v>85</v>
      </c>
      <c r="G517" t="s">
        <v>26</v>
      </c>
      <c r="H517" t="s">
        <v>82</v>
      </c>
      <c r="I517">
        <v>2075</v>
      </c>
      <c r="J517">
        <v>4.3249999999999997E-2</v>
      </c>
      <c r="K517" t="s">
        <v>85</v>
      </c>
    </row>
    <row r="518" spans="1:11" x14ac:dyDescent="0.45">
      <c r="A518" t="s">
        <v>90</v>
      </c>
      <c r="B518" t="s">
        <v>3</v>
      </c>
      <c r="C518" t="s">
        <v>84</v>
      </c>
      <c r="D518" t="s">
        <v>85</v>
      </c>
      <c r="E518" t="s">
        <v>25</v>
      </c>
      <c r="F518" t="s">
        <v>85</v>
      </c>
      <c r="G518" t="s">
        <v>26</v>
      </c>
      <c r="H518" t="s">
        <v>82</v>
      </c>
      <c r="I518">
        <v>2080</v>
      </c>
      <c r="J518">
        <v>4.0300000000000002E-2</v>
      </c>
      <c r="K518" t="s">
        <v>85</v>
      </c>
    </row>
    <row r="519" spans="1:11" x14ac:dyDescent="0.45">
      <c r="A519" t="s">
        <v>90</v>
      </c>
      <c r="B519" t="s">
        <v>3</v>
      </c>
      <c r="C519" t="s">
        <v>84</v>
      </c>
      <c r="D519" t="s">
        <v>85</v>
      </c>
      <c r="E519" t="s">
        <v>25</v>
      </c>
      <c r="F519" t="s">
        <v>85</v>
      </c>
      <c r="G519" t="s">
        <v>26</v>
      </c>
      <c r="H519" t="s">
        <v>82</v>
      </c>
      <c r="I519">
        <v>2085</v>
      </c>
      <c r="J519">
        <v>3.8199999999999998E-2</v>
      </c>
      <c r="K519" t="s">
        <v>85</v>
      </c>
    </row>
    <row r="520" spans="1:11" x14ac:dyDescent="0.45">
      <c r="A520" t="s">
        <v>90</v>
      </c>
      <c r="B520" t="s">
        <v>3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2090</v>
      </c>
      <c r="J520">
        <v>3.585E-2</v>
      </c>
      <c r="K520" t="s">
        <v>85</v>
      </c>
    </row>
    <row r="521" spans="1:11" x14ac:dyDescent="0.45">
      <c r="A521" t="s">
        <v>90</v>
      </c>
      <c r="B521" t="s">
        <v>3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2095</v>
      </c>
      <c r="J521">
        <v>3.6199999999999996E-2</v>
      </c>
      <c r="K521" t="s">
        <v>85</v>
      </c>
    </row>
    <row r="522" spans="1:11" x14ac:dyDescent="0.45">
      <c r="A522" t="s">
        <v>90</v>
      </c>
      <c r="B522" t="s">
        <v>3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2100</v>
      </c>
      <c r="J522">
        <v>3.6250000000000004E-2</v>
      </c>
      <c r="K522" t="s">
        <v>85</v>
      </c>
    </row>
    <row r="523" spans="1:11" x14ac:dyDescent="0.45">
      <c r="A523" t="s">
        <v>90</v>
      </c>
      <c r="B523" t="s">
        <v>4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2020</v>
      </c>
      <c r="J523">
        <v>1E-4</v>
      </c>
      <c r="K523" t="s">
        <v>85</v>
      </c>
    </row>
    <row r="524" spans="1:11" x14ac:dyDescent="0.45">
      <c r="A524" t="s">
        <v>90</v>
      </c>
      <c r="B524" t="s">
        <v>4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2025</v>
      </c>
      <c r="J524">
        <v>6.9999999999999999E-4</v>
      </c>
      <c r="K524" t="s">
        <v>85</v>
      </c>
    </row>
    <row r="525" spans="1:11" x14ac:dyDescent="0.45">
      <c r="A525" t="s">
        <v>90</v>
      </c>
      <c r="B525" t="s">
        <v>4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2030</v>
      </c>
      <c r="J525">
        <v>2.8999999999999998E-3</v>
      </c>
      <c r="K525" t="s">
        <v>85</v>
      </c>
    </row>
    <row r="526" spans="1:11" x14ac:dyDescent="0.45">
      <c r="A526" t="s">
        <v>90</v>
      </c>
      <c r="B526" t="s">
        <v>4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2035</v>
      </c>
      <c r="J526">
        <v>8.7500000000000008E-3</v>
      </c>
      <c r="K526" t="s">
        <v>85</v>
      </c>
    </row>
    <row r="527" spans="1:11" x14ac:dyDescent="0.45">
      <c r="A527" t="s">
        <v>90</v>
      </c>
      <c r="B527" t="s">
        <v>4</v>
      </c>
      <c r="C527" t="s">
        <v>84</v>
      </c>
      <c r="D527" t="s">
        <v>85</v>
      </c>
      <c r="E527" t="s">
        <v>25</v>
      </c>
      <c r="F527" t="s">
        <v>85</v>
      </c>
      <c r="G527" t="s">
        <v>26</v>
      </c>
      <c r="H527" t="s">
        <v>82</v>
      </c>
      <c r="I527">
        <v>2040</v>
      </c>
      <c r="J527">
        <v>1.9599999999999999E-2</v>
      </c>
      <c r="K527" t="s">
        <v>85</v>
      </c>
    </row>
    <row r="528" spans="1:11" x14ac:dyDescent="0.45">
      <c r="A528" t="s">
        <v>90</v>
      </c>
      <c r="B528" t="s">
        <v>4</v>
      </c>
      <c r="C528" t="s">
        <v>84</v>
      </c>
      <c r="D528" t="s">
        <v>85</v>
      </c>
      <c r="E528" t="s">
        <v>25</v>
      </c>
      <c r="F528" t="s">
        <v>85</v>
      </c>
      <c r="G528" t="s">
        <v>26</v>
      </c>
      <c r="H528" t="s">
        <v>82</v>
      </c>
      <c r="I528">
        <v>2045</v>
      </c>
      <c r="J528">
        <v>3.6000000000000004E-2</v>
      </c>
      <c r="K528" t="s">
        <v>85</v>
      </c>
    </row>
    <row r="529" spans="1:11" x14ac:dyDescent="0.45">
      <c r="A529" t="s">
        <v>90</v>
      </c>
      <c r="B529" t="s">
        <v>4</v>
      </c>
      <c r="C529" t="s">
        <v>84</v>
      </c>
      <c r="D529" t="s">
        <v>85</v>
      </c>
      <c r="E529" t="s">
        <v>25</v>
      </c>
      <c r="F529" t="s">
        <v>85</v>
      </c>
      <c r="G529" t="s">
        <v>26</v>
      </c>
      <c r="H529" t="s">
        <v>82</v>
      </c>
      <c r="I529">
        <v>2050</v>
      </c>
      <c r="J529">
        <v>5.765E-2</v>
      </c>
      <c r="K529" t="s">
        <v>85</v>
      </c>
    </row>
    <row r="530" spans="1:11" x14ac:dyDescent="0.45">
      <c r="A530" t="s">
        <v>90</v>
      </c>
      <c r="B530" t="s">
        <v>4</v>
      </c>
      <c r="C530" t="s">
        <v>84</v>
      </c>
      <c r="D530" t="s">
        <v>85</v>
      </c>
      <c r="E530" t="s">
        <v>25</v>
      </c>
      <c r="F530" t="s">
        <v>85</v>
      </c>
      <c r="G530" t="s">
        <v>26</v>
      </c>
      <c r="H530" t="s">
        <v>82</v>
      </c>
      <c r="I530">
        <v>2055</v>
      </c>
      <c r="J530">
        <v>5.9499999999999997E-2</v>
      </c>
      <c r="K530" t="s">
        <v>85</v>
      </c>
    </row>
    <row r="531" spans="1:11" x14ac:dyDescent="0.45">
      <c r="A531" t="s">
        <v>90</v>
      </c>
      <c r="B531" t="s">
        <v>4</v>
      </c>
      <c r="C531" t="s">
        <v>84</v>
      </c>
      <c r="D531" t="s">
        <v>85</v>
      </c>
      <c r="E531" t="s">
        <v>25</v>
      </c>
      <c r="F531" t="s">
        <v>85</v>
      </c>
      <c r="G531" t="s">
        <v>26</v>
      </c>
      <c r="H531" t="s">
        <v>82</v>
      </c>
      <c r="I531">
        <v>2060</v>
      </c>
      <c r="J531">
        <v>5.3650000000000003E-2</v>
      </c>
      <c r="K531" t="s">
        <v>85</v>
      </c>
    </row>
    <row r="532" spans="1:11" x14ac:dyDescent="0.45">
      <c r="A532" t="s">
        <v>90</v>
      </c>
      <c r="B532" t="s">
        <v>4</v>
      </c>
      <c r="C532" t="s">
        <v>84</v>
      </c>
      <c r="D532" t="s">
        <v>85</v>
      </c>
      <c r="E532" t="s">
        <v>25</v>
      </c>
      <c r="F532" t="s">
        <v>85</v>
      </c>
      <c r="G532" t="s">
        <v>26</v>
      </c>
      <c r="H532" t="s">
        <v>82</v>
      </c>
      <c r="I532">
        <v>2065</v>
      </c>
      <c r="J532">
        <v>5.0849999999999999E-2</v>
      </c>
      <c r="K532" t="s">
        <v>85</v>
      </c>
    </row>
    <row r="533" spans="1:11" x14ac:dyDescent="0.45">
      <c r="A533" t="s">
        <v>90</v>
      </c>
      <c r="B533" t="s">
        <v>4</v>
      </c>
      <c r="C533" t="s">
        <v>84</v>
      </c>
      <c r="D533" t="s">
        <v>85</v>
      </c>
      <c r="E533" t="s">
        <v>25</v>
      </c>
      <c r="F533" t="s">
        <v>85</v>
      </c>
      <c r="G533" t="s">
        <v>26</v>
      </c>
      <c r="H533" t="s">
        <v>82</v>
      </c>
      <c r="I533">
        <v>2070</v>
      </c>
      <c r="J533">
        <v>4.3249999999999997E-2</v>
      </c>
      <c r="K533" t="s">
        <v>85</v>
      </c>
    </row>
    <row r="534" spans="1:11" x14ac:dyDescent="0.45">
      <c r="A534" t="s">
        <v>90</v>
      </c>
      <c r="B534" t="s">
        <v>4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2075</v>
      </c>
      <c r="J534">
        <v>4.8050000000000002E-2</v>
      </c>
      <c r="K534" t="s">
        <v>85</v>
      </c>
    </row>
    <row r="535" spans="1:11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2080</v>
      </c>
      <c r="J535">
        <v>4.9700000000000001E-2</v>
      </c>
      <c r="K535" t="s">
        <v>85</v>
      </c>
    </row>
    <row r="536" spans="1:11" x14ac:dyDescent="0.45">
      <c r="A536" t="s">
        <v>90</v>
      </c>
      <c r="B536" t="s">
        <v>4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2085</v>
      </c>
      <c r="J536">
        <v>6.6400000000000001E-2</v>
      </c>
      <c r="K536" t="s">
        <v>85</v>
      </c>
    </row>
    <row r="537" spans="1:11" x14ac:dyDescent="0.45">
      <c r="A537" t="s">
        <v>90</v>
      </c>
      <c r="B537" t="s">
        <v>4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2090</v>
      </c>
      <c r="J537">
        <v>7.9000000000000001E-2</v>
      </c>
      <c r="K537" t="s">
        <v>85</v>
      </c>
    </row>
    <row r="538" spans="1:11" x14ac:dyDescent="0.45">
      <c r="A538" t="s">
        <v>90</v>
      </c>
      <c r="B538" t="s">
        <v>4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2095</v>
      </c>
      <c r="J538">
        <v>0.107</v>
      </c>
      <c r="K538" t="s">
        <v>85</v>
      </c>
    </row>
    <row r="539" spans="1:11" x14ac:dyDescent="0.45">
      <c r="A539" t="s">
        <v>90</v>
      </c>
      <c r="B539" t="s">
        <v>4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2100</v>
      </c>
      <c r="J539">
        <v>0.1305</v>
      </c>
      <c r="K539" t="s">
        <v>85</v>
      </c>
    </row>
    <row r="540" spans="1:11" x14ac:dyDescent="0.45">
      <c r="A540" t="s">
        <v>90</v>
      </c>
      <c r="B540" t="s">
        <v>0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2020</v>
      </c>
      <c r="J540">
        <v>1E-4</v>
      </c>
      <c r="K540" t="s">
        <v>85</v>
      </c>
    </row>
    <row r="541" spans="1:11" x14ac:dyDescent="0.45">
      <c r="A541" t="s">
        <v>90</v>
      </c>
      <c r="B541" t="s">
        <v>0</v>
      </c>
      <c r="C541" t="s">
        <v>84</v>
      </c>
      <c r="D541" t="s">
        <v>85</v>
      </c>
      <c r="E541" t="s">
        <v>25</v>
      </c>
      <c r="F541" t="s">
        <v>85</v>
      </c>
      <c r="G541" t="s">
        <v>26</v>
      </c>
      <c r="H541" t="s">
        <v>82</v>
      </c>
      <c r="I541">
        <v>2025</v>
      </c>
      <c r="J541">
        <v>6.9999999999999999E-4</v>
      </c>
      <c r="K541" t="s">
        <v>85</v>
      </c>
    </row>
    <row r="542" spans="1:11" x14ac:dyDescent="0.45">
      <c r="A542" t="s">
        <v>90</v>
      </c>
      <c r="B542" t="s">
        <v>0</v>
      </c>
      <c r="C542" t="s">
        <v>84</v>
      </c>
      <c r="D542" t="s">
        <v>85</v>
      </c>
      <c r="E542" t="s">
        <v>25</v>
      </c>
      <c r="F542" t="s">
        <v>85</v>
      </c>
      <c r="G542" t="s">
        <v>26</v>
      </c>
      <c r="H542" t="s">
        <v>82</v>
      </c>
      <c r="I542">
        <v>2030</v>
      </c>
      <c r="J542">
        <v>2.8E-3</v>
      </c>
      <c r="K542" t="s">
        <v>85</v>
      </c>
    </row>
    <row r="543" spans="1:11" x14ac:dyDescent="0.45">
      <c r="A543" t="s">
        <v>90</v>
      </c>
      <c r="B543" t="s">
        <v>0</v>
      </c>
      <c r="C543" t="s">
        <v>84</v>
      </c>
      <c r="D543" t="s">
        <v>85</v>
      </c>
      <c r="E543" t="s">
        <v>25</v>
      </c>
      <c r="F543" t="s">
        <v>85</v>
      </c>
      <c r="G543" t="s">
        <v>26</v>
      </c>
      <c r="H543" t="s">
        <v>82</v>
      </c>
      <c r="I543">
        <v>2035</v>
      </c>
      <c r="J543">
        <v>8.150000000000001E-3</v>
      </c>
      <c r="K543" t="s">
        <v>85</v>
      </c>
    </row>
    <row r="544" spans="1:11" x14ac:dyDescent="0.45">
      <c r="A544" t="s">
        <v>90</v>
      </c>
      <c r="B544" t="s">
        <v>0</v>
      </c>
      <c r="C544" t="s">
        <v>84</v>
      </c>
      <c r="D544" t="s">
        <v>85</v>
      </c>
      <c r="E544" t="s">
        <v>25</v>
      </c>
      <c r="F544" t="s">
        <v>85</v>
      </c>
      <c r="G544" t="s">
        <v>26</v>
      </c>
      <c r="H544" t="s">
        <v>82</v>
      </c>
      <c r="I544">
        <v>2040</v>
      </c>
      <c r="J544">
        <v>3.8E-3</v>
      </c>
      <c r="K544" t="s">
        <v>85</v>
      </c>
    </row>
    <row r="545" spans="1:11" x14ac:dyDescent="0.45">
      <c r="A545" t="s">
        <v>90</v>
      </c>
      <c r="B545" t="s">
        <v>0</v>
      </c>
      <c r="C545" t="s">
        <v>84</v>
      </c>
      <c r="D545" t="s">
        <v>85</v>
      </c>
      <c r="E545" t="s">
        <v>25</v>
      </c>
      <c r="F545" t="s">
        <v>85</v>
      </c>
      <c r="G545" t="s">
        <v>26</v>
      </c>
      <c r="H545" t="s">
        <v>82</v>
      </c>
      <c r="I545">
        <v>2045</v>
      </c>
      <c r="J545">
        <v>8.0999999999999996E-3</v>
      </c>
      <c r="K545" t="s">
        <v>85</v>
      </c>
    </row>
    <row r="546" spans="1:11" x14ac:dyDescent="0.45">
      <c r="A546" t="s">
        <v>90</v>
      </c>
      <c r="B546" t="s">
        <v>0</v>
      </c>
      <c r="C546" t="s">
        <v>84</v>
      </c>
      <c r="D546" t="s">
        <v>85</v>
      </c>
      <c r="E546" t="s">
        <v>25</v>
      </c>
      <c r="F546" t="s">
        <v>85</v>
      </c>
      <c r="G546" t="s">
        <v>26</v>
      </c>
      <c r="H546" t="s">
        <v>82</v>
      </c>
      <c r="I546">
        <v>2050</v>
      </c>
      <c r="J546">
        <v>1.8299999999999997E-2</v>
      </c>
      <c r="K546" t="s">
        <v>85</v>
      </c>
    </row>
    <row r="547" spans="1:11" x14ac:dyDescent="0.45">
      <c r="A547" t="s">
        <v>90</v>
      </c>
      <c r="B547" t="s">
        <v>0</v>
      </c>
      <c r="C547" t="s">
        <v>84</v>
      </c>
      <c r="D547" t="s">
        <v>85</v>
      </c>
      <c r="E547" t="s">
        <v>25</v>
      </c>
      <c r="F547" t="s">
        <v>85</v>
      </c>
      <c r="G547" t="s">
        <v>26</v>
      </c>
      <c r="H547" t="s">
        <v>82</v>
      </c>
      <c r="I547">
        <v>2055</v>
      </c>
      <c r="J547">
        <v>3.4299999999999997E-2</v>
      </c>
      <c r="K547" t="s">
        <v>85</v>
      </c>
    </row>
    <row r="548" spans="1:11" x14ac:dyDescent="0.45">
      <c r="A548" t="s">
        <v>90</v>
      </c>
      <c r="B548" t="s">
        <v>0</v>
      </c>
      <c r="C548" t="s">
        <v>84</v>
      </c>
      <c r="D548" t="s">
        <v>85</v>
      </c>
      <c r="E548" t="s">
        <v>25</v>
      </c>
      <c r="F548" t="s">
        <v>85</v>
      </c>
      <c r="G548" t="s">
        <v>26</v>
      </c>
      <c r="H548" t="s">
        <v>82</v>
      </c>
      <c r="I548">
        <v>2060</v>
      </c>
      <c r="J548">
        <v>5.2999999999999999E-2</v>
      </c>
      <c r="K548" t="s">
        <v>85</v>
      </c>
    </row>
    <row r="549" spans="1:11" x14ac:dyDescent="0.45">
      <c r="A549" t="s">
        <v>90</v>
      </c>
      <c r="B549" t="s">
        <v>0</v>
      </c>
      <c r="C549" t="s">
        <v>84</v>
      </c>
      <c r="D549" t="s">
        <v>85</v>
      </c>
      <c r="E549" t="s">
        <v>25</v>
      </c>
      <c r="F549" t="s">
        <v>85</v>
      </c>
      <c r="G549" t="s">
        <v>26</v>
      </c>
      <c r="H549" t="s">
        <v>82</v>
      </c>
      <c r="I549">
        <v>2065</v>
      </c>
      <c r="J549">
        <v>5.1000000000000004E-2</v>
      </c>
      <c r="K549" t="s">
        <v>85</v>
      </c>
    </row>
    <row r="550" spans="1:11" x14ac:dyDescent="0.45">
      <c r="A550" t="s">
        <v>90</v>
      </c>
      <c r="B550" t="s">
        <v>0</v>
      </c>
      <c r="C550" t="s">
        <v>84</v>
      </c>
      <c r="D550" t="s">
        <v>85</v>
      </c>
      <c r="E550" t="s">
        <v>25</v>
      </c>
      <c r="F550" t="s">
        <v>85</v>
      </c>
      <c r="G550" t="s">
        <v>26</v>
      </c>
      <c r="H550" t="s">
        <v>82</v>
      </c>
      <c r="I550">
        <v>2070</v>
      </c>
      <c r="J550">
        <v>4.8399999999999999E-2</v>
      </c>
      <c r="K550" t="s">
        <v>85</v>
      </c>
    </row>
    <row r="551" spans="1:11" x14ac:dyDescent="0.45">
      <c r="A551" t="s">
        <v>90</v>
      </c>
      <c r="B551" t="s">
        <v>0</v>
      </c>
      <c r="C551" t="s">
        <v>84</v>
      </c>
      <c r="D551" t="s">
        <v>85</v>
      </c>
      <c r="E551" t="s">
        <v>25</v>
      </c>
      <c r="F551" t="s">
        <v>85</v>
      </c>
      <c r="G551" t="s">
        <v>26</v>
      </c>
      <c r="H551" t="s">
        <v>82</v>
      </c>
      <c r="I551">
        <v>2075</v>
      </c>
      <c r="J551">
        <v>4.4900000000000002E-2</v>
      </c>
      <c r="K551" t="s">
        <v>85</v>
      </c>
    </row>
    <row r="552" spans="1:11" x14ac:dyDescent="0.45">
      <c r="A552" t="s">
        <v>90</v>
      </c>
      <c r="B552" t="s">
        <v>0</v>
      </c>
      <c r="C552" t="s">
        <v>84</v>
      </c>
      <c r="D552" t="s">
        <v>85</v>
      </c>
      <c r="E552" t="s">
        <v>25</v>
      </c>
      <c r="F552" t="s">
        <v>85</v>
      </c>
      <c r="G552" t="s">
        <v>26</v>
      </c>
      <c r="H552" t="s">
        <v>82</v>
      </c>
      <c r="I552">
        <v>2080</v>
      </c>
      <c r="J552">
        <v>4.2349999999999999E-2</v>
      </c>
      <c r="K552" t="s">
        <v>85</v>
      </c>
    </row>
    <row r="553" spans="1:11" x14ac:dyDescent="0.45">
      <c r="A553" t="s">
        <v>90</v>
      </c>
      <c r="B553" t="s">
        <v>0</v>
      </c>
      <c r="C553" t="s">
        <v>84</v>
      </c>
      <c r="D553" t="s">
        <v>85</v>
      </c>
      <c r="E553" t="s">
        <v>25</v>
      </c>
      <c r="F553" t="s">
        <v>85</v>
      </c>
      <c r="G553" t="s">
        <v>26</v>
      </c>
      <c r="H553" t="s">
        <v>82</v>
      </c>
      <c r="I553">
        <v>2085</v>
      </c>
      <c r="J553">
        <v>4.0349999999999997E-2</v>
      </c>
      <c r="K553" t="s">
        <v>85</v>
      </c>
    </row>
    <row r="554" spans="1:11" x14ac:dyDescent="0.45">
      <c r="A554" t="s">
        <v>90</v>
      </c>
      <c r="B554" t="s">
        <v>0</v>
      </c>
      <c r="C554" t="s">
        <v>84</v>
      </c>
      <c r="D554" t="s">
        <v>85</v>
      </c>
      <c r="E554" t="s">
        <v>25</v>
      </c>
      <c r="F554" t="s">
        <v>85</v>
      </c>
      <c r="G554" t="s">
        <v>26</v>
      </c>
      <c r="H554" t="s">
        <v>82</v>
      </c>
      <c r="I554">
        <v>2090</v>
      </c>
      <c r="J554">
        <v>3.7650000000000003E-2</v>
      </c>
      <c r="K554" t="s">
        <v>85</v>
      </c>
    </row>
    <row r="555" spans="1:11" x14ac:dyDescent="0.45">
      <c r="A555" t="s">
        <v>90</v>
      </c>
      <c r="B555" t="s">
        <v>0</v>
      </c>
      <c r="C555" t="s">
        <v>84</v>
      </c>
      <c r="D555" t="s">
        <v>85</v>
      </c>
      <c r="E555" t="s">
        <v>25</v>
      </c>
      <c r="F555" t="s">
        <v>85</v>
      </c>
      <c r="G555" t="s">
        <v>26</v>
      </c>
      <c r="H555" t="s">
        <v>82</v>
      </c>
      <c r="I555">
        <v>2095</v>
      </c>
      <c r="J555">
        <v>3.85E-2</v>
      </c>
      <c r="K555" t="s">
        <v>85</v>
      </c>
    </row>
    <row r="556" spans="1:11" x14ac:dyDescent="0.45">
      <c r="A556" t="s">
        <v>90</v>
      </c>
      <c r="B556" t="s">
        <v>0</v>
      </c>
      <c r="C556" t="s">
        <v>84</v>
      </c>
      <c r="D556" t="s">
        <v>85</v>
      </c>
      <c r="E556" t="s">
        <v>25</v>
      </c>
      <c r="F556" t="s">
        <v>85</v>
      </c>
      <c r="G556" t="s">
        <v>26</v>
      </c>
      <c r="H556" t="s">
        <v>82</v>
      </c>
      <c r="I556">
        <v>2100</v>
      </c>
      <c r="J556">
        <v>3.8349999999999995E-2</v>
      </c>
      <c r="K556" t="s">
        <v>85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2020</v>
      </c>
      <c r="J557">
        <v>1E-4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2025</v>
      </c>
      <c r="J558">
        <v>6.9999999999999999E-4</v>
      </c>
      <c r="K558" t="s">
        <v>85</v>
      </c>
    </row>
    <row r="559" spans="1:11" x14ac:dyDescent="0.45">
      <c r="A559" t="s">
        <v>90</v>
      </c>
      <c r="B559" t="s">
        <v>6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2030</v>
      </c>
      <c r="J559">
        <v>2.8E-3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2035</v>
      </c>
      <c r="J560">
        <v>2.0999999999999999E-3</v>
      </c>
      <c r="K560" t="s">
        <v>85</v>
      </c>
    </row>
    <row r="561" spans="1:11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7.0500000000000007E-3</v>
      </c>
      <c r="K561" t="s">
        <v>85</v>
      </c>
    </row>
    <row r="562" spans="1:11" x14ac:dyDescent="0.45">
      <c r="A562" t="s">
        <v>90</v>
      </c>
      <c r="B562" t="s">
        <v>6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2045</v>
      </c>
      <c r="J562">
        <v>2.0999999999999998E-2</v>
      </c>
      <c r="K562" t="s">
        <v>85</v>
      </c>
    </row>
    <row r="563" spans="1:11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2050</v>
      </c>
      <c r="J563">
        <v>4.3249999999999997E-2</v>
      </c>
      <c r="K563" t="s">
        <v>85</v>
      </c>
    </row>
    <row r="564" spans="1:11" x14ac:dyDescent="0.45">
      <c r="A564" t="s">
        <v>90</v>
      </c>
      <c r="B564" t="s">
        <v>6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2055</v>
      </c>
      <c r="J564">
        <v>7.9199999999999993E-2</v>
      </c>
      <c r="K564" t="s">
        <v>85</v>
      </c>
    </row>
    <row r="565" spans="1:11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0.11830000000000002</v>
      </c>
      <c r="K565" t="s">
        <v>85</v>
      </c>
    </row>
    <row r="566" spans="1:11" x14ac:dyDescent="0.45">
      <c r="A566" t="s">
        <v>90</v>
      </c>
      <c r="B566" t="s">
        <v>6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2065</v>
      </c>
      <c r="J566">
        <v>0.127</v>
      </c>
      <c r="K566" t="s">
        <v>85</v>
      </c>
    </row>
    <row r="567" spans="1:11" x14ac:dyDescent="0.45">
      <c r="A567" t="s">
        <v>90</v>
      </c>
      <c r="B567" t="s">
        <v>6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0.12920000000000001</v>
      </c>
      <c r="K567" t="s">
        <v>85</v>
      </c>
    </row>
    <row r="568" spans="1:11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2075</v>
      </c>
      <c r="J568">
        <v>0.11835</v>
      </c>
      <c r="K568" t="s">
        <v>85</v>
      </c>
    </row>
    <row r="569" spans="1:11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2080</v>
      </c>
      <c r="J569">
        <v>0.10865</v>
      </c>
      <c r="K569" t="s">
        <v>85</v>
      </c>
    </row>
    <row r="570" spans="1:11" x14ac:dyDescent="0.45">
      <c r="A570" t="s">
        <v>90</v>
      </c>
      <c r="B570" t="s">
        <v>6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2085</v>
      </c>
      <c r="J570">
        <v>9.6949999999999995E-2</v>
      </c>
      <c r="K570" t="s">
        <v>85</v>
      </c>
    </row>
    <row r="571" spans="1:11" x14ac:dyDescent="0.45">
      <c r="A571" t="s">
        <v>90</v>
      </c>
      <c r="B571" t="s">
        <v>6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2090</v>
      </c>
      <c r="J571">
        <v>8.6249999999999993E-2</v>
      </c>
      <c r="K571" t="s">
        <v>85</v>
      </c>
    </row>
    <row r="572" spans="1:11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2095</v>
      </c>
      <c r="J572">
        <v>7.5249999999999997E-2</v>
      </c>
      <c r="K572" t="s">
        <v>85</v>
      </c>
    </row>
    <row r="573" spans="1:11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6.6900000000000001E-2</v>
      </c>
      <c r="K573" t="s">
        <v>85</v>
      </c>
    </row>
    <row r="574" spans="1:11" x14ac:dyDescent="0.45">
      <c r="A574" t="s">
        <v>90</v>
      </c>
      <c r="B574" t="s">
        <v>5</v>
      </c>
      <c r="C574" t="s">
        <v>84</v>
      </c>
      <c r="D574" t="s">
        <v>85</v>
      </c>
      <c r="E574" t="s">
        <v>25</v>
      </c>
      <c r="F574" t="s">
        <v>85</v>
      </c>
      <c r="G574" t="s">
        <v>26</v>
      </c>
      <c r="H574" t="s">
        <v>82</v>
      </c>
      <c r="I574">
        <v>2020</v>
      </c>
      <c r="J574">
        <v>1E-4</v>
      </c>
      <c r="K574" t="s">
        <v>85</v>
      </c>
    </row>
    <row r="575" spans="1:11" x14ac:dyDescent="0.45">
      <c r="A575" t="s">
        <v>90</v>
      </c>
      <c r="B575" t="s">
        <v>5</v>
      </c>
      <c r="C575" t="s">
        <v>84</v>
      </c>
      <c r="D575" t="s">
        <v>85</v>
      </c>
      <c r="E575" t="s">
        <v>25</v>
      </c>
      <c r="F575" t="s">
        <v>85</v>
      </c>
      <c r="G575" t="s">
        <v>26</v>
      </c>
      <c r="H575" t="s">
        <v>82</v>
      </c>
      <c r="I575">
        <v>2025</v>
      </c>
      <c r="J575">
        <v>5.9999999999999995E-4</v>
      </c>
      <c r="K575" t="s">
        <v>85</v>
      </c>
    </row>
    <row r="576" spans="1:11" x14ac:dyDescent="0.45">
      <c r="A576" t="s">
        <v>90</v>
      </c>
      <c r="B576" t="s">
        <v>5</v>
      </c>
      <c r="C576" t="s">
        <v>84</v>
      </c>
      <c r="D576" t="s">
        <v>85</v>
      </c>
      <c r="E576" t="s">
        <v>25</v>
      </c>
      <c r="F576" t="s">
        <v>85</v>
      </c>
      <c r="G576" t="s">
        <v>26</v>
      </c>
      <c r="H576" t="s">
        <v>82</v>
      </c>
      <c r="I576">
        <v>2030</v>
      </c>
      <c r="J576">
        <v>6.9999999999999999E-4</v>
      </c>
      <c r="K576" t="s">
        <v>85</v>
      </c>
    </row>
    <row r="577" spans="1:11" x14ac:dyDescent="0.45">
      <c r="A577" t="s">
        <v>90</v>
      </c>
      <c r="B577" t="s">
        <v>5</v>
      </c>
      <c r="C577" t="s">
        <v>84</v>
      </c>
      <c r="D577" t="s">
        <v>85</v>
      </c>
      <c r="E577" t="s">
        <v>25</v>
      </c>
      <c r="F577" t="s">
        <v>85</v>
      </c>
      <c r="G577" t="s">
        <v>26</v>
      </c>
      <c r="H577" t="s">
        <v>82</v>
      </c>
      <c r="I577">
        <v>2035</v>
      </c>
      <c r="J577">
        <v>1.2999999999999999E-3</v>
      </c>
      <c r="K577" t="s">
        <v>85</v>
      </c>
    </row>
    <row r="578" spans="1:11" x14ac:dyDescent="0.45">
      <c r="A578" t="s">
        <v>90</v>
      </c>
      <c r="B578" t="s">
        <v>5</v>
      </c>
      <c r="C578" t="s">
        <v>84</v>
      </c>
      <c r="D578" t="s">
        <v>85</v>
      </c>
      <c r="E578" t="s">
        <v>25</v>
      </c>
      <c r="F578" t="s">
        <v>85</v>
      </c>
      <c r="G578" t="s">
        <v>26</v>
      </c>
      <c r="H578" t="s">
        <v>82</v>
      </c>
      <c r="I578">
        <v>2040</v>
      </c>
      <c r="J578">
        <v>2.5999999999999999E-3</v>
      </c>
      <c r="K578" t="s">
        <v>85</v>
      </c>
    </row>
    <row r="579" spans="1:11" x14ac:dyDescent="0.45">
      <c r="A579" t="s">
        <v>90</v>
      </c>
      <c r="B579" t="s">
        <v>5</v>
      </c>
      <c r="C579" t="s">
        <v>84</v>
      </c>
      <c r="D579" t="s">
        <v>85</v>
      </c>
      <c r="E579" t="s">
        <v>25</v>
      </c>
      <c r="F579" t="s">
        <v>85</v>
      </c>
      <c r="G579" t="s">
        <v>26</v>
      </c>
      <c r="H579" t="s">
        <v>82</v>
      </c>
      <c r="I579">
        <v>2045</v>
      </c>
      <c r="J579">
        <v>5.2499999999999995E-3</v>
      </c>
      <c r="K579" t="s">
        <v>85</v>
      </c>
    </row>
    <row r="580" spans="1:11" x14ac:dyDescent="0.45">
      <c r="A580" t="s">
        <v>90</v>
      </c>
      <c r="B580" t="s">
        <v>5</v>
      </c>
      <c r="C580" t="s">
        <v>84</v>
      </c>
      <c r="D580" t="s">
        <v>85</v>
      </c>
      <c r="E580" t="s">
        <v>25</v>
      </c>
      <c r="F580" t="s">
        <v>85</v>
      </c>
      <c r="G580" t="s">
        <v>26</v>
      </c>
      <c r="H580" t="s">
        <v>82</v>
      </c>
      <c r="I580">
        <v>2050</v>
      </c>
      <c r="J580">
        <v>1.03E-2</v>
      </c>
      <c r="K580" t="s">
        <v>85</v>
      </c>
    </row>
    <row r="581" spans="1:11" x14ac:dyDescent="0.45">
      <c r="A581" t="s">
        <v>90</v>
      </c>
      <c r="B581" t="s">
        <v>5</v>
      </c>
      <c r="C581" t="s">
        <v>84</v>
      </c>
      <c r="D581" t="s">
        <v>85</v>
      </c>
      <c r="E581" t="s">
        <v>25</v>
      </c>
      <c r="F581" t="s">
        <v>85</v>
      </c>
      <c r="G581" t="s">
        <v>26</v>
      </c>
      <c r="H581" t="s">
        <v>82</v>
      </c>
      <c r="I581">
        <v>2055</v>
      </c>
      <c r="J581">
        <v>1.3749999999999998E-2</v>
      </c>
      <c r="K581" t="s">
        <v>85</v>
      </c>
    </row>
    <row r="582" spans="1:11" x14ac:dyDescent="0.45">
      <c r="A582" t="s">
        <v>90</v>
      </c>
      <c r="B582" t="s">
        <v>5</v>
      </c>
      <c r="C582" t="s">
        <v>84</v>
      </c>
      <c r="D582" t="s">
        <v>85</v>
      </c>
      <c r="E582" t="s">
        <v>25</v>
      </c>
      <c r="F582" t="s">
        <v>85</v>
      </c>
      <c r="G582" t="s">
        <v>26</v>
      </c>
      <c r="H582" t="s">
        <v>82</v>
      </c>
      <c r="I582">
        <v>2060</v>
      </c>
      <c r="J582">
        <v>2.5950000000000001E-2</v>
      </c>
      <c r="K582" t="s">
        <v>85</v>
      </c>
    </row>
    <row r="583" spans="1:11" x14ac:dyDescent="0.45">
      <c r="A583" t="s">
        <v>90</v>
      </c>
      <c r="B583" t="s">
        <v>5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2065</v>
      </c>
      <c r="J583">
        <v>3.1350000000000003E-2</v>
      </c>
      <c r="K583" t="s">
        <v>85</v>
      </c>
    </row>
    <row r="584" spans="1:11" x14ac:dyDescent="0.45">
      <c r="A584" t="s">
        <v>90</v>
      </c>
      <c r="B584" t="s">
        <v>5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2070</v>
      </c>
      <c r="J584">
        <v>3.2750000000000001E-2</v>
      </c>
      <c r="K584" t="s">
        <v>85</v>
      </c>
    </row>
    <row r="585" spans="1:11" x14ac:dyDescent="0.45">
      <c r="A585" t="s">
        <v>90</v>
      </c>
      <c r="B585" t="s">
        <v>5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2075</v>
      </c>
      <c r="J585">
        <v>3.2799999999999996E-2</v>
      </c>
      <c r="K585" t="s">
        <v>85</v>
      </c>
    </row>
    <row r="586" spans="1:11" x14ac:dyDescent="0.45">
      <c r="A586" t="s">
        <v>90</v>
      </c>
      <c r="B586" t="s">
        <v>5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2080</v>
      </c>
      <c r="J586">
        <v>3.1300000000000001E-2</v>
      </c>
      <c r="K586" t="s">
        <v>85</v>
      </c>
    </row>
    <row r="587" spans="1:11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2085</v>
      </c>
      <c r="J587">
        <v>2.87E-2</v>
      </c>
      <c r="K587" t="s">
        <v>85</v>
      </c>
    </row>
    <row r="588" spans="1:11" x14ac:dyDescent="0.45">
      <c r="A588" t="s">
        <v>90</v>
      </c>
      <c r="B588" t="s">
        <v>5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2090</v>
      </c>
      <c r="J588">
        <v>2.5149999999999999E-2</v>
      </c>
      <c r="K588" t="s">
        <v>85</v>
      </c>
    </row>
    <row r="589" spans="1:11" x14ac:dyDescent="0.45">
      <c r="A589" t="s">
        <v>90</v>
      </c>
      <c r="B589" t="s">
        <v>5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2095</v>
      </c>
      <c r="J589">
        <v>2.615E-2</v>
      </c>
      <c r="K589" t="s">
        <v>85</v>
      </c>
    </row>
    <row r="590" spans="1:11" x14ac:dyDescent="0.45">
      <c r="A590" t="s">
        <v>90</v>
      </c>
      <c r="B590" t="s">
        <v>5</v>
      </c>
      <c r="C590" t="s">
        <v>84</v>
      </c>
      <c r="D590" t="s">
        <v>85</v>
      </c>
      <c r="E590" t="s">
        <v>25</v>
      </c>
      <c r="F590" t="s">
        <v>85</v>
      </c>
      <c r="G590" t="s">
        <v>26</v>
      </c>
      <c r="H590" t="s">
        <v>82</v>
      </c>
      <c r="I590">
        <v>2100</v>
      </c>
      <c r="J590">
        <v>2.7200000000000002E-2</v>
      </c>
      <c r="K590" t="s">
        <v>85</v>
      </c>
    </row>
    <row r="591" spans="1:11" x14ac:dyDescent="0.45">
      <c r="A591" t="s">
        <v>90</v>
      </c>
      <c r="B591" t="s">
        <v>2</v>
      </c>
      <c r="C591" t="s">
        <v>84</v>
      </c>
      <c r="D591" t="s">
        <v>85</v>
      </c>
      <c r="E591" t="s">
        <v>25</v>
      </c>
      <c r="F591" t="s">
        <v>85</v>
      </c>
      <c r="G591" t="s">
        <v>26</v>
      </c>
      <c r="H591" t="s">
        <v>82</v>
      </c>
      <c r="I591">
        <v>2020</v>
      </c>
      <c r="J591">
        <v>1E-4</v>
      </c>
      <c r="K591" t="s">
        <v>85</v>
      </c>
    </row>
    <row r="592" spans="1:11" x14ac:dyDescent="0.45">
      <c r="A592" t="s">
        <v>90</v>
      </c>
      <c r="B592" t="s">
        <v>2</v>
      </c>
      <c r="C592" t="s">
        <v>84</v>
      </c>
      <c r="D592" t="s">
        <v>85</v>
      </c>
      <c r="E592" t="s">
        <v>25</v>
      </c>
      <c r="F592" t="s">
        <v>85</v>
      </c>
      <c r="G592" t="s">
        <v>26</v>
      </c>
      <c r="H592" t="s">
        <v>82</v>
      </c>
      <c r="I592">
        <v>2025</v>
      </c>
      <c r="J592">
        <v>5.9999999999999995E-4</v>
      </c>
      <c r="K592" t="s">
        <v>85</v>
      </c>
    </row>
    <row r="593" spans="1:11" x14ac:dyDescent="0.45">
      <c r="A593" t="s">
        <v>90</v>
      </c>
      <c r="B593" t="s">
        <v>2</v>
      </c>
      <c r="C593" t="s">
        <v>84</v>
      </c>
      <c r="D593" t="s">
        <v>85</v>
      </c>
      <c r="E593" t="s">
        <v>25</v>
      </c>
      <c r="F593" t="s">
        <v>85</v>
      </c>
      <c r="G593" t="s">
        <v>26</v>
      </c>
      <c r="H593" t="s">
        <v>82</v>
      </c>
      <c r="I593">
        <v>2030</v>
      </c>
      <c r="J593">
        <v>1.4E-3</v>
      </c>
      <c r="K593" t="s">
        <v>85</v>
      </c>
    </row>
    <row r="594" spans="1:11" x14ac:dyDescent="0.45">
      <c r="A594" t="s">
        <v>90</v>
      </c>
      <c r="B594" t="s">
        <v>2</v>
      </c>
      <c r="C594" t="s">
        <v>84</v>
      </c>
      <c r="D594" t="s">
        <v>85</v>
      </c>
      <c r="E594" t="s">
        <v>25</v>
      </c>
      <c r="F594" t="s">
        <v>85</v>
      </c>
      <c r="G594" t="s">
        <v>26</v>
      </c>
      <c r="H594" t="s">
        <v>82</v>
      </c>
      <c r="I594">
        <v>2035</v>
      </c>
      <c r="J594">
        <v>2.3E-3</v>
      </c>
      <c r="K594" t="s">
        <v>85</v>
      </c>
    </row>
    <row r="595" spans="1:11" x14ac:dyDescent="0.45">
      <c r="A595" t="s">
        <v>90</v>
      </c>
      <c r="B595" t="s">
        <v>2</v>
      </c>
      <c r="C595" t="s">
        <v>84</v>
      </c>
      <c r="D595" t="s">
        <v>85</v>
      </c>
      <c r="E595" t="s">
        <v>25</v>
      </c>
      <c r="F595" t="s">
        <v>85</v>
      </c>
      <c r="G595" t="s">
        <v>26</v>
      </c>
      <c r="H595" t="s">
        <v>82</v>
      </c>
      <c r="I595">
        <v>2040</v>
      </c>
      <c r="J595">
        <v>4.15E-3</v>
      </c>
      <c r="K595" t="s">
        <v>85</v>
      </c>
    </row>
    <row r="596" spans="1:11" x14ac:dyDescent="0.45">
      <c r="A596" t="s">
        <v>90</v>
      </c>
      <c r="B596" t="s">
        <v>2</v>
      </c>
      <c r="C596" t="s">
        <v>84</v>
      </c>
      <c r="D596" t="s">
        <v>85</v>
      </c>
      <c r="E596" t="s">
        <v>25</v>
      </c>
      <c r="F596" t="s">
        <v>85</v>
      </c>
      <c r="G596" t="s">
        <v>26</v>
      </c>
      <c r="H596" t="s">
        <v>82</v>
      </c>
      <c r="I596">
        <v>2045</v>
      </c>
      <c r="J596">
        <v>0.01</v>
      </c>
      <c r="K596" t="s">
        <v>85</v>
      </c>
    </row>
    <row r="597" spans="1:11" x14ac:dyDescent="0.45">
      <c r="A597" t="s">
        <v>90</v>
      </c>
      <c r="B597" t="s">
        <v>2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2050</v>
      </c>
      <c r="J597">
        <v>4.8149999999999998E-2</v>
      </c>
      <c r="K597" t="s">
        <v>85</v>
      </c>
    </row>
    <row r="598" spans="1:11" x14ac:dyDescent="0.45">
      <c r="A598" t="s">
        <v>90</v>
      </c>
      <c r="B598" t="s">
        <v>2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2055</v>
      </c>
      <c r="J598">
        <v>7.7199999999999991E-2</v>
      </c>
      <c r="K598" t="s">
        <v>85</v>
      </c>
    </row>
    <row r="599" spans="1:11" x14ac:dyDescent="0.45">
      <c r="A599" t="s">
        <v>90</v>
      </c>
      <c r="B599" t="s">
        <v>2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2060</v>
      </c>
      <c r="J599">
        <v>5.91E-2</v>
      </c>
      <c r="K599" t="s">
        <v>85</v>
      </c>
    </row>
    <row r="600" spans="1:11" x14ac:dyDescent="0.45">
      <c r="A600" t="s">
        <v>90</v>
      </c>
      <c r="B600" t="s">
        <v>2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2065</v>
      </c>
      <c r="J600">
        <v>5.7599999999999998E-2</v>
      </c>
      <c r="K600" t="s">
        <v>85</v>
      </c>
    </row>
    <row r="601" spans="1:11" x14ac:dyDescent="0.45">
      <c r="A601" t="s">
        <v>90</v>
      </c>
      <c r="B601" t="s">
        <v>2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2070</v>
      </c>
      <c r="J601">
        <v>5.525E-2</v>
      </c>
      <c r="K601" t="s">
        <v>85</v>
      </c>
    </row>
    <row r="602" spans="1:11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2075</v>
      </c>
      <c r="J602">
        <v>5.2400000000000002E-2</v>
      </c>
      <c r="K602" t="s">
        <v>85</v>
      </c>
    </row>
    <row r="603" spans="1:11" x14ac:dyDescent="0.45">
      <c r="A603" t="s">
        <v>90</v>
      </c>
      <c r="B603" t="s">
        <v>2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2080</v>
      </c>
      <c r="J603">
        <v>5.015E-2</v>
      </c>
      <c r="K603" t="s">
        <v>85</v>
      </c>
    </row>
    <row r="604" spans="1:11" x14ac:dyDescent="0.45">
      <c r="A604" t="s">
        <v>90</v>
      </c>
      <c r="B604" t="s">
        <v>2</v>
      </c>
      <c r="C604" t="s">
        <v>84</v>
      </c>
      <c r="D604" t="s">
        <v>85</v>
      </c>
      <c r="E604" t="s">
        <v>25</v>
      </c>
      <c r="F604" t="s">
        <v>85</v>
      </c>
      <c r="G604" t="s">
        <v>26</v>
      </c>
      <c r="H604" t="s">
        <v>82</v>
      </c>
      <c r="I604">
        <v>2085</v>
      </c>
      <c r="J604">
        <v>5.3849999999999995E-2</v>
      </c>
      <c r="K604" t="s">
        <v>85</v>
      </c>
    </row>
    <row r="605" spans="1:11" x14ac:dyDescent="0.45">
      <c r="A605" t="s">
        <v>90</v>
      </c>
      <c r="B605" t="s">
        <v>2</v>
      </c>
      <c r="C605" t="s">
        <v>84</v>
      </c>
      <c r="D605" t="s">
        <v>85</v>
      </c>
      <c r="E605" t="s">
        <v>25</v>
      </c>
      <c r="F605" t="s">
        <v>85</v>
      </c>
      <c r="G605" t="s">
        <v>26</v>
      </c>
      <c r="H605" t="s">
        <v>82</v>
      </c>
      <c r="I605">
        <v>2090</v>
      </c>
      <c r="J605">
        <v>5.7000000000000002E-2</v>
      </c>
      <c r="K605" t="s">
        <v>85</v>
      </c>
    </row>
    <row r="606" spans="1:11" x14ac:dyDescent="0.45">
      <c r="A606" t="s">
        <v>90</v>
      </c>
      <c r="B606" t="s">
        <v>2</v>
      </c>
      <c r="C606" t="s">
        <v>84</v>
      </c>
      <c r="D606" t="s">
        <v>85</v>
      </c>
      <c r="E606" t="s">
        <v>25</v>
      </c>
      <c r="F606" t="s">
        <v>85</v>
      </c>
      <c r="G606" t="s">
        <v>26</v>
      </c>
      <c r="H606" t="s">
        <v>82</v>
      </c>
      <c r="I606">
        <v>2095</v>
      </c>
      <c r="J606">
        <v>5.885E-2</v>
      </c>
      <c r="K606" t="s">
        <v>85</v>
      </c>
    </row>
    <row r="607" spans="1:11" x14ac:dyDescent="0.45">
      <c r="A607" t="s">
        <v>90</v>
      </c>
      <c r="B607" t="s">
        <v>2</v>
      </c>
      <c r="C607" t="s">
        <v>84</v>
      </c>
      <c r="D607" t="s">
        <v>85</v>
      </c>
      <c r="E607" t="s">
        <v>25</v>
      </c>
      <c r="F607" t="s">
        <v>85</v>
      </c>
      <c r="G607" t="s">
        <v>26</v>
      </c>
      <c r="H607" t="s">
        <v>82</v>
      </c>
      <c r="I607">
        <v>2100</v>
      </c>
      <c r="J607">
        <v>6.0999999999999999E-2</v>
      </c>
      <c r="K607" t="s">
        <v>85</v>
      </c>
    </row>
    <row r="608" spans="1:11" x14ac:dyDescent="0.45">
      <c r="A608" t="s">
        <v>90</v>
      </c>
      <c r="B608" t="s">
        <v>1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1E-4</v>
      </c>
      <c r="K608" t="s">
        <v>85</v>
      </c>
    </row>
    <row r="609" spans="1:11" x14ac:dyDescent="0.45">
      <c r="A609" t="s">
        <v>90</v>
      </c>
      <c r="B609" t="s">
        <v>1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5.0000000000000001E-4</v>
      </c>
      <c r="K609" t="s">
        <v>85</v>
      </c>
    </row>
    <row r="610" spans="1:11" x14ac:dyDescent="0.45">
      <c r="A610" t="s">
        <v>90</v>
      </c>
      <c r="B610" t="s">
        <v>1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1.1999999999999999E-3</v>
      </c>
      <c r="K610" t="s">
        <v>85</v>
      </c>
    </row>
    <row r="611" spans="1:11" x14ac:dyDescent="0.45">
      <c r="A611" t="s">
        <v>90</v>
      </c>
      <c r="B611" t="s">
        <v>1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3.2500000000000003E-3</v>
      </c>
      <c r="K611" t="s">
        <v>85</v>
      </c>
    </row>
    <row r="612" spans="1:11" x14ac:dyDescent="0.45">
      <c r="A612" t="s">
        <v>90</v>
      </c>
      <c r="B612" t="s">
        <v>1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9.4500000000000001E-3</v>
      </c>
      <c r="K612" t="s">
        <v>85</v>
      </c>
    </row>
    <row r="613" spans="1:11" x14ac:dyDescent="0.45">
      <c r="A613" t="s">
        <v>90</v>
      </c>
      <c r="B613" t="s">
        <v>1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2.41E-2</v>
      </c>
      <c r="K613" t="s">
        <v>85</v>
      </c>
    </row>
    <row r="614" spans="1:11" x14ac:dyDescent="0.45">
      <c r="A614" t="s">
        <v>90</v>
      </c>
      <c r="B614" t="s">
        <v>1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5.2600000000000001E-2</v>
      </c>
      <c r="K614" t="s">
        <v>85</v>
      </c>
    </row>
    <row r="615" spans="1:11" x14ac:dyDescent="0.45">
      <c r="A615" t="s">
        <v>90</v>
      </c>
      <c r="B615" t="s">
        <v>1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8.8150000000000006E-2</v>
      </c>
      <c r="K615" t="s">
        <v>85</v>
      </c>
    </row>
    <row r="616" spans="1:11" x14ac:dyDescent="0.45">
      <c r="A616" t="s">
        <v>90</v>
      </c>
      <c r="B616" t="s">
        <v>1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0.12345</v>
      </c>
      <c r="K616" t="s">
        <v>85</v>
      </c>
    </row>
    <row r="617" spans="1:11" x14ac:dyDescent="0.45">
      <c r="A617" t="s">
        <v>90</v>
      </c>
      <c r="B617" t="s">
        <v>1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0.12135000000000001</v>
      </c>
      <c r="K617" t="s">
        <v>85</v>
      </c>
    </row>
    <row r="618" spans="1:11" x14ac:dyDescent="0.45">
      <c r="A618" t="s">
        <v>90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0.1169</v>
      </c>
      <c r="K618" t="s">
        <v>85</v>
      </c>
    </row>
    <row r="619" spans="1:11" x14ac:dyDescent="0.45">
      <c r="A619" t="s">
        <v>90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0.1055</v>
      </c>
      <c r="K619" t="s">
        <v>85</v>
      </c>
    </row>
    <row r="620" spans="1:11" x14ac:dyDescent="0.45">
      <c r="A620" t="s">
        <v>90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9.6000000000000002E-2</v>
      </c>
      <c r="K620" t="s">
        <v>85</v>
      </c>
    </row>
    <row r="621" spans="1:11" x14ac:dyDescent="0.45">
      <c r="A621" t="s">
        <v>90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8.6900000000000005E-2</v>
      </c>
      <c r="K621" t="s">
        <v>85</v>
      </c>
    </row>
    <row r="622" spans="1:11" x14ac:dyDescent="0.45">
      <c r="A622" t="s">
        <v>90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6.4500000000000002E-2</v>
      </c>
      <c r="K622" t="s">
        <v>85</v>
      </c>
    </row>
    <row r="623" spans="1:11" x14ac:dyDescent="0.45">
      <c r="A623" t="s">
        <v>90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2.955E-2</v>
      </c>
      <c r="K623" t="s">
        <v>85</v>
      </c>
    </row>
    <row r="624" spans="1:11" x14ac:dyDescent="0.45">
      <c r="A624" t="s">
        <v>90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1.6449999999999999E-2</v>
      </c>
      <c r="K624" t="s">
        <v>85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52</v>
      </c>
      <c r="E625" t="s">
        <v>25</v>
      </c>
      <c r="F625" t="s">
        <v>52</v>
      </c>
      <c r="G625" t="s">
        <v>71</v>
      </c>
      <c r="H625" t="s">
        <v>89</v>
      </c>
      <c r="I625">
        <v>2020</v>
      </c>
      <c r="J625">
        <v>7.1000000000000004E-3</v>
      </c>
      <c r="K625" t="s">
        <v>52</v>
      </c>
      <c r="L625">
        <v>94</v>
      </c>
    </row>
    <row r="626" spans="1:12" x14ac:dyDescent="0.45">
      <c r="A626" t="s">
        <v>90</v>
      </c>
      <c r="B626" t="s">
        <v>3</v>
      </c>
      <c r="C626" t="s">
        <v>84</v>
      </c>
      <c r="D626" t="s">
        <v>52</v>
      </c>
      <c r="E626" t="s">
        <v>25</v>
      </c>
      <c r="F626" t="s">
        <v>52</v>
      </c>
      <c r="G626" t="s">
        <v>71</v>
      </c>
      <c r="H626" t="s">
        <v>89</v>
      </c>
      <c r="I626">
        <v>2025</v>
      </c>
      <c r="J626">
        <v>1E-4</v>
      </c>
      <c r="K626" t="s">
        <v>52</v>
      </c>
      <c r="L626">
        <v>94</v>
      </c>
    </row>
    <row r="627" spans="1:12" x14ac:dyDescent="0.45">
      <c r="A627" t="s">
        <v>90</v>
      </c>
      <c r="B627" t="s">
        <v>3</v>
      </c>
      <c r="C627" t="s">
        <v>84</v>
      </c>
      <c r="D627" t="s">
        <v>52</v>
      </c>
      <c r="E627" t="s">
        <v>25</v>
      </c>
      <c r="F627" t="s">
        <v>52</v>
      </c>
      <c r="G627" t="s">
        <v>71</v>
      </c>
      <c r="H627" t="s">
        <v>89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90</v>
      </c>
      <c r="B628" t="s">
        <v>3</v>
      </c>
      <c r="C628" t="s">
        <v>84</v>
      </c>
      <c r="D628" t="s">
        <v>52</v>
      </c>
      <c r="E628" t="s">
        <v>25</v>
      </c>
      <c r="F628" t="s">
        <v>52</v>
      </c>
      <c r="G628" t="s">
        <v>71</v>
      </c>
      <c r="H628" t="s">
        <v>89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90</v>
      </c>
      <c r="B629" t="s">
        <v>3</v>
      </c>
      <c r="C629" t="s">
        <v>84</v>
      </c>
      <c r="D629" t="s">
        <v>52</v>
      </c>
      <c r="E629" t="s">
        <v>25</v>
      </c>
      <c r="F629" t="s">
        <v>52</v>
      </c>
      <c r="G629" t="s">
        <v>71</v>
      </c>
      <c r="H629" t="s">
        <v>89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90</v>
      </c>
      <c r="B630" t="s">
        <v>3</v>
      </c>
      <c r="C630" t="s">
        <v>84</v>
      </c>
      <c r="D630" t="s">
        <v>52</v>
      </c>
      <c r="E630" t="s">
        <v>25</v>
      </c>
      <c r="F630" t="s">
        <v>52</v>
      </c>
      <c r="G630" t="s">
        <v>71</v>
      </c>
      <c r="H630" t="s">
        <v>89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90</v>
      </c>
      <c r="B631" t="s">
        <v>3</v>
      </c>
      <c r="C631" t="s">
        <v>84</v>
      </c>
      <c r="D631" t="s">
        <v>52</v>
      </c>
      <c r="E631" t="s">
        <v>25</v>
      </c>
      <c r="F631" t="s">
        <v>52</v>
      </c>
      <c r="G631" t="s">
        <v>71</v>
      </c>
      <c r="H631" t="s">
        <v>89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90</v>
      </c>
      <c r="B632" t="s">
        <v>3</v>
      </c>
      <c r="C632" t="s">
        <v>84</v>
      </c>
      <c r="D632" t="s">
        <v>52</v>
      </c>
      <c r="E632" t="s">
        <v>25</v>
      </c>
      <c r="F632" t="s">
        <v>52</v>
      </c>
      <c r="G632" t="s">
        <v>71</v>
      </c>
      <c r="H632" t="s">
        <v>89</v>
      </c>
      <c r="I632">
        <v>2055</v>
      </c>
      <c r="J632">
        <v>0</v>
      </c>
      <c r="K632" t="s">
        <v>52</v>
      </c>
      <c r="L632">
        <v>94</v>
      </c>
    </row>
    <row r="633" spans="1:12" x14ac:dyDescent="0.45">
      <c r="A633" t="s">
        <v>90</v>
      </c>
      <c r="B633" t="s">
        <v>3</v>
      </c>
      <c r="C633" t="s">
        <v>84</v>
      </c>
      <c r="D633" t="s">
        <v>52</v>
      </c>
      <c r="E633" t="s">
        <v>25</v>
      </c>
      <c r="F633" t="s">
        <v>52</v>
      </c>
      <c r="G633" t="s">
        <v>71</v>
      </c>
      <c r="H633" t="s">
        <v>89</v>
      </c>
      <c r="I633">
        <v>2060</v>
      </c>
      <c r="J633">
        <v>0</v>
      </c>
      <c r="K633" t="s">
        <v>52</v>
      </c>
      <c r="L633">
        <v>94</v>
      </c>
    </row>
    <row r="634" spans="1:12" x14ac:dyDescent="0.45">
      <c r="A634" t="s">
        <v>90</v>
      </c>
      <c r="B634" t="s">
        <v>3</v>
      </c>
      <c r="C634" t="s">
        <v>84</v>
      </c>
      <c r="D634" t="s">
        <v>52</v>
      </c>
      <c r="E634" t="s">
        <v>25</v>
      </c>
      <c r="F634" t="s">
        <v>52</v>
      </c>
      <c r="G634" t="s">
        <v>71</v>
      </c>
      <c r="H634" t="s">
        <v>89</v>
      </c>
      <c r="I634">
        <v>2065</v>
      </c>
      <c r="J634">
        <v>0</v>
      </c>
      <c r="K634" t="s">
        <v>52</v>
      </c>
      <c r="L634">
        <v>94</v>
      </c>
    </row>
    <row r="635" spans="1:12" x14ac:dyDescent="0.45">
      <c r="A635" t="s">
        <v>90</v>
      </c>
      <c r="B635" t="s">
        <v>3</v>
      </c>
      <c r="C635" t="s">
        <v>84</v>
      </c>
      <c r="D635" t="s">
        <v>52</v>
      </c>
      <c r="E635" t="s">
        <v>25</v>
      </c>
      <c r="F635" t="s">
        <v>52</v>
      </c>
      <c r="G635" t="s">
        <v>71</v>
      </c>
      <c r="H635" t="s">
        <v>89</v>
      </c>
      <c r="I635">
        <v>2070</v>
      </c>
      <c r="J635">
        <v>0</v>
      </c>
      <c r="K635" t="s">
        <v>52</v>
      </c>
      <c r="L635">
        <v>94</v>
      </c>
    </row>
    <row r="636" spans="1:12" x14ac:dyDescent="0.45">
      <c r="A636" t="s">
        <v>90</v>
      </c>
      <c r="B636" t="s">
        <v>3</v>
      </c>
      <c r="C636" t="s">
        <v>84</v>
      </c>
      <c r="D636" t="s">
        <v>52</v>
      </c>
      <c r="E636" t="s">
        <v>25</v>
      </c>
      <c r="F636" t="s">
        <v>52</v>
      </c>
      <c r="G636" t="s">
        <v>71</v>
      </c>
      <c r="H636" t="s">
        <v>89</v>
      </c>
      <c r="I636">
        <v>2075</v>
      </c>
      <c r="J636">
        <v>0</v>
      </c>
      <c r="K636" t="s">
        <v>52</v>
      </c>
      <c r="L636">
        <v>94</v>
      </c>
    </row>
    <row r="637" spans="1:12" x14ac:dyDescent="0.45">
      <c r="A637" t="s">
        <v>90</v>
      </c>
      <c r="B637" t="s">
        <v>3</v>
      </c>
      <c r="C637" t="s">
        <v>84</v>
      </c>
      <c r="D637" t="s">
        <v>52</v>
      </c>
      <c r="E637" t="s">
        <v>25</v>
      </c>
      <c r="F637" t="s">
        <v>52</v>
      </c>
      <c r="G637" t="s">
        <v>71</v>
      </c>
      <c r="H637" t="s">
        <v>89</v>
      </c>
      <c r="I637">
        <v>2080</v>
      </c>
      <c r="J637">
        <v>0</v>
      </c>
      <c r="K637" t="s">
        <v>52</v>
      </c>
      <c r="L637">
        <v>94</v>
      </c>
    </row>
    <row r="638" spans="1:12" x14ac:dyDescent="0.45">
      <c r="A638" t="s">
        <v>90</v>
      </c>
      <c r="B638" t="s">
        <v>3</v>
      </c>
      <c r="C638" t="s">
        <v>84</v>
      </c>
      <c r="D638" t="s">
        <v>52</v>
      </c>
      <c r="E638" t="s">
        <v>25</v>
      </c>
      <c r="F638" t="s">
        <v>52</v>
      </c>
      <c r="G638" t="s">
        <v>71</v>
      </c>
      <c r="H638" t="s">
        <v>89</v>
      </c>
      <c r="I638">
        <v>2085</v>
      </c>
      <c r="J638">
        <v>0</v>
      </c>
      <c r="K638" t="s">
        <v>52</v>
      </c>
      <c r="L638">
        <v>94</v>
      </c>
    </row>
    <row r="639" spans="1:12" x14ac:dyDescent="0.45">
      <c r="A639" t="s">
        <v>90</v>
      </c>
      <c r="B639" t="s">
        <v>3</v>
      </c>
      <c r="C639" t="s">
        <v>84</v>
      </c>
      <c r="D639" t="s">
        <v>52</v>
      </c>
      <c r="E639" t="s">
        <v>25</v>
      </c>
      <c r="F639" t="s">
        <v>52</v>
      </c>
      <c r="G639" t="s">
        <v>71</v>
      </c>
      <c r="H639" t="s">
        <v>89</v>
      </c>
      <c r="I639">
        <v>2090</v>
      </c>
      <c r="J639">
        <v>0</v>
      </c>
      <c r="K639" t="s">
        <v>52</v>
      </c>
      <c r="L639">
        <v>94</v>
      </c>
    </row>
    <row r="640" spans="1:12" x14ac:dyDescent="0.45">
      <c r="A640" t="s">
        <v>90</v>
      </c>
      <c r="B640" t="s">
        <v>3</v>
      </c>
      <c r="C640" t="s">
        <v>84</v>
      </c>
      <c r="D640" t="s">
        <v>52</v>
      </c>
      <c r="E640" t="s">
        <v>25</v>
      </c>
      <c r="F640" t="s">
        <v>52</v>
      </c>
      <c r="G640" t="s">
        <v>71</v>
      </c>
      <c r="H640" t="s">
        <v>89</v>
      </c>
      <c r="I640">
        <v>2095</v>
      </c>
      <c r="J640">
        <v>0</v>
      </c>
      <c r="K640" t="s">
        <v>52</v>
      </c>
      <c r="L640">
        <v>94</v>
      </c>
    </row>
    <row r="641" spans="1:12" x14ac:dyDescent="0.45">
      <c r="A641" t="s">
        <v>90</v>
      </c>
      <c r="B641" t="s">
        <v>3</v>
      </c>
      <c r="C641" t="s">
        <v>84</v>
      </c>
      <c r="D641" t="s">
        <v>52</v>
      </c>
      <c r="E641" t="s">
        <v>25</v>
      </c>
      <c r="F641" t="s">
        <v>52</v>
      </c>
      <c r="G641" t="s">
        <v>71</v>
      </c>
      <c r="H641" t="s">
        <v>89</v>
      </c>
      <c r="I641">
        <v>2100</v>
      </c>
      <c r="J641">
        <v>0</v>
      </c>
      <c r="K641" t="s">
        <v>52</v>
      </c>
      <c r="L641">
        <v>94</v>
      </c>
    </row>
    <row r="642" spans="1:12" x14ac:dyDescent="0.45">
      <c r="A642" t="s">
        <v>90</v>
      </c>
      <c r="B642" t="s">
        <v>4</v>
      </c>
      <c r="C642" t="s">
        <v>84</v>
      </c>
      <c r="D642" t="s">
        <v>52</v>
      </c>
      <c r="E642" t="s">
        <v>25</v>
      </c>
      <c r="F642" t="s">
        <v>52</v>
      </c>
      <c r="G642" t="s">
        <v>71</v>
      </c>
      <c r="H642" t="s">
        <v>89</v>
      </c>
      <c r="I642">
        <v>2020</v>
      </c>
      <c r="J642">
        <v>7.1000000000000004E-3</v>
      </c>
      <c r="K642" t="s">
        <v>52</v>
      </c>
      <c r="L642">
        <v>94</v>
      </c>
    </row>
    <row r="643" spans="1:12" x14ac:dyDescent="0.45">
      <c r="A643" t="s">
        <v>90</v>
      </c>
      <c r="B643" t="s">
        <v>4</v>
      </c>
      <c r="C643" t="s">
        <v>84</v>
      </c>
      <c r="D643" t="s">
        <v>52</v>
      </c>
      <c r="E643" t="s">
        <v>25</v>
      </c>
      <c r="F643" t="s">
        <v>52</v>
      </c>
      <c r="G643" t="s">
        <v>71</v>
      </c>
      <c r="H643" t="s">
        <v>89</v>
      </c>
      <c r="I643">
        <v>2025</v>
      </c>
      <c r="J643">
        <v>2.9999999999999997E-4</v>
      </c>
      <c r="K643" t="s">
        <v>52</v>
      </c>
      <c r="L643">
        <v>94</v>
      </c>
    </row>
    <row r="644" spans="1:12" x14ac:dyDescent="0.45">
      <c r="A644" t="s">
        <v>90</v>
      </c>
      <c r="B644" t="s">
        <v>4</v>
      </c>
      <c r="C644" t="s">
        <v>84</v>
      </c>
      <c r="D644" t="s">
        <v>52</v>
      </c>
      <c r="E644" t="s">
        <v>25</v>
      </c>
      <c r="F644" t="s">
        <v>52</v>
      </c>
      <c r="G644" t="s">
        <v>71</v>
      </c>
      <c r="H644" t="s">
        <v>89</v>
      </c>
      <c r="I644">
        <v>2030</v>
      </c>
      <c r="J644">
        <v>0</v>
      </c>
      <c r="K644" t="s">
        <v>52</v>
      </c>
      <c r="L644">
        <v>94</v>
      </c>
    </row>
    <row r="645" spans="1:12" x14ac:dyDescent="0.45">
      <c r="A645" t="s">
        <v>90</v>
      </c>
      <c r="B645" t="s">
        <v>4</v>
      </c>
      <c r="C645" t="s">
        <v>84</v>
      </c>
      <c r="D645" t="s">
        <v>52</v>
      </c>
      <c r="E645" t="s">
        <v>25</v>
      </c>
      <c r="F645" t="s">
        <v>52</v>
      </c>
      <c r="G645" t="s">
        <v>71</v>
      </c>
      <c r="H645" t="s">
        <v>89</v>
      </c>
      <c r="I645">
        <v>2035</v>
      </c>
      <c r="J645">
        <v>0</v>
      </c>
      <c r="K645" t="s">
        <v>52</v>
      </c>
      <c r="L645">
        <v>94</v>
      </c>
    </row>
    <row r="646" spans="1:12" x14ac:dyDescent="0.45">
      <c r="A646" t="s">
        <v>90</v>
      </c>
      <c r="B646" t="s">
        <v>4</v>
      </c>
      <c r="C646" t="s">
        <v>84</v>
      </c>
      <c r="D646" t="s">
        <v>52</v>
      </c>
      <c r="E646" t="s">
        <v>25</v>
      </c>
      <c r="F646" t="s">
        <v>52</v>
      </c>
      <c r="G646" t="s">
        <v>71</v>
      </c>
      <c r="H646" t="s">
        <v>89</v>
      </c>
      <c r="I646">
        <v>2040</v>
      </c>
      <c r="J646">
        <v>0</v>
      </c>
      <c r="K646" t="s">
        <v>52</v>
      </c>
      <c r="L646">
        <v>94</v>
      </c>
    </row>
    <row r="647" spans="1:12" x14ac:dyDescent="0.45">
      <c r="A647" t="s">
        <v>90</v>
      </c>
      <c r="B647" t="s">
        <v>4</v>
      </c>
      <c r="C647" t="s">
        <v>84</v>
      </c>
      <c r="D647" t="s">
        <v>52</v>
      </c>
      <c r="E647" t="s">
        <v>25</v>
      </c>
      <c r="F647" t="s">
        <v>52</v>
      </c>
      <c r="G647" t="s">
        <v>71</v>
      </c>
      <c r="H647" t="s">
        <v>89</v>
      </c>
      <c r="I647">
        <v>2045</v>
      </c>
      <c r="J647">
        <v>0</v>
      </c>
      <c r="K647" t="s">
        <v>52</v>
      </c>
      <c r="L647">
        <v>94</v>
      </c>
    </row>
    <row r="648" spans="1:12" x14ac:dyDescent="0.45">
      <c r="A648" t="s">
        <v>90</v>
      </c>
      <c r="B648" t="s">
        <v>4</v>
      </c>
      <c r="C648" t="s">
        <v>84</v>
      </c>
      <c r="D648" t="s">
        <v>52</v>
      </c>
      <c r="E648" t="s">
        <v>25</v>
      </c>
      <c r="F648" t="s">
        <v>52</v>
      </c>
      <c r="G648" t="s">
        <v>71</v>
      </c>
      <c r="H648" t="s">
        <v>89</v>
      </c>
      <c r="I648">
        <v>2050</v>
      </c>
      <c r="J648">
        <v>0</v>
      </c>
      <c r="K648" t="s">
        <v>52</v>
      </c>
      <c r="L648">
        <v>94</v>
      </c>
    </row>
    <row r="649" spans="1:12" x14ac:dyDescent="0.45">
      <c r="A649" t="s">
        <v>90</v>
      </c>
      <c r="B649" t="s">
        <v>4</v>
      </c>
      <c r="C649" t="s">
        <v>84</v>
      </c>
      <c r="D649" t="s">
        <v>52</v>
      </c>
      <c r="E649" t="s">
        <v>25</v>
      </c>
      <c r="F649" t="s">
        <v>52</v>
      </c>
      <c r="G649" t="s">
        <v>71</v>
      </c>
      <c r="H649" t="s">
        <v>89</v>
      </c>
      <c r="I649">
        <v>2055</v>
      </c>
      <c r="J649">
        <v>0</v>
      </c>
      <c r="K649" t="s">
        <v>52</v>
      </c>
      <c r="L649">
        <v>94</v>
      </c>
    </row>
    <row r="650" spans="1:12" x14ac:dyDescent="0.45">
      <c r="A650" t="s">
        <v>90</v>
      </c>
      <c r="B650" t="s">
        <v>4</v>
      </c>
      <c r="C650" t="s">
        <v>84</v>
      </c>
      <c r="D650" t="s">
        <v>52</v>
      </c>
      <c r="E650" t="s">
        <v>25</v>
      </c>
      <c r="F650" t="s">
        <v>52</v>
      </c>
      <c r="G650" t="s">
        <v>71</v>
      </c>
      <c r="H650" t="s">
        <v>89</v>
      </c>
      <c r="I650">
        <v>2060</v>
      </c>
      <c r="J650">
        <v>0</v>
      </c>
      <c r="K650" t="s">
        <v>52</v>
      </c>
      <c r="L650">
        <v>94</v>
      </c>
    </row>
    <row r="651" spans="1:12" x14ac:dyDescent="0.45">
      <c r="A651" t="s">
        <v>90</v>
      </c>
      <c r="B651" t="s">
        <v>4</v>
      </c>
      <c r="C651" t="s">
        <v>84</v>
      </c>
      <c r="D651" t="s">
        <v>52</v>
      </c>
      <c r="E651" t="s">
        <v>25</v>
      </c>
      <c r="F651" t="s">
        <v>52</v>
      </c>
      <c r="G651" t="s">
        <v>71</v>
      </c>
      <c r="H651" t="s">
        <v>89</v>
      </c>
      <c r="I651">
        <v>2065</v>
      </c>
      <c r="J651">
        <v>5.0000000000000002E-5</v>
      </c>
      <c r="K651" t="s">
        <v>52</v>
      </c>
      <c r="L651">
        <v>94</v>
      </c>
    </row>
    <row r="652" spans="1:12" x14ac:dyDescent="0.45">
      <c r="A652" t="s">
        <v>90</v>
      </c>
      <c r="B652" t="s">
        <v>4</v>
      </c>
      <c r="C652" t="s">
        <v>84</v>
      </c>
      <c r="D652" t="s">
        <v>52</v>
      </c>
      <c r="E652" t="s">
        <v>25</v>
      </c>
      <c r="F652" t="s">
        <v>52</v>
      </c>
      <c r="G652" t="s">
        <v>71</v>
      </c>
      <c r="H652" t="s">
        <v>89</v>
      </c>
      <c r="I652">
        <v>2070</v>
      </c>
      <c r="J652">
        <v>1.9999999999999998E-4</v>
      </c>
      <c r="K652" t="s">
        <v>52</v>
      </c>
      <c r="L652">
        <v>94</v>
      </c>
    </row>
    <row r="653" spans="1:12" x14ac:dyDescent="0.45">
      <c r="A653" t="s">
        <v>90</v>
      </c>
      <c r="B653" t="s">
        <v>4</v>
      </c>
      <c r="C653" t="s">
        <v>84</v>
      </c>
      <c r="D653" t="s">
        <v>52</v>
      </c>
      <c r="E653" t="s">
        <v>25</v>
      </c>
      <c r="F653" t="s">
        <v>52</v>
      </c>
      <c r="G653" t="s">
        <v>71</v>
      </c>
      <c r="H653" t="s">
        <v>89</v>
      </c>
      <c r="I653">
        <v>2075</v>
      </c>
      <c r="J653">
        <v>5.9999999999999995E-4</v>
      </c>
      <c r="K653" t="s">
        <v>52</v>
      </c>
      <c r="L653">
        <v>94</v>
      </c>
    </row>
    <row r="654" spans="1:12" x14ac:dyDescent="0.45">
      <c r="A654" t="s">
        <v>90</v>
      </c>
      <c r="B654" t="s">
        <v>4</v>
      </c>
      <c r="C654" t="s">
        <v>84</v>
      </c>
      <c r="D654" t="s">
        <v>52</v>
      </c>
      <c r="E654" t="s">
        <v>25</v>
      </c>
      <c r="F654" t="s">
        <v>52</v>
      </c>
      <c r="G654" t="s">
        <v>71</v>
      </c>
      <c r="H654" t="s">
        <v>89</v>
      </c>
      <c r="I654">
        <v>2080</v>
      </c>
      <c r="J654">
        <v>1E-3</v>
      </c>
      <c r="K654" t="s">
        <v>52</v>
      </c>
      <c r="L654">
        <v>94</v>
      </c>
    </row>
    <row r="655" spans="1:12" x14ac:dyDescent="0.45">
      <c r="A655" t="s">
        <v>90</v>
      </c>
      <c r="B655" t="s">
        <v>4</v>
      </c>
      <c r="C655" t="s">
        <v>84</v>
      </c>
      <c r="D655" t="s">
        <v>52</v>
      </c>
      <c r="E655" t="s">
        <v>25</v>
      </c>
      <c r="F655" t="s">
        <v>52</v>
      </c>
      <c r="G655" t="s">
        <v>71</v>
      </c>
      <c r="H655" t="s">
        <v>89</v>
      </c>
      <c r="I655">
        <v>2085</v>
      </c>
      <c r="J655">
        <v>2.2500000000000003E-3</v>
      </c>
      <c r="K655" t="s">
        <v>52</v>
      </c>
      <c r="L655">
        <v>94</v>
      </c>
    </row>
    <row r="656" spans="1:12" x14ac:dyDescent="0.45">
      <c r="A656" t="s">
        <v>90</v>
      </c>
      <c r="B656" t="s">
        <v>4</v>
      </c>
      <c r="C656" t="s">
        <v>84</v>
      </c>
      <c r="D656" t="s">
        <v>52</v>
      </c>
      <c r="E656" t="s">
        <v>25</v>
      </c>
      <c r="F656" t="s">
        <v>52</v>
      </c>
      <c r="G656" t="s">
        <v>71</v>
      </c>
      <c r="H656" t="s">
        <v>89</v>
      </c>
      <c r="I656">
        <v>2090</v>
      </c>
      <c r="J656">
        <v>3.8500000000000001E-3</v>
      </c>
      <c r="K656" t="s">
        <v>52</v>
      </c>
      <c r="L656">
        <v>94</v>
      </c>
    </row>
    <row r="657" spans="1:12" x14ac:dyDescent="0.45">
      <c r="A657" t="s">
        <v>90</v>
      </c>
      <c r="B657" t="s">
        <v>4</v>
      </c>
      <c r="C657" t="s">
        <v>84</v>
      </c>
      <c r="D657" t="s">
        <v>52</v>
      </c>
      <c r="E657" t="s">
        <v>25</v>
      </c>
      <c r="F657" t="s">
        <v>52</v>
      </c>
      <c r="G657" t="s">
        <v>71</v>
      </c>
      <c r="H657" t="s">
        <v>89</v>
      </c>
      <c r="I657">
        <v>2095</v>
      </c>
      <c r="J657">
        <v>8.9499999999999996E-3</v>
      </c>
      <c r="K657" t="s">
        <v>52</v>
      </c>
      <c r="L657">
        <v>94</v>
      </c>
    </row>
    <row r="658" spans="1:12" x14ac:dyDescent="0.45">
      <c r="A658" t="s">
        <v>90</v>
      </c>
      <c r="B658" t="s">
        <v>4</v>
      </c>
      <c r="C658" t="s">
        <v>84</v>
      </c>
      <c r="D658" t="s">
        <v>52</v>
      </c>
      <c r="E658" t="s">
        <v>25</v>
      </c>
      <c r="F658" t="s">
        <v>52</v>
      </c>
      <c r="G658" t="s">
        <v>71</v>
      </c>
      <c r="H658" t="s">
        <v>89</v>
      </c>
      <c r="I658">
        <v>2100</v>
      </c>
      <c r="J658">
        <v>1.84E-2</v>
      </c>
      <c r="K658" t="s">
        <v>52</v>
      </c>
      <c r="L658">
        <v>94</v>
      </c>
    </row>
    <row r="659" spans="1:12" x14ac:dyDescent="0.45">
      <c r="A659" t="s">
        <v>90</v>
      </c>
      <c r="B659" t="s">
        <v>0</v>
      </c>
      <c r="C659" t="s">
        <v>84</v>
      </c>
      <c r="D659" t="s">
        <v>52</v>
      </c>
      <c r="E659" t="s">
        <v>25</v>
      </c>
      <c r="F659" t="s">
        <v>52</v>
      </c>
      <c r="G659" t="s">
        <v>71</v>
      </c>
      <c r="H659" t="s">
        <v>89</v>
      </c>
      <c r="I659">
        <v>2020</v>
      </c>
      <c r="J659">
        <v>7.0000000000000001E-3</v>
      </c>
      <c r="K659" t="s">
        <v>52</v>
      </c>
      <c r="L659">
        <v>94</v>
      </c>
    </row>
    <row r="660" spans="1:12" x14ac:dyDescent="0.45">
      <c r="A660" t="s">
        <v>90</v>
      </c>
      <c r="B660" t="s">
        <v>0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2025</v>
      </c>
      <c r="J660">
        <v>2.9999999999999997E-4</v>
      </c>
      <c r="K660" t="s">
        <v>52</v>
      </c>
      <c r="L660">
        <v>94</v>
      </c>
    </row>
    <row r="661" spans="1:12" x14ac:dyDescent="0.45">
      <c r="A661" t="s">
        <v>90</v>
      </c>
      <c r="B661" t="s">
        <v>0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2030</v>
      </c>
      <c r="J661">
        <v>0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2035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0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2040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0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0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2050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0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2055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0</v>
      </c>
      <c r="C667" t="s">
        <v>84</v>
      </c>
      <c r="D667" t="s">
        <v>52</v>
      </c>
      <c r="E667" t="s">
        <v>25</v>
      </c>
      <c r="F667" t="s">
        <v>52</v>
      </c>
      <c r="G667" t="s">
        <v>71</v>
      </c>
      <c r="H667" t="s">
        <v>89</v>
      </c>
      <c r="I667">
        <v>2060</v>
      </c>
      <c r="J667">
        <v>0</v>
      </c>
      <c r="K667" t="s">
        <v>52</v>
      </c>
      <c r="L667">
        <v>94</v>
      </c>
    </row>
    <row r="668" spans="1:12" x14ac:dyDescent="0.45">
      <c r="A668" t="s">
        <v>90</v>
      </c>
      <c r="B668" t="s">
        <v>0</v>
      </c>
      <c r="C668" t="s">
        <v>84</v>
      </c>
      <c r="D668" t="s">
        <v>52</v>
      </c>
      <c r="E668" t="s">
        <v>25</v>
      </c>
      <c r="F668" t="s">
        <v>52</v>
      </c>
      <c r="G668" t="s">
        <v>71</v>
      </c>
      <c r="H668" t="s">
        <v>89</v>
      </c>
      <c r="I668">
        <v>2065</v>
      </c>
      <c r="J668">
        <v>0</v>
      </c>
      <c r="K668" t="s">
        <v>52</v>
      </c>
      <c r="L668">
        <v>94</v>
      </c>
    </row>
    <row r="669" spans="1:12" x14ac:dyDescent="0.45">
      <c r="A669" t="s">
        <v>90</v>
      </c>
      <c r="B669" t="s">
        <v>0</v>
      </c>
      <c r="C669" t="s">
        <v>84</v>
      </c>
      <c r="D669" t="s">
        <v>52</v>
      </c>
      <c r="E669" t="s">
        <v>25</v>
      </c>
      <c r="F669" t="s">
        <v>52</v>
      </c>
      <c r="G669" t="s">
        <v>71</v>
      </c>
      <c r="H669" t="s">
        <v>89</v>
      </c>
      <c r="I669">
        <v>2070</v>
      </c>
      <c r="J669">
        <v>0</v>
      </c>
      <c r="K669" t="s">
        <v>52</v>
      </c>
      <c r="L669">
        <v>94</v>
      </c>
    </row>
    <row r="670" spans="1:12" x14ac:dyDescent="0.45">
      <c r="A670" t="s">
        <v>90</v>
      </c>
      <c r="B670" t="s">
        <v>0</v>
      </c>
      <c r="C670" t="s">
        <v>84</v>
      </c>
      <c r="D670" t="s">
        <v>52</v>
      </c>
      <c r="E670" t="s">
        <v>25</v>
      </c>
      <c r="F670" t="s">
        <v>52</v>
      </c>
      <c r="G670" t="s">
        <v>71</v>
      </c>
      <c r="H670" t="s">
        <v>89</v>
      </c>
      <c r="I670">
        <v>2075</v>
      </c>
      <c r="J670">
        <v>0</v>
      </c>
      <c r="K670" t="s">
        <v>52</v>
      </c>
      <c r="L670">
        <v>94</v>
      </c>
    </row>
    <row r="671" spans="1:12" x14ac:dyDescent="0.45">
      <c r="A671" t="s">
        <v>90</v>
      </c>
      <c r="B671" t="s">
        <v>0</v>
      </c>
      <c r="C671" t="s">
        <v>84</v>
      </c>
      <c r="D671" t="s">
        <v>52</v>
      </c>
      <c r="E671" t="s">
        <v>25</v>
      </c>
      <c r="F671" t="s">
        <v>52</v>
      </c>
      <c r="G671" t="s">
        <v>71</v>
      </c>
      <c r="H671" t="s">
        <v>89</v>
      </c>
      <c r="I671">
        <v>2080</v>
      </c>
      <c r="J671">
        <v>0</v>
      </c>
      <c r="K671" t="s">
        <v>52</v>
      </c>
      <c r="L671">
        <v>94</v>
      </c>
    </row>
    <row r="672" spans="1:12" x14ac:dyDescent="0.45">
      <c r="A672" t="s">
        <v>90</v>
      </c>
      <c r="B672" t="s">
        <v>0</v>
      </c>
      <c r="C672" t="s">
        <v>84</v>
      </c>
      <c r="D672" t="s">
        <v>52</v>
      </c>
      <c r="E672" t="s">
        <v>25</v>
      </c>
      <c r="F672" t="s">
        <v>52</v>
      </c>
      <c r="G672" t="s">
        <v>71</v>
      </c>
      <c r="H672" t="s">
        <v>89</v>
      </c>
      <c r="I672">
        <v>2085</v>
      </c>
      <c r="J672">
        <v>0</v>
      </c>
      <c r="K672" t="s">
        <v>52</v>
      </c>
      <c r="L672">
        <v>94</v>
      </c>
    </row>
    <row r="673" spans="1:12" x14ac:dyDescent="0.45">
      <c r="A673" t="s">
        <v>90</v>
      </c>
      <c r="B673" t="s">
        <v>0</v>
      </c>
      <c r="C673" t="s">
        <v>84</v>
      </c>
      <c r="D673" t="s">
        <v>52</v>
      </c>
      <c r="E673" t="s">
        <v>25</v>
      </c>
      <c r="F673" t="s">
        <v>52</v>
      </c>
      <c r="G673" t="s">
        <v>71</v>
      </c>
      <c r="H673" t="s">
        <v>89</v>
      </c>
      <c r="I673">
        <v>2090</v>
      </c>
      <c r="J673">
        <v>0</v>
      </c>
      <c r="K673" t="s">
        <v>52</v>
      </c>
      <c r="L673">
        <v>94</v>
      </c>
    </row>
    <row r="674" spans="1:12" x14ac:dyDescent="0.45">
      <c r="A674" t="s">
        <v>90</v>
      </c>
      <c r="B674" t="s">
        <v>0</v>
      </c>
      <c r="C674" t="s">
        <v>84</v>
      </c>
      <c r="D674" t="s">
        <v>52</v>
      </c>
      <c r="E674" t="s">
        <v>25</v>
      </c>
      <c r="F674" t="s">
        <v>52</v>
      </c>
      <c r="G674" t="s">
        <v>71</v>
      </c>
      <c r="H674" t="s">
        <v>89</v>
      </c>
      <c r="I674">
        <v>2095</v>
      </c>
      <c r="J674">
        <v>0</v>
      </c>
      <c r="K674" t="s">
        <v>52</v>
      </c>
      <c r="L674">
        <v>94</v>
      </c>
    </row>
    <row r="675" spans="1:12" x14ac:dyDescent="0.45">
      <c r="A675" t="s">
        <v>90</v>
      </c>
      <c r="B675" t="s">
        <v>0</v>
      </c>
      <c r="C675" t="s">
        <v>84</v>
      </c>
      <c r="D675" t="s">
        <v>52</v>
      </c>
      <c r="E675" t="s">
        <v>25</v>
      </c>
      <c r="F675" t="s">
        <v>52</v>
      </c>
      <c r="G675" t="s">
        <v>71</v>
      </c>
      <c r="H675" t="s">
        <v>89</v>
      </c>
      <c r="I675">
        <v>2100</v>
      </c>
      <c r="J675">
        <v>0</v>
      </c>
      <c r="K675" t="s">
        <v>52</v>
      </c>
      <c r="L675">
        <v>94</v>
      </c>
    </row>
    <row r="676" spans="1:12" x14ac:dyDescent="0.45">
      <c r="A676" t="s">
        <v>90</v>
      </c>
      <c r="B676" t="s">
        <v>6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7.1000000000000004E-3</v>
      </c>
      <c r="K676" t="s">
        <v>52</v>
      </c>
      <c r="L676">
        <v>94</v>
      </c>
    </row>
    <row r="677" spans="1:12" x14ac:dyDescent="0.45">
      <c r="A677" t="s">
        <v>90</v>
      </c>
      <c r="B677" t="s">
        <v>6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2.9999999999999997E-4</v>
      </c>
      <c r="K677" t="s">
        <v>52</v>
      </c>
      <c r="L677">
        <v>94</v>
      </c>
    </row>
    <row r="678" spans="1:12" x14ac:dyDescent="0.45">
      <c r="A678" t="s">
        <v>90</v>
      </c>
      <c r="B678" t="s">
        <v>6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6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6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6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6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6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6.9999999999999999E-4</v>
      </c>
      <c r="K683" t="s">
        <v>52</v>
      </c>
      <c r="L683">
        <v>94</v>
      </c>
    </row>
    <row r="684" spans="1:12" x14ac:dyDescent="0.45">
      <c r="A684" t="s">
        <v>90</v>
      </c>
      <c r="B684" t="s">
        <v>6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2.2000000000000001E-3</v>
      </c>
      <c r="K684" t="s">
        <v>52</v>
      </c>
      <c r="L684">
        <v>94</v>
      </c>
    </row>
    <row r="685" spans="1:12" x14ac:dyDescent="0.45">
      <c r="A685" t="s">
        <v>90</v>
      </c>
      <c r="B685" t="s">
        <v>6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3.0500000000000002E-3</v>
      </c>
      <c r="K685" t="s">
        <v>52</v>
      </c>
      <c r="L685">
        <v>94</v>
      </c>
    </row>
    <row r="686" spans="1:12" x14ac:dyDescent="0.45">
      <c r="A686" t="s">
        <v>90</v>
      </c>
      <c r="B686" t="s">
        <v>6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4.0499999999999998E-3</v>
      </c>
      <c r="K686" t="s">
        <v>52</v>
      </c>
      <c r="L686">
        <v>94</v>
      </c>
    </row>
    <row r="687" spans="1:12" x14ac:dyDescent="0.45">
      <c r="A687" t="s">
        <v>90</v>
      </c>
      <c r="B687" t="s">
        <v>6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3.7499999999999999E-3</v>
      </c>
      <c r="K687" t="s">
        <v>52</v>
      </c>
      <c r="L687">
        <v>94</v>
      </c>
    </row>
    <row r="688" spans="1:12" x14ac:dyDescent="0.45">
      <c r="A688" t="s">
        <v>90</v>
      </c>
      <c r="B688" t="s">
        <v>6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3.5500000000000002E-3</v>
      </c>
      <c r="K688" t="s">
        <v>52</v>
      </c>
      <c r="L688">
        <v>94</v>
      </c>
    </row>
    <row r="689" spans="1:12" x14ac:dyDescent="0.45">
      <c r="A689" t="s">
        <v>90</v>
      </c>
      <c r="B689" t="s">
        <v>6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3.6499999999999996E-3</v>
      </c>
      <c r="K689" t="s">
        <v>52</v>
      </c>
      <c r="L689">
        <v>94</v>
      </c>
    </row>
    <row r="690" spans="1:12" x14ac:dyDescent="0.45">
      <c r="A690" t="s">
        <v>90</v>
      </c>
      <c r="B690" t="s">
        <v>6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3.8500000000000001E-3</v>
      </c>
      <c r="K690" t="s">
        <v>52</v>
      </c>
      <c r="L690">
        <v>94</v>
      </c>
    </row>
    <row r="691" spans="1:12" x14ac:dyDescent="0.45">
      <c r="A691" t="s">
        <v>90</v>
      </c>
      <c r="B691" t="s">
        <v>6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5.7999999999999996E-3</v>
      </c>
      <c r="K691" t="s">
        <v>52</v>
      </c>
      <c r="L691">
        <v>94</v>
      </c>
    </row>
    <row r="692" spans="1:12" x14ac:dyDescent="0.45">
      <c r="A692" t="s">
        <v>90</v>
      </c>
      <c r="B692" t="s">
        <v>6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7.7499999999999999E-3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2020</v>
      </c>
      <c r="J693">
        <v>6.7000000000000002E-3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84</v>
      </c>
      <c r="D694" t="s">
        <v>52</v>
      </c>
      <c r="E694" t="s">
        <v>25</v>
      </c>
      <c r="F694" t="s">
        <v>52</v>
      </c>
      <c r="G694" t="s">
        <v>71</v>
      </c>
      <c r="H694" t="s">
        <v>89</v>
      </c>
      <c r="I694">
        <v>2025</v>
      </c>
      <c r="J694">
        <v>2.0000000000000001E-4</v>
      </c>
      <c r="K694" t="s">
        <v>52</v>
      </c>
      <c r="L694">
        <v>94</v>
      </c>
    </row>
    <row r="695" spans="1:12" x14ac:dyDescent="0.45">
      <c r="A695" t="s">
        <v>90</v>
      </c>
      <c r="B695" t="s">
        <v>5</v>
      </c>
      <c r="C695" t="s">
        <v>84</v>
      </c>
      <c r="D695" t="s">
        <v>52</v>
      </c>
      <c r="E695" t="s">
        <v>25</v>
      </c>
      <c r="F695" t="s">
        <v>52</v>
      </c>
      <c r="G695" t="s">
        <v>71</v>
      </c>
      <c r="H695" t="s">
        <v>89</v>
      </c>
      <c r="I695">
        <v>2030</v>
      </c>
      <c r="J695">
        <v>0</v>
      </c>
      <c r="K695" t="s">
        <v>52</v>
      </c>
      <c r="L695">
        <v>94</v>
      </c>
    </row>
    <row r="696" spans="1:12" x14ac:dyDescent="0.45">
      <c r="A696" t="s">
        <v>90</v>
      </c>
      <c r="B696" t="s">
        <v>5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2035</v>
      </c>
      <c r="J696">
        <v>0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84</v>
      </c>
      <c r="D697" t="s">
        <v>52</v>
      </c>
      <c r="E697" t="s">
        <v>25</v>
      </c>
      <c r="F697" t="s">
        <v>52</v>
      </c>
      <c r="G697" t="s">
        <v>71</v>
      </c>
      <c r="H697" t="s">
        <v>89</v>
      </c>
      <c r="I697">
        <v>2040</v>
      </c>
      <c r="J697">
        <v>0</v>
      </c>
      <c r="K697" t="s">
        <v>52</v>
      </c>
      <c r="L697">
        <v>94</v>
      </c>
    </row>
    <row r="698" spans="1:12" x14ac:dyDescent="0.45">
      <c r="A698" t="s">
        <v>90</v>
      </c>
      <c r="B698" t="s">
        <v>5</v>
      </c>
      <c r="C698" t="s">
        <v>84</v>
      </c>
      <c r="D698" t="s">
        <v>52</v>
      </c>
      <c r="E698" t="s">
        <v>25</v>
      </c>
      <c r="F698" t="s">
        <v>52</v>
      </c>
      <c r="G698" t="s">
        <v>71</v>
      </c>
      <c r="H698" t="s">
        <v>89</v>
      </c>
      <c r="I698">
        <v>2045</v>
      </c>
      <c r="J698">
        <v>0</v>
      </c>
      <c r="K698" t="s">
        <v>52</v>
      </c>
      <c r="L698">
        <v>94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2050</v>
      </c>
      <c r="J699">
        <v>0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84</v>
      </c>
      <c r="D700" t="s">
        <v>52</v>
      </c>
      <c r="E700" t="s">
        <v>25</v>
      </c>
      <c r="F700" t="s">
        <v>52</v>
      </c>
      <c r="G700" t="s">
        <v>71</v>
      </c>
      <c r="H700" t="s">
        <v>89</v>
      </c>
      <c r="I700">
        <v>2055</v>
      </c>
      <c r="J700">
        <v>0</v>
      </c>
      <c r="K700" t="s">
        <v>52</v>
      </c>
      <c r="L700">
        <v>94</v>
      </c>
    </row>
    <row r="701" spans="1:12" x14ac:dyDescent="0.45">
      <c r="A701" t="s">
        <v>90</v>
      </c>
      <c r="B701" t="s">
        <v>5</v>
      </c>
      <c r="C701" t="s">
        <v>84</v>
      </c>
      <c r="D701" t="s">
        <v>52</v>
      </c>
      <c r="E701" t="s">
        <v>25</v>
      </c>
      <c r="F701" t="s">
        <v>52</v>
      </c>
      <c r="G701" t="s">
        <v>71</v>
      </c>
      <c r="H701" t="s">
        <v>89</v>
      </c>
      <c r="I701">
        <v>2060</v>
      </c>
      <c r="J701">
        <v>0</v>
      </c>
      <c r="K701" t="s">
        <v>52</v>
      </c>
      <c r="L701">
        <v>94</v>
      </c>
    </row>
    <row r="702" spans="1:12" x14ac:dyDescent="0.45">
      <c r="A702" t="s">
        <v>90</v>
      </c>
      <c r="B702" t="s">
        <v>5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2065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84</v>
      </c>
      <c r="D703" t="s">
        <v>52</v>
      </c>
      <c r="E703" t="s">
        <v>25</v>
      </c>
      <c r="F703" t="s">
        <v>52</v>
      </c>
      <c r="G703" t="s">
        <v>71</v>
      </c>
      <c r="H703" t="s">
        <v>89</v>
      </c>
      <c r="I703">
        <v>2070</v>
      </c>
      <c r="J703">
        <v>0</v>
      </c>
      <c r="K703" t="s">
        <v>52</v>
      </c>
      <c r="L703">
        <v>94</v>
      </c>
    </row>
    <row r="704" spans="1:12" x14ac:dyDescent="0.45">
      <c r="A704" t="s">
        <v>90</v>
      </c>
      <c r="B704" t="s">
        <v>5</v>
      </c>
      <c r="C704" t="s">
        <v>84</v>
      </c>
      <c r="D704" t="s">
        <v>52</v>
      </c>
      <c r="E704" t="s">
        <v>25</v>
      </c>
      <c r="F704" t="s">
        <v>52</v>
      </c>
      <c r="G704" t="s">
        <v>71</v>
      </c>
      <c r="H704" t="s">
        <v>89</v>
      </c>
      <c r="I704">
        <v>2075</v>
      </c>
      <c r="J704">
        <v>0</v>
      </c>
      <c r="K704" t="s">
        <v>52</v>
      </c>
      <c r="L704">
        <v>94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2080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52</v>
      </c>
      <c r="E706" t="s">
        <v>25</v>
      </c>
      <c r="F706" t="s">
        <v>52</v>
      </c>
      <c r="G706" t="s">
        <v>71</v>
      </c>
      <c r="H706" t="s">
        <v>89</v>
      </c>
      <c r="I706">
        <v>2085</v>
      </c>
      <c r="J706">
        <v>0</v>
      </c>
      <c r="K706" t="s">
        <v>52</v>
      </c>
      <c r="L706">
        <v>94</v>
      </c>
    </row>
    <row r="707" spans="1:12" x14ac:dyDescent="0.45">
      <c r="A707" t="s">
        <v>90</v>
      </c>
      <c r="B707" t="s">
        <v>5</v>
      </c>
      <c r="C707" t="s">
        <v>84</v>
      </c>
      <c r="D707" t="s">
        <v>52</v>
      </c>
      <c r="E707" t="s">
        <v>25</v>
      </c>
      <c r="F707" t="s">
        <v>52</v>
      </c>
      <c r="G707" t="s">
        <v>71</v>
      </c>
      <c r="H707" t="s">
        <v>89</v>
      </c>
      <c r="I707">
        <v>2090</v>
      </c>
      <c r="J707">
        <v>0</v>
      </c>
      <c r="K707" t="s">
        <v>52</v>
      </c>
      <c r="L707">
        <v>94</v>
      </c>
    </row>
    <row r="708" spans="1:12" x14ac:dyDescent="0.45">
      <c r="A708" t="s">
        <v>90</v>
      </c>
      <c r="B708" t="s">
        <v>5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2095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2100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2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7.1000000000000004E-3</v>
      </c>
      <c r="K710" t="s">
        <v>52</v>
      </c>
      <c r="L710">
        <v>94</v>
      </c>
    </row>
    <row r="711" spans="1:12" x14ac:dyDescent="0.45">
      <c r="A711" t="s">
        <v>90</v>
      </c>
      <c r="B711" t="s">
        <v>2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2.0000000000000001E-4</v>
      </c>
      <c r="K711" t="s">
        <v>52</v>
      </c>
      <c r="L711">
        <v>94</v>
      </c>
    </row>
    <row r="712" spans="1:12" x14ac:dyDescent="0.45">
      <c r="A712" t="s">
        <v>90</v>
      </c>
      <c r="B712" t="s">
        <v>2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0</v>
      </c>
      <c r="K712" t="s">
        <v>52</v>
      </c>
      <c r="L712">
        <v>94</v>
      </c>
    </row>
    <row r="713" spans="1:12" x14ac:dyDescent="0.45">
      <c r="A713" t="s">
        <v>90</v>
      </c>
      <c r="B713" t="s">
        <v>2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2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2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0</v>
      </c>
      <c r="K716" t="s">
        <v>52</v>
      </c>
      <c r="L716">
        <v>94</v>
      </c>
    </row>
    <row r="717" spans="1:12" x14ac:dyDescent="0.45">
      <c r="A717" t="s">
        <v>90</v>
      </c>
      <c r="B717" t="s">
        <v>2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2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2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2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5.0000000000000002E-5</v>
      </c>
      <c r="K720" t="s">
        <v>52</v>
      </c>
      <c r="L720">
        <v>94</v>
      </c>
    </row>
    <row r="721" spans="1:12" x14ac:dyDescent="0.45">
      <c r="A721" t="s">
        <v>90</v>
      </c>
      <c r="B721" t="s">
        <v>2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2.0000000000000001E-4</v>
      </c>
      <c r="K721" t="s">
        <v>52</v>
      </c>
      <c r="L721">
        <v>94</v>
      </c>
    </row>
    <row r="722" spans="1:12" x14ac:dyDescent="0.45">
      <c r="A722" t="s">
        <v>90</v>
      </c>
      <c r="B722" t="s">
        <v>2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3.5E-4</v>
      </c>
      <c r="K722" t="s">
        <v>52</v>
      </c>
      <c r="L722">
        <v>94</v>
      </c>
    </row>
    <row r="723" spans="1:12" x14ac:dyDescent="0.45">
      <c r="A723" t="s">
        <v>90</v>
      </c>
      <c r="B723" t="s">
        <v>2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9.5E-4</v>
      </c>
      <c r="K723" t="s">
        <v>52</v>
      </c>
      <c r="L723">
        <v>94</v>
      </c>
    </row>
    <row r="724" spans="1:12" x14ac:dyDescent="0.45">
      <c r="A724" t="s">
        <v>90</v>
      </c>
      <c r="B724" t="s">
        <v>2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1.5999999999999999E-3</v>
      </c>
      <c r="K724" t="s">
        <v>52</v>
      </c>
      <c r="L724">
        <v>94</v>
      </c>
    </row>
    <row r="725" spans="1:12" x14ac:dyDescent="0.45">
      <c r="A725" t="s">
        <v>90</v>
      </c>
      <c r="B725" t="s">
        <v>2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3.8000000000000004E-3</v>
      </c>
      <c r="K725" t="s">
        <v>52</v>
      </c>
      <c r="L725">
        <v>94</v>
      </c>
    </row>
    <row r="726" spans="1:12" x14ac:dyDescent="0.45">
      <c r="A726" t="s">
        <v>90</v>
      </c>
      <c r="B726" t="s">
        <v>2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6.5000000000000006E-3</v>
      </c>
      <c r="K726" t="s">
        <v>52</v>
      </c>
      <c r="L726">
        <v>94</v>
      </c>
    </row>
    <row r="727" spans="1:12" x14ac:dyDescent="0.45">
      <c r="A727" t="s">
        <v>90</v>
      </c>
      <c r="B727" t="s">
        <v>1</v>
      </c>
      <c r="C727" t="s">
        <v>84</v>
      </c>
      <c r="D727" t="s">
        <v>52</v>
      </c>
      <c r="E727" t="s">
        <v>25</v>
      </c>
      <c r="F727" t="s">
        <v>52</v>
      </c>
      <c r="G727" t="s">
        <v>71</v>
      </c>
      <c r="H727" t="s">
        <v>89</v>
      </c>
      <c r="I727">
        <v>2020</v>
      </c>
      <c r="J727">
        <v>7.0000000000000001E-3</v>
      </c>
      <c r="K727" t="s">
        <v>52</v>
      </c>
      <c r="L727">
        <v>94</v>
      </c>
    </row>
    <row r="728" spans="1:12" x14ac:dyDescent="0.45">
      <c r="A728" t="s">
        <v>90</v>
      </c>
      <c r="B728" t="s">
        <v>1</v>
      </c>
      <c r="C728" t="s">
        <v>84</v>
      </c>
      <c r="D728" t="s">
        <v>52</v>
      </c>
      <c r="E728" t="s">
        <v>25</v>
      </c>
      <c r="F728" t="s">
        <v>52</v>
      </c>
      <c r="G728" t="s">
        <v>71</v>
      </c>
      <c r="H728" t="s">
        <v>89</v>
      </c>
      <c r="I728">
        <v>2025</v>
      </c>
      <c r="J728">
        <v>1E-4</v>
      </c>
      <c r="K728" t="s">
        <v>52</v>
      </c>
      <c r="L728">
        <v>94</v>
      </c>
    </row>
    <row r="729" spans="1:12" x14ac:dyDescent="0.45">
      <c r="A729" t="s">
        <v>90</v>
      </c>
      <c r="B729" t="s">
        <v>1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2030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1</v>
      </c>
      <c r="C730" t="s">
        <v>84</v>
      </c>
      <c r="D730" t="s">
        <v>52</v>
      </c>
      <c r="E730" t="s">
        <v>25</v>
      </c>
      <c r="F730" t="s">
        <v>52</v>
      </c>
      <c r="G730" t="s">
        <v>71</v>
      </c>
      <c r="H730" t="s">
        <v>89</v>
      </c>
      <c r="I730">
        <v>2035</v>
      </c>
      <c r="J730">
        <v>0</v>
      </c>
      <c r="K730" t="s">
        <v>52</v>
      </c>
      <c r="L730">
        <v>94</v>
      </c>
    </row>
    <row r="731" spans="1:12" x14ac:dyDescent="0.45">
      <c r="A731" t="s">
        <v>90</v>
      </c>
      <c r="B731" t="s">
        <v>1</v>
      </c>
      <c r="C731" t="s">
        <v>84</v>
      </c>
      <c r="D731" t="s">
        <v>52</v>
      </c>
      <c r="E731" t="s">
        <v>25</v>
      </c>
      <c r="F731" t="s">
        <v>52</v>
      </c>
      <c r="G731" t="s">
        <v>71</v>
      </c>
      <c r="H731" t="s">
        <v>89</v>
      </c>
      <c r="I731">
        <v>2040</v>
      </c>
      <c r="J731">
        <v>0</v>
      </c>
      <c r="K731" t="s">
        <v>52</v>
      </c>
      <c r="L731">
        <v>94</v>
      </c>
    </row>
    <row r="732" spans="1:12" x14ac:dyDescent="0.45">
      <c r="A732" t="s">
        <v>90</v>
      </c>
      <c r="B732" t="s">
        <v>1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2045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1</v>
      </c>
      <c r="C733" t="s">
        <v>84</v>
      </c>
      <c r="D733" t="s">
        <v>52</v>
      </c>
      <c r="E733" t="s">
        <v>25</v>
      </c>
      <c r="F733" t="s">
        <v>52</v>
      </c>
      <c r="G733" t="s">
        <v>71</v>
      </c>
      <c r="H733" t="s">
        <v>89</v>
      </c>
      <c r="I733">
        <v>2050</v>
      </c>
      <c r="J733">
        <v>0</v>
      </c>
      <c r="K733" t="s">
        <v>52</v>
      </c>
      <c r="L733">
        <v>94</v>
      </c>
    </row>
    <row r="734" spans="1:12" x14ac:dyDescent="0.45">
      <c r="A734" t="s">
        <v>90</v>
      </c>
      <c r="B734" t="s">
        <v>1</v>
      </c>
      <c r="C734" t="s">
        <v>84</v>
      </c>
      <c r="D734" t="s">
        <v>52</v>
      </c>
      <c r="E734" t="s">
        <v>25</v>
      </c>
      <c r="F734" t="s">
        <v>52</v>
      </c>
      <c r="G734" t="s">
        <v>71</v>
      </c>
      <c r="H734" t="s">
        <v>89</v>
      </c>
      <c r="I734">
        <v>2055</v>
      </c>
      <c r="J734">
        <v>0</v>
      </c>
      <c r="K734" t="s">
        <v>52</v>
      </c>
      <c r="L734">
        <v>94</v>
      </c>
    </row>
    <row r="735" spans="1:12" x14ac:dyDescent="0.45">
      <c r="A735" t="s">
        <v>90</v>
      </c>
      <c r="B735" t="s">
        <v>1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2060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1</v>
      </c>
      <c r="C736" t="s">
        <v>84</v>
      </c>
      <c r="D736" t="s">
        <v>52</v>
      </c>
      <c r="E736" t="s">
        <v>25</v>
      </c>
      <c r="F736" t="s">
        <v>52</v>
      </c>
      <c r="G736" t="s">
        <v>71</v>
      </c>
      <c r="H736" t="s">
        <v>89</v>
      </c>
      <c r="I736">
        <v>2065</v>
      </c>
      <c r="J736">
        <v>0</v>
      </c>
      <c r="K736" t="s">
        <v>52</v>
      </c>
      <c r="L736">
        <v>94</v>
      </c>
    </row>
    <row r="737" spans="1:12" x14ac:dyDescent="0.45">
      <c r="A737" t="s">
        <v>90</v>
      </c>
      <c r="B737" t="s">
        <v>1</v>
      </c>
      <c r="C737" t="s">
        <v>84</v>
      </c>
      <c r="D737" t="s">
        <v>52</v>
      </c>
      <c r="E737" t="s">
        <v>25</v>
      </c>
      <c r="F737" t="s">
        <v>52</v>
      </c>
      <c r="G737" t="s">
        <v>71</v>
      </c>
      <c r="H737" t="s">
        <v>89</v>
      </c>
      <c r="I737">
        <v>2070</v>
      </c>
      <c r="J737">
        <v>0</v>
      </c>
      <c r="K737" t="s">
        <v>52</v>
      </c>
      <c r="L737">
        <v>94</v>
      </c>
    </row>
    <row r="738" spans="1:12" x14ac:dyDescent="0.45">
      <c r="A738" t="s">
        <v>90</v>
      </c>
      <c r="B738" t="s">
        <v>1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2075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1</v>
      </c>
      <c r="C739" t="s">
        <v>84</v>
      </c>
      <c r="D739" t="s">
        <v>52</v>
      </c>
      <c r="E739" t="s">
        <v>25</v>
      </c>
      <c r="F739" t="s">
        <v>52</v>
      </c>
      <c r="G739" t="s">
        <v>71</v>
      </c>
      <c r="H739" t="s">
        <v>89</v>
      </c>
      <c r="I739">
        <v>2080</v>
      </c>
      <c r="J739">
        <v>0</v>
      </c>
      <c r="K739" t="s">
        <v>52</v>
      </c>
      <c r="L739">
        <v>94</v>
      </c>
    </row>
    <row r="740" spans="1:12" x14ac:dyDescent="0.45">
      <c r="A740" t="s">
        <v>90</v>
      </c>
      <c r="B740" t="s">
        <v>1</v>
      </c>
      <c r="C740" t="s">
        <v>84</v>
      </c>
      <c r="D740" t="s">
        <v>52</v>
      </c>
      <c r="E740" t="s">
        <v>25</v>
      </c>
      <c r="F740" t="s">
        <v>52</v>
      </c>
      <c r="G740" t="s">
        <v>71</v>
      </c>
      <c r="H740" t="s">
        <v>89</v>
      </c>
      <c r="I740">
        <v>2085</v>
      </c>
      <c r="J740">
        <v>0</v>
      </c>
      <c r="K740" t="s">
        <v>52</v>
      </c>
      <c r="L740">
        <v>94</v>
      </c>
    </row>
    <row r="741" spans="1:12" x14ac:dyDescent="0.45">
      <c r="A741" t="s">
        <v>90</v>
      </c>
      <c r="B741" t="s">
        <v>1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2090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1</v>
      </c>
      <c r="C742" t="s">
        <v>84</v>
      </c>
      <c r="D742" t="s">
        <v>52</v>
      </c>
      <c r="E742" t="s">
        <v>25</v>
      </c>
      <c r="F742" t="s">
        <v>52</v>
      </c>
      <c r="G742" t="s">
        <v>71</v>
      </c>
      <c r="H742" t="s">
        <v>89</v>
      </c>
      <c r="I742">
        <v>2095</v>
      </c>
      <c r="J742">
        <v>0</v>
      </c>
      <c r="K742" t="s">
        <v>52</v>
      </c>
      <c r="L742">
        <v>94</v>
      </c>
    </row>
    <row r="743" spans="1:12" x14ac:dyDescent="0.45">
      <c r="A743" t="s">
        <v>90</v>
      </c>
      <c r="B743" t="s">
        <v>1</v>
      </c>
      <c r="C743" t="s">
        <v>84</v>
      </c>
      <c r="D743" t="s">
        <v>52</v>
      </c>
      <c r="E743" t="s">
        <v>25</v>
      </c>
      <c r="F743" t="s">
        <v>52</v>
      </c>
      <c r="G743" t="s">
        <v>71</v>
      </c>
      <c r="H743" t="s">
        <v>89</v>
      </c>
      <c r="I743">
        <v>2100</v>
      </c>
      <c r="J743">
        <v>0</v>
      </c>
      <c r="K743" t="s">
        <v>52</v>
      </c>
      <c r="L743">
        <v>94</v>
      </c>
    </row>
    <row r="744" spans="1:12" x14ac:dyDescent="0.45">
      <c r="A744" t="s">
        <v>90</v>
      </c>
      <c r="B744" t="s">
        <v>3</v>
      </c>
      <c r="C744" t="s">
        <v>84</v>
      </c>
      <c r="D744" t="s">
        <v>53</v>
      </c>
      <c r="E744" t="s">
        <v>25</v>
      </c>
      <c r="F744" t="s">
        <v>53</v>
      </c>
      <c r="G744" t="s">
        <v>71</v>
      </c>
      <c r="H744" t="s">
        <v>89</v>
      </c>
      <c r="I744">
        <v>2020</v>
      </c>
      <c r="J744">
        <v>0</v>
      </c>
      <c r="K744" t="s">
        <v>53</v>
      </c>
      <c r="L744">
        <v>55</v>
      </c>
    </row>
    <row r="745" spans="1:12" x14ac:dyDescent="0.45">
      <c r="A745" t="s">
        <v>90</v>
      </c>
      <c r="B745" t="s">
        <v>3</v>
      </c>
      <c r="C745" t="s">
        <v>84</v>
      </c>
      <c r="D745" t="s">
        <v>53</v>
      </c>
      <c r="E745" t="s">
        <v>25</v>
      </c>
      <c r="F745" t="s">
        <v>53</v>
      </c>
      <c r="G745" t="s">
        <v>71</v>
      </c>
      <c r="H745" t="s">
        <v>89</v>
      </c>
      <c r="I745">
        <v>2025</v>
      </c>
      <c r="J745">
        <v>0</v>
      </c>
      <c r="K745" t="s">
        <v>53</v>
      </c>
      <c r="L745">
        <v>55</v>
      </c>
    </row>
    <row r="746" spans="1:12" x14ac:dyDescent="0.45">
      <c r="A746" t="s">
        <v>90</v>
      </c>
      <c r="B746" t="s">
        <v>3</v>
      </c>
      <c r="C746" t="s">
        <v>84</v>
      </c>
      <c r="D746" t="s">
        <v>53</v>
      </c>
      <c r="E746" t="s">
        <v>25</v>
      </c>
      <c r="F746" t="s">
        <v>53</v>
      </c>
      <c r="G746" t="s">
        <v>71</v>
      </c>
      <c r="H746" t="s">
        <v>89</v>
      </c>
      <c r="I746">
        <v>2030</v>
      </c>
      <c r="J746">
        <v>1E-4</v>
      </c>
      <c r="K746" t="s">
        <v>53</v>
      </c>
      <c r="L746">
        <v>55</v>
      </c>
    </row>
    <row r="747" spans="1:12" x14ac:dyDescent="0.45">
      <c r="A747" t="s">
        <v>90</v>
      </c>
      <c r="B747" t="s">
        <v>3</v>
      </c>
      <c r="C747" t="s">
        <v>84</v>
      </c>
      <c r="D747" t="s">
        <v>53</v>
      </c>
      <c r="E747" t="s">
        <v>25</v>
      </c>
      <c r="F747" t="s">
        <v>53</v>
      </c>
      <c r="G747" t="s">
        <v>71</v>
      </c>
      <c r="H747" t="s">
        <v>89</v>
      </c>
      <c r="I747">
        <v>2035</v>
      </c>
      <c r="J747">
        <v>1E-4</v>
      </c>
      <c r="K747" t="s">
        <v>53</v>
      </c>
      <c r="L747">
        <v>55</v>
      </c>
    </row>
    <row r="748" spans="1:12" x14ac:dyDescent="0.45">
      <c r="A748" t="s">
        <v>90</v>
      </c>
      <c r="B748" t="s">
        <v>3</v>
      </c>
      <c r="C748" t="s">
        <v>84</v>
      </c>
      <c r="D748" t="s">
        <v>53</v>
      </c>
      <c r="E748" t="s">
        <v>25</v>
      </c>
      <c r="F748" t="s">
        <v>53</v>
      </c>
      <c r="G748" t="s">
        <v>71</v>
      </c>
      <c r="H748" t="s">
        <v>89</v>
      </c>
      <c r="I748">
        <v>2040</v>
      </c>
      <c r="J748">
        <v>1E-4</v>
      </c>
      <c r="K748" t="s">
        <v>53</v>
      </c>
      <c r="L748">
        <v>55</v>
      </c>
    </row>
    <row r="749" spans="1:12" x14ac:dyDescent="0.45">
      <c r="A749" t="s">
        <v>90</v>
      </c>
      <c r="B749" t="s">
        <v>3</v>
      </c>
      <c r="C749" t="s">
        <v>84</v>
      </c>
      <c r="D749" t="s">
        <v>53</v>
      </c>
      <c r="E749" t="s">
        <v>25</v>
      </c>
      <c r="F749" t="s">
        <v>53</v>
      </c>
      <c r="G749" t="s">
        <v>71</v>
      </c>
      <c r="H749" t="s">
        <v>89</v>
      </c>
      <c r="I749">
        <v>2045</v>
      </c>
      <c r="J749">
        <v>0</v>
      </c>
      <c r="K749" t="s">
        <v>53</v>
      </c>
      <c r="L749">
        <v>55</v>
      </c>
    </row>
    <row r="750" spans="1:12" x14ac:dyDescent="0.45">
      <c r="A750" t="s">
        <v>90</v>
      </c>
      <c r="B750" t="s">
        <v>3</v>
      </c>
      <c r="C750" t="s">
        <v>84</v>
      </c>
      <c r="D750" t="s">
        <v>53</v>
      </c>
      <c r="E750" t="s">
        <v>25</v>
      </c>
      <c r="F750" t="s">
        <v>53</v>
      </c>
      <c r="G750" t="s">
        <v>71</v>
      </c>
      <c r="H750" t="s">
        <v>89</v>
      </c>
      <c r="I750">
        <v>2050</v>
      </c>
      <c r="J750">
        <v>1E-4</v>
      </c>
      <c r="K750" t="s">
        <v>53</v>
      </c>
      <c r="L750">
        <v>55</v>
      </c>
    </row>
    <row r="751" spans="1:12" x14ac:dyDescent="0.45">
      <c r="A751" t="s">
        <v>90</v>
      </c>
      <c r="B751" t="s">
        <v>3</v>
      </c>
      <c r="C751" t="s">
        <v>84</v>
      </c>
      <c r="D751" t="s">
        <v>53</v>
      </c>
      <c r="E751" t="s">
        <v>25</v>
      </c>
      <c r="F751" t="s">
        <v>53</v>
      </c>
      <c r="G751" t="s">
        <v>71</v>
      </c>
      <c r="H751" t="s">
        <v>89</v>
      </c>
      <c r="I751">
        <v>2055</v>
      </c>
      <c r="J751">
        <v>1E-4</v>
      </c>
      <c r="K751" t="s">
        <v>53</v>
      </c>
      <c r="L751">
        <v>55</v>
      </c>
    </row>
    <row r="752" spans="1:12" x14ac:dyDescent="0.45">
      <c r="A752" t="s">
        <v>90</v>
      </c>
      <c r="B752" t="s">
        <v>3</v>
      </c>
      <c r="C752" t="s">
        <v>84</v>
      </c>
      <c r="D752" t="s">
        <v>53</v>
      </c>
      <c r="E752" t="s">
        <v>25</v>
      </c>
      <c r="F752" t="s">
        <v>53</v>
      </c>
      <c r="G752" t="s">
        <v>71</v>
      </c>
      <c r="H752" t="s">
        <v>89</v>
      </c>
      <c r="I752">
        <v>2060</v>
      </c>
      <c r="J752">
        <v>1E-4</v>
      </c>
      <c r="K752" t="s">
        <v>53</v>
      </c>
      <c r="L752">
        <v>55</v>
      </c>
    </row>
    <row r="753" spans="1:12" x14ac:dyDescent="0.45">
      <c r="A753" t="s">
        <v>90</v>
      </c>
      <c r="B753" t="s">
        <v>3</v>
      </c>
      <c r="C753" t="s">
        <v>84</v>
      </c>
      <c r="D753" t="s">
        <v>53</v>
      </c>
      <c r="E753" t="s">
        <v>25</v>
      </c>
      <c r="F753" t="s">
        <v>53</v>
      </c>
      <c r="G753" t="s">
        <v>71</v>
      </c>
      <c r="H753" t="s">
        <v>89</v>
      </c>
      <c r="I753">
        <v>2065</v>
      </c>
      <c r="J753">
        <v>1E-4</v>
      </c>
      <c r="K753" t="s">
        <v>53</v>
      </c>
      <c r="L753">
        <v>55</v>
      </c>
    </row>
    <row r="754" spans="1:12" x14ac:dyDescent="0.45">
      <c r="A754" t="s">
        <v>90</v>
      </c>
      <c r="B754" t="s">
        <v>3</v>
      </c>
      <c r="C754" t="s">
        <v>84</v>
      </c>
      <c r="D754" t="s">
        <v>53</v>
      </c>
      <c r="E754" t="s">
        <v>25</v>
      </c>
      <c r="F754" t="s">
        <v>53</v>
      </c>
      <c r="G754" t="s">
        <v>71</v>
      </c>
      <c r="H754" t="s">
        <v>89</v>
      </c>
      <c r="I754">
        <v>2070</v>
      </c>
      <c r="J754">
        <v>1E-4</v>
      </c>
      <c r="K754" t="s">
        <v>53</v>
      </c>
      <c r="L754">
        <v>55</v>
      </c>
    </row>
    <row r="755" spans="1:12" x14ac:dyDescent="0.45">
      <c r="A755" t="s">
        <v>90</v>
      </c>
      <c r="B755" t="s">
        <v>3</v>
      </c>
      <c r="C755" t="s">
        <v>84</v>
      </c>
      <c r="D755" t="s">
        <v>53</v>
      </c>
      <c r="E755" t="s">
        <v>25</v>
      </c>
      <c r="F755" t="s">
        <v>53</v>
      </c>
      <c r="G755" t="s">
        <v>71</v>
      </c>
      <c r="H755" t="s">
        <v>89</v>
      </c>
      <c r="I755">
        <v>2075</v>
      </c>
      <c r="J755">
        <v>5.0000000000000002E-5</v>
      </c>
      <c r="K755" t="s">
        <v>53</v>
      </c>
      <c r="L755">
        <v>55</v>
      </c>
    </row>
    <row r="756" spans="1:12" x14ac:dyDescent="0.45">
      <c r="A756" t="s">
        <v>90</v>
      </c>
      <c r="B756" t="s">
        <v>3</v>
      </c>
      <c r="C756" t="s">
        <v>84</v>
      </c>
      <c r="D756" t="s">
        <v>53</v>
      </c>
      <c r="E756" t="s">
        <v>25</v>
      </c>
      <c r="F756" t="s">
        <v>53</v>
      </c>
      <c r="G756" t="s">
        <v>71</v>
      </c>
      <c r="H756" t="s">
        <v>89</v>
      </c>
      <c r="I756">
        <v>2080</v>
      </c>
      <c r="J756">
        <v>0</v>
      </c>
      <c r="K756" t="s">
        <v>53</v>
      </c>
      <c r="L756">
        <v>55</v>
      </c>
    </row>
    <row r="757" spans="1:12" x14ac:dyDescent="0.45">
      <c r="A757" t="s">
        <v>90</v>
      </c>
      <c r="B757" t="s">
        <v>3</v>
      </c>
      <c r="C757" t="s">
        <v>84</v>
      </c>
      <c r="D757" t="s">
        <v>53</v>
      </c>
      <c r="E757" t="s">
        <v>25</v>
      </c>
      <c r="F757" t="s">
        <v>53</v>
      </c>
      <c r="G757" t="s">
        <v>71</v>
      </c>
      <c r="H757" t="s">
        <v>89</v>
      </c>
      <c r="I757">
        <v>2085</v>
      </c>
      <c r="J757">
        <v>0</v>
      </c>
      <c r="K757" t="s">
        <v>53</v>
      </c>
      <c r="L757">
        <v>55</v>
      </c>
    </row>
    <row r="758" spans="1:12" x14ac:dyDescent="0.45">
      <c r="A758" t="s">
        <v>90</v>
      </c>
      <c r="B758" t="s">
        <v>3</v>
      </c>
      <c r="C758" t="s">
        <v>84</v>
      </c>
      <c r="D758" t="s">
        <v>53</v>
      </c>
      <c r="E758" t="s">
        <v>25</v>
      </c>
      <c r="F758" t="s">
        <v>53</v>
      </c>
      <c r="G758" t="s">
        <v>71</v>
      </c>
      <c r="H758" t="s">
        <v>89</v>
      </c>
      <c r="I758">
        <v>2090</v>
      </c>
      <c r="J758">
        <v>0</v>
      </c>
      <c r="K758" t="s">
        <v>53</v>
      </c>
      <c r="L758">
        <v>55</v>
      </c>
    </row>
    <row r="759" spans="1:12" x14ac:dyDescent="0.45">
      <c r="A759" t="s">
        <v>90</v>
      </c>
      <c r="B759" t="s">
        <v>3</v>
      </c>
      <c r="C759" t="s">
        <v>84</v>
      </c>
      <c r="D759" t="s">
        <v>53</v>
      </c>
      <c r="E759" t="s">
        <v>25</v>
      </c>
      <c r="F759" t="s">
        <v>53</v>
      </c>
      <c r="G759" t="s">
        <v>71</v>
      </c>
      <c r="H759" t="s">
        <v>89</v>
      </c>
      <c r="I759">
        <v>2095</v>
      </c>
      <c r="J759">
        <v>0</v>
      </c>
      <c r="K759" t="s">
        <v>53</v>
      </c>
      <c r="L759">
        <v>55</v>
      </c>
    </row>
    <row r="760" spans="1:12" x14ac:dyDescent="0.45">
      <c r="A760" t="s">
        <v>90</v>
      </c>
      <c r="B760" t="s">
        <v>3</v>
      </c>
      <c r="C760" t="s">
        <v>84</v>
      </c>
      <c r="D760" t="s">
        <v>53</v>
      </c>
      <c r="E760" t="s">
        <v>25</v>
      </c>
      <c r="F760" t="s">
        <v>53</v>
      </c>
      <c r="G760" t="s">
        <v>71</v>
      </c>
      <c r="H760" t="s">
        <v>89</v>
      </c>
      <c r="I760">
        <v>2100</v>
      </c>
      <c r="J760">
        <v>0</v>
      </c>
      <c r="K760" t="s">
        <v>53</v>
      </c>
      <c r="L760">
        <v>55</v>
      </c>
    </row>
    <row r="761" spans="1:12" x14ac:dyDescent="0.45">
      <c r="A761" t="s">
        <v>90</v>
      </c>
      <c r="B761" t="s">
        <v>4</v>
      </c>
      <c r="C761" t="s">
        <v>84</v>
      </c>
      <c r="D761" t="s">
        <v>53</v>
      </c>
      <c r="E761" t="s">
        <v>25</v>
      </c>
      <c r="F761" t="s">
        <v>53</v>
      </c>
      <c r="G761" t="s">
        <v>71</v>
      </c>
      <c r="H761" t="s">
        <v>89</v>
      </c>
      <c r="I761">
        <v>2020</v>
      </c>
      <c r="J761">
        <v>0</v>
      </c>
      <c r="K761" t="s">
        <v>53</v>
      </c>
      <c r="L761">
        <v>55</v>
      </c>
    </row>
    <row r="762" spans="1:12" x14ac:dyDescent="0.45">
      <c r="A762" t="s">
        <v>90</v>
      </c>
      <c r="B762" t="s">
        <v>4</v>
      </c>
      <c r="C762" t="s">
        <v>84</v>
      </c>
      <c r="D762" t="s">
        <v>53</v>
      </c>
      <c r="E762" t="s">
        <v>25</v>
      </c>
      <c r="F762" t="s">
        <v>53</v>
      </c>
      <c r="G762" t="s">
        <v>71</v>
      </c>
      <c r="H762" t="s">
        <v>89</v>
      </c>
      <c r="I762">
        <v>2025</v>
      </c>
      <c r="J762">
        <v>1E-4</v>
      </c>
      <c r="K762" t="s">
        <v>53</v>
      </c>
      <c r="L762">
        <v>55</v>
      </c>
    </row>
    <row r="763" spans="1:12" x14ac:dyDescent="0.45">
      <c r="A763" t="s">
        <v>90</v>
      </c>
      <c r="B763" t="s">
        <v>4</v>
      </c>
      <c r="C763" t="s">
        <v>84</v>
      </c>
      <c r="D763" t="s">
        <v>53</v>
      </c>
      <c r="E763" t="s">
        <v>25</v>
      </c>
      <c r="F763" t="s">
        <v>53</v>
      </c>
      <c r="G763" t="s">
        <v>71</v>
      </c>
      <c r="H763" t="s">
        <v>89</v>
      </c>
      <c r="I763">
        <v>2030</v>
      </c>
      <c r="J763">
        <v>1E-4</v>
      </c>
      <c r="K763" t="s">
        <v>53</v>
      </c>
      <c r="L763">
        <v>55</v>
      </c>
    </row>
    <row r="764" spans="1:12" x14ac:dyDescent="0.45">
      <c r="A764" t="s">
        <v>90</v>
      </c>
      <c r="B764" t="s">
        <v>4</v>
      </c>
      <c r="C764" t="s">
        <v>84</v>
      </c>
      <c r="D764" t="s">
        <v>53</v>
      </c>
      <c r="E764" t="s">
        <v>25</v>
      </c>
      <c r="F764" t="s">
        <v>53</v>
      </c>
      <c r="G764" t="s">
        <v>71</v>
      </c>
      <c r="H764" t="s">
        <v>89</v>
      </c>
      <c r="I764">
        <v>2035</v>
      </c>
      <c r="J764">
        <v>2.9999999999999997E-4</v>
      </c>
      <c r="K764" t="s">
        <v>53</v>
      </c>
      <c r="L764">
        <v>55</v>
      </c>
    </row>
    <row r="765" spans="1:12" x14ac:dyDescent="0.45">
      <c r="A765" t="s">
        <v>90</v>
      </c>
      <c r="B765" t="s">
        <v>4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2040</v>
      </c>
      <c r="J765">
        <v>4.0000000000000002E-4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2045</v>
      </c>
      <c r="J766">
        <v>5.9999999999999995E-4</v>
      </c>
      <c r="K766" t="s">
        <v>53</v>
      </c>
      <c r="L766">
        <v>55</v>
      </c>
    </row>
    <row r="767" spans="1:12" x14ac:dyDescent="0.45">
      <c r="A767" t="s">
        <v>90</v>
      </c>
      <c r="B767" t="s">
        <v>4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2050</v>
      </c>
      <c r="J767">
        <v>6.9999999999999999E-4</v>
      </c>
      <c r="K767" t="s">
        <v>53</v>
      </c>
      <c r="L767">
        <v>55</v>
      </c>
    </row>
    <row r="768" spans="1:12" x14ac:dyDescent="0.45">
      <c r="A768" t="s">
        <v>90</v>
      </c>
      <c r="B768" t="s">
        <v>4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2055</v>
      </c>
      <c r="J768">
        <v>8.5000000000000006E-4</v>
      </c>
      <c r="K768" t="s">
        <v>53</v>
      </c>
      <c r="L768">
        <v>55</v>
      </c>
    </row>
    <row r="769" spans="1:12" x14ac:dyDescent="0.45">
      <c r="A769" t="s">
        <v>90</v>
      </c>
      <c r="B769" t="s">
        <v>4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2060</v>
      </c>
      <c r="J769">
        <v>5.9999999999999995E-4</v>
      </c>
      <c r="K769" t="s">
        <v>53</v>
      </c>
      <c r="L769">
        <v>55</v>
      </c>
    </row>
    <row r="770" spans="1:12" x14ac:dyDescent="0.45">
      <c r="A770" t="s">
        <v>90</v>
      </c>
      <c r="B770" t="s">
        <v>4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2065</v>
      </c>
      <c r="J770">
        <v>5.0000000000000001E-4</v>
      </c>
      <c r="K770" t="s">
        <v>53</v>
      </c>
      <c r="L770">
        <v>55</v>
      </c>
    </row>
    <row r="771" spans="1:12" x14ac:dyDescent="0.45">
      <c r="A771" t="s">
        <v>90</v>
      </c>
      <c r="B771" t="s">
        <v>4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2070</v>
      </c>
      <c r="J771">
        <v>2.9999999999999997E-4</v>
      </c>
      <c r="K771" t="s">
        <v>53</v>
      </c>
      <c r="L771">
        <v>55</v>
      </c>
    </row>
    <row r="772" spans="1:12" x14ac:dyDescent="0.45">
      <c r="A772" t="s">
        <v>90</v>
      </c>
      <c r="B772" t="s">
        <v>4</v>
      </c>
      <c r="C772" t="s">
        <v>84</v>
      </c>
      <c r="D772" t="s">
        <v>53</v>
      </c>
      <c r="E772" t="s">
        <v>25</v>
      </c>
      <c r="F772" t="s">
        <v>53</v>
      </c>
      <c r="G772" t="s">
        <v>71</v>
      </c>
      <c r="H772" t="s">
        <v>89</v>
      </c>
      <c r="I772">
        <v>2075</v>
      </c>
      <c r="J772">
        <v>4.0000000000000002E-4</v>
      </c>
      <c r="K772" t="s">
        <v>53</v>
      </c>
      <c r="L772">
        <v>55</v>
      </c>
    </row>
    <row r="773" spans="1:12" x14ac:dyDescent="0.45">
      <c r="A773" t="s">
        <v>90</v>
      </c>
      <c r="B773" t="s">
        <v>4</v>
      </c>
      <c r="C773" t="s">
        <v>84</v>
      </c>
      <c r="D773" t="s">
        <v>53</v>
      </c>
      <c r="E773" t="s">
        <v>25</v>
      </c>
      <c r="F773" t="s">
        <v>53</v>
      </c>
      <c r="G773" t="s">
        <v>71</v>
      </c>
      <c r="H773" t="s">
        <v>89</v>
      </c>
      <c r="I773">
        <v>2080</v>
      </c>
      <c r="J773">
        <v>5.9999999999999995E-4</v>
      </c>
      <c r="K773" t="s">
        <v>53</v>
      </c>
      <c r="L773">
        <v>55</v>
      </c>
    </row>
    <row r="774" spans="1:12" x14ac:dyDescent="0.45">
      <c r="A774" t="s">
        <v>90</v>
      </c>
      <c r="B774" t="s">
        <v>4</v>
      </c>
      <c r="C774" t="s">
        <v>84</v>
      </c>
      <c r="D774" t="s">
        <v>53</v>
      </c>
      <c r="E774" t="s">
        <v>25</v>
      </c>
      <c r="F774" t="s">
        <v>53</v>
      </c>
      <c r="G774" t="s">
        <v>71</v>
      </c>
      <c r="H774" t="s">
        <v>89</v>
      </c>
      <c r="I774">
        <v>2085</v>
      </c>
      <c r="J774">
        <v>7.5000000000000002E-4</v>
      </c>
      <c r="K774" t="s">
        <v>53</v>
      </c>
      <c r="L774">
        <v>55</v>
      </c>
    </row>
    <row r="775" spans="1:12" x14ac:dyDescent="0.45">
      <c r="A775" t="s">
        <v>90</v>
      </c>
      <c r="B775" t="s">
        <v>4</v>
      </c>
      <c r="C775" t="s">
        <v>84</v>
      </c>
      <c r="D775" t="s">
        <v>53</v>
      </c>
      <c r="E775" t="s">
        <v>25</v>
      </c>
      <c r="F775" t="s">
        <v>53</v>
      </c>
      <c r="G775" t="s">
        <v>71</v>
      </c>
      <c r="H775" t="s">
        <v>89</v>
      </c>
      <c r="I775">
        <v>2090</v>
      </c>
      <c r="J775">
        <v>9.5E-4</v>
      </c>
      <c r="K775" t="s">
        <v>53</v>
      </c>
      <c r="L775">
        <v>55</v>
      </c>
    </row>
    <row r="776" spans="1:12" x14ac:dyDescent="0.45">
      <c r="A776" t="s">
        <v>90</v>
      </c>
      <c r="B776" t="s">
        <v>4</v>
      </c>
      <c r="C776" t="s">
        <v>84</v>
      </c>
      <c r="D776" t="s">
        <v>53</v>
      </c>
      <c r="E776" t="s">
        <v>25</v>
      </c>
      <c r="F776" t="s">
        <v>53</v>
      </c>
      <c r="G776" t="s">
        <v>71</v>
      </c>
      <c r="H776" t="s">
        <v>89</v>
      </c>
      <c r="I776">
        <v>2095</v>
      </c>
      <c r="J776">
        <v>1.0500000000000002E-3</v>
      </c>
      <c r="K776" t="s">
        <v>53</v>
      </c>
      <c r="L776">
        <v>55</v>
      </c>
    </row>
    <row r="777" spans="1:12" x14ac:dyDescent="0.45">
      <c r="A777" t="s">
        <v>90</v>
      </c>
      <c r="B777" t="s">
        <v>4</v>
      </c>
      <c r="C777" t="s">
        <v>84</v>
      </c>
      <c r="D777" t="s">
        <v>53</v>
      </c>
      <c r="E777" t="s">
        <v>25</v>
      </c>
      <c r="F777" t="s">
        <v>53</v>
      </c>
      <c r="G777" t="s">
        <v>71</v>
      </c>
      <c r="H777" t="s">
        <v>89</v>
      </c>
      <c r="I777">
        <v>2100</v>
      </c>
      <c r="J777">
        <v>1.1999999999999999E-3</v>
      </c>
      <c r="K777" t="s">
        <v>53</v>
      </c>
      <c r="L777">
        <v>55</v>
      </c>
    </row>
    <row r="778" spans="1:12" x14ac:dyDescent="0.45">
      <c r="A778" t="s">
        <v>90</v>
      </c>
      <c r="B778" t="s">
        <v>0</v>
      </c>
      <c r="C778" t="s">
        <v>84</v>
      </c>
      <c r="D778" t="s">
        <v>53</v>
      </c>
      <c r="E778" t="s">
        <v>25</v>
      </c>
      <c r="F778" t="s">
        <v>53</v>
      </c>
      <c r="G778" t="s">
        <v>71</v>
      </c>
      <c r="H778" t="s">
        <v>89</v>
      </c>
      <c r="I778">
        <v>2020</v>
      </c>
      <c r="J778">
        <v>0</v>
      </c>
      <c r="K778" t="s">
        <v>53</v>
      </c>
      <c r="L778">
        <v>55</v>
      </c>
    </row>
    <row r="779" spans="1:12" x14ac:dyDescent="0.45">
      <c r="A779" t="s">
        <v>90</v>
      </c>
      <c r="B779" t="s">
        <v>0</v>
      </c>
      <c r="C779" t="s">
        <v>84</v>
      </c>
      <c r="D779" t="s">
        <v>53</v>
      </c>
      <c r="E779" t="s">
        <v>25</v>
      </c>
      <c r="F779" t="s">
        <v>53</v>
      </c>
      <c r="G779" t="s">
        <v>71</v>
      </c>
      <c r="H779" t="s">
        <v>89</v>
      </c>
      <c r="I779">
        <v>2025</v>
      </c>
      <c r="J779">
        <v>0</v>
      </c>
      <c r="K779" t="s">
        <v>53</v>
      </c>
      <c r="L779">
        <v>55</v>
      </c>
    </row>
    <row r="780" spans="1:12" x14ac:dyDescent="0.45">
      <c r="A780" t="s">
        <v>90</v>
      </c>
      <c r="B780" t="s">
        <v>0</v>
      </c>
      <c r="C780" t="s">
        <v>84</v>
      </c>
      <c r="D780" t="s">
        <v>53</v>
      </c>
      <c r="E780" t="s">
        <v>25</v>
      </c>
      <c r="F780" t="s">
        <v>53</v>
      </c>
      <c r="G780" t="s">
        <v>71</v>
      </c>
      <c r="H780" t="s">
        <v>89</v>
      </c>
      <c r="I780">
        <v>2030</v>
      </c>
      <c r="J780">
        <v>1E-4</v>
      </c>
      <c r="K780" t="s">
        <v>53</v>
      </c>
      <c r="L780">
        <v>55</v>
      </c>
    </row>
    <row r="781" spans="1:12" x14ac:dyDescent="0.45">
      <c r="A781" t="s">
        <v>90</v>
      </c>
      <c r="B781" t="s">
        <v>0</v>
      </c>
      <c r="C781" t="s">
        <v>84</v>
      </c>
      <c r="D781" t="s">
        <v>53</v>
      </c>
      <c r="E781" t="s">
        <v>25</v>
      </c>
      <c r="F781" t="s">
        <v>53</v>
      </c>
      <c r="G781" t="s">
        <v>71</v>
      </c>
      <c r="H781" t="s">
        <v>89</v>
      </c>
      <c r="I781">
        <v>2035</v>
      </c>
      <c r="J781">
        <v>2.0000000000000001E-4</v>
      </c>
      <c r="K781" t="s">
        <v>53</v>
      </c>
      <c r="L781">
        <v>55</v>
      </c>
    </row>
    <row r="782" spans="1:12" x14ac:dyDescent="0.45">
      <c r="A782" t="s">
        <v>90</v>
      </c>
      <c r="B782" t="s">
        <v>0</v>
      </c>
      <c r="C782" t="s">
        <v>84</v>
      </c>
      <c r="D782" t="s">
        <v>53</v>
      </c>
      <c r="E782" t="s">
        <v>25</v>
      </c>
      <c r="F782" t="s">
        <v>53</v>
      </c>
      <c r="G782" t="s">
        <v>71</v>
      </c>
      <c r="H782" t="s">
        <v>89</v>
      </c>
      <c r="I782">
        <v>2040</v>
      </c>
      <c r="J782">
        <v>2.0000000000000001E-4</v>
      </c>
      <c r="K782" t="s">
        <v>53</v>
      </c>
      <c r="L782">
        <v>55</v>
      </c>
    </row>
    <row r="783" spans="1:12" x14ac:dyDescent="0.45">
      <c r="A783" t="s">
        <v>90</v>
      </c>
      <c r="B783" t="s">
        <v>0</v>
      </c>
      <c r="C783" t="s">
        <v>84</v>
      </c>
      <c r="D783" t="s">
        <v>53</v>
      </c>
      <c r="E783" t="s">
        <v>25</v>
      </c>
      <c r="F783" t="s">
        <v>53</v>
      </c>
      <c r="G783" t="s">
        <v>71</v>
      </c>
      <c r="H783" t="s">
        <v>89</v>
      </c>
      <c r="I783">
        <v>2045</v>
      </c>
      <c r="J783">
        <v>1E-4</v>
      </c>
      <c r="K783" t="s">
        <v>53</v>
      </c>
      <c r="L783">
        <v>55</v>
      </c>
    </row>
    <row r="784" spans="1:12" x14ac:dyDescent="0.45">
      <c r="A784" t="s">
        <v>90</v>
      </c>
      <c r="B784" t="s">
        <v>0</v>
      </c>
      <c r="C784" t="s">
        <v>84</v>
      </c>
      <c r="D784" t="s">
        <v>53</v>
      </c>
      <c r="E784" t="s">
        <v>25</v>
      </c>
      <c r="F784" t="s">
        <v>53</v>
      </c>
      <c r="G784" t="s">
        <v>71</v>
      </c>
      <c r="H784" t="s">
        <v>89</v>
      </c>
      <c r="I784">
        <v>2050</v>
      </c>
      <c r="J784">
        <v>0</v>
      </c>
      <c r="K784" t="s">
        <v>53</v>
      </c>
      <c r="L784">
        <v>55</v>
      </c>
    </row>
    <row r="785" spans="1:12" x14ac:dyDescent="0.45">
      <c r="A785" t="s">
        <v>90</v>
      </c>
      <c r="B785" t="s">
        <v>0</v>
      </c>
      <c r="C785" t="s">
        <v>84</v>
      </c>
      <c r="D785" t="s">
        <v>53</v>
      </c>
      <c r="E785" t="s">
        <v>25</v>
      </c>
      <c r="F785" t="s">
        <v>53</v>
      </c>
      <c r="G785" t="s">
        <v>71</v>
      </c>
      <c r="H785" t="s">
        <v>89</v>
      </c>
      <c r="I785">
        <v>2055</v>
      </c>
      <c r="J785">
        <v>0</v>
      </c>
      <c r="K785" t="s">
        <v>53</v>
      </c>
      <c r="L785">
        <v>55</v>
      </c>
    </row>
    <row r="786" spans="1:12" x14ac:dyDescent="0.45">
      <c r="A786" t="s">
        <v>90</v>
      </c>
      <c r="B786" t="s">
        <v>0</v>
      </c>
      <c r="C786" t="s">
        <v>84</v>
      </c>
      <c r="D786" t="s">
        <v>53</v>
      </c>
      <c r="E786" t="s">
        <v>25</v>
      </c>
      <c r="F786" t="s">
        <v>53</v>
      </c>
      <c r="G786" t="s">
        <v>71</v>
      </c>
      <c r="H786" t="s">
        <v>89</v>
      </c>
      <c r="I786">
        <v>2060</v>
      </c>
      <c r="J786">
        <v>0</v>
      </c>
      <c r="K786" t="s">
        <v>53</v>
      </c>
      <c r="L786">
        <v>55</v>
      </c>
    </row>
    <row r="787" spans="1:12" x14ac:dyDescent="0.45">
      <c r="A787" t="s">
        <v>90</v>
      </c>
      <c r="B787" t="s">
        <v>0</v>
      </c>
      <c r="C787" t="s">
        <v>84</v>
      </c>
      <c r="D787" t="s">
        <v>53</v>
      </c>
      <c r="E787" t="s">
        <v>25</v>
      </c>
      <c r="F787" t="s">
        <v>53</v>
      </c>
      <c r="G787" t="s">
        <v>71</v>
      </c>
      <c r="H787" t="s">
        <v>89</v>
      </c>
      <c r="I787">
        <v>2065</v>
      </c>
      <c r="J787">
        <v>0</v>
      </c>
      <c r="K787" t="s">
        <v>53</v>
      </c>
      <c r="L787">
        <v>55</v>
      </c>
    </row>
    <row r="788" spans="1:12" x14ac:dyDescent="0.45">
      <c r="A788" t="s">
        <v>90</v>
      </c>
      <c r="B788" t="s">
        <v>0</v>
      </c>
      <c r="C788" t="s">
        <v>84</v>
      </c>
      <c r="D788" t="s">
        <v>53</v>
      </c>
      <c r="E788" t="s">
        <v>25</v>
      </c>
      <c r="F788" t="s">
        <v>53</v>
      </c>
      <c r="G788" t="s">
        <v>71</v>
      </c>
      <c r="H788" t="s">
        <v>89</v>
      </c>
      <c r="I788">
        <v>2070</v>
      </c>
      <c r="J788">
        <v>0</v>
      </c>
      <c r="K788" t="s">
        <v>53</v>
      </c>
      <c r="L788">
        <v>55</v>
      </c>
    </row>
    <row r="789" spans="1:12" x14ac:dyDescent="0.45">
      <c r="A789" t="s">
        <v>90</v>
      </c>
      <c r="B789" t="s">
        <v>0</v>
      </c>
      <c r="C789" t="s">
        <v>84</v>
      </c>
      <c r="D789" t="s">
        <v>53</v>
      </c>
      <c r="E789" t="s">
        <v>25</v>
      </c>
      <c r="F789" t="s">
        <v>53</v>
      </c>
      <c r="G789" t="s">
        <v>71</v>
      </c>
      <c r="H789" t="s">
        <v>89</v>
      </c>
      <c r="I789">
        <v>2075</v>
      </c>
      <c r="J789">
        <v>0</v>
      </c>
      <c r="K789" t="s">
        <v>53</v>
      </c>
      <c r="L789">
        <v>55</v>
      </c>
    </row>
    <row r="790" spans="1:12" x14ac:dyDescent="0.45">
      <c r="A790" t="s">
        <v>90</v>
      </c>
      <c r="B790" t="s">
        <v>0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H790" t="s">
        <v>89</v>
      </c>
      <c r="I790">
        <v>2080</v>
      </c>
      <c r="J790">
        <v>0</v>
      </c>
      <c r="K790" t="s">
        <v>53</v>
      </c>
      <c r="L790">
        <v>55</v>
      </c>
    </row>
    <row r="791" spans="1:12" x14ac:dyDescent="0.45">
      <c r="A791" t="s">
        <v>90</v>
      </c>
      <c r="B791" t="s">
        <v>0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H791" t="s">
        <v>89</v>
      </c>
      <c r="I791">
        <v>2085</v>
      </c>
      <c r="J791">
        <v>0</v>
      </c>
      <c r="K791" t="s">
        <v>53</v>
      </c>
      <c r="L791">
        <v>55</v>
      </c>
    </row>
    <row r="792" spans="1:12" x14ac:dyDescent="0.45">
      <c r="A792" t="s">
        <v>90</v>
      </c>
      <c r="B792" t="s">
        <v>0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H792" t="s">
        <v>89</v>
      </c>
      <c r="I792">
        <v>2090</v>
      </c>
      <c r="J792">
        <v>0</v>
      </c>
      <c r="K792" t="s">
        <v>53</v>
      </c>
      <c r="L792">
        <v>55</v>
      </c>
    </row>
    <row r="793" spans="1:12" x14ac:dyDescent="0.45">
      <c r="A793" t="s">
        <v>90</v>
      </c>
      <c r="B793" t="s">
        <v>0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H793" t="s">
        <v>89</v>
      </c>
      <c r="I793">
        <v>2095</v>
      </c>
      <c r="J793">
        <v>0</v>
      </c>
      <c r="K793" t="s">
        <v>53</v>
      </c>
      <c r="L793">
        <v>55</v>
      </c>
    </row>
    <row r="794" spans="1:12" x14ac:dyDescent="0.45">
      <c r="A794" t="s">
        <v>90</v>
      </c>
      <c r="B794" t="s">
        <v>0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H794" t="s">
        <v>89</v>
      </c>
      <c r="I794">
        <v>2100</v>
      </c>
      <c r="J794">
        <v>0</v>
      </c>
      <c r="K794" t="s">
        <v>53</v>
      </c>
      <c r="L794">
        <v>55</v>
      </c>
    </row>
    <row r="795" spans="1:12" x14ac:dyDescent="0.45">
      <c r="A795" t="s">
        <v>90</v>
      </c>
      <c r="B795" t="s">
        <v>6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H795" t="s">
        <v>89</v>
      </c>
      <c r="I795">
        <v>2020</v>
      </c>
      <c r="J795">
        <v>0</v>
      </c>
      <c r="K795" t="s">
        <v>53</v>
      </c>
      <c r="L795">
        <v>55</v>
      </c>
    </row>
    <row r="796" spans="1:12" x14ac:dyDescent="0.45">
      <c r="A796" t="s">
        <v>90</v>
      </c>
      <c r="B796" t="s">
        <v>6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H796" t="s">
        <v>89</v>
      </c>
      <c r="I796">
        <v>2025</v>
      </c>
      <c r="J796">
        <v>0</v>
      </c>
      <c r="K796" t="s">
        <v>53</v>
      </c>
      <c r="L796">
        <v>55</v>
      </c>
    </row>
    <row r="797" spans="1:12" x14ac:dyDescent="0.45">
      <c r="A797" t="s">
        <v>90</v>
      </c>
      <c r="B797" t="s">
        <v>6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H797" t="s">
        <v>89</v>
      </c>
      <c r="I797">
        <v>2030</v>
      </c>
      <c r="J797">
        <v>1E-4</v>
      </c>
      <c r="K797" t="s">
        <v>53</v>
      </c>
      <c r="L797">
        <v>55</v>
      </c>
    </row>
    <row r="798" spans="1:12" x14ac:dyDescent="0.45">
      <c r="A798" t="s">
        <v>90</v>
      </c>
      <c r="B798" t="s">
        <v>6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H798" t="s">
        <v>89</v>
      </c>
      <c r="I798">
        <v>2035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90</v>
      </c>
      <c r="B799" t="s">
        <v>6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H799" t="s">
        <v>89</v>
      </c>
      <c r="I799">
        <v>2040</v>
      </c>
      <c r="J799">
        <v>2.9999999999999997E-4</v>
      </c>
      <c r="K799" t="s">
        <v>53</v>
      </c>
      <c r="L799">
        <v>55</v>
      </c>
    </row>
    <row r="800" spans="1:12" x14ac:dyDescent="0.45">
      <c r="A800" t="s">
        <v>90</v>
      </c>
      <c r="B800" t="s">
        <v>6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H800" t="s">
        <v>89</v>
      </c>
      <c r="I800">
        <v>2045</v>
      </c>
      <c r="J800">
        <v>2.9999999999999997E-4</v>
      </c>
      <c r="K800" t="s">
        <v>53</v>
      </c>
      <c r="L800">
        <v>55</v>
      </c>
    </row>
    <row r="801" spans="1:12" x14ac:dyDescent="0.45">
      <c r="A801" t="s">
        <v>90</v>
      </c>
      <c r="B801" t="s">
        <v>6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2.0000000000000001E-4</v>
      </c>
      <c r="K801" t="s">
        <v>53</v>
      </c>
      <c r="L801">
        <v>55</v>
      </c>
    </row>
    <row r="802" spans="1:12" x14ac:dyDescent="0.45">
      <c r="A802" t="s">
        <v>90</v>
      </c>
      <c r="B802" t="s">
        <v>6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H802" t="s">
        <v>89</v>
      </c>
      <c r="I802">
        <v>2055</v>
      </c>
      <c r="J802">
        <v>2.5000000000000001E-4</v>
      </c>
      <c r="K802" t="s">
        <v>53</v>
      </c>
      <c r="L802">
        <v>55</v>
      </c>
    </row>
    <row r="803" spans="1:12" x14ac:dyDescent="0.45">
      <c r="A803" t="s">
        <v>90</v>
      </c>
      <c r="B803" t="s">
        <v>6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H803" t="s">
        <v>89</v>
      </c>
      <c r="I803">
        <v>2060</v>
      </c>
      <c r="J803">
        <v>2.5000000000000001E-4</v>
      </c>
      <c r="K803" t="s">
        <v>53</v>
      </c>
      <c r="L803">
        <v>55</v>
      </c>
    </row>
    <row r="804" spans="1:12" x14ac:dyDescent="0.45">
      <c r="A804" t="s">
        <v>90</v>
      </c>
      <c r="B804" t="s">
        <v>6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2065</v>
      </c>
      <c r="J804">
        <v>3.5E-4</v>
      </c>
      <c r="K804" t="s">
        <v>53</v>
      </c>
      <c r="L804">
        <v>55</v>
      </c>
    </row>
    <row r="805" spans="1:12" x14ac:dyDescent="0.45">
      <c r="A805" t="s">
        <v>90</v>
      </c>
      <c r="B805" t="s">
        <v>6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H805" t="s">
        <v>89</v>
      </c>
      <c r="I805">
        <v>2070</v>
      </c>
      <c r="J805">
        <v>3.9999999999999996E-4</v>
      </c>
      <c r="K805" t="s">
        <v>53</v>
      </c>
      <c r="L805">
        <v>55</v>
      </c>
    </row>
    <row r="806" spans="1:12" x14ac:dyDescent="0.45">
      <c r="A806" t="s">
        <v>90</v>
      </c>
      <c r="B806" t="s">
        <v>6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H806" t="s">
        <v>89</v>
      </c>
      <c r="I806">
        <v>2075</v>
      </c>
      <c r="J806">
        <v>5.0000000000000001E-4</v>
      </c>
      <c r="K806" t="s">
        <v>53</v>
      </c>
      <c r="L806">
        <v>55</v>
      </c>
    </row>
    <row r="807" spans="1:12" x14ac:dyDescent="0.45">
      <c r="A807" t="s">
        <v>90</v>
      </c>
      <c r="B807" t="s">
        <v>6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2080</v>
      </c>
      <c r="J807">
        <v>5.0000000000000001E-4</v>
      </c>
      <c r="K807" t="s">
        <v>53</v>
      </c>
      <c r="L807">
        <v>55</v>
      </c>
    </row>
    <row r="808" spans="1:12" x14ac:dyDescent="0.45">
      <c r="A808" t="s">
        <v>90</v>
      </c>
      <c r="B808" t="s">
        <v>6</v>
      </c>
      <c r="C808" t="s">
        <v>84</v>
      </c>
      <c r="D808" t="s">
        <v>53</v>
      </c>
      <c r="E808" t="s">
        <v>25</v>
      </c>
      <c r="F808" t="s">
        <v>53</v>
      </c>
      <c r="G808" t="s">
        <v>71</v>
      </c>
      <c r="H808" t="s">
        <v>89</v>
      </c>
      <c r="I808">
        <v>2085</v>
      </c>
      <c r="J808">
        <v>5.0000000000000001E-4</v>
      </c>
      <c r="K808" t="s">
        <v>53</v>
      </c>
      <c r="L808">
        <v>55</v>
      </c>
    </row>
    <row r="809" spans="1:12" x14ac:dyDescent="0.45">
      <c r="A809" t="s">
        <v>90</v>
      </c>
      <c r="B809" t="s">
        <v>6</v>
      </c>
      <c r="C809" t="s">
        <v>84</v>
      </c>
      <c r="D809" t="s">
        <v>53</v>
      </c>
      <c r="E809" t="s">
        <v>25</v>
      </c>
      <c r="F809" t="s">
        <v>53</v>
      </c>
      <c r="G809" t="s">
        <v>71</v>
      </c>
      <c r="H809" t="s">
        <v>89</v>
      </c>
      <c r="I809">
        <v>2090</v>
      </c>
      <c r="J809">
        <v>4.0000000000000002E-4</v>
      </c>
      <c r="K809" t="s">
        <v>53</v>
      </c>
      <c r="L809">
        <v>55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2095</v>
      </c>
      <c r="J810">
        <v>3.5E-4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84</v>
      </c>
      <c r="D811" t="s">
        <v>53</v>
      </c>
      <c r="E811" t="s">
        <v>25</v>
      </c>
      <c r="F811" t="s">
        <v>53</v>
      </c>
      <c r="G811" t="s">
        <v>71</v>
      </c>
      <c r="H811" t="s">
        <v>89</v>
      </c>
      <c r="I811">
        <v>2100</v>
      </c>
      <c r="J811">
        <v>2.9999999999999997E-4</v>
      </c>
      <c r="K811" t="s">
        <v>53</v>
      </c>
      <c r="L811">
        <v>55</v>
      </c>
    </row>
    <row r="812" spans="1:12" x14ac:dyDescent="0.45">
      <c r="A812" t="s">
        <v>90</v>
      </c>
      <c r="B812" t="s">
        <v>5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1E-4</v>
      </c>
      <c r="K812" t="s">
        <v>53</v>
      </c>
      <c r="L812">
        <v>55</v>
      </c>
    </row>
    <row r="813" spans="1:12" x14ac:dyDescent="0.45">
      <c r="A813" t="s">
        <v>90</v>
      </c>
      <c r="B813" t="s">
        <v>5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1E-4</v>
      </c>
      <c r="K813" t="s">
        <v>53</v>
      </c>
      <c r="L813">
        <v>55</v>
      </c>
    </row>
    <row r="814" spans="1:12" x14ac:dyDescent="0.45">
      <c r="A814" t="s">
        <v>90</v>
      </c>
      <c r="B814" t="s">
        <v>5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2.0000000000000001E-4</v>
      </c>
      <c r="K814" t="s">
        <v>53</v>
      </c>
      <c r="L814">
        <v>55</v>
      </c>
    </row>
    <row r="815" spans="1:12" x14ac:dyDescent="0.45">
      <c r="A815" t="s">
        <v>90</v>
      </c>
      <c r="B815" t="s">
        <v>5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1E-4</v>
      </c>
      <c r="K815" t="s">
        <v>53</v>
      </c>
      <c r="L815">
        <v>55</v>
      </c>
    </row>
    <row r="816" spans="1:12" x14ac:dyDescent="0.45">
      <c r="A816" t="s">
        <v>90</v>
      </c>
      <c r="B816" t="s">
        <v>5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5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0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5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0</v>
      </c>
      <c r="K819" t="s">
        <v>53</v>
      </c>
      <c r="L819">
        <v>55</v>
      </c>
    </row>
    <row r="820" spans="1:12" x14ac:dyDescent="0.45">
      <c r="A820" t="s">
        <v>90</v>
      </c>
      <c r="B820" t="s">
        <v>5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5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0</v>
      </c>
      <c r="K821" t="s">
        <v>53</v>
      </c>
      <c r="L821">
        <v>55</v>
      </c>
    </row>
    <row r="822" spans="1:12" x14ac:dyDescent="0.45">
      <c r="A822" t="s">
        <v>90</v>
      </c>
      <c r="B822" t="s">
        <v>5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0</v>
      </c>
      <c r="K822" t="s">
        <v>53</v>
      </c>
      <c r="L822">
        <v>55</v>
      </c>
    </row>
    <row r="823" spans="1:12" x14ac:dyDescent="0.45">
      <c r="A823" t="s">
        <v>90</v>
      </c>
      <c r="B823" t="s">
        <v>5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0</v>
      </c>
      <c r="K823" t="s">
        <v>53</v>
      </c>
      <c r="L823">
        <v>55</v>
      </c>
    </row>
    <row r="824" spans="1:12" x14ac:dyDescent="0.45">
      <c r="A824" t="s">
        <v>90</v>
      </c>
      <c r="B824" t="s">
        <v>5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5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5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5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5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53</v>
      </c>
      <c r="E829" t="s">
        <v>25</v>
      </c>
      <c r="F829" t="s">
        <v>53</v>
      </c>
      <c r="G829" t="s">
        <v>71</v>
      </c>
      <c r="H829" t="s">
        <v>89</v>
      </c>
      <c r="I829">
        <v>2020</v>
      </c>
      <c r="J829">
        <v>0</v>
      </c>
      <c r="K829" t="s">
        <v>53</v>
      </c>
      <c r="L829">
        <v>55</v>
      </c>
    </row>
    <row r="830" spans="1:12" x14ac:dyDescent="0.45">
      <c r="A830" t="s">
        <v>90</v>
      </c>
      <c r="B830" t="s">
        <v>2</v>
      </c>
      <c r="C830" t="s">
        <v>84</v>
      </c>
      <c r="D830" t="s">
        <v>53</v>
      </c>
      <c r="E830" t="s">
        <v>25</v>
      </c>
      <c r="F830" t="s">
        <v>53</v>
      </c>
      <c r="G830" t="s">
        <v>71</v>
      </c>
      <c r="H830" t="s">
        <v>89</v>
      </c>
      <c r="I830">
        <v>2025</v>
      </c>
      <c r="J830">
        <v>0</v>
      </c>
      <c r="K830" t="s">
        <v>53</v>
      </c>
      <c r="L830">
        <v>55</v>
      </c>
    </row>
    <row r="831" spans="1:12" x14ac:dyDescent="0.45">
      <c r="A831" t="s">
        <v>90</v>
      </c>
      <c r="B831" t="s">
        <v>2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2030</v>
      </c>
      <c r="J831">
        <v>1E-4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84</v>
      </c>
      <c r="D832" t="s">
        <v>53</v>
      </c>
      <c r="E832" t="s">
        <v>25</v>
      </c>
      <c r="F832" t="s">
        <v>53</v>
      </c>
      <c r="G832" t="s">
        <v>71</v>
      </c>
      <c r="H832" t="s">
        <v>89</v>
      </c>
      <c r="I832">
        <v>2035</v>
      </c>
      <c r="J832">
        <v>1E-4</v>
      </c>
      <c r="K832" t="s">
        <v>53</v>
      </c>
      <c r="L832">
        <v>55</v>
      </c>
    </row>
    <row r="833" spans="1:12" x14ac:dyDescent="0.45">
      <c r="A833" t="s">
        <v>90</v>
      </c>
      <c r="B833" t="s">
        <v>2</v>
      </c>
      <c r="C833" t="s">
        <v>84</v>
      </c>
      <c r="D833" t="s">
        <v>53</v>
      </c>
      <c r="E833" t="s">
        <v>25</v>
      </c>
      <c r="F833" t="s">
        <v>53</v>
      </c>
      <c r="G833" t="s">
        <v>71</v>
      </c>
      <c r="H833" t="s">
        <v>89</v>
      </c>
      <c r="I833">
        <v>2040</v>
      </c>
      <c r="J833">
        <v>1E-4</v>
      </c>
      <c r="K833" t="s">
        <v>53</v>
      </c>
      <c r="L833">
        <v>55</v>
      </c>
    </row>
    <row r="834" spans="1:12" x14ac:dyDescent="0.45">
      <c r="A834" t="s">
        <v>90</v>
      </c>
      <c r="B834" t="s">
        <v>2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2045</v>
      </c>
      <c r="J834">
        <v>1E-4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84</v>
      </c>
      <c r="D835" t="s">
        <v>53</v>
      </c>
      <c r="E835" t="s">
        <v>25</v>
      </c>
      <c r="F835" t="s">
        <v>53</v>
      </c>
      <c r="G835" t="s">
        <v>71</v>
      </c>
      <c r="H835" t="s">
        <v>89</v>
      </c>
      <c r="I835">
        <v>2050</v>
      </c>
      <c r="J835">
        <v>1E-4</v>
      </c>
      <c r="K835" t="s">
        <v>53</v>
      </c>
      <c r="L835">
        <v>55</v>
      </c>
    </row>
    <row r="836" spans="1:12" x14ac:dyDescent="0.45">
      <c r="A836" t="s">
        <v>90</v>
      </c>
      <c r="B836" t="s">
        <v>2</v>
      </c>
      <c r="C836" t="s">
        <v>84</v>
      </c>
      <c r="D836" t="s">
        <v>53</v>
      </c>
      <c r="E836" t="s">
        <v>25</v>
      </c>
      <c r="F836" t="s">
        <v>53</v>
      </c>
      <c r="G836" t="s">
        <v>71</v>
      </c>
      <c r="H836" t="s">
        <v>89</v>
      </c>
      <c r="I836">
        <v>2055</v>
      </c>
      <c r="J836">
        <v>2.0000000000000001E-4</v>
      </c>
      <c r="K836" t="s">
        <v>53</v>
      </c>
      <c r="L836">
        <v>55</v>
      </c>
    </row>
    <row r="837" spans="1:12" x14ac:dyDescent="0.45">
      <c r="A837" t="s">
        <v>90</v>
      </c>
      <c r="B837" t="s">
        <v>2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2060</v>
      </c>
      <c r="J837">
        <v>2.9999999999999997E-4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84</v>
      </c>
      <c r="D838" t="s">
        <v>53</v>
      </c>
      <c r="E838" t="s">
        <v>25</v>
      </c>
      <c r="F838" t="s">
        <v>53</v>
      </c>
      <c r="G838" t="s">
        <v>71</v>
      </c>
      <c r="H838" t="s">
        <v>89</v>
      </c>
      <c r="I838">
        <v>2065</v>
      </c>
      <c r="J838">
        <v>2.9999999999999997E-4</v>
      </c>
      <c r="K838" t="s">
        <v>53</v>
      </c>
      <c r="L838">
        <v>55</v>
      </c>
    </row>
    <row r="839" spans="1:12" x14ac:dyDescent="0.45">
      <c r="A839" t="s">
        <v>90</v>
      </c>
      <c r="B839" t="s">
        <v>2</v>
      </c>
      <c r="C839" t="s">
        <v>84</v>
      </c>
      <c r="D839" t="s">
        <v>53</v>
      </c>
      <c r="E839" t="s">
        <v>25</v>
      </c>
      <c r="F839" t="s">
        <v>53</v>
      </c>
      <c r="G839" t="s">
        <v>71</v>
      </c>
      <c r="H839" t="s">
        <v>89</v>
      </c>
      <c r="I839">
        <v>2070</v>
      </c>
      <c r="J839">
        <v>4.0000000000000002E-4</v>
      </c>
      <c r="K839" t="s">
        <v>53</v>
      </c>
      <c r="L839">
        <v>55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2075</v>
      </c>
      <c r="J840">
        <v>4.0000000000000002E-4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84</v>
      </c>
      <c r="D841" t="s">
        <v>53</v>
      </c>
      <c r="E841" t="s">
        <v>25</v>
      </c>
      <c r="F841" t="s">
        <v>53</v>
      </c>
      <c r="G841" t="s">
        <v>71</v>
      </c>
      <c r="H841" t="s">
        <v>89</v>
      </c>
      <c r="I841">
        <v>2080</v>
      </c>
      <c r="J841">
        <v>3.5E-4</v>
      </c>
      <c r="K841" t="s">
        <v>53</v>
      </c>
      <c r="L841">
        <v>55</v>
      </c>
    </row>
    <row r="842" spans="1:12" x14ac:dyDescent="0.45">
      <c r="A842" t="s">
        <v>90</v>
      </c>
      <c r="B842" t="s">
        <v>2</v>
      </c>
      <c r="C842" t="s">
        <v>84</v>
      </c>
      <c r="D842" t="s">
        <v>53</v>
      </c>
      <c r="E842" t="s">
        <v>25</v>
      </c>
      <c r="F842" t="s">
        <v>53</v>
      </c>
      <c r="G842" t="s">
        <v>71</v>
      </c>
      <c r="H842" t="s">
        <v>89</v>
      </c>
      <c r="I842">
        <v>2085</v>
      </c>
      <c r="J842">
        <v>2.9999999999999997E-4</v>
      </c>
      <c r="K842" t="s">
        <v>53</v>
      </c>
      <c r="L842">
        <v>55</v>
      </c>
    </row>
    <row r="843" spans="1:12" x14ac:dyDescent="0.45">
      <c r="A843" t="s">
        <v>90</v>
      </c>
      <c r="B843" t="s">
        <v>2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2090</v>
      </c>
      <c r="J843">
        <v>2.0000000000000001E-4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84</v>
      </c>
      <c r="D844" t="s">
        <v>53</v>
      </c>
      <c r="E844" t="s">
        <v>25</v>
      </c>
      <c r="F844" t="s">
        <v>53</v>
      </c>
      <c r="G844" t="s">
        <v>71</v>
      </c>
      <c r="H844" t="s">
        <v>89</v>
      </c>
      <c r="I844">
        <v>2095</v>
      </c>
      <c r="J844">
        <v>1E-4</v>
      </c>
      <c r="K844" t="s">
        <v>53</v>
      </c>
      <c r="L844">
        <v>55</v>
      </c>
    </row>
    <row r="845" spans="1:12" x14ac:dyDescent="0.45">
      <c r="A845" t="s">
        <v>90</v>
      </c>
      <c r="B845" t="s">
        <v>2</v>
      </c>
      <c r="C845" t="s">
        <v>84</v>
      </c>
      <c r="D845" t="s">
        <v>53</v>
      </c>
      <c r="E845" t="s">
        <v>25</v>
      </c>
      <c r="F845" t="s">
        <v>53</v>
      </c>
      <c r="G845" t="s">
        <v>71</v>
      </c>
      <c r="H845" t="s">
        <v>89</v>
      </c>
      <c r="I845">
        <v>2100</v>
      </c>
      <c r="J845">
        <v>1E-4</v>
      </c>
      <c r="K845" t="s">
        <v>53</v>
      </c>
      <c r="L845">
        <v>55</v>
      </c>
    </row>
    <row r="846" spans="1:12" x14ac:dyDescent="0.45">
      <c r="A846" t="s">
        <v>90</v>
      </c>
      <c r="B846" t="s">
        <v>1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2020</v>
      </c>
      <c r="J846">
        <v>0</v>
      </c>
      <c r="K846" t="s">
        <v>53</v>
      </c>
      <c r="L846">
        <v>55</v>
      </c>
    </row>
    <row r="847" spans="1:12" x14ac:dyDescent="0.45">
      <c r="A847" t="s">
        <v>90</v>
      </c>
      <c r="B847" t="s">
        <v>1</v>
      </c>
      <c r="C847" t="s">
        <v>84</v>
      </c>
      <c r="D847" t="s">
        <v>53</v>
      </c>
      <c r="E847" t="s">
        <v>25</v>
      </c>
      <c r="F847" t="s">
        <v>53</v>
      </c>
      <c r="G847" t="s">
        <v>71</v>
      </c>
      <c r="H847" t="s">
        <v>89</v>
      </c>
      <c r="I847">
        <v>2025</v>
      </c>
      <c r="J847">
        <v>0</v>
      </c>
      <c r="K847" t="s">
        <v>53</v>
      </c>
      <c r="L847">
        <v>55</v>
      </c>
    </row>
    <row r="848" spans="1:12" x14ac:dyDescent="0.45">
      <c r="A848" t="s">
        <v>90</v>
      </c>
      <c r="B848" t="s">
        <v>1</v>
      </c>
      <c r="C848" t="s">
        <v>84</v>
      </c>
      <c r="D848" t="s">
        <v>53</v>
      </c>
      <c r="E848" t="s">
        <v>25</v>
      </c>
      <c r="F848" t="s">
        <v>53</v>
      </c>
      <c r="G848" t="s">
        <v>71</v>
      </c>
      <c r="H848" t="s">
        <v>89</v>
      </c>
      <c r="I848">
        <v>2030</v>
      </c>
      <c r="J848">
        <v>1E-4</v>
      </c>
      <c r="K848" t="s">
        <v>53</v>
      </c>
      <c r="L848">
        <v>55</v>
      </c>
    </row>
    <row r="849" spans="1:12" x14ac:dyDescent="0.45">
      <c r="A849" t="s">
        <v>90</v>
      </c>
      <c r="B849" t="s">
        <v>1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2035</v>
      </c>
      <c r="J849">
        <v>1E-4</v>
      </c>
      <c r="K849" t="s">
        <v>53</v>
      </c>
      <c r="L849">
        <v>55</v>
      </c>
    </row>
    <row r="850" spans="1:12" x14ac:dyDescent="0.45">
      <c r="A850" t="s">
        <v>90</v>
      </c>
      <c r="B850" t="s">
        <v>1</v>
      </c>
      <c r="C850" t="s">
        <v>84</v>
      </c>
      <c r="D850" t="s">
        <v>53</v>
      </c>
      <c r="E850" t="s">
        <v>25</v>
      </c>
      <c r="F850" t="s">
        <v>53</v>
      </c>
      <c r="G850" t="s">
        <v>71</v>
      </c>
      <c r="H850" t="s">
        <v>89</v>
      </c>
      <c r="I850">
        <v>2040</v>
      </c>
      <c r="J850">
        <v>0</v>
      </c>
      <c r="K850" t="s">
        <v>53</v>
      </c>
      <c r="L850">
        <v>55</v>
      </c>
    </row>
    <row r="851" spans="1:12" x14ac:dyDescent="0.45">
      <c r="A851" t="s">
        <v>90</v>
      </c>
      <c r="B851" t="s">
        <v>1</v>
      </c>
      <c r="C851" t="s">
        <v>84</v>
      </c>
      <c r="D851" t="s">
        <v>53</v>
      </c>
      <c r="E851" t="s">
        <v>25</v>
      </c>
      <c r="F851" t="s">
        <v>53</v>
      </c>
      <c r="G851" t="s">
        <v>71</v>
      </c>
      <c r="H851" t="s">
        <v>89</v>
      </c>
      <c r="I851">
        <v>2045</v>
      </c>
      <c r="J851">
        <v>0</v>
      </c>
      <c r="K851" t="s">
        <v>53</v>
      </c>
      <c r="L851">
        <v>55</v>
      </c>
    </row>
    <row r="852" spans="1:12" x14ac:dyDescent="0.45">
      <c r="A852" t="s">
        <v>90</v>
      </c>
      <c r="B852" t="s">
        <v>1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2050</v>
      </c>
      <c r="J852">
        <v>0</v>
      </c>
      <c r="K852" t="s">
        <v>53</v>
      </c>
      <c r="L852">
        <v>55</v>
      </c>
    </row>
    <row r="853" spans="1:12" x14ac:dyDescent="0.45">
      <c r="A853" t="s">
        <v>90</v>
      </c>
      <c r="B853" t="s">
        <v>1</v>
      </c>
      <c r="C853" t="s">
        <v>84</v>
      </c>
      <c r="D853" t="s">
        <v>53</v>
      </c>
      <c r="E853" t="s">
        <v>25</v>
      </c>
      <c r="F853" t="s">
        <v>53</v>
      </c>
      <c r="G853" t="s">
        <v>71</v>
      </c>
      <c r="H853" t="s">
        <v>89</v>
      </c>
      <c r="I853">
        <v>2055</v>
      </c>
      <c r="J853">
        <v>0</v>
      </c>
      <c r="K853" t="s">
        <v>53</v>
      </c>
      <c r="L853">
        <v>55</v>
      </c>
    </row>
    <row r="854" spans="1:12" x14ac:dyDescent="0.45">
      <c r="A854" t="s">
        <v>90</v>
      </c>
      <c r="B854" t="s">
        <v>1</v>
      </c>
      <c r="C854" t="s">
        <v>84</v>
      </c>
      <c r="D854" t="s">
        <v>53</v>
      </c>
      <c r="E854" t="s">
        <v>25</v>
      </c>
      <c r="F854" t="s">
        <v>53</v>
      </c>
      <c r="G854" t="s">
        <v>71</v>
      </c>
      <c r="H854" t="s">
        <v>89</v>
      </c>
      <c r="I854">
        <v>2060</v>
      </c>
      <c r="J854">
        <v>0</v>
      </c>
      <c r="K854" t="s">
        <v>53</v>
      </c>
      <c r="L854">
        <v>55</v>
      </c>
    </row>
    <row r="855" spans="1:12" x14ac:dyDescent="0.45">
      <c r="A855" t="s">
        <v>90</v>
      </c>
      <c r="B855" t="s">
        <v>1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2065</v>
      </c>
      <c r="J855">
        <v>0</v>
      </c>
      <c r="K855" t="s">
        <v>53</v>
      </c>
      <c r="L855">
        <v>55</v>
      </c>
    </row>
    <row r="856" spans="1:12" x14ac:dyDescent="0.45">
      <c r="A856" t="s">
        <v>90</v>
      </c>
      <c r="B856" t="s">
        <v>1</v>
      </c>
      <c r="C856" t="s">
        <v>84</v>
      </c>
      <c r="D856" t="s">
        <v>53</v>
      </c>
      <c r="E856" t="s">
        <v>25</v>
      </c>
      <c r="F856" t="s">
        <v>53</v>
      </c>
      <c r="G856" t="s">
        <v>71</v>
      </c>
      <c r="H856" t="s">
        <v>89</v>
      </c>
      <c r="I856">
        <v>2070</v>
      </c>
      <c r="J856">
        <v>0</v>
      </c>
      <c r="K856" t="s">
        <v>53</v>
      </c>
      <c r="L856">
        <v>55</v>
      </c>
    </row>
    <row r="857" spans="1:12" x14ac:dyDescent="0.45">
      <c r="A857" t="s">
        <v>90</v>
      </c>
      <c r="B857" t="s">
        <v>1</v>
      </c>
      <c r="C857" t="s">
        <v>84</v>
      </c>
      <c r="D857" t="s">
        <v>53</v>
      </c>
      <c r="E857" t="s">
        <v>25</v>
      </c>
      <c r="F857" t="s">
        <v>53</v>
      </c>
      <c r="G857" t="s">
        <v>71</v>
      </c>
      <c r="H857" t="s">
        <v>89</v>
      </c>
      <c r="I857">
        <v>2075</v>
      </c>
      <c r="J857">
        <v>0</v>
      </c>
      <c r="K857" t="s">
        <v>53</v>
      </c>
      <c r="L857">
        <v>55</v>
      </c>
    </row>
    <row r="858" spans="1:12" x14ac:dyDescent="0.45">
      <c r="A858" t="s">
        <v>90</v>
      </c>
      <c r="B858" t="s">
        <v>1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2080</v>
      </c>
      <c r="J858">
        <v>0</v>
      </c>
      <c r="K858" t="s">
        <v>53</v>
      </c>
      <c r="L858">
        <v>55</v>
      </c>
    </row>
    <row r="859" spans="1:12" x14ac:dyDescent="0.45">
      <c r="A859" t="s">
        <v>90</v>
      </c>
      <c r="B859" t="s">
        <v>1</v>
      </c>
      <c r="C859" t="s">
        <v>84</v>
      </c>
      <c r="D859" t="s">
        <v>53</v>
      </c>
      <c r="E859" t="s">
        <v>25</v>
      </c>
      <c r="F859" t="s">
        <v>53</v>
      </c>
      <c r="G859" t="s">
        <v>71</v>
      </c>
      <c r="H859" t="s">
        <v>89</v>
      </c>
      <c r="I859">
        <v>2085</v>
      </c>
      <c r="J859">
        <v>0</v>
      </c>
      <c r="K859" t="s">
        <v>53</v>
      </c>
      <c r="L859">
        <v>55</v>
      </c>
    </row>
    <row r="860" spans="1:12" x14ac:dyDescent="0.45">
      <c r="A860" t="s">
        <v>90</v>
      </c>
      <c r="B860" t="s">
        <v>1</v>
      </c>
      <c r="C860" t="s">
        <v>84</v>
      </c>
      <c r="D860" t="s">
        <v>53</v>
      </c>
      <c r="E860" t="s">
        <v>25</v>
      </c>
      <c r="F860" t="s">
        <v>53</v>
      </c>
      <c r="G860" t="s">
        <v>71</v>
      </c>
      <c r="H860" t="s">
        <v>89</v>
      </c>
      <c r="I860">
        <v>2090</v>
      </c>
      <c r="J860">
        <v>0</v>
      </c>
      <c r="K860" t="s">
        <v>53</v>
      </c>
      <c r="L860">
        <v>55</v>
      </c>
    </row>
    <row r="861" spans="1:12" x14ac:dyDescent="0.45">
      <c r="A861" t="s">
        <v>90</v>
      </c>
      <c r="B861" t="s">
        <v>1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2095</v>
      </c>
      <c r="J861">
        <v>0</v>
      </c>
      <c r="K861" t="s">
        <v>53</v>
      </c>
      <c r="L861">
        <v>55</v>
      </c>
    </row>
    <row r="862" spans="1:12" x14ac:dyDescent="0.45">
      <c r="A862" t="s">
        <v>90</v>
      </c>
      <c r="B862" t="s">
        <v>1</v>
      </c>
      <c r="C862" t="s">
        <v>84</v>
      </c>
      <c r="D862" t="s">
        <v>53</v>
      </c>
      <c r="E862" t="s">
        <v>25</v>
      </c>
      <c r="F862" t="s">
        <v>53</v>
      </c>
      <c r="G862" t="s">
        <v>71</v>
      </c>
      <c r="H862" t="s">
        <v>89</v>
      </c>
      <c r="I862">
        <v>2100</v>
      </c>
      <c r="J862">
        <v>0</v>
      </c>
      <c r="K862" t="s">
        <v>53</v>
      </c>
      <c r="L862">
        <v>55</v>
      </c>
    </row>
    <row r="863" spans="1:12" x14ac:dyDescent="0.45">
      <c r="A863" t="s">
        <v>90</v>
      </c>
      <c r="B863" t="s">
        <v>3</v>
      </c>
      <c r="C863" t="s">
        <v>84</v>
      </c>
      <c r="D863" t="s">
        <v>54</v>
      </c>
      <c r="E863" t="s">
        <v>25</v>
      </c>
      <c r="F863" t="s">
        <v>54</v>
      </c>
      <c r="G863" t="s">
        <v>71</v>
      </c>
      <c r="H863" t="s">
        <v>89</v>
      </c>
      <c r="I863">
        <v>2020</v>
      </c>
      <c r="J863">
        <v>0</v>
      </c>
      <c r="K863" t="s">
        <v>54</v>
      </c>
      <c r="L863">
        <v>70</v>
      </c>
    </row>
    <row r="864" spans="1:12" x14ac:dyDescent="0.45">
      <c r="A864" t="s">
        <v>90</v>
      </c>
      <c r="B864" t="s">
        <v>3</v>
      </c>
      <c r="C864" t="s">
        <v>84</v>
      </c>
      <c r="D864" t="s">
        <v>54</v>
      </c>
      <c r="E864" t="s">
        <v>25</v>
      </c>
      <c r="F864" t="s">
        <v>54</v>
      </c>
      <c r="G864" t="s">
        <v>71</v>
      </c>
      <c r="H864" t="s">
        <v>89</v>
      </c>
      <c r="I864">
        <v>2025</v>
      </c>
      <c r="J864">
        <v>0</v>
      </c>
      <c r="K864" t="s">
        <v>54</v>
      </c>
      <c r="L864">
        <v>70</v>
      </c>
    </row>
    <row r="865" spans="1:12" x14ac:dyDescent="0.45">
      <c r="A865" t="s">
        <v>90</v>
      </c>
      <c r="B865" t="s">
        <v>3</v>
      </c>
      <c r="C865" t="s">
        <v>84</v>
      </c>
      <c r="D865" t="s">
        <v>54</v>
      </c>
      <c r="E865" t="s">
        <v>25</v>
      </c>
      <c r="F865" t="s">
        <v>54</v>
      </c>
      <c r="G865" t="s">
        <v>71</v>
      </c>
      <c r="H865" t="s">
        <v>89</v>
      </c>
      <c r="I865">
        <v>2030</v>
      </c>
      <c r="J865">
        <v>0</v>
      </c>
      <c r="K865" t="s">
        <v>54</v>
      </c>
      <c r="L865">
        <v>70</v>
      </c>
    </row>
    <row r="866" spans="1:12" x14ac:dyDescent="0.45">
      <c r="A866" t="s">
        <v>90</v>
      </c>
      <c r="B866" t="s">
        <v>3</v>
      </c>
      <c r="C866" t="s">
        <v>84</v>
      </c>
      <c r="D866" t="s">
        <v>54</v>
      </c>
      <c r="E866" t="s">
        <v>25</v>
      </c>
      <c r="F866" t="s">
        <v>54</v>
      </c>
      <c r="G866" t="s">
        <v>71</v>
      </c>
      <c r="H866" t="s">
        <v>89</v>
      </c>
      <c r="I866">
        <v>2035</v>
      </c>
      <c r="J866">
        <v>0</v>
      </c>
      <c r="K866" t="s">
        <v>54</v>
      </c>
      <c r="L866">
        <v>70</v>
      </c>
    </row>
    <row r="867" spans="1:12" x14ac:dyDescent="0.45">
      <c r="A867" t="s">
        <v>90</v>
      </c>
      <c r="B867" t="s">
        <v>3</v>
      </c>
      <c r="C867" t="s">
        <v>84</v>
      </c>
      <c r="D867" t="s">
        <v>54</v>
      </c>
      <c r="E867" t="s">
        <v>25</v>
      </c>
      <c r="F867" t="s">
        <v>54</v>
      </c>
      <c r="G867" t="s">
        <v>71</v>
      </c>
      <c r="H867" t="s">
        <v>89</v>
      </c>
      <c r="I867">
        <v>2040</v>
      </c>
      <c r="J867">
        <v>0</v>
      </c>
      <c r="K867" t="s">
        <v>54</v>
      </c>
      <c r="L867">
        <v>70</v>
      </c>
    </row>
    <row r="868" spans="1:12" x14ac:dyDescent="0.45">
      <c r="A868" t="s">
        <v>90</v>
      </c>
      <c r="B868" t="s">
        <v>3</v>
      </c>
      <c r="C868" t="s">
        <v>84</v>
      </c>
      <c r="D868" t="s">
        <v>54</v>
      </c>
      <c r="E868" t="s">
        <v>25</v>
      </c>
      <c r="F868" t="s">
        <v>54</v>
      </c>
      <c r="G868" t="s">
        <v>71</v>
      </c>
      <c r="H868" t="s">
        <v>89</v>
      </c>
      <c r="I868">
        <v>2045</v>
      </c>
      <c r="J868">
        <v>0</v>
      </c>
      <c r="K868" t="s">
        <v>54</v>
      </c>
      <c r="L868">
        <v>70</v>
      </c>
    </row>
    <row r="869" spans="1:12" x14ac:dyDescent="0.45">
      <c r="A869" t="s">
        <v>90</v>
      </c>
      <c r="B869" t="s">
        <v>3</v>
      </c>
      <c r="C869" t="s">
        <v>84</v>
      </c>
      <c r="D869" t="s">
        <v>54</v>
      </c>
      <c r="E869" t="s">
        <v>25</v>
      </c>
      <c r="F869" t="s">
        <v>54</v>
      </c>
      <c r="G869" t="s">
        <v>71</v>
      </c>
      <c r="H869" t="s">
        <v>89</v>
      </c>
      <c r="I869">
        <v>2050</v>
      </c>
      <c r="J869">
        <v>0</v>
      </c>
      <c r="K869" t="s">
        <v>54</v>
      </c>
      <c r="L869">
        <v>70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3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2060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3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2065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3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2070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3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2075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3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2080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3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2085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54</v>
      </c>
      <c r="E877" t="s">
        <v>25</v>
      </c>
      <c r="F877" t="s">
        <v>54</v>
      </c>
      <c r="G877" t="s">
        <v>71</v>
      </c>
      <c r="H877" t="s">
        <v>89</v>
      </c>
      <c r="I877">
        <v>2090</v>
      </c>
      <c r="J877">
        <v>0</v>
      </c>
      <c r="K877" t="s">
        <v>54</v>
      </c>
      <c r="L877">
        <v>70</v>
      </c>
    </row>
    <row r="878" spans="1:12" x14ac:dyDescent="0.45">
      <c r="A878" t="s">
        <v>90</v>
      </c>
      <c r="B878" t="s">
        <v>3</v>
      </c>
      <c r="C878" t="s">
        <v>84</v>
      </c>
      <c r="D878" t="s">
        <v>54</v>
      </c>
      <c r="E878" t="s">
        <v>25</v>
      </c>
      <c r="F878" t="s">
        <v>54</v>
      </c>
      <c r="G878" t="s">
        <v>71</v>
      </c>
      <c r="H878" t="s">
        <v>89</v>
      </c>
      <c r="I878">
        <v>2095</v>
      </c>
      <c r="J878">
        <v>0</v>
      </c>
      <c r="K878" t="s">
        <v>54</v>
      </c>
      <c r="L878">
        <v>70</v>
      </c>
    </row>
    <row r="879" spans="1:12" x14ac:dyDescent="0.45">
      <c r="A879" t="s">
        <v>90</v>
      </c>
      <c r="B879" t="s">
        <v>3</v>
      </c>
      <c r="C879" t="s">
        <v>84</v>
      </c>
      <c r="D879" t="s">
        <v>54</v>
      </c>
      <c r="E879" t="s">
        <v>25</v>
      </c>
      <c r="F879" t="s">
        <v>54</v>
      </c>
      <c r="G879" t="s">
        <v>71</v>
      </c>
      <c r="H879" t="s">
        <v>89</v>
      </c>
      <c r="I879">
        <v>2100</v>
      </c>
      <c r="J879">
        <v>0</v>
      </c>
      <c r="K879" t="s">
        <v>54</v>
      </c>
      <c r="L879">
        <v>70</v>
      </c>
    </row>
    <row r="880" spans="1:12" x14ac:dyDescent="0.45">
      <c r="A880" t="s">
        <v>90</v>
      </c>
      <c r="B880" t="s">
        <v>4</v>
      </c>
      <c r="C880" t="s">
        <v>84</v>
      </c>
      <c r="D880" t="s">
        <v>54</v>
      </c>
      <c r="E880" t="s">
        <v>25</v>
      </c>
      <c r="F880" t="s">
        <v>54</v>
      </c>
      <c r="G880" t="s">
        <v>71</v>
      </c>
      <c r="H880" t="s">
        <v>89</v>
      </c>
      <c r="I880">
        <v>2020</v>
      </c>
      <c r="J880">
        <v>0</v>
      </c>
      <c r="K880" t="s">
        <v>54</v>
      </c>
      <c r="L880">
        <v>70</v>
      </c>
    </row>
    <row r="881" spans="1:12" x14ac:dyDescent="0.45">
      <c r="A881" t="s">
        <v>90</v>
      </c>
      <c r="B881" t="s">
        <v>4</v>
      </c>
      <c r="C881" t="s">
        <v>84</v>
      </c>
      <c r="D881" t="s">
        <v>54</v>
      </c>
      <c r="E881" t="s">
        <v>25</v>
      </c>
      <c r="F881" t="s">
        <v>54</v>
      </c>
      <c r="G881" t="s">
        <v>71</v>
      </c>
      <c r="H881" t="s">
        <v>89</v>
      </c>
      <c r="I881">
        <v>2025</v>
      </c>
      <c r="J881">
        <v>0</v>
      </c>
      <c r="K881" t="s">
        <v>54</v>
      </c>
      <c r="L881">
        <v>70</v>
      </c>
    </row>
    <row r="882" spans="1:12" x14ac:dyDescent="0.45">
      <c r="A882" t="s">
        <v>90</v>
      </c>
      <c r="B882" t="s">
        <v>4</v>
      </c>
      <c r="C882" t="s">
        <v>84</v>
      </c>
      <c r="D882" t="s">
        <v>54</v>
      </c>
      <c r="E882" t="s">
        <v>25</v>
      </c>
      <c r="F882" t="s">
        <v>54</v>
      </c>
      <c r="G882" t="s">
        <v>71</v>
      </c>
      <c r="H882" t="s">
        <v>89</v>
      </c>
      <c r="I882">
        <v>2030</v>
      </c>
      <c r="J882">
        <v>0</v>
      </c>
      <c r="K882" t="s">
        <v>54</v>
      </c>
      <c r="L882">
        <v>70</v>
      </c>
    </row>
    <row r="883" spans="1:12" x14ac:dyDescent="0.45">
      <c r="A883" t="s">
        <v>90</v>
      </c>
      <c r="B883" t="s">
        <v>4</v>
      </c>
      <c r="C883" t="s">
        <v>84</v>
      </c>
      <c r="D883" t="s">
        <v>54</v>
      </c>
      <c r="E883" t="s">
        <v>25</v>
      </c>
      <c r="F883" t="s">
        <v>54</v>
      </c>
      <c r="G883" t="s">
        <v>71</v>
      </c>
      <c r="H883" t="s">
        <v>89</v>
      </c>
      <c r="I883">
        <v>2035</v>
      </c>
      <c r="J883">
        <v>0</v>
      </c>
      <c r="K883" t="s">
        <v>54</v>
      </c>
      <c r="L883">
        <v>70</v>
      </c>
    </row>
    <row r="884" spans="1:12" x14ac:dyDescent="0.45">
      <c r="A884" t="s">
        <v>90</v>
      </c>
      <c r="B884" t="s">
        <v>4</v>
      </c>
      <c r="C884" t="s">
        <v>84</v>
      </c>
      <c r="D884" t="s">
        <v>54</v>
      </c>
      <c r="E884" t="s">
        <v>25</v>
      </c>
      <c r="F884" t="s">
        <v>54</v>
      </c>
      <c r="G884" t="s">
        <v>71</v>
      </c>
      <c r="H884" t="s">
        <v>89</v>
      </c>
      <c r="I884">
        <v>2040</v>
      </c>
      <c r="J884">
        <v>0</v>
      </c>
      <c r="K884" t="s">
        <v>54</v>
      </c>
      <c r="L884">
        <v>70</v>
      </c>
    </row>
    <row r="885" spans="1:12" x14ac:dyDescent="0.45">
      <c r="A885" t="s">
        <v>90</v>
      </c>
      <c r="B885" t="s">
        <v>4</v>
      </c>
      <c r="C885" t="s">
        <v>84</v>
      </c>
      <c r="D885" t="s">
        <v>54</v>
      </c>
      <c r="E885" t="s">
        <v>25</v>
      </c>
      <c r="F885" t="s">
        <v>54</v>
      </c>
      <c r="G885" t="s">
        <v>71</v>
      </c>
      <c r="H885" t="s">
        <v>89</v>
      </c>
      <c r="I885">
        <v>2045</v>
      </c>
      <c r="J885">
        <v>0</v>
      </c>
      <c r="K885" t="s">
        <v>54</v>
      </c>
      <c r="L885">
        <v>70</v>
      </c>
    </row>
    <row r="886" spans="1:12" x14ac:dyDescent="0.45">
      <c r="A886" t="s">
        <v>90</v>
      </c>
      <c r="B886" t="s">
        <v>4</v>
      </c>
      <c r="C886" t="s">
        <v>84</v>
      </c>
      <c r="D886" t="s">
        <v>54</v>
      </c>
      <c r="E886" t="s">
        <v>25</v>
      </c>
      <c r="F886" t="s">
        <v>54</v>
      </c>
      <c r="G886" t="s">
        <v>71</v>
      </c>
      <c r="H886" t="s">
        <v>89</v>
      </c>
      <c r="I886">
        <v>2050</v>
      </c>
      <c r="J886">
        <v>0</v>
      </c>
      <c r="K886" t="s">
        <v>54</v>
      </c>
      <c r="L886">
        <v>70</v>
      </c>
    </row>
    <row r="887" spans="1:12" x14ac:dyDescent="0.45">
      <c r="A887" t="s">
        <v>90</v>
      </c>
      <c r="B887" t="s">
        <v>4</v>
      </c>
      <c r="C887" t="s">
        <v>84</v>
      </c>
      <c r="D887" t="s">
        <v>54</v>
      </c>
      <c r="E887" t="s">
        <v>25</v>
      </c>
      <c r="F887" t="s">
        <v>54</v>
      </c>
      <c r="G887" t="s">
        <v>71</v>
      </c>
      <c r="H887" t="s">
        <v>89</v>
      </c>
      <c r="I887">
        <v>2055</v>
      </c>
      <c r="J887">
        <v>0</v>
      </c>
      <c r="K887" t="s">
        <v>54</v>
      </c>
      <c r="L887">
        <v>70</v>
      </c>
    </row>
    <row r="888" spans="1:12" x14ac:dyDescent="0.45">
      <c r="A888" t="s">
        <v>90</v>
      </c>
      <c r="B888" t="s">
        <v>4</v>
      </c>
      <c r="C888" t="s">
        <v>84</v>
      </c>
      <c r="D888" t="s">
        <v>54</v>
      </c>
      <c r="E888" t="s">
        <v>25</v>
      </c>
      <c r="F888" t="s">
        <v>54</v>
      </c>
      <c r="G888" t="s">
        <v>71</v>
      </c>
      <c r="H888" t="s">
        <v>89</v>
      </c>
      <c r="I888">
        <v>2060</v>
      </c>
      <c r="J888">
        <v>0</v>
      </c>
      <c r="K888" t="s">
        <v>54</v>
      </c>
      <c r="L888">
        <v>70</v>
      </c>
    </row>
    <row r="889" spans="1:12" x14ac:dyDescent="0.45">
      <c r="A889" t="s">
        <v>90</v>
      </c>
      <c r="B889" t="s">
        <v>4</v>
      </c>
      <c r="C889" t="s">
        <v>84</v>
      </c>
      <c r="D889" t="s">
        <v>54</v>
      </c>
      <c r="E889" t="s">
        <v>25</v>
      </c>
      <c r="F889" t="s">
        <v>54</v>
      </c>
      <c r="G889" t="s">
        <v>71</v>
      </c>
      <c r="H889" t="s">
        <v>89</v>
      </c>
      <c r="I889">
        <v>2065</v>
      </c>
      <c r="J889">
        <v>0</v>
      </c>
      <c r="K889" t="s">
        <v>54</v>
      </c>
      <c r="L889">
        <v>70</v>
      </c>
    </row>
    <row r="890" spans="1:12" x14ac:dyDescent="0.45">
      <c r="A890" t="s">
        <v>90</v>
      </c>
      <c r="B890" t="s">
        <v>4</v>
      </c>
      <c r="C890" t="s">
        <v>84</v>
      </c>
      <c r="D890" t="s">
        <v>54</v>
      </c>
      <c r="E890" t="s">
        <v>25</v>
      </c>
      <c r="F890" t="s">
        <v>54</v>
      </c>
      <c r="G890" t="s">
        <v>71</v>
      </c>
      <c r="H890" t="s">
        <v>89</v>
      </c>
      <c r="I890">
        <v>2070</v>
      </c>
      <c r="J890">
        <v>0</v>
      </c>
      <c r="K890" t="s">
        <v>54</v>
      </c>
      <c r="L890">
        <v>70</v>
      </c>
    </row>
    <row r="891" spans="1:12" x14ac:dyDescent="0.45">
      <c r="A891" t="s">
        <v>90</v>
      </c>
      <c r="B891" t="s">
        <v>4</v>
      </c>
      <c r="C891" t="s">
        <v>84</v>
      </c>
      <c r="D891" t="s">
        <v>54</v>
      </c>
      <c r="E891" t="s">
        <v>25</v>
      </c>
      <c r="F891" t="s">
        <v>54</v>
      </c>
      <c r="G891" t="s">
        <v>71</v>
      </c>
      <c r="H891" t="s">
        <v>89</v>
      </c>
      <c r="I891">
        <v>2075</v>
      </c>
      <c r="J891">
        <v>0</v>
      </c>
      <c r="K891" t="s">
        <v>54</v>
      </c>
      <c r="L891">
        <v>70</v>
      </c>
    </row>
    <row r="892" spans="1:12" x14ac:dyDescent="0.45">
      <c r="A892" t="s">
        <v>90</v>
      </c>
      <c r="B892" t="s">
        <v>4</v>
      </c>
      <c r="C892" t="s">
        <v>84</v>
      </c>
      <c r="D892" t="s">
        <v>54</v>
      </c>
      <c r="E892" t="s">
        <v>25</v>
      </c>
      <c r="F892" t="s">
        <v>54</v>
      </c>
      <c r="G892" t="s">
        <v>71</v>
      </c>
      <c r="H892" t="s">
        <v>89</v>
      </c>
      <c r="I892">
        <v>2080</v>
      </c>
      <c r="J892">
        <v>0</v>
      </c>
      <c r="K892" t="s">
        <v>54</v>
      </c>
      <c r="L892">
        <v>70</v>
      </c>
    </row>
    <row r="893" spans="1:12" x14ac:dyDescent="0.45">
      <c r="A893" t="s">
        <v>90</v>
      </c>
      <c r="B893" t="s">
        <v>4</v>
      </c>
      <c r="C893" t="s">
        <v>84</v>
      </c>
      <c r="D893" t="s">
        <v>54</v>
      </c>
      <c r="E893" t="s">
        <v>25</v>
      </c>
      <c r="F893" t="s">
        <v>54</v>
      </c>
      <c r="G893" t="s">
        <v>71</v>
      </c>
      <c r="H893" t="s">
        <v>89</v>
      </c>
      <c r="I893">
        <v>2085</v>
      </c>
      <c r="J893">
        <v>0</v>
      </c>
      <c r="K893" t="s">
        <v>54</v>
      </c>
      <c r="L893">
        <v>70</v>
      </c>
    </row>
    <row r="894" spans="1:12" x14ac:dyDescent="0.45">
      <c r="A894" t="s">
        <v>90</v>
      </c>
      <c r="B894" t="s">
        <v>4</v>
      </c>
      <c r="C894" t="s">
        <v>84</v>
      </c>
      <c r="D894" t="s">
        <v>54</v>
      </c>
      <c r="E894" t="s">
        <v>25</v>
      </c>
      <c r="F894" t="s">
        <v>54</v>
      </c>
      <c r="G894" t="s">
        <v>71</v>
      </c>
      <c r="H894" t="s">
        <v>89</v>
      </c>
      <c r="I894">
        <v>2090</v>
      </c>
      <c r="J894">
        <v>0</v>
      </c>
      <c r="K894" t="s">
        <v>54</v>
      </c>
      <c r="L894">
        <v>70</v>
      </c>
    </row>
    <row r="895" spans="1:12" x14ac:dyDescent="0.45">
      <c r="A895" t="s">
        <v>90</v>
      </c>
      <c r="B895" t="s">
        <v>4</v>
      </c>
      <c r="C895" t="s">
        <v>84</v>
      </c>
      <c r="D895" t="s">
        <v>54</v>
      </c>
      <c r="E895" t="s">
        <v>25</v>
      </c>
      <c r="F895" t="s">
        <v>54</v>
      </c>
      <c r="G895" t="s">
        <v>71</v>
      </c>
      <c r="H895" t="s">
        <v>89</v>
      </c>
      <c r="I895">
        <v>2095</v>
      </c>
      <c r="J895">
        <v>0</v>
      </c>
      <c r="K895" t="s">
        <v>54</v>
      </c>
      <c r="L895">
        <v>70</v>
      </c>
    </row>
    <row r="896" spans="1:12" x14ac:dyDescent="0.45">
      <c r="A896" t="s">
        <v>90</v>
      </c>
      <c r="B896" t="s">
        <v>4</v>
      </c>
      <c r="C896" t="s">
        <v>84</v>
      </c>
      <c r="D896" t="s">
        <v>54</v>
      </c>
      <c r="E896" t="s">
        <v>25</v>
      </c>
      <c r="F896" t="s">
        <v>54</v>
      </c>
      <c r="G896" t="s">
        <v>71</v>
      </c>
      <c r="H896" t="s">
        <v>89</v>
      </c>
      <c r="I896">
        <v>2100</v>
      </c>
      <c r="J896">
        <v>0</v>
      </c>
      <c r="K896" t="s">
        <v>54</v>
      </c>
      <c r="L896">
        <v>70</v>
      </c>
    </row>
    <row r="897" spans="1:12" x14ac:dyDescent="0.45">
      <c r="A897" t="s">
        <v>90</v>
      </c>
      <c r="B897" t="s">
        <v>0</v>
      </c>
      <c r="C897" t="s">
        <v>84</v>
      </c>
      <c r="D897" t="s">
        <v>54</v>
      </c>
      <c r="E897" t="s">
        <v>25</v>
      </c>
      <c r="F897" t="s">
        <v>54</v>
      </c>
      <c r="G897" t="s">
        <v>71</v>
      </c>
      <c r="H897" t="s">
        <v>89</v>
      </c>
      <c r="I897">
        <v>2020</v>
      </c>
      <c r="J897">
        <v>0</v>
      </c>
      <c r="K897" t="s">
        <v>54</v>
      </c>
      <c r="L897">
        <v>70</v>
      </c>
    </row>
    <row r="898" spans="1:12" x14ac:dyDescent="0.45">
      <c r="A898" t="s">
        <v>90</v>
      </c>
      <c r="B898" t="s">
        <v>0</v>
      </c>
      <c r="C898" t="s">
        <v>84</v>
      </c>
      <c r="D898" t="s">
        <v>54</v>
      </c>
      <c r="E898" t="s">
        <v>25</v>
      </c>
      <c r="F898" t="s">
        <v>54</v>
      </c>
      <c r="G898" t="s">
        <v>71</v>
      </c>
      <c r="H898" t="s">
        <v>89</v>
      </c>
      <c r="I898">
        <v>2025</v>
      </c>
      <c r="J898">
        <v>0</v>
      </c>
      <c r="K898" t="s">
        <v>54</v>
      </c>
      <c r="L898">
        <v>70</v>
      </c>
    </row>
    <row r="899" spans="1:12" x14ac:dyDescent="0.45">
      <c r="A899" t="s">
        <v>90</v>
      </c>
      <c r="B899" t="s">
        <v>0</v>
      </c>
      <c r="C899" t="s">
        <v>84</v>
      </c>
      <c r="D899" t="s">
        <v>54</v>
      </c>
      <c r="E899" t="s">
        <v>25</v>
      </c>
      <c r="F899" t="s">
        <v>54</v>
      </c>
      <c r="G899" t="s">
        <v>71</v>
      </c>
      <c r="H899" t="s">
        <v>89</v>
      </c>
      <c r="I899">
        <v>2030</v>
      </c>
      <c r="J899">
        <v>0</v>
      </c>
      <c r="K899" t="s">
        <v>54</v>
      </c>
      <c r="L899">
        <v>70</v>
      </c>
    </row>
    <row r="900" spans="1:12" x14ac:dyDescent="0.45">
      <c r="A900" t="s">
        <v>90</v>
      </c>
      <c r="B900" t="s">
        <v>0</v>
      </c>
      <c r="C900" t="s">
        <v>84</v>
      </c>
      <c r="D900" t="s">
        <v>54</v>
      </c>
      <c r="E900" t="s">
        <v>25</v>
      </c>
      <c r="F900" t="s">
        <v>54</v>
      </c>
      <c r="G900" t="s">
        <v>71</v>
      </c>
      <c r="H900" t="s">
        <v>89</v>
      </c>
      <c r="I900">
        <v>2035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0</v>
      </c>
      <c r="C901" t="s">
        <v>84</v>
      </c>
      <c r="D901" t="s">
        <v>54</v>
      </c>
      <c r="E901" t="s">
        <v>25</v>
      </c>
      <c r="F901" t="s">
        <v>54</v>
      </c>
      <c r="G901" t="s">
        <v>71</v>
      </c>
      <c r="H901" t="s">
        <v>89</v>
      </c>
      <c r="I901">
        <v>2040</v>
      </c>
      <c r="J901">
        <v>0</v>
      </c>
      <c r="K901" t="s">
        <v>54</v>
      </c>
      <c r="L901">
        <v>70</v>
      </c>
    </row>
    <row r="902" spans="1:12" x14ac:dyDescent="0.45">
      <c r="A902" t="s">
        <v>90</v>
      </c>
      <c r="B902" t="s">
        <v>0</v>
      </c>
      <c r="C902" t="s">
        <v>84</v>
      </c>
      <c r="D902" t="s">
        <v>54</v>
      </c>
      <c r="E902" t="s">
        <v>25</v>
      </c>
      <c r="F902" t="s">
        <v>54</v>
      </c>
      <c r="G902" t="s">
        <v>71</v>
      </c>
      <c r="H902" t="s">
        <v>89</v>
      </c>
      <c r="I902">
        <v>2045</v>
      </c>
      <c r="J902">
        <v>0</v>
      </c>
      <c r="K902" t="s">
        <v>54</v>
      </c>
      <c r="L902">
        <v>70</v>
      </c>
    </row>
    <row r="903" spans="1:12" x14ac:dyDescent="0.45">
      <c r="A903" t="s">
        <v>90</v>
      </c>
      <c r="B903" t="s">
        <v>0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2050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0</v>
      </c>
      <c r="C904" t="s">
        <v>84</v>
      </c>
      <c r="D904" t="s">
        <v>54</v>
      </c>
      <c r="E904" t="s">
        <v>25</v>
      </c>
      <c r="F904" t="s">
        <v>54</v>
      </c>
      <c r="G904" t="s">
        <v>71</v>
      </c>
      <c r="H904" t="s">
        <v>89</v>
      </c>
      <c r="I904">
        <v>2055</v>
      </c>
      <c r="J904">
        <v>0</v>
      </c>
      <c r="K904" t="s">
        <v>54</v>
      </c>
      <c r="L904">
        <v>70</v>
      </c>
    </row>
    <row r="905" spans="1:12" x14ac:dyDescent="0.45">
      <c r="A905" t="s">
        <v>90</v>
      </c>
      <c r="B905" t="s">
        <v>0</v>
      </c>
      <c r="C905" t="s">
        <v>84</v>
      </c>
      <c r="D905" t="s">
        <v>54</v>
      </c>
      <c r="E905" t="s">
        <v>25</v>
      </c>
      <c r="F905" t="s">
        <v>54</v>
      </c>
      <c r="G905" t="s">
        <v>71</v>
      </c>
      <c r="H905" t="s">
        <v>89</v>
      </c>
      <c r="I905">
        <v>2060</v>
      </c>
      <c r="J905">
        <v>0</v>
      </c>
      <c r="K905" t="s">
        <v>54</v>
      </c>
      <c r="L905">
        <v>70</v>
      </c>
    </row>
    <row r="906" spans="1:12" x14ac:dyDescent="0.45">
      <c r="A906" t="s">
        <v>90</v>
      </c>
      <c r="B906" t="s">
        <v>0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2065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0</v>
      </c>
      <c r="C907" t="s">
        <v>84</v>
      </c>
      <c r="D907" t="s">
        <v>54</v>
      </c>
      <c r="E907" t="s">
        <v>25</v>
      </c>
      <c r="F907" t="s">
        <v>54</v>
      </c>
      <c r="G907" t="s">
        <v>71</v>
      </c>
      <c r="H907" t="s">
        <v>89</v>
      </c>
      <c r="I907">
        <v>2070</v>
      </c>
      <c r="J907">
        <v>0</v>
      </c>
      <c r="K907" t="s">
        <v>54</v>
      </c>
      <c r="L907">
        <v>70</v>
      </c>
    </row>
    <row r="908" spans="1:12" x14ac:dyDescent="0.45">
      <c r="A908" t="s">
        <v>90</v>
      </c>
      <c r="B908" t="s">
        <v>0</v>
      </c>
      <c r="C908" t="s">
        <v>84</v>
      </c>
      <c r="D908" t="s">
        <v>54</v>
      </c>
      <c r="E908" t="s">
        <v>25</v>
      </c>
      <c r="F908" t="s">
        <v>54</v>
      </c>
      <c r="G908" t="s">
        <v>71</v>
      </c>
      <c r="H908" t="s">
        <v>89</v>
      </c>
      <c r="I908">
        <v>2075</v>
      </c>
      <c r="J908">
        <v>0</v>
      </c>
      <c r="K908" t="s">
        <v>54</v>
      </c>
      <c r="L908">
        <v>70</v>
      </c>
    </row>
    <row r="909" spans="1:12" x14ac:dyDescent="0.45">
      <c r="A909" t="s">
        <v>90</v>
      </c>
      <c r="B909" t="s">
        <v>0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2080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0</v>
      </c>
      <c r="C910" t="s">
        <v>84</v>
      </c>
      <c r="D910" t="s">
        <v>54</v>
      </c>
      <c r="E910" t="s">
        <v>25</v>
      </c>
      <c r="F910" t="s">
        <v>54</v>
      </c>
      <c r="G910" t="s">
        <v>71</v>
      </c>
      <c r="H910" t="s">
        <v>89</v>
      </c>
      <c r="I910">
        <v>2085</v>
      </c>
      <c r="J910">
        <v>0</v>
      </c>
      <c r="K910" t="s">
        <v>54</v>
      </c>
      <c r="L910">
        <v>70</v>
      </c>
    </row>
    <row r="911" spans="1:12" x14ac:dyDescent="0.45">
      <c r="A911" t="s">
        <v>90</v>
      </c>
      <c r="B911" t="s">
        <v>0</v>
      </c>
      <c r="C911" t="s">
        <v>84</v>
      </c>
      <c r="D911" t="s">
        <v>54</v>
      </c>
      <c r="E911" t="s">
        <v>25</v>
      </c>
      <c r="F911" t="s">
        <v>54</v>
      </c>
      <c r="G911" t="s">
        <v>71</v>
      </c>
      <c r="H911" t="s">
        <v>89</v>
      </c>
      <c r="I911">
        <v>2090</v>
      </c>
      <c r="J911">
        <v>0</v>
      </c>
      <c r="K911" t="s">
        <v>54</v>
      </c>
      <c r="L911">
        <v>70</v>
      </c>
    </row>
    <row r="912" spans="1:12" x14ac:dyDescent="0.45">
      <c r="A912" t="s">
        <v>90</v>
      </c>
      <c r="B912" t="s">
        <v>0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2095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0</v>
      </c>
      <c r="C913" t="s">
        <v>84</v>
      </c>
      <c r="D913" t="s">
        <v>54</v>
      </c>
      <c r="E913" t="s">
        <v>25</v>
      </c>
      <c r="F913" t="s">
        <v>54</v>
      </c>
      <c r="G913" t="s">
        <v>71</v>
      </c>
      <c r="H913" t="s">
        <v>89</v>
      </c>
      <c r="I913">
        <v>2100</v>
      </c>
      <c r="J913">
        <v>0</v>
      </c>
      <c r="K913" t="s">
        <v>54</v>
      </c>
      <c r="L913">
        <v>70</v>
      </c>
    </row>
    <row r="914" spans="1:12" x14ac:dyDescent="0.45">
      <c r="A914" t="s">
        <v>90</v>
      </c>
      <c r="B914" t="s">
        <v>6</v>
      </c>
      <c r="C914" t="s">
        <v>84</v>
      </c>
      <c r="D914" t="s">
        <v>54</v>
      </c>
      <c r="E914" t="s">
        <v>25</v>
      </c>
      <c r="F914" t="s">
        <v>54</v>
      </c>
      <c r="G914" t="s">
        <v>71</v>
      </c>
      <c r="H914" t="s">
        <v>89</v>
      </c>
      <c r="I914">
        <v>2020</v>
      </c>
      <c r="J914">
        <v>0</v>
      </c>
      <c r="K914" t="s">
        <v>54</v>
      </c>
      <c r="L914">
        <v>70</v>
      </c>
    </row>
    <row r="915" spans="1:12" x14ac:dyDescent="0.45">
      <c r="A915" t="s">
        <v>90</v>
      </c>
      <c r="B915" t="s">
        <v>6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2025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6</v>
      </c>
      <c r="C916" t="s">
        <v>84</v>
      </c>
      <c r="D916" t="s">
        <v>54</v>
      </c>
      <c r="E916" t="s">
        <v>25</v>
      </c>
      <c r="F916" t="s">
        <v>54</v>
      </c>
      <c r="G916" t="s">
        <v>71</v>
      </c>
      <c r="H916" t="s">
        <v>89</v>
      </c>
      <c r="I916">
        <v>2030</v>
      </c>
      <c r="J916">
        <v>0</v>
      </c>
      <c r="K916" t="s">
        <v>54</v>
      </c>
      <c r="L916">
        <v>70</v>
      </c>
    </row>
    <row r="917" spans="1:12" x14ac:dyDescent="0.45">
      <c r="A917" t="s">
        <v>90</v>
      </c>
      <c r="B917" t="s">
        <v>6</v>
      </c>
      <c r="C917" t="s">
        <v>84</v>
      </c>
      <c r="D917" t="s">
        <v>54</v>
      </c>
      <c r="E917" t="s">
        <v>25</v>
      </c>
      <c r="F917" t="s">
        <v>54</v>
      </c>
      <c r="G917" t="s">
        <v>71</v>
      </c>
      <c r="H917" t="s">
        <v>89</v>
      </c>
      <c r="I917">
        <v>2035</v>
      </c>
      <c r="J917">
        <v>0</v>
      </c>
      <c r="K917" t="s">
        <v>54</v>
      </c>
      <c r="L917">
        <v>70</v>
      </c>
    </row>
    <row r="918" spans="1:12" x14ac:dyDescent="0.45">
      <c r="A918" t="s">
        <v>90</v>
      </c>
      <c r="B918" t="s">
        <v>6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2040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6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2045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6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2050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6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2060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6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2065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6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2070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6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2075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6</v>
      </c>
      <c r="C926" t="s">
        <v>84</v>
      </c>
      <c r="D926" t="s">
        <v>54</v>
      </c>
      <c r="E926" t="s">
        <v>25</v>
      </c>
      <c r="F926" t="s">
        <v>54</v>
      </c>
      <c r="G926" t="s">
        <v>71</v>
      </c>
      <c r="H926" t="s">
        <v>89</v>
      </c>
      <c r="I926">
        <v>2080</v>
      </c>
      <c r="J926">
        <v>0</v>
      </c>
      <c r="K926" t="s">
        <v>54</v>
      </c>
      <c r="L926">
        <v>70</v>
      </c>
    </row>
    <row r="927" spans="1:12" x14ac:dyDescent="0.45">
      <c r="A927" t="s">
        <v>90</v>
      </c>
      <c r="B927" t="s">
        <v>6</v>
      </c>
      <c r="C927" t="s">
        <v>84</v>
      </c>
      <c r="D927" t="s">
        <v>54</v>
      </c>
      <c r="E927" t="s">
        <v>25</v>
      </c>
      <c r="F927" t="s">
        <v>54</v>
      </c>
      <c r="G927" t="s">
        <v>71</v>
      </c>
      <c r="H927" t="s">
        <v>89</v>
      </c>
      <c r="I927">
        <v>2085</v>
      </c>
      <c r="J927">
        <v>0</v>
      </c>
      <c r="K927" t="s">
        <v>54</v>
      </c>
      <c r="L927">
        <v>70</v>
      </c>
    </row>
    <row r="928" spans="1:12" x14ac:dyDescent="0.45">
      <c r="A928" t="s">
        <v>90</v>
      </c>
      <c r="B928" t="s">
        <v>6</v>
      </c>
      <c r="C928" t="s">
        <v>84</v>
      </c>
      <c r="D928" t="s">
        <v>54</v>
      </c>
      <c r="E928" t="s">
        <v>25</v>
      </c>
      <c r="F928" t="s">
        <v>54</v>
      </c>
      <c r="G928" t="s">
        <v>71</v>
      </c>
      <c r="H928" t="s">
        <v>89</v>
      </c>
      <c r="I928">
        <v>2090</v>
      </c>
      <c r="J928">
        <v>0</v>
      </c>
      <c r="K928" t="s">
        <v>54</v>
      </c>
      <c r="L928">
        <v>70</v>
      </c>
    </row>
    <row r="929" spans="1:12" x14ac:dyDescent="0.45">
      <c r="A929" t="s">
        <v>90</v>
      </c>
      <c r="B929" t="s">
        <v>6</v>
      </c>
      <c r="C929" t="s">
        <v>84</v>
      </c>
      <c r="D929" t="s">
        <v>54</v>
      </c>
      <c r="E929" t="s">
        <v>25</v>
      </c>
      <c r="F929" t="s">
        <v>54</v>
      </c>
      <c r="G929" t="s">
        <v>71</v>
      </c>
      <c r="H929" t="s">
        <v>89</v>
      </c>
      <c r="I929">
        <v>2095</v>
      </c>
      <c r="J929">
        <v>0</v>
      </c>
      <c r="K929" t="s">
        <v>54</v>
      </c>
      <c r="L929">
        <v>70</v>
      </c>
    </row>
    <row r="930" spans="1:12" x14ac:dyDescent="0.45">
      <c r="A930" t="s">
        <v>90</v>
      </c>
      <c r="B930" t="s">
        <v>6</v>
      </c>
      <c r="C930" t="s">
        <v>84</v>
      </c>
      <c r="D930" t="s">
        <v>54</v>
      </c>
      <c r="E930" t="s">
        <v>25</v>
      </c>
      <c r="F930" t="s">
        <v>54</v>
      </c>
      <c r="G930" t="s">
        <v>71</v>
      </c>
      <c r="H930" t="s">
        <v>89</v>
      </c>
      <c r="I930">
        <v>2100</v>
      </c>
      <c r="J930">
        <v>0</v>
      </c>
      <c r="K930" t="s">
        <v>54</v>
      </c>
      <c r="L930">
        <v>70</v>
      </c>
    </row>
    <row r="931" spans="1:12" x14ac:dyDescent="0.45">
      <c r="A931" t="s">
        <v>90</v>
      </c>
      <c r="B931" t="s">
        <v>5</v>
      </c>
      <c r="C931" t="s">
        <v>84</v>
      </c>
      <c r="D931" t="s">
        <v>54</v>
      </c>
      <c r="E931" t="s">
        <v>25</v>
      </c>
      <c r="F931" t="s">
        <v>54</v>
      </c>
      <c r="G931" t="s">
        <v>71</v>
      </c>
      <c r="H931" t="s">
        <v>89</v>
      </c>
      <c r="I931">
        <v>2020</v>
      </c>
      <c r="J931">
        <v>0</v>
      </c>
      <c r="K931" t="s">
        <v>54</v>
      </c>
      <c r="L931">
        <v>70</v>
      </c>
    </row>
    <row r="932" spans="1:12" x14ac:dyDescent="0.45">
      <c r="A932" t="s">
        <v>90</v>
      </c>
      <c r="B932" t="s">
        <v>5</v>
      </c>
      <c r="C932" t="s">
        <v>84</v>
      </c>
      <c r="D932" t="s">
        <v>54</v>
      </c>
      <c r="E932" t="s">
        <v>25</v>
      </c>
      <c r="F932" t="s">
        <v>54</v>
      </c>
      <c r="G932" t="s">
        <v>71</v>
      </c>
      <c r="H932" t="s">
        <v>89</v>
      </c>
      <c r="I932">
        <v>2025</v>
      </c>
      <c r="J932">
        <v>0</v>
      </c>
      <c r="K932" t="s">
        <v>54</v>
      </c>
      <c r="L932">
        <v>70</v>
      </c>
    </row>
    <row r="933" spans="1:12" x14ac:dyDescent="0.45">
      <c r="A933" t="s">
        <v>90</v>
      </c>
      <c r="B933" t="s">
        <v>5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2030</v>
      </c>
      <c r="J933">
        <v>0</v>
      </c>
      <c r="K933" t="s">
        <v>54</v>
      </c>
      <c r="L933">
        <v>70</v>
      </c>
    </row>
    <row r="934" spans="1:12" x14ac:dyDescent="0.45">
      <c r="A934" t="s">
        <v>90</v>
      </c>
      <c r="B934" t="s">
        <v>5</v>
      </c>
      <c r="C934" t="s">
        <v>84</v>
      </c>
      <c r="D934" t="s">
        <v>54</v>
      </c>
      <c r="E934" t="s">
        <v>25</v>
      </c>
      <c r="F934" t="s">
        <v>54</v>
      </c>
      <c r="G934" t="s">
        <v>71</v>
      </c>
      <c r="H934" t="s">
        <v>89</v>
      </c>
      <c r="I934">
        <v>2035</v>
      </c>
      <c r="J934">
        <v>0</v>
      </c>
      <c r="K934" t="s">
        <v>54</v>
      </c>
      <c r="L934">
        <v>70</v>
      </c>
    </row>
    <row r="935" spans="1:12" x14ac:dyDescent="0.45">
      <c r="A935" t="s">
        <v>90</v>
      </c>
      <c r="B935" t="s">
        <v>5</v>
      </c>
      <c r="C935" t="s">
        <v>84</v>
      </c>
      <c r="D935" t="s">
        <v>54</v>
      </c>
      <c r="E935" t="s">
        <v>25</v>
      </c>
      <c r="F935" t="s">
        <v>54</v>
      </c>
      <c r="G935" t="s">
        <v>71</v>
      </c>
      <c r="H935" t="s">
        <v>89</v>
      </c>
      <c r="I935">
        <v>2040</v>
      </c>
      <c r="J935">
        <v>0</v>
      </c>
      <c r="K935" t="s">
        <v>54</v>
      </c>
      <c r="L935">
        <v>70</v>
      </c>
    </row>
    <row r="936" spans="1:12" x14ac:dyDescent="0.45">
      <c r="A936" t="s">
        <v>90</v>
      </c>
      <c r="B936" t="s">
        <v>5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2045</v>
      </c>
      <c r="J936">
        <v>0</v>
      </c>
      <c r="K936" t="s">
        <v>54</v>
      </c>
      <c r="L936">
        <v>70</v>
      </c>
    </row>
    <row r="937" spans="1:12" x14ac:dyDescent="0.45">
      <c r="A937" t="s">
        <v>90</v>
      </c>
      <c r="B937" t="s">
        <v>5</v>
      </c>
      <c r="C937" t="s">
        <v>84</v>
      </c>
      <c r="D937" t="s">
        <v>54</v>
      </c>
      <c r="E937" t="s">
        <v>25</v>
      </c>
      <c r="F937" t="s">
        <v>54</v>
      </c>
      <c r="G937" t="s">
        <v>71</v>
      </c>
      <c r="H937" t="s">
        <v>89</v>
      </c>
      <c r="I937">
        <v>2050</v>
      </c>
      <c r="J937">
        <v>0</v>
      </c>
      <c r="K937" t="s">
        <v>54</v>
      </c>
      <c r="L937">
        <v>70</v>
      </c>
    </row>
    <row r="938" spans="1:12" x14ac:dyDescent="0.45">
      <c r="A938" t="s">
        <v>90</v>
      </c>
      <c r="B938" t="s">
        <v>5</v>
      </c>
      <c r="C938" t="s">
        <v>84</v>
      </c>
      <c r="D938" t="s">
        <v>54</v>
      </c>
      <c r="E938" t="s">
        <v>25</v>
      </c>
      <c r="F938" t="s">
        <v>54</v>
      </c>
      <c r="G938" t="s">
        <v>71</v>
      </c>
      <c r="H938" t="s">
        <v>89</v>
      </c>
      <c r="I938">
        <v>2055</v>
      </c>
      <c r="J938">
        <v>0</v>
      </c>
      <c r="K938" t="s">
        <v>54</v>
      </c>
      <c r="L938">
        <v>70</v>
      </c>
    </row>
    <row r="939" spans="1:12" x14ac:dyDescent="0.45">
      <c r="A939" t="s">
        <v>90</v>
      </c>
      <c r="B939" t="s">
        <v>5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2060</v>
      </c>
      <c r="J939">
        <v>0</v>
      </c>
      <c r="K939" t="s">
        <v>54</v>
      </c>
      <c r="L939">
        <v>70</v>
      </c>
    </row>
    <row r="940" spans="1:12" x14ac:dyDescent="0.45">
      <c r="A940" t="s">
        <v>90</v>
      </c>
      <c r="B940" t="s">
        <v>5</v>
      </c>
      <c r="C940" t="s">
        <v>84</v>
      </c>
      <c r="D940" t="s">
        <v>54</v>
      </c>
      <c r="E940" t="s">
        <v>25</v>
      </c>
      <c r="F940" t="s">
        <v>54</v>
      </c>
      <c r="G940" t="s">
        <v>71</v>
      </c>
      <c r="H940" t="s">
        <v>89</v>
      </c>
      <c r="I940">
        <v>2065</v>
      </c>
      <c r="J940">
        <v>0</v>
      </c>
      <c r="K940" t="s">
        <v>54</v>
      </c>
      <c r="L940">
        <v>70</v>
      </c>
    </row>
    <row r="941" spans="1:12" x14ac:dyDescent="0.45">
      <c r="A941" t="s">
        <v>90</v>
      </c>
      <c r="B941" t="s">
        <v>5</v>
      </c>
      <c r="C941" t="s">
        <v>84</v>
      </c>
      <c r="D941" t="s">
        <v>54</v>
      </c>
      <c r="E941" t="s">
        <v>25</v>
      </c>
      <c r="F941" t="s">
        <v>54</v>
      </c>
      <c r="G941" t="s">
        <v>71</v>
      </c>
      <c r="H941" t="s">
        <v>89</v>
      </c>
      <c r="I941">
        <v>2070</v>
      </c>
      <c r="J941">
        <v>0</v>
      </c>
      <c r="K941" t="s">
        <v>54</v>
      </c>
      <c r="L941">
        <v>70</v>
      </c>
    </row>
    <row r="942" spans="1:12" x14ac:dyDescent="0.45">
      <c r="A942" t="s">
        <v>90</v>
      </c>
      <c r="B942" t="s">
        <v>5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2075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5</v>
      </c>
      <c r="C943" t="s">
        <v>84</v>
      </c>
      <c r="D943" t="s">
        <v>54</v>
      </c>
      <c r="E943" t="s">
        <v>25</v>
      </c>
      <c r="F943" t="s">
        <v>54</v>
      </c>
      <c r="G943" t="s">
        <v>71</v>
      </c>
      <c r="H943" t="s">
        <v>89</v>
      </c>
      <c r="I943">
        <v>2080</v>
      </c>
      <c r="J943">
        <v>0</v>
      </c>
      <c r="K943" t="s">
        <v>54</v>
      </c>
      <c r="L943">
        <v>70</v>
      </c>
    </row>
    <row r="944" spans="1:12" x14ac:dyDescent="0.45">
      <c r="A944" t="s">
        <v>90</v>
      </c>
      <c r="B944" t="s">
        <v>5</v>
      </c>
      <c r="C944" t="s">
        <v>84</v>
      </c>
      <c r="D944" t="s">
        <v>54</v>
      </c>
      <c r="E944" t="s">
        <v>25</v>
      </c>
      <c r="F944" t="s">
        <v>54</v>
      </c>
      <c r="G944" t="s">
        <v>71</v>
      </c>
      <c r="H944" t="s">
        <v>89</v>
      </c>
      <c r="I944">
        <v>2085</v>
      </c>
      <c r="J944">
        <v>0</v>
      </c>
      <c r="K944" t="s">
        <v>54</v>
      </c>
      <c r="L944">
        <v>70</v>
      </c>
    </row>
    <row r="945" spans="1:12" x14ac:dyDescent="0.45">
      <c r="A945" t="s">
        <v>90</v>
      </c>
      <c r="B945" t="s">
        <v>5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2090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5</v>
      </c>
      <c r="C946" t="s">
        <v>84</v>
      </c>
      <c r="D946" t="s">
        <v>54</v>
      </c>
      <c r="E946" t="s">
        <v>25</v>
      </c>
      <c r="F946" t="s">
        <v>54</v>
      </c>
      <c r="G946" t="s">
        <v>71</v>
      </c>
      <c r="H946" t="s">
        <v>89</v>
      </c>
      <c r="I946">
        <v>2095</v>
      </c>
      <c r="J946">
        <v>0</v>
      </c>
      <c r="K946" t="s">
        <v>54</v>
      </c>
      <c r="L946">
        <v>70</v>
      </c>
    </row>
    <row r="947" spans="1:12" x14ac:dyDescent="0.45">
      <c r="A947" t="s">
        <v>90</v>
      </c>
      <c r="B947" t="s">
        <v>5</v>
      </c>
      <c r="C947" t="s">
        <v>84</v>
      </c>
      <c r="D947" t="s">
        <v>54</v>
      </c>
      <c r="E947" t="s">
        <v>25</v>
      </c>
      <c r="F947" t="s">
        <v>54</v>
      </c>
      <c r="G947" t="s">
        <v>71</v>
      </c>
      <c r="H947" t="s">
        <v>89</v>
      </c>
      <c r="I947">
        <v>2100</v>
      </c>
      <c r="J947">
        <v>0</v>
      </c>
      <c r="K947" t="s">
        <v>54</v>
      </c>
      <c r="L947">
        <v>70</v>
      </c>
    </row>
    <row r="948" spans="1:12" x14ac:dyDescent="0.45">
      <c r="A948" t="s">
        <v>90</v>
      </c>
      <c r="B948" t="s">
        <v>2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2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0</v>
      </c>
      <c r="K949" t="s">
        <v>54</v>
      </c>
      <c r="L949">
        <v>70</v>
      </c>
    </row>
    <row r="950" spans="1:12" x14ac:dyDescent="0.45">
      <c r="A950" t="s">
        <v>90</v>
      </c>
      <c r="B950" t="s">
        <v>2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0</v>
      </c>
      <c r="K950" t="s">
        <v>54</v>
      </c>
      <c r="L950">
        <v>70</v>
      </c>
    </row>
    <row r="951" spans="1:12" x14ac:dyDescent="0.45">
      <c r="A951" t="s">
        <v>90</v>
      </c>
      <c r="B951" t="s">
        <v>2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2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2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2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2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2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2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2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2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2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2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2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2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2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84</v>
      </c>
      <c r="D965" t="s">
        <v>54</v>
      </c>
      <c r="E965" t="s">
        <v>25</v>
      </c>
      <c r="F965" t="s">
        <v>54</v>
      </c>
      <c r="G965" t="s">
        <v>71</v>
      </c>
      <c r="H965" t="s">
        <v>89</v>
      </c>
      <c r="I965">
        <v>2020</v>
      </c>
      <c r="J965">
        <v>0</v>
      </c>
      <c r="K965" t="s">
        <v>54</v>
      </c>
      <c r="L965">
        <v>70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2025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54</v>
      </c>
      <c r="E967" t="s">
        <v>25</v>
      </c>
      <c r="F967" t="s">
        <v>54</v>
      </c>
      <c r="G967" t="s">
        <v>71</v>
      </c>
      <c r="H967" t="s">
        <v>89</v>
      </c>
      <c r="I967">
        <v>2030</v>
      </c>
      <c r="J967">
        <v>0</v>
      </c>
      <c r="K967" t="s">
        <v>54</v>
      </c>
      <c r="L967">
        <v>70</v>
      </c>
    </row>
    <row r="968" spans="1:12" x14ac:dyDescent="0.45">
      <c r="A968" t="s">
        <v>90</v>
      </c>
      <c r="B968" t="s">
        <v>1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2035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2040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2045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1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2050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2055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2065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2070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54</v>
      </c>
      <c r="E976" t="s">
        <v>25</v>
      </c>
      <c r="F976" t="s">
        <v>54</v>
      </c>
      <c r="G976" t="s">
        <v>71</v>
      </c>
      <c r="H976" t="s">
        <v>89</v>
      </c>
      <c r="I976">
        <v>2075</v>
      </c>
      <c r="J976">
        <v>0</v>
      </c>
      <c r="K976" t="s">
        <v>54</v>
      </c>
      <c r="L976">
        <v>70</v>
      </c>
    </row>
    <row r="977" spans="1:12" x14ac:dyDescent="0.45">
      <c r="A977" t="s">
        <v>90</v>
      </c>
      <c r="B977" t="s">
        <v>1</v>
      </c>
      <c r="C977" t="s">
        <v>84</v>
      </c>
      <c r="D977" t="s">
        <v>54</v>
      </c>
      <c r="E977" t="s">
        <v>25</v>
      </c>
      <c r="F977" t="s">
        <v>54</v>
      </c>
      <c r="G977" t="s">
        <v>71</v>
      </c>
      <c r="H977" t="s">
        <v>89</v>
      </c>
      <c r="I977">
        <v>2080</v>
      </c>
      <c r="J977">
        <v>0</v>
      </c>
      <c r="K977" t="s">
        <v>54</v>
      </c>
      <c r="L977">
        <v>70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2085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54</v>
      </c>
      <c r="E979" t="s">
        <v>25</v>
      </c>
      <c r="F979" t="s">
        <v>54</v>
      </c>
      <c r="G979" t="s">
        <v>71</v>
      </c>
      <c r="H979" t="s">
        <v>89</v>
      </c>
      <c r="I979">
        <v>2090</v>
      </c>
      <c r="J979">
        <v>0</v>
      </c>
      <c r="K979" t="s">
        <v>54</v>
      </c>
      <c r="L979">
        <v>70</v>
      </c>
    </row>
    <row r="980" spans="1:12" x14ac:dyDescent="0.45">
      <c r="A980" t="s">
        <v>90</v>
      </c>
      <c r="B980" t="s">
        <v>1</v>
      </c>
      <c r="C980" t="s">
        <v>84</v>
      </c>
      <c r="D980" t="s">
        <v>54</v>
      </c>
      <c r="E980" t="s">
        <v>25</v>
      </c>
      <c r="F980" t="s">
        <v>54</v>
      </c>
      <c r="G980" t="s">
        <v>71</v>
      </c>
      <c r="H980" t="s">
        <v>89</v>
      </c>
      <c r="I980">
        <v>2095</v>
      </c>
      <c r="J980">
        <v>0</v>
      </c>
      <c r="K980" t="s">
        <v>54</v>
      </c>
      <c r="L980">
        <v>70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2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</v>
      </c>
      <c r="K983" t="s">
        <v>45</v>
      </c>
    </row>
    <row r="984" spans="1:12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3.1399999999999997E-2</v>
      </c>
      <c r="K984" t="s">
        <v>45</v>
      </c>
    </row>
    <row r="985" spans="1:12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9.69E-2</v>
      </c>
      <c r="K985" t="s">
        <v>45</v>
      </c>
    </row>
    <row r="986" spans="1:12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0.34320000000000001</v>
      </c>
      <c r="K986" t="s">
        <v>45</v>
      </c>
    </row>
    <row r="987" spans="1:12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0.61419999999999997</v>
      </c>
      <c r="K987" t="s">
        <v>45</v>
      </c>
    </row>
    <row r="988" spans="1:12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0.92725000000000002</v>
      </c>
      <c r="K988" t="s">
        <v>45</v>
      </c>
    </row>
    <row r="989" spans="1:12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1.1212</v>
      </c>
      <c r="K989" t="s">
        <v>45</v>
      </c>
    </row>
    <row r="990" spans="1:12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8.7266999999999992</v>
      </c>
      <c r="K990" t="s">
        <v>45</v>
      </c>
    </row>
    <row r="991" spans="1:12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8.2204999999999995</v>
      </c>
      <c r="K991" t="s">
        <v>45</v>
      </c>
    </row>
    <row r="992" spans="1:12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0.9214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3.3387500000000001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0.51649999999999996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0.33699999999999997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0.19284999999999999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9.9000000000000005E-2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1.6199999999999999E-2</v>
      </c>
      <c r="K998" t="s">
        <v>45</v>
      </c>
    </row>
    <row r="999" spans="1:11" x14ac:dyDescent="0.45">
      <c r="A999" t="s">
        <v>90</v>
      </c>
      <c r="B999" t="s">
        <v>4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2020</v>
      </c>
      <c r="J999">
        <v>0</v>
      </c>
      <c r="K999" t="s">
        <v>45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2025</v>
      </c>
      <c r="J1000">
        <v>0</v>
      </c>
      <c r="K1000" t="s">
        <v>45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2035</v>
      </c>
      <c r="J1002">
        <v>0</v>
      </c>
      <c r="K1002" t="s">
        <v>45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2040</v>
      </c>
      <c r="J1003">
        <v>0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2045</v>
      </c>
      <c r="J1004">
        <v>0</v>
      </c>
      <c r="K1004" t="s">
        <v>45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2050</v>
      </c>
      <c r="J1005">
        <v>0</v>
      </c>
      <c r="K1005" t="s">
        <v>45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2055</v>
      </c>
      <c r="J1006">
        <v>0</v>
      </c>
      <c r="K1006" t="s">
        <v>45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2060</v>
      </c>
      <c r="J1007">
        <v>0</v>
      </c>
      <c r="K1007" t="s">
        <v>45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2065</v>
      </c>
      <c r="J1008">
        <v>0</v>
      </c>
      <c r="K1008" t="s">
        <v>45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2070</v>
      </c>
      <c r="J1009">
        <v>0</v>
      </c>
      <c r="K1009" t="s">
        <v>45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2075</v>
      </c>
      <c r="J1010">
        <v>0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2080</v>
      </c>
      <c r="J1011">
        <v>0</v>
      </c>
      <c r="K1011" t="s">
        <v>45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2085</v>
      </c>
      <c r="J1012">
        <v>0</v>
      </c>
      <c r="K1012" t="s">
        <v>45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2090</v>
      </c>
      <c r="J1013">
        <v>0</v>
      </c>
      <c r="K1013" t="s">
        <v>45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2095</v>
      </c>
      <c r="J1014">
        <v>0</v>
      </c>
      <c r="K1014" t="s">
        <v>45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2100</v>
      </c>
      <c r="J1015">
        <v>0</v>
      </c>
      <c r="K1015" t="s">
        <v>45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</v>
      </c>
      <c r="K1017" t="s">
        <v>45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5.45E-3</v>
      </c>
      <c r="K1019" t="s">
        <v>45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5.6550000000000003E-2</v>
      </c>
      <c r="K1020" t="s">
        <v>45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0.72924999999999995</v>
      </c>
      <c r="K1021" t="s">
        <v>45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1.6554</v>
      </c>
      <c r="K1022" t="s">
        <v>45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1.86355</v>
      </c>
      <c r="K1023" t="s">
        <v>45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1.9355</v>
      </c>
      <c r="K1024" t="s">
        <v>45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1.5802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1.2812000000000001</v>
      </c>
      <c r="K1026" t="s">
        <v>45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0.97960000000000003</v>
      </c>
      <c r="K1027" t="s">
        <v>45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0.7157</v>
      </c>
      <c r="K1028" t="s">
        <v>45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1.7594999999999998</v>
      </c>
      <c r="K1029" t="s">
        <v>45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0.85444999999999993</v>
      </c>
      <c r="K1030" t="s">
        <v>45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0.96640000000000004</v>
      </c>
      <c r="K1031" t="s">
        <v>45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1.25E-3</v>
      </c>
      <c r="K1032" t="s">
        <v>45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</v>
      </c>
      <c r="K1034" t="s">
        <v>45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</v>
      </c>
      <c r="K1035" t="s">
        <v>45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8.6999999999999994E-3</v>
      </c>
      <c r="K1036" t="s">
        <v>45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2.6150000000000003E-2</v>
      </c>
      <c r="K1037" t="s">
        <v>45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0.1082</v>
      </c>
      <c r="K1038" t="s">
        <v>45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0.1222</v>
      </c>
      <c r="K1039" t="s">
        <v>45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9.2200000000000004E-2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5.7800000000000004E-2</v>
      </c>
      <c r="K1041" t="s">
        <v>45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4.5199999999999997E-2</v>
      </c>
      <c r="K1042" t="s">
        <v>45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3.5200000000000002E-2</v>
      </c>
      <c r="K1043" t="s">
        <v>45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2.8249999999999997E-2</v>
      </c>
      <c r="K1044" t="s">
        <v>45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2.0649999999999998E-2</v>
      </c>
      <c r="K1045" t="s">
        <v>45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1.115E-2</v>
      </c>
      <c r="K1046" t="s">
        <v>45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2020</v>
      </c>
      <c r="J1050">
        <v>0</v>
      </c>
      <c r="K1050" t="s">
        <v>45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2025</v>
      </c>
      <c r="J1051">
        <v>0</v>
      </c>
      <c r="K1051" t="s">
        <v>45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2030</v>
      </c>
      <c r="J1052">
        <v>1.205E-2</v>
      </c>
      <c r="K1052" t="s">
        <v>45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2035</v>
      </c>
      <c r="J1053">
        <v>0.27290000000000003</v>
      </c>
      <c r="K1053" t="s">
        <v>45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2040</v>
      </c>
      <c r="J1054">
        <v>1.0264</v>
      </c>
      <c r="K1054" t="s">
        <v>45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2045</v>
      </c>
      <c r="J1055">
        <v>2.5090000000000003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2050</v>
      </c>
      <c r="J1056">
        <v>5.0326500000000003</v>
      </c>
      <c r="K1056" t="s">
        <v>45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2055</v>
      </c>
      <c r="J1057">
        <v>8.0463000000000005</v>
      </c>
      <c r="K1057" t="s">
        <v>45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2060</v>
      </c>
      <c r="J1058">
        <v>11.421299999999999</v>
      </c>
      <c r="K1058" t="s">
        <v>45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2065</v>
      </c>
      <c r="J1059">
        <v>9.9694500000000001</v>
      </c>
      <c r="K1059" t="s">
        <v>45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2070</v>
      </c>
      <c r="J1060">
        <v>8.4721000000000011</v>
      </c>
      <c r="K1060" t="s">
        <v>45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7.0677500000000002</v>
      </c>
      <c r="K1061" t="s">
        <v>45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2080</v>
      </c>
      <c r="J1062">
        <v>5.9190500000000004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2085</v>
      </c>
      <c r="J1063">
        <v>5.2590000000000003</v>
      </c>
      <c r="K1063" t="s">
        <v>45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2090</v>
      </c>
      <c r="J1064">
        <v>4.4215499999999999</v>
      </c>
      <c r="K1064" t="s">
        <v>45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2095</v>
      </c>
      <c r="J1065">
        <v>4.1811000000000007</v>
      </c>
      <c r="K1065" t="s">
        <v>45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2100</v>
      </c>
      <c r="J1066">
        <v>4.0674000000000001</v>
      </c>
      <c r="K1066" t="s">
        <v>45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0</v>
      </c>
      <c r="K1069" t="s">
        <v>45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1.0200000000000001E-2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5.6999999999999995E-2</v>
      </c>
      <c r="K1071" t="s">
        <v>45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0.15905</v>
      </c>
      <c r="K1072" t="s">
        <v>45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0.153</v>
      </c>
      <c r="K1073" t="s">
        <v>45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0.21920000000000001</v>
      </c>
      <c r="K1074" t="s">
        <v>45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1.093</v>
      </c>
      <c r="K1075" t="s">
        <v>45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0.86955000000000005</v>
      </c>
      <c r="K1076" t="s">
        <v>45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0.69245000000000001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0.51334999999999997</v>
      </c>
      <c r="K1078" t="s">
        <v>45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0.36829999999999996</v>
      </c>
      <c r="K1079" t="s">
        <v>45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0.21639999999999998</v>
      </c>
      <c r="K1080" t="s">
        <v>45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5.16E-2</v>
      </c>
      <c r="K1081" t="s">
        <v>45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2.1650000000000003E-2</v>
      </c>
      <c r="K1082" t="s">
        <v>45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3.1299999999999994E-2</v>
      </c>
      <c r="K1086" t="s">
        <v>45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0.57420000000000004</v>
      </c>
      <c r="K1087" t="s">
        <v>45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2.5979000000000001</v>
      </c>
      <c r="K1088" t="s">
        <v>45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6.9187499999999993</v>
      </c>
      <c r="K1089" t="s">
        <v>45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14.284050000000001</v>
      </c>
      <c r="K1090" t="s">
        <v>45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20.33165</v>
      </c>
      <c r="K1091" t="s">
        <v>45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20.947050000000001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19.132550000000002</v>
      </c>
      <c r="K1093" t="s">
        <v>45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17.4054</v>
      </c>
      <c r="K1094" t="s">
        <v>45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14.96505</v>
      </c>
      <c r="K1095" t="s">
        <v>45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12.9206</v>
      </c>
      <c r="K1096" t="s">
        <v>45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10.987550000000001</v>
      </c>
      <c r="K1097" t="s">
        <v>45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7.5101999999999993</v>
      </c>
      <c r="K1098" t="s">
        <v>45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3.1690499999999999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1.6875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186.35905</v>
      </c>
      <c r="K1101" t="s">
        <v>48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212.63839999999999</v>
      </c>
      <c r="K1102" t="s">
        <v>48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181.1189</v>
      </c>
      <c r="K1103" t="s">
        <v>48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156.12</v>
      </c>
      <c r="K1104" t="s">
        <v>48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155.95280000000002</v>
      </c>
      <c r="K1105" t="s">
        <v>48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156.75184999999999</v>
      </c>
      <c r="K1106" t="s">
        <v>48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162.84375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166.54140000000001</v>
      </c>
      <c r="K1108" t="s">
        <v>48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166.47620000000001</v>
      </c>
      <c r="K1109" t="s">
        <v>48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167.57675</v>
      </c>
      <c r="K1110" t="s">
        <v>48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166.41675000000001</v>
      </c>
      <c r="K1111" t="s">
        <v>48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168.98930000000001</v>
      </c>
      <c r="K1112" t="s">
        <v>48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169.57380000000001</v>
      </c>
      <c r="K1113" t="s">
        <v>48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167.40685000000002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165.11525</v>
      </c>
      <c r="K1115" t="s">
        <v>48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162.83645000000001</v>
      </c>
      <c r="K1116" t="s">
        <v>48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160.4794</v>
      </c>
      <c r="K1117" t="s">
        <v>48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2020</v>
      </c>
      <c r="J1118">
        <v>181.11065000000002</v>
      </c>
      <c r="K1118" t="s">
        <v>48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2025</v>
      </c>
      <c r="J1119">
        <v>220.51364999999998</v>
      </c>
      <c r="K1119" t="s">
        <v>48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313.96294999999998</v>
      </c>
      <c r="K1120" t="s">
        <v>48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2035</v>
      </c>
      <c r="J1121">
        <v>413.22315000000003</v>
      </c>
      <c r="K1121" t="s">
        <v>48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2040</v>
      </c>
      <c r="J1122">
        <v>527.24610000000007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2045</v>
      </c>
      <c r="J1123">
        <v>631.73509999999999</v>
      </c>
      <c r="K1123" t="s">
        <v>48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2050</v>
      </c>
      <c r="J1124">
        <v>636.16184999999996</v>
      </c>
      <c r="K1124" t="s">
        <v>48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2055</v>
      </c>
      <c r="J1125">
        <v>555.08230000000003</v>
      </c>
      <c r="K1125" t="s">
        <v>48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2060</v>
      </c>
      <c r="J1126">
        <v>445.22315000000003</v>
      </c>
      <c r="K1126" t="s">
        <v>48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2065</v>
      </c>
      <c r="J1127">
        <v>376.37880000000001</v>
      </c>
      <c r="K1127" t="s">
        <v>48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2070</v>
      </c>
      <c r="J1128">
        <v>317.09090000000003</v>
      </c>
      <c r="K1128" t="s">
        <v>48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2075</v>
      </c>
      <c r="J1129">
        <v>296.29084999999998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2080</v>
      </c>
      <c r="J1130">
        <v>279.23340000000002</v>
      </c>
      <c r="K1130" t="s">
        <v>48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2085</v>
      </c>
      <c r="J1131">
        <v>272.86969999999997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2090</v>
      </c>
      <c r="J1132">
        <v>265.74620000000004</v>
      </c>
      <c r="K1132" t="s">
        <v>48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2095</v>
      </c>
      <c r="J1133">
        <v>253.56675000000001</v>
      </c>
      <c r="K1133" t="s">
        <v>48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2100</v>
      </c>
      <c r="J1134">
        <v>244.40230000000003</v>
      </c>
      <c r="K1134" t="s">
        <v>48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184.12434999999999</v>
      </c>
      <c r="K1135" t="s">
        <v>48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2025</v>
      </c>
      <c r="J1136">
        <v>222.64895000000001</v>
      </c>
      <c r="K1136" t="s">
        <v>48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2030</v>
      </c>
      <c r="J1137">
        <v>308.14890000000003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2035</v>
      </c>
      <c r="J1138">
        <v>388.78764999999999</v>
      </c>
      <c r="K1138" t="s">
        <v>48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2040</v>
      </c>
      <c r="J1139">
        <v>164.74610000000001</v>
      </c>
      <c r="K1139" t="s">
        <v>48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155.96764999999999</v>
      </c>
      <c r="K1140" t="s">
        <v>48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2050</v>
      </c>
      <c r="J1141">
        <v>154.24180000000001</v>
      </c>
      <c r="K1141" t="s">
        <v>48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157.30734999999999</v>
      </c>
      <c r="K1142" t="s">
        <v>48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2060</v>
      </c>
      <c r="J1143">
        <v>160.45285000000001</v>
      </c>
      <c r="K1143" t="s">
        <v>48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2065</v>
      </c>
      <c r="J1144">
        <v>161.74115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2070</v>
      </c>
      <c r="J1145">
        <v>162.8048</v>
      </c>
      <c r="K1145" t="s">
        <v>48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2075</v>
      </c>
      <c r="J1146">
        <v>165.07445000000001</v>
      </c>
      <c r="K1146" t="s">
        <v>48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2080</v>
      </c>
      <c r="J1147">
        <v>167.73115000000001</v>
      </c>
      <c r="K1147" t="s">
        <v>48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2085</v>
      </c>
      <c r="J1148">
        <v>167.14505</v>
      </c>
      <c r="K1148" t="s">
        <v>48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2090</v>
      </c>
      <c r="J1149">
        <v>166.59415000000001</v>
      </c>
      <c r="K1149" t="s">
        <v>48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2095</v>
      </c>
      <c r="J1150">
        <v>165.92155</v>
      </c>
      <c r="K1150" t="s">
        <v>48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2100</v>
      </c>
      <c r="J1151">
        <v>164.68530000000001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184.01429999999999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224.17444999999998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309.85415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163.72165000000001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162.4436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164.2841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169.73525000000001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173.18344999999999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173.83575000000002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175.09399999999999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175.32210000000001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173.83165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172.62915000000001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170.43869999999998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168.30914999999999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165.43335000000002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162.8621</v>
      </c>
      <c r="K1168" t="s">
        <v>48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2020</v>
      </c>
      <c r="J1169">
        <v>186.44355000000002</v>
      </c>
      <c r="K1169" t="s">
        <v>48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2025</v>
      </c>
      <c r="J1170">
        <v>231.74209999999999</v>
      </c>
      <c r="K1170" t="s">
        <v>48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2030</v>
      </c>
      <c r="J1171">
        <v>175.67660000000001</v>
      </c>
      <c r="K1171" t="s">
        <v>48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2035</v>
      </c>
      <c r="J1172">
        <v>152.5249</v>
      </c>
      <c r="K1172" t="s">
        <v>48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2040</v>
      </c>
      <c r="J1173">
        <v>153.74495000000002</v>
      </c>
      <c r="K1173" t="s">
        <v>48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2045</v>
      </c>
      <c r="J1174">
        <v>152.2551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2050</v>
      </c>
      <c r="J1175">
        <v>150.18565000000001</v>
      </c>
      <c r="K1175" t="s">
        <v>48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2055</v>
      </c>
      <c r="J1176">
        <v>146.44240000000002</v>
      </c>
      <c r="K1176" t="s">
        <v>48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2060</v>
      </c>
      <c r="J1177">
        <v>142.49600000000001</v>
      </c>
      <c r="K1177" t="s">
        <v>48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142.93759999999997</v>
      </c>
      <c r="K1178" t="s">
        <v>48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2070</v>
      </c>
      <c r="J1179">
        <v>143.23000000000002</v>
      </c>
      <c r="K1179" t="s">
        <v>48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144.56099999999998</v>
      </c>
      <c r="K1180" t="s">
        <v>48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2080</v>
      </c>
      <c r="J1181">
        <v>145.82765000000001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2085</v>
      </c>
      <c r="J1182">
        <v>146.29840000000002</v>
      </c>
      <c r="K1182" t="s">
        <v>48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2090</v>
      </c>
      <c r="J1183">
        <v>147.47415000000001</v>
      </c>
      <c r="K1183" t="s">
        <v>48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2095</v>
      </c>
      <c r="J1184">
        <v>147.01249999999999</v>
      </c>
      <c r="K1184" t="s">
        <v>48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2100</v>
      </c>
      <c r="J1185">
        <v>146.13650000000001</v>
      </c>
      <c r="K1185" t="s">
        <v>48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183.67829999999998</v>
      </c>
      <c r="K1186" t="s">
        <v>48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2025</v>
      </c>
      <c r="J1187">
        <v>214.20715000000001</v>
      </c>
      <c r="K1187" t="s">
        <v>48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2030</v>
      </c>
      <c r="J1188">
        <v>199.27924999999999</v>
      </c>
      <c r="K1188" t="s">
        <v>48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2035</v>
      </c>
      <c r="J1189">
        <v>184.0411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2040</v>
      </c>
      <c r="J1190">
        <v>161.86574999999999</v>
      </c>
      <c r="K1190" t="s">
        <v>48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2045</v>
      </c>
      <c r="J1191">
        <v>165.28035</v>
      </c>
      <c r="K1191" t="s">
        <v>48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2050</v>
      </c>
      <c r="J1192">
        <v>225.67275000000001</v>
      </c>
      <c r="K1192" t="s">
        <v>48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2055</v>
      </c>
      <c r="J1193">
        <v>220.3981</v>
      </c>
      <c r="K1193" t="s">
        <v>48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2060</v>
      </c>
      <c r="J1194">
        <v>181.12290000000002</v>
      </c>
      <c r="K1194" t="s">
        <v>48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2065</v>
      </c>
      <c r="J1195">
        <v>181.92515</v>
      </c>
      <c r="K1195" t="s">
        <v>48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2070</v>
      </c>
      <c r="J1196">
        <v>182.02760000000001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2075</v>
      </c>
      <c r="J1197">
        <v>181.26179999999999</v>
      </c>
      <c r="K1197" t="s">
        <v>48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2080</v>
      </c>
      <c r="J1198">
        <v>180.73360000000002</v>
      </c>
      <c r="K1198" t="s">
        <v>48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2085</v>
      </c>
      <c r="J1199">
        <v>180.83985000000001</v>
      </c>
      <c r="K1199" t="s">
        <v>48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180.47045</v>
      </c>
      <c r="K1200" t="s">
        <v>48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2095</v>
      </c>
      <c r="J1201">
        <v>177.61490000000001</v>
      </c>
      <c r="K1201" t="s">
        <v>48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2100</v>
      </c>
      <c r="J1202">
        <v>175.58010000000002</v>
      </c>
      <c r="K1202" t="s">
        <v>48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178.78149999999999</v>
      </c>
      <c r="K1203" t="s">
        <v>48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195.45335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155.13240000000002</v>
      </c>
      <c r="K1205" t="s">
        <v>48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153.01124999999999</v>
      </c>
      <c r="K1206" t="s">
        <v>48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151.89005</v>
      </c>
      <c r="K1207" t="s">
        <v>48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147.23054999999999</v>
      </c>
      <c r="K1208" t="s">
        <v>48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140.0068</v>
      </c>
      <c r="K1209" t="s">
        <v>48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133.58229999999998</v>
      </c>
      <c r="K1210" t="s">
        <v>48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131.50245000000001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132.35570000000001</v>
      </c>
      <c r="K1212" t="s">
        <v>48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133.12430000000001</v>
      </c>
      <c r="K1213" t="s">
        <v>48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135.96359999999999</v>
      </c>
      <c r="K1214" t="s">
        <v>48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138.46339999999998</v>
      </c>
      <c r="K1215" t="s">
        <v>48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139.65105</v>
      </c>
      <c r="K1216" t="s">
        <v>48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142.52695</v>
      </c>
      <c r="K1217" t="s">
        <v>48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145.90805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146.143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24.963000000000001</v>
      </c>
      <c r="K1220" t="s">
        <v>51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67.428699999999992</v>
      </c>
      <c r="K1221" t="s">
        <v>51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34.004049999999999</v>
      </c>
      <c r="K1222" t="s">
        <v>51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9.7983499999999992</v>
      </c>
      <c r="K1223" t="s">
        <v>51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10.285350000000001</v>
      </c>
      <c r="K1224" t="s">
        <v>51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12.250499999999999</v>
      </c>
      <c r="K1225" t="s">
        <v>51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15.83755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17.33015</v>
      </c>
      <c r="K1227" t="s">
        <v>51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14.72095</v>
      </c>
      <c r="K1228" t="s">
        <v>51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15.062950000000001</v>
      </c>
      <c r="K1229" t="s">
        <v>51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13.242650000000001</v>
      </c>
      <c r="K1230" t="s">
        <v>51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14.44685</v>
      </c>
      <c r="K1231" t="s">
        <v>51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13.67375</v>
      </c>
      <c r="K1232" t="s">
        <v>51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12.909800000000001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12.014200000000001</v>
      </c>
      <c r="K1234" t="s">
        <v>51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10.869949999999999</v>
      </c>
      <c r="K1235" t="s">
        <v>51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9.6465999999999994</v>
      </c>
      <c r="K1236" t="s">
        <v>51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2020</v>
      </c>
      <c r="J1237">
        <v>19.7089</v>
      </c>
      <c r="K1237" t="s">
        <v>51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2025</v>
      </c>
      <c r="J1238">
        <v>69.530149999999992</v>
      </c>
      <c r="K1238" t="s">
        <v>51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161.35059999999999</v>
      </c>
      <c r="K1239" t="s">
        <v>51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2035</v>
      </c>
      <c r="J1240">
        <v>259.12734999999998</v>
      </c>
      <c r="K1240" t="s">
        <v>51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2040</v>
      </c>
      <c r="J1241">
        <v>371.63684999999998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2045</v>
      </c>
      <c r="J1242">
        <v>476.49209999999999</v>
      </c>
      <c r="K1242" t="s">
        <v>51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2050</v>
      </c>
      <c r="J1243">
        <v>481.65109999999999</v>
      </c>
      <c r="K1243" t="s">
        <v>51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2055</v>
      </c>
      <c r="J1244">
        <v>400.44754999999998</v>
      </c>
      <c r="K1244" t="s">
        <v>51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2060</v>
      </c>
      <c r="J1245">
        <v>289.05430000000001</v>
      </c>
      <c r="K1245" t="s">
        <v>51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2065</v>
      </c>
      <c r="J1246">
        <v>218.92615000000001</v>
      </c>
      <c r="K1246" t="s">
        <v>51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2070</v>
      </c>
      <c r="J1247">
        <v>158.39435</v>
      </c>
      <c r="K1247" t="s">
        <v>51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2075</v>
      </c>
      <c r="J1248">
        <v>136.9426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119.23965000000001</v>
      </c>
      <c r="K1249" t="s">
        <v>51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2085</v>
      </c>
      <c r="J1250">
        <v>113.89160000000001</v>
      </c>
      <c r="K1250" t="s">
        <v>51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2090</v>
      </c>
      <c r="J1251">
        <v>107.7569</v>
      </c>
      <c r="K1251" t="s">
        <v>51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2095</v>
      </c>
      <c r="J1252">
        <v>97.211849999999998</v>
      </c>
      <c r="K1252" t="s">
        <v>51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2100</v>
      </c>
      <c r="J1253">
        <v>89.64425</v>
      </c>
      <c r="K1253" t="s">
        <v>51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2020</v>
      </c>
      <c r="J1254">
        <v>22.719349999999999</v>
      </c>
      <c r="K1254" t="s">
        <v>51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2025</v>
      </c>
      <c r="J1255">
        <v>71.210700000000003</v>
      </c>
      <c r="K1255" t="s">
        <v>51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2030</v>
      </c>
      <c r="J1256">
        <v>154.61599999999999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2035</v>
      </c>
      <c r="J1257">
        <v>243.7586</v>
      </c>
      <c r="K1257" t="s">
        <v>51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2040</v>
      </c>
      <c r="J1258">
        <v>16.76135</v>
      </c>
      <c r="K1258" t="s">
        <v>51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9.5977999999999994</v>
      </c>
      <c r="K1259" t="s">
        <v>51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2050</v>
      </c>
      <c r="J1260">
        <v>6.8651</v>
      </c>
      <c r="K1260" t="s">
        <v>51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2055</v>
      </c>
      <c r="J1261">
        <v>7.6591499999999995</v>
      </c>
      <c r="K1261" t="s">
        <v>51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2060</v>
      </c>
      <c r="J1262">
        <v>8.1195500000000003</v>
      </c>
      <c r="K1262" t="s">
        <v>51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2065</v>
      </c>
      <c r="J1263">
        <v>8.8506999999999998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2070</v>
      </c>
      <c r="J1264">
        <v>9.3633999999999986</v>
      </c>
      <c r="K1264" t="s">
        <v>51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2075</v>
      </c>
      <c r="J1265">
        <v>10.3865</v>
      </c>
      <c r="K1265" t="s">
        <v>51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2080</v>
      </c>
      <c r="J1266">
        <v>11.7925</v>
      </c>
      <c r="K1266" t="s">
        <v>51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2085</v>
      </c>
      <c r="J1267">
        <v>12.728100000000001</v>
      </c>
      <c r="K1267" t="s">
        <v>51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2090</v>
      </c>
      <c r="J1268">
        <v>13.6921</v>
      </c>
      <c r="K1268" t="s">
        <v>51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2095</v>
      </c>
      <c r="J1269">
        <v>14.1777</v>
      </c>
      <c r="K1269" t="s">
        <v>51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14.0901</v>
      </c>
      <c r="K1270" t="s">
        <v>51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22.618449999999999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72.734849999999994</v>
      </c>
      <c r="K1272" t="s">
        <v>51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156.32114999999999</v>
      </c>
      <c r="K1273" t="s">
        <v>51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18.750450000000001</v>
      </c>
      <c r="K1274" t="s">
        <v>51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15.34695</v>
      </c>
      <c r="K1275" t="s">
        <v>51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19.851700000000001</v>
      </c>
      <c r="K1276" t="s">
        <v>51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25.446399999999997</v>
      </c>
      <c r="K1277" t="s">
        <v>51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26.7651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26.178700000000003</v>
      </c>
      <c r="K1279" t="s">
        <v>51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26.15185</v>
      </c>
      <c r="K1280" t="s">
        <v>51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25.126049999999999</v>
      </c>
      <c r="K1281" t="s">
        <v>51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23.182299999999998</v>
      </c>
      <c r="K1282" t="s">
        <v>51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21.5078</v>
      </c>
      <c r="K1283" t="s">
        <v>51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20.16865</v>
      </c>
      <c r="K1284" t="s">
        <v>51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18.8719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16.734100000000002</v>
      </c>
      <c r="K1286" t="s">
        <v>51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14.87945</v>
      </c>
      <c r="K1287" t="s">
        <v>51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2020</v>
      </c>
      <c r="J1288">
        <v>25.076499999999999</v>
      </c>
      <c r="K1288" t="s">
        <v>51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2025</v>
      </c>
      <c r="J1289">
        <v>86.600650000000002</v>
      </c>
      <c r="K1289" t="s">
        <v>51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2030</v>
      </c>
      <c r="J1290">
        <v>30.417850000000001</v>
      </c>
      <c r="K1290" t="s">
        <v>51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2035</v>
      </c>
      <c r="J1291">
        <v>5.7342499999999994</v>
      </c>
      <c r="K1291" t="s">
        <v>51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2040</v>
      </c>
      <c r="J1292">
        <v>4.2736499999999999</v>
      </c>
      <c r="K1292" t="s">
        <v>51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2045</v>
      </c>
      <c r="J1293">
        <v>2.3030999999999997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2050</v>
      </c>
      <c r="J1294">
        <v>-2.4999999999999967E-2</v>
      </c>
      <c r="K1294" t="s">
        <v>51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2055</v>
      </c>
      <c r="J1295">
        <v>-1.97305</v>
      </c>
      <c r="K1295" t="s">
        <v>51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2060</v>
      </c>
      <c r="J1296">
        <v>-4.6429</v>
      </c>
      <c r="K1296" t="s">
        <v>51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2065</v>
      </c>
      <c r="J1297">
        <v>-3.8224</v>
      </c>
      <c r="K1297" t="s">
        <v>51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2070</v>
      </c>
      <c r="J1298">
        <v>-3.0070999999999999</v>
      </c>
      <c r="K1298" t="s">
        <v>51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-2.6522999999999999</v>
      </c>
      <c r="K1299" t="s">
        <v>51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2080</v>
      </c>
      <c r="J1300">
        <v>-2.3464499999999999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2085</v>
      </c>
      <c r="J1301">
        <v>-1.4628999999999999</v>
      </c>
      <c r="K1301" t="s">
        <v>51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2090</v>
      </c>
      <c r="J1302">
        <v>0.12760000000000002</v>
      </c>
      <c r="K1302" t="s">
        <v>51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2095</v>
      </c>
      <c r="J1303">
        <v>0.45965000000000006</v>
      </c>
      <c r="K1303" t="s">
        <v>51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2100</v>
      </c>
      <c r="J1304">
        <v>0.39439999999999997</v>
      </c>
      <c r="K1304" t="s">
        <v>51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2020</v>
      </c>
      <c r="J1305">
        <v>22.282</v>
      </c>
      <c r="K1305" t="s">
        <v>51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2025</v>
      </c>
      <c r="J1306">
        <v>68.440200000000004</v>
      </c>
      <c r="K1306" t="s">
        <v>51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2030</v>
      </c>
      <c r="J1307">
        <v>52.197200000000002</v>
      </c>
      <c r="K1307" t="s">
        <v>51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2035</v>
      </c>
      <c r="J1308">
        <v>35.233849999999997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2040</v>
      </c>
      <c r="J1309">
        <v>11.31795</v>
      </c>
      <c r="K1309" t="s">
        <v>51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2045</v>
      </c>
      <c r="J1310">
        <v>15.792400000000001</v>
      </c>
      <c r="K1310" t="s">
        <v>51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2050</v>
      </c>
      <c r="J1311">
        <v>76.102500000000006</v>
      </c>
      <c r="K1311" t="s">
        <v>51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2055</v>
      </c>
      <c r="J1312">
        <v>69.063900000000004</v>
      </c>
      <c r="K1312" t="s">
        <v>51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2060</v>
      </c>
      <c r="J1313">
        <v>27.589849999999998</v>
      </c>
      <c r="K1313" t="s">
        <v>51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2065</v>
      </c>
      <c r="J1314">
        <v>26.718350000000001</v>
      </c>
      <c r="K1314" t="s">
        <v>51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2070</v>
      </c>
      <c r="J1315">
        <v>25.202349999999999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2075</v>
      </c>
      <c r="J1316">
        <v>23.7745</v>
      </c>
      <c r="K1316" t="s">
        <v>51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2080</v>
      </c>
      <c r="J1317">
        <v>22.574649999999998</v>
      </c>
      <c r="K1317" t="s">
        <v>51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2085</v>
      </c>
      <c r="J1318">
        <v>23.3931</v>
      </c>
      <c r="K1318" t="s">
        <v>51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23.7164</v>
      </c>
      <c r="K1319" t="s">
        <v>51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2095</v>
      </c>
      <c r="J1320">
        <v>21.679449999999999</v>
      </c>
      <c r="K1320" t="s">
        <v>51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20.473599999999998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17.38645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48.773499999999999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7.6738999999999997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4.8745999999999992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2.1284000000000001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-2.8233999999999999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-11.179449999999999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-16.926349999999999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-18.205350000000003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-16.791550000000001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-15.428650000000001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-13.2658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-11.429349999999999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-9.5896499999999989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-6.0677000000000003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-1.6537999999999999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-0.39594999999999997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5.5216500000000002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6.60215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4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2020</v>
      </c>
      <c r="J1356">
        <v>5.3799000000000001</v>
      </c>
      <c r="K1356" t="s">
        <v>29</v>
      </c>
    </row>
    <row r="1357" spans="1:11" x14ac:dyDescent="0.45">
      <c r="A1357" t="s">
        <v>90</v>
      </c>
      <c r="B1357" t="s">
        <v>4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2025</v>
      </c>
      <c r="J1357">
        <v>5.7637999999999998</v>
      </c>
      <c r="K1357" t="s">
        <v>29</v>
      </c>
    </row>
    <row r="1358" spans="1:11" x14ac:dyDescent="0.45">
      <c r="A1358" t="s">
        <v>90</v>
      </c>
      <c r="B1358" t="s">
        <v>4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5.3145500000000006</v>
      </c>
      <c r="K1358" t="s">
        <v>29</v>
      </c>
    </row>
    <row r="1359" spans="1:11" x14ac:dyDescent="0.45">
      <c r="A1359" t="s">
        <v>90</v>
      </c>
      <c r="B1359" t="s">
        <v>4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2035</v>
      </c>
      <c r="J1359">
        <v>4.5601500000000001</v>
      </c>
      <c r="K1359" t="s">
        <v>29</v>
      </c>
    </row>
    <row r="1360" spans="1:11" x14ac:dyDescent="0.45">
      <c r="A1360" t="s">
        <v>90</v>
      </c>
      <c r="B1360" t="s">
        <v>4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2040</v>
      </c>
      <c r="J1360">
        <v>2.1816000000000004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2045</v>
      </c>
      <c r="J1361">
        <v>2.3449</v>
      </c>
      <c r="K1361" t="s">
        <v>29</v>
      </c>
    </row>
    <row r="1362" spans="1:11" x14ac:dyDescent="0.45">
      <c r="A1362" t="s">
        <v>90</v>
      </c>
      <c r="B1362" t="s">
        <v>4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2050</v>
      </c>
      <c r="J1362">
        <v>3.6767000000000003</v>
      </c>
      <c r="K1362" t="s">
        <v>29</v>
      </c>
    </row>
    <row r="1363" spans="1:11" x14ac:dyDescent="0.45">
      <c r="A1363" t="s">
        <v>90</v>
      </c>
      <c r="B1363" t="s">
        <v>4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2055</v>
      </c>
      <c r="J1363">
        <v>4.1312499999999996</v>
      </c>
      <c r="K1363" t="s">
        <v>29</v>
      </c>
    </row>
    <row r="1364" spans="1:11" x14ac:dyDescent="0.45">
      <c r="A1364" t="s">
        <v>90</v>
      </c>
      <c r="B1364" t="s">
        <v>4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2060</v>
      </c>
      <c r="J1364">
        <v>5.2963500000000003</v>
      </c>
      <c r="K1364" t="s">
        <v>29</v>
      </c>
    </row>
    <row r="1365" spans="1:11" x14ac:dyDescent="0.45">
      <c r="A1365" t="s">
        <v>90</v>
      </c>
      <c r="B1365" t="s">
        <v>4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2065</v>
      </c>
      <c r="J1365">
        <v>6.2115499999999999</v>
      </c>
      <c r="K1365" t="s">
        <v>29</v>
      </c>
    </row>
    <row r="1366" spans="1:11" x14ac:dyDescent="0.45">
      <c r="A1366" t="s">
        <v>90</v>
      </c>
      <c r="B1366" t="s">
        <v>4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2070</v>
      </c>
      <c r="J1366">
        <v>7.1266999999999996</v>
      </c>
      <c r="K1366" t="s">
        <v>29</v>
      </c>
    </row>
    <row r="1367" spans="1:11" x14ac:dyDescent="0.45">
      <c r="A1367" t="s">
        <v>90</v>
      </c>
      <c r="B1367" t="s">
        <v>4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2075</v>
      </c>
      <c r="J1367">
        <v>7.1797500000000003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4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2085</v>
      </c>
      <c r="J1369">
        <v>7.1741000000000001</v>
      </c>
      <c r="K1369" t="s">
        <v>29</v>
      </c>
    </row>
    <row r="1370" spans="1:11" x14ac:dyDescent="0.45">
      <c r="A1370" t="s">
        <v>90</v>
      </c>
      <c r="B1370" t="s">
        <v>4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2090</v>
      </c>
      <c r="J1370">
        <v>7.1154500000000001</v>
      </c>
      <c r="K1370" t="s">
        <v>29</v>
      </c>
    </row>
    <row r="1371" spans="1:11" x14ac:dyDescent="0.45">
      <c r="A1371" t="s">
        <v>90</v>
      </c>
      <c r="B1371" t="s">
        <v>4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2095</v>
      </c>
      <c r="J1371">
        <v>7.3076499999999998</v>
      </c>
      <c r="K1371" t="s">
        <v>29</v>
      </c>
    </row>
    <row r="1372" spans="1:11" x14ac:dyDescent="0.45">
      <c r="A1372" t="s">
        <v>90</v>
      </c>
      <c r="B1372" t="s">
        <v>4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2100</v>
      </c>
      <c r="J1372">
        <v>7.4998000000000005</v>
      </c>
      <c r="K1372" t="s">
        <v>29</v>
      </c>
    </row>
    <row r="1373" spans="1:11" x14ac:dyDescent="0.45">
      <c r="A1373" t="s">
        <v>90</v>
      </c>
      <c r="B1373" t="s">
        <v>0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2020</v>
      </c>
      <c r="J1373">
        <v>5.3799000000000001</v>
      </c>
      <c r="K1373" t="s">
        <v>29</v>
      </c>
    </row>
    <row r="1374" spans="1:11" x14ac:dyDescent="0.45">
      <c r="A1374" t="s">
        <v>90</v>
      </c>
      <c r="B1374" t="s">
        <v>0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2025</v>
      </c>
      <c r="J1374">
        <v>5.7637999999999998</v>
      </c>
      <c r="K1374" t="s">
        <v>29</v>
      </c>
    </row>
    <row r="1375" spans="1:11" x14ac:dyDescent="0.45">
      <c r="A1375" t="s">
        <v>90</v>
      </c>
      <c r="B1375" t="s">
        <v>0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2030</v>
      </c>
      <c r="J1375">
        <v>5.3145500000000006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2035</v>
      </c>
      <c r="J1376">
        <v>2.1764999999999999</v>
      </c>
      <c r="K1376" t="s">
        <v>29</v>
      </c>
    </row>
    <row r="1377" spans="1:11" x14ac:dyDescent="0.45">
      <c r="A1377" t="s">
        <v>90</v>
      </c>
      <c r="B1377" t="s">
        <v>0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2040</v>
      </c>
      <c r="J1377">
        <v>5.5442</v>
      </c>
      <c r="K1377" t="s">
        <v>29</v>
      </c>
    </row>
    <row r="1378" spans="1:11" x14ac:dyDescent="0.45">
      <c r="A1378" t="s">
        <v>90</v>
      </c>
      <c r="B1378" t="s">
        <v>0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9.1586999999999996</v>
      </c>
      <c r="K1378" t="s">
        <v>29</v>
      </c>
    </row>
    <row r="1379" spans="1:11" x14ac:dyDescent="0.45">
      <c r="A1379" t="s">
        <v>90</v>
      </c>
      <c r="B1379" t="s">
        <v>0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2050</v>
      </c>
      <c r="J1379">
        <v>17.657350000000001</v>
      </c>
      <c r="K1379" t="s">
        <v>29</v>
      </c>
    </row>
    <row r="1380" spans="1:11" x14ac:dyDescent="0.45">
      <c r="A1380" t="s">
        <v>90</v>
      </c>
      <c r="B1380" t="s">
        <v>0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2055</v>
      </c>
      <c r="J1380">
        <v>20.9406</v>
      </c>
      <c r="K1380" t="s">
        <v>29</v>
      </c>
    </row>
    <row r="1381" spans="1:11" x14ac:dyDescent="0.45">
      <c r="A1381" t="s">
        <v>90</v>
      </c>
      <c r="B1381" t="s">
        <v>0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2060</v>
      </c>
      <c r="J1381">
        <v>28.955849999999998</v>
      </c>
      <c r="K1381" t="s">
        <v>29</v>
      </c>
    </row>
    <row r="1382" spans="1:11" x14ac:dyDescent="0.45">
      <c r="A1382" t="s">
        <v>90</v>
      </c>
      <c r="B1382" t="s">
        <v>0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2065</v>
      </c>
      <c r="J1382">
        <v>25.764299999999999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2070</v>
      </c>
      <c r="J1383">
        <v>22.572700000000001</v>
      </c>
      <c r="K1383" t="s">
        <v>29</v>
      </c>
    </row>
    <row r="1384" spans="1:11" x14ac:dyDescent="0.45">
      <c r="A1384" t="s">
        <v>90</v>
      </c>
      <c r="B1384" t="s">
        <v>0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2075</v>
      </c>
      <c r="J1384">
        <v>23.83595</v>
      </c>
      <c r="K1384" t="s">
        <v>29</v>
      </c>
    </row>
    <row r="1385" spans="1:11" x14ac:dyDescent="0.45">
      <c r="A1385" t="s">
        <v>90</v>
      </c>
      <c r="B1385" t="s">
        <v>0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2080</v>
      </c>
      <c r="J1385">
        <v>25.099249999999998</v>
      </c>
      <c r="K1385" t="s">
        <v>29</v>
      </c>
    </row>
    <row r="1386" spans="1:11" x14ac:dyDescent="0.45">
      <c r="A1386" t="s">
        <v>90</v>
      </c>
      <c r="B1386" t="s">
        <v>0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2085</v>
      </c>
      <c r="J1386">
        <v>23.323250000000002</v>
      </c>
      <c r="K1386" t="s">
        <v>29</v>
      </c>
    </row>
    <row r="1387" spans="1:11" x14ac:dyDescent="0.45">
      <c r="A1387" t="s">
        <v>90</v>
      </c>
      <c r="B1387" t="s">
        <v>0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2090</v>
      </c>
      <c r="J1387">
        <v>21.547249999999998</v>
      </c>
      <c r="K1387" t="s">
        <v>29</v>
      </c>
    </row>
    <row r="1388" spans="1:11" x14ac:dyDescent="0.45">
      <c r="A1388" t="s">
        <v>90</v>
      </c>
      <c r="B1388" t="s">
        <v>0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2095</v>
      </c>
      <c r="J1388">
        <v>22.268699999999999</v>
      </c>
      <c r="K1388" t="s">
        <v>29</v>
      </c>
    </row>
    <row r="1389" spans="1:11" x14ac:dyDescent="0.45">
      <c r="A1389" t="s">
        <v>90</v>
      </c>
      <c r="B1389" t="s">
        <v>0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2100</v>
      </c>
      <c r="J1389">
        <v>22.99005</v>
      </c>
      <c r="K1389" t="s">
        <v>29</v>
      </c>
    </row>
    <row r="1390" spans="1:11" x14ac:dyDescent="0.45">
      <c r="A1390" t="s">
        <v>90</v>
      </c>
      <c r="B1390" t="s">
        <v>6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2020</v>
      </c>
      <c r="J1390">
        <v>5.3799000000000001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2025</v>
      </c>
      <c r="J1391">
        <v>5.7637999999999998</v>
      </c>
      <c r="K1391" t="s">
        <v>29</v>
      </c>
    </row>
    <row r="1392" spans="1:11" x14ac:dyDescent="0.45">
      <c r="A1392" t="s">
        <v>90</v>
      </c>
      <c r="B1392" t="s">
        <v>6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2030</v>
      </c>
      <c r="J1392">
        <v>5.3145500000000006</v>
      </c>
      <c r="K1392" t="s">
        <v>29</v>
      </c>
    </row>
    <row r="1393" spans="1:11" x14ac:dyDescent="0.45">
      <c r="A1393" t="s">
        <v>90</v>
      </c>
      <c r="B1393" t="s">
        <v>6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2035</v>
      </c>
      <c r="J1393">
        <v>4.7282500000000001</v>
      </c>
      <c r="K1393" t="s">
        <v>29</v>
      </c>
    </row>
    <row r="1394" spans="1:11" x14ac:dyDescent="0.45">
      <c r="A1394" t="s">
        <v>90</v>
      </c>
      <c r="B1394" t="s">
        <v>6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2040</v>
      </c>
      <c r="J1394">
        <v>5.6577500000000001</v>
      </c>
      <c r="K1394" t="s">
        <v>29</v>
      </c>
    </row>
    <row r="1395" spans="1:11" x14ac:dyDescent="0.45">
      <c r="A1395" t="s">
        <v>90</v>
      </c>
      <c r="B1395" t="s">
        <v>6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2045</v>
      </c>
      <c r="J1395">
        <v>6.0046499999999998</v>
      </c>
      <c r="K1395" t="s">
        <v>29</v>
      </c>
    </row>
    <row r="1396" spans="1:11" x14ac:dyDescent="0.45">
      <c r="A1396" t="s">
        <v>90</v>
      </c>
      <c r="B1396" t="s">
        <v>6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2050</v>
      </c>
      <c r="J1396">
        <v>8.1373999999999995</v>
      </c>
      <c r="K1396" t="s">
        <v>29</v>
      </c>
    </row>
    <row r="1397" spans="1:11" x14ac:dyDescent="0.45">
      <c r="A1397" t="s">
        <v>90</v>
      </c>
      <c r="B1397" t="s">
        <v>6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2055</v>
      </c>
      <c r="J1397">
        <v>9.2483499999999985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6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2065</v>
      </c>
      <c r="J1399">
        <v>15.117049999999999</v>
      </c>
      <c r="K1399" t="s">
        <v>29</v>
      </c>
    </row>
    <row r="1400" spans="1:11" x14ac:dyDescent="0.45">
      <c r="A1400" t="s">
        <v>90</v>
      </c>
      <c r="B1400" t="s">
        <v>6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2070</v>
      </c>
      <c r="J1400">
        <v>15.547899999999998</v>
      </c>
      <c r="K1400" t="s">
        <v>29</v>
      </c>
    </row>
    <row r="1401" spans="1:11" x14ac:dyDescent="0.45">
      <c r="A1401" t="s">
        <v>90</v>
      </c>
      <c r="B1401" t="s">
        <v>6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2075</v>
      </c>
      <c r="J1401">
        <v>15.43695</v>
      </c>
      <c r="K1401" t="s">
        <v>29</v>
      </c>
    </row>
    <row r="1402" spans="1:11" x14ac:dyDescent="0.45">
      <c r="A1402" t="s">
        <v>90</v>
      </c>
      <c r="B1402" t="s">
        <v>6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2080</v>
      </c>
      <c r="J1402">
        <v>15.325950000000001</v>
      </c>
      <c r="K1402" t="s">
        <v>29</v>
      </c>
    </row>
    <row r="1403" spans="1:11" x14ac:dyDescent="0.45">
      <c r="A1403" t="s">
        <v>90</v>
      </c>
      <c r="B1403" t="s">
        <v>6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2085</v>
      </c>
      <c r="J1403">
        <v>15.232099999999999</v>
      </c>
      <c r="K1403" t="s">
        <v>29</v>
      </c>
    </row>
    <row r="1404" spans="1:11" x14ac:dyDescent="0.45">
      <c r="A1404" t="s">
        <v>90</v>
      </c>
      <c r="B1404" t="s">
        <v>6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2090</v>
      </c>
      <c r="J1404">
        <v>15.138300000000001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2095</v>
      </c>
      <c r="J1405">
        <v>15.0703</v>
      </c>
      <c r="K1405" t="s">
        <v>29</v>
      </c>
    </row>
    <row r="1406" spans="1:11" x14ac:dyDescent="0.45">
      <c r="A1406" t="s">
        <v>90</v>
      </c>
      <c r="B1406" t="s">
        <v>6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2100</v>
      </c>
      <c r="J1406">
        <v>15.00235</v>
      </c>
      <c r="K1406" t="s">
        <v>29</v>
      </c>
    </row>
    <row r="1407" spans="1:11" x14ac:dyDescent="0.45">
      <c r="A1407" t="s">
        <v>90</v>
      </c>
      <c r="B1407" t="s">
        <v>5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5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5.3708</v>
      </c>
      <c r="K1408" t="s">
        <v>29</v>
      </c>
    </row>
    <row r="1409" spans="1:11" x14ac:dyDescent="0.45">
      <c r="A1409" t="s">
        <v>90</v>
      </c>
      <c r="B1409" t="s">
        <v>5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5.1157500000000002</v>
      </c>
      <c r="K1409" t="s">
        <v>29</v>
      </c>
    </row>
    <row r="1410" spans="1:11" x14ac:dyDescent="0.45">
      <c r="A1410" t="s">
        <v>90</v>
      </c>
      <c r="B1410" t="s">
        <v>5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7.5321999999999996</v>
      </c>
      <c r="K1410" t="s">
        <v>29</v>
      </c>
    </row>
    <row r="1411" spans="1:11" x14ac:dyDescent="0.45">
      <c r="A1411" t="s">
        <v>90</v>
      </c>
      <c r="B1411" t="s">
        <v>5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8.59145</v>
      </c>
      <c r="K1411" t="s">
        <v>29</v>
      </c>
    </row>
    <row r="1412" spans="1:11" x14ac:dyDescent="0.45">
      <c r="A1412" t="s">
        <v>90</v>
      </c>
      <c r="B1412" t="s">
        <v>5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10.32155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12.79175</v>
      </c>
      <c r="K1413" t="s">
        <v>29</v>
      </c>
    </row>
    <row r="1414" spans="1:11" x14ac:dyDescent="0.45">
      <c r="A1414" t="s">
        <v>90</v>
      </c>
      <c r="B1414" t="s">
        <v>5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10.578399999999998</v>
      </c>
      <c r="K1414" t="s">
        <v>29</v>
      </c>
    </row>
    <row r="1415" spans="1:11" x14ac:dyDescent="0.45">
      <c r="A1415" t="s">
        <v>90</v>
      </c>
      <c r="B1415" t="s">
        <v>5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21.462600000000002</v>
      </c>
      <c r="K1415" t="s">
        <v>29</v>
      </c>
    </row>
    <row r="1416" spans="1:11" x14ac:dyDescent="0.45">
      <c r="A1416" t="s">
        <v>90</v>
      </c>
      <c r="B1416" t="s">
        <v>5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19.187899999999999</v>
      </c>
      <c r="K1416" t="s">
        <v>29</v>
      </c>
    </row>
    <row r="1417" spans="1:11" x14ac:dyDescent="0.45">
      <c r="A1417" t="s">
        <v>90</v>
      </c>
      <c r="B1417" t="s">
        <v>5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16.913249999999998</v>
      </c>
      <c r="K1417" t="s">
        <v>29</v>
      </c>
    </row>
    <row r="1418" spans="1:11" x14ac:dyDescent="0.45">
      <c r="A1418" t="s">
        <v>90</v>
      </c>
      <c r="B1418" t="s">
        <v>5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16.574300000000001</v>
      </c>
      <c r="K1418" t="s">
        <v>29</v>
      </c>
    </row>
    <row r="1419" spans="1:11" x14ac:dyDescent="0.45">
      <c r="A1419" t="s">
        <v>90</v>
      </c>
      <c r="B1419" t="s">
        <v>5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16.235250000000001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16.323450000000001</v>
      </c>
      <c r="K1420" t="s">
        <v>29</v>
      </c>
    </row>
    <row r="1421" spans="1:11" x14ac:dyDescent="0.45">
      <c r="A1421" t="s">
        <v>90</v>
      </c>
      <c r="B1421" t="s">
        <v>5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16.411549999999998</v>
      </c>
      <c r="K1421" t="s">
        <v>29</v>
      </c>
    </row>
    <row r="1422" spans="1:11" x14ac:dyDescent="0.45">
      <c r="A1422" t="s">
        <v>90</v>
      </c>
      <c r="B1422" t="s">
        <v>5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16.4863</v>
      </c>
      <c r="K1422" t="s">
        <v>29</v>
      </c>
    </row>
    <row r="1423" spans="1:11" x14ac:dyDescent="0.45">
      <c r="A1423" t="s">
        <v>90</v>
      </c>
      <c r="B1423" t="s">
        <v>5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16.561</v>
      </c>
      <c r="K1423" t="s">
        <v>29</v>
      </c>
    </row>
    <row r="1424" spans="1:11" x14ac:dyDescent="0.45">
      <c r="A1424" t="s">
        <v>90</v>
      </c>
      <c r="B1424" t="s">
        <v>2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2020</v>
      </c>
      <c r="J1424">
        <v>5.3799000000000001</v>
      </c>
      <c r="K1424" t="s">
        <v>29</v>
      </c>
    </row>
    <row r="1425" spans="1:11" x14ac:dyDescent="0.45">
      <c r="A1425" t="s">
        <v>90</v>
      </c>
      <c r="B1425" t="s">
        <v>2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2025</v>
      </c>
      <c r="J1425">
        <v>5.6462000000000003</v>
      </c>
      <c r="K1425" t="s">
        <v>29</v>
      </c>
    </row>
    <row r="1426" spans="1:11" x14ac:dyDescent="0.45">
      <c r="A1426" t="s">
        <v>90</v>
      </c>
      <c r="B1426" t="s">
        <v>2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2030</v>
      </c>
      <c r="J1426">
        <v>5.6435499999999994</v>
      </c>
      <c r="K1426" t="s">
        <v>29</v>
      </c>
    </row>
    <row r="1427" spans="1:11" x14ac:dyDescent="0.45">
      <c r="A1427" t="s">
        <v>90</v>
      </c>
      <c r="B1427" t="s">
        <v>2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5.8456999999999999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2040</v>
      </c>
      <c r="J1428">
        <v>5.8168000000000006</v>
      </c>
      <c r="K1428" t="s">
        <v>29</v>
      </c>
    </row>
    <row r="1429" spans="1:11" x14ac:dyDescent="0.45">
      <c r="A1429" t="s">
        <v>90</v>
      </c>
      <c r="B1429" t="s">
        <v>2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2045</v>
      </c>
      <c r="J1429">
        <v>6.5330500000000002</v>
      </c>
      <c r="K1429" t="s">
        <v>29</v>
      </c>
    </row>
    <row r="1430" spans="1:11" x14ac:dyDescent="0.45">
      <c r="A1430" t="s">
        <v>90</v>
      </c>
      <c r="B1430" t="s">
        <v>2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2050</v>
      </c>
      <c r="J1430">
        <v>7.6464999999999996</v>
      </c>
      <c r="K1430" t="s">
        <v>29</v>
      </c>
    </row>
    <row r="1431" spans="1:11" x14ac:dyDescent="0.45">
      <c r="A1431" t="s">
        <v>90</v>
      </c>
      <c r="B1431" t="s">
        <v>2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2055</v>
      </c>
      <c r="J1431">
        <v>6.8690999999999995</v>
      </c>
      <c r="K1431" t="s">
        <v>29</v>
      </c>
    </row>
    <row r="1432" spans="1:11" x14ac:dyDescent="0.45">
      <c r="A1432" t="s">
        <v>90</v>
      </c>
      <c r="B1432" t="s">
        <v>2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2060</v>
      </c>
      <c r="J1432">
        <v>13.05955</v>
      </c>
      <c r="K1432" t="s">
        <v>29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2065</v>
      </c>
      <c r="J1433">
        <v>12.338899999999999</v>
      </c>
      <c r="K1433" t="s">
        <v>29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2070</v>
      </c>
      <c r="J1434">
        <v>11.61825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2075</v>
      </c>
      <c r="J1435">
        <v>11.212400000000001</v>
      </c>
      <c r="K1435" t="s">
        <v>29</v>
      </c>
    </row>
    <row r="1436" spans="1:11" x14ac:dyDescent="0.45">
      <c r="A1436" t="s">
        <v>90</v>
      </c>
      <c r="B1436" t="s">
        <v>2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2080</v>
      </c>
      <c r="J1436">
        <v>10.8065</v>
      </c>
      <c r="K1436" t="s">
        <v>29</v>
      </c>
    </row>
    <row r="1437" spans="1:11" x14ac:dyDescent="0.45">
      <c r="A1437" t="s">
        <v>90</v>
      </c>
      <c r="B1437" t="s">
        <v>2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10.06185</v>
      </c>
      <c r="K1437" t="s">
        <v>29</v>
      </c>
    </row>
    <row r="1438" spans="1:11" x14ac:dyDescent="0.45">
      <c r="A1438" t="s">
        <v>90</v>
      </c>
      <c r="B1438" t="s">
        <v>2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9.3171999999999997</v>
      </c>
      <c r="K1438" t="s">
        <v>29</v>
      </c>
    </row>
    <row r="1439" spans="1:11" x14ac:dyDescent="0.45">
      <c r="A1439" t="s">
        <v>90</v>
      </c>
      <c r="B1439" t="s">
        <v>2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2095</v>
      </c>
      <c r="J1439">
        <v>10.18595</v>
      </c>
      <c r="K1439" t="s">
        <v>29</v>
      </c>
    </row>
    <row r="1440" spans="1:11" x14ac:dyDescent="0.45">
      <c r="A1440" t="s">
        <v>90</v>
      </c>
      <c r="B1440" t="s">
        <v>2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2100</v>
      </c>
      <c r="J1440">
        <v>11.05475</v>
      </c>
      <c r="K1440" t="s">
        <v>29</v>
      </c>
    </row>
    <row r="1441" spans="1:11" x14ac:dyDescent="0.45">
      <c r="A1441" t="s">
        <v>90</v>
      </c>
      <c r="B1441" t="s">
        <v>1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2020</v>
      </c>
      <c r="J1441">
        <v>5.3799000000000001</v>
      </c>
      <c r="K1441" t="s">
        <v>29</v>
      </c>
    </row>
    <row r="1442" spans="1:11" x14ac:dyDescent="0.45">
      <c r="A1442" t="s">
        <v>90</v>
      </c>
      <c r="B1442" t="s">
        <v>1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2025</v>
      </c>
      <c r="J1442">
        <v>5.2343000000000002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2030</v>
      </c>
      <c r="J1443">
        <v>6.0677500000000002</v>
      </c>
      <c r="K1443" t="s">
        <v>29</v>
      </c>
    </row>
    <row r="1444" spans="1:11" x14ac:dyDescent="0.45">
      <c r="A1444" t="s">
        <v>90</v>
      </c>
      <c r="B1444" t="s">
        <v>1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2035</v>
      </c>
      <c r="J1444">
        <v>8.3306499999999986</v>
      </c>
      <c r="K1444" t="s">
        <v>29</v>
      </c>
    </row>
    <row r="1445" spans="1:11" x14ac:dyDescent="0.45">
      <c r="A1445" t="s">
        <v>90</v>
      </c>
      <c r="B1445" t="s">
        <v>1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2040</v>
      </c>
      <c r="J1445">
        <v>16.86035</v>
      </c>
      <c r="K1445" t="s">
        <v>29</v>
      </c>
    </row>
    <row r="1446" spans="1:11" x14ac:dyDescent="0.45">
      <c r="A1446" t="s">
        <v>90</v>
      </c>
      <c r="B1446" t="s">
        <v>1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2045</v>
      </c>
      <c r="J1446">
        <v>22.537300000000002</v>
      </c>
      <c r="K1446" t="s">
        <v>29</v>
      </c>
    </row>
    <row r="1447" spans="1:11" x14ac:dyDescent="0.45">
      <c r="A1447" t="s">
        <v>90</v>
      </c>
      <c r="B1447" t="s">
        <v>1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2050</v>
      </c>
      <c r="J1447">
        <v>21.625300000000003</v>
      </c>
      <c r="K1447" t="s">
        <v>29</v>
      </c>
    </row>
    <row r="1448" spans="1:11" x14ac:dyDescent="0.45">
      <c r="A1448" t="s">
        <v>90</v>
      </c>
      <c r="B1448" t="s">
        <v>1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2055</v>
      </c>
      <c r="J1448">
        <v>20.022300000000001</v>
      </c>
      <c r="K1448" t="s">
        <v>29</v>
      </c>
    </row>
    <row r="1449" spans="1:11" x14ac:dyDescent="0.45">
      <c r="A1449" t="s">
        <v>90</v>
      </c>
      <c r="B1449" t="s">
        <v>1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2060</v>
      </c>
      <c r="J1449">
        <v>34.522100000000002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2065</v>
      </c>
      <c r="J1450">
        <v>34.848349999999996</v>
      </c>
      <c r="K1450" t="s">
        <v>29</v>
      </c>
    </row>
    <row r="1451" spans="1:11" x14ac:dyDescent="0.45">
      <c r="A1451" t="s">
        <v>90</v>
      </c>
      <c r="B1451" t="s">
        <v>1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2070</v>
      </c>
      <c r="J1451">
        <v>35.174599999999998</v>
      </c>
      <c r="K1451" t="s">
        <v>29</v>
      </c>
    </row>
    <row r="1452" spans="1:11" x14ac:dyDescent="0.45">
      <c r="A1452" t="s">
        <v>90</v>
      </c>
      <c r="B1452" t="s">
        <v>1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2075</v>
      </c>
      <c r="J1452">
        <v>34.450149999999994</v>
      </c>
      <c r="K1452" t="s">
        <v>29</v>
      </c>
    </row>
    <row r="1453" spans="1:11" x14ac:dyDescent="0.45">
      <c r="A1453" t="s">
        <v>90</v>
      </c>
      <c r="B1453" t="s">
        <v>1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2080</v>
      </c>
      <c r="J1453">
        <v>33.725650000000002</v>
      </c>
      <c r="K1453" t="s">
        <v>29</v>
      </c>
    </row>
    <row r="1454" spans="1:11" x14ac:dyDescent="0.45">
      <c r="A1454" t="s">
        <v>90</v>
      </c>
      <c r="B1454" t="s">
        <v>1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2085</v>
      </c>
      <c r="J1454">
        <v>35.534049999999993</v>
      </c>
      <c r="K1454" t="s">
        <v>29</v>
      </c>
    </row>
    <row r="1455" spans="1:11" x14ac:dyDescent="0.45">
      <c r="A1455" t="s">
        <v>90</v>
      </c>
      <c r="B1455" t="s">
        <v>1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2090</v>
      </c>
      <c r="J1455">
        <v>37.342399999999998</v>
      </c>
      <c r="K1455" t="s">
        <v>29</v>
      </c>
    </row>
    <row r="1456" spans="1:11" x14ac:dyDescent="0.45">
      <c r="A1456" t="s">
        <v>90</v>
      </c>
      <c r="B1456" t="s">
        <v>1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2095</v>
      </c>
      <c r="J1456">
        <v>41.003249999999994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3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2025</v>
      </c>
      <c r="J1459">
        <v>2.1930000000000001</v>
      </c>
      <c r="K1459" t="s">
        <v>33</v>
      </c>
    </row>
    <row r="1460" spans="1:11" x14ac:dyDescent="0.45">
      <c r="A1460" t="s">
        <v>90</v>
      </c>
      <c r="B1460" t="s">
        <v>3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2030</v>
      </c>
      <c r="J1460">
        <v>1.71675</v>
      </c>
      <c r="K1460" t="s">
        <v>33</v>
      </c>
    </row>
    <row r="1461" spans="1:11" x14ac:dyDescent="0.45">
      <c r="A1461" t="s">
        <v>90</v>
      </c>
      <c r="B1461" t="s">
        <v>3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2035</v>
      </c>
      <c r="J1461">
        <v>1.54745</v>
      </c>
      <c r="K1461" t="s">
        <v>33</v>
      </c>
    </row>
    <row r="1462" spans="1:11" x14ac:dyDescent="0.45">
      <c r="A1462" t="s">
        <v>90</v>
      </c>
      <c r="B1462" t="s">
        <v>3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1.4253499999999999</v>
      </c>
      <c r="K1462" t="s">
        <v>33</v>
      </c>
    </row>
    <row r="1463" spans="1:11" x14ac:dyDescent="0.45">
      <c r="A1463" t="s">
        <v>90</v>
      </c>
      <c r="B1463" t="s">
        <v>3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2045</v>
      </c>
      <c r="J1463">
        <v>1.4182999999999999</v>
      </c>
      <c r="K1463" t="s">
        <v>33</v>
      </c>
    </row>
    <row r="1464" spans="1:11" x14ac:dyDescent="0.45">
      <c r="A1464" t="s">
        <v>90</v>
      </c>
      <c r="B1464" t="s">
        <v>3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2050</v>
      </c>
      <c r="J1464">
        <v>1.5704500000000001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2055</v>
      </c>
      <c r="J1465">
        <v>1.3464499999999999</v>
      </c>
      <c r="K1465" t="s">
        <v>33</v>
      </c>
    </row>
    <row r="1466" spans="1:11" x14ac:dyDescent="0.45">
      <c r="A1466" t="s">
        <v>90</v>
      </c>
      <c r="B1466" t="s">
        <v>3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2060</v>
      </c>
      <c r="J1466">
        <v>1.9051</v>
      </c>
      <c r="K1466" t="s">
        <v>33</v>
      </c>
    </row>
    <row r="1467" spans="1:11" x14ac:dyDescent="0.45">
      <c r="A1467" t="s">
        <v>90</v>
      </c>
      <c r="B1467" t="s">
        <v>3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2065</v>
      </c>
      <c r="J1467">
        <v>1.8803999999999998</v>
      </c>
      <c r="K1467" t="s">
        <v>33</v>
      </c>
    </row>
    <row r="1468" spans="1:11" x14ac:dyDescent="0.45">
      <c r="A1468" t="s">
        <v>90</v>
      </c>
      <c r="B1468" t="s">
        <v>3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2070</v>
      </c>
      <c r="J1468">
        <v>1.8557000000000001</v>
      </c>
      <c r="K1468" t="s">
        <v>33</v>
      </c>
    </row>
    <row r="1469" spans="1:11" x14ac:dyDescent="0.45">
      <c r="A1469" t="s">
        <v>90</v>
      </c>
      <c r="B1469" t="s">
        <v>3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2075</v>
      </c>
      <c r="J1469">
        <v>1.85775</v>
      </c>
      <c r="K1469" t="s">
        <v>33</v>
      </c>
    </row>
    <row r="1470" spans="1:11" x14ac:dyDescent="0.45">
      <c r="A1470" t="s">
        <v>90</v>
      </c>
      <c r="B1470" t="s">
        <v>3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2080</v>
      </c>
      <c r="J1470">
        <v>1.8597999999999999</v>
      </c>
      <c r="K1470" t="s">
        <v>33</v>
      </c>
    </row>
    <row r="1471" spans="1:11" x14ac:dyDescent="0.45">
      <c r="A1471" t="s">
        <v>90</v>
      </c>
      <c r="B1471" t="s">
        <v>3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2085</v>
      </c>
      <c r="J1471">
        <v>1.8835500000000001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2090</v>
      </c>
      <c r="J1472">
        <v>1.9073500000000001</v>
      </c>
      <c r="K1472" t="s">
        <v>33</v>
      </c>
    </row>
    <row r="1473" spans="1:11" x14ac:dyDescent="0.45">
      <c r="A1473" t="s">
        <v>90</v>
      </c>
      <c r="B1473" t="s">
        <v>3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2095</v>
      </c>
      <c r="J1473">
        <v>1.81115</v>
      </c>
      <c r="K1473" t="s">
        <v>33</v>
      </c>
    </row>
    <row r="1474" spans="1:11" x14ac:dyDescent="0.45">
      <c r="A1474" t="s">
        <v>90</v>
      </c>
      <c r="B1474" t="s">
        <v>3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2100</v>
      </c>
      <c r="J1474">
        <v>1.7150500000000002</v>
      </c>
      <c r="K1474" t="s">
        <v>33</v>
      </c>
    </row>
    <row r="1475" spans="1:11" x14ac:dyDescent="0.45">
      <c r="A1475" t="s">
        <v>90</v>
      </c>
      <c r="B1475" t="s">
        <v>4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2020</v>
      </c>
      <c r="J1475">
        <v>2.0344000000000002</v>
      </c>
      <c r="K1475" t="s">
        <v>33</v>
      </c>
    </row>
    <row r="1476" spans="1:11" x14ac:dyDescent="0.45">
      <c r="A1476" t="s">
        <v>90</v>
      </c>
      <c r="B1476" t="s">
        <v>4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2025</v>
      </c>
      <c r="J1476">
        <v>2.2217500000000001</v>
      </c>
      <c r="K1476" t="s">
        <v>33</v>
      </c>
    </row>
    <row r="1477" spans="1:11" x14ac:dyDescent="0.45">
      <c r="A1477" t="s">
        <v>90</v>
      </c>
      <c r="B1477" t="s">
        <v>4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2.2603</v>
      </c>
      <c r="K1477" t="s">
        <v>33</v>
      </c>
    </row>
    <row r="1478" spans="1:11" x14ac:dyDescent="0.45">
      <c r="A1478" t="s">
        <v>90</v>
      </c>
      <c r="B1478" t="s">
        <v>4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2035</v>
      </c>
      <c r="J1478">
        <v>2.3062499999999999</v>
      </c>
      <c r="K1478" t="s">
        <v>33</v>
      </c>
    </row>
    <row r="1479" spans="1:11" x14ac:dyDescent="0.45">
      <c r="A1479" t="s">
        <v>90</v>
      </c>
      <c r="B1479" t="s">
        <v>4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2040</v>
      </c>
      <c r="J1479">
        <v>2.3628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2045</v>
      </c>
      <c r="J1480">
        <v>2.4756</v>
      </c>
      <c r="K1480" t="s">
        <v>33</v>
      </c>
    </row>
    <row r="1481" spans="1:11" x14ac:dyDescent="0.45">
      <c r="A1481" t="s">
        <v>90</v>
      </c>
      <c r="B1481" t="s">
        <v>4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2050</v>
      </c>
      <c r="J1481">
        <v>2.7322500000000001</v>
      </c>
      <c r="K1481" t="s">
        <v>33</v>
      </c>
    </row>
    <row r="1482" spans="1:11" x14ac:dyDescent="0.45">
      <c r="A1482" t="s">
        <v>90</v>
      </c>
      <c r="B1482" t="s">
        <v>4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2055</v>
      </c>
      <c r="J1482">
        <v>2.6589499999999999</v>
      </c>
      <c r="K1482" t="s">
        <v>33</v>
      </c>
    </row>
    <row r="1483" spans="1:11" x14ac:dyDescent="0.45">
      <c r="A1483" t="s">
        <v>90</v>
      </c>
      <c r="B1483" t="s">
        <v>4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2060</v>
      </c>
      <c r="J1483">
        <v>3.4098000000000002</v>
      </c>
      <c r="K1483" t="s">
        <v>33</v>
      </c>
    </row>
    <row r="1484" spans="1:11" x14ac:dyDescent="0.45">
      <c r="A1484" t="s">
        <v>90</v>
      </c>
      <c r="B1484" t="s">
        <v>4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2065</v>
      </c>
      <c r="J1484">
        <v>3.5568999999999997</v>
      </c>
      <c r="K1484" t="s">
        <v>33</v>
      </c>
    </row>
    <row r="1485" spans="1:11" x14ac:dyDescent="0.45">
      <c r="A1485" t="s">
        <v>90</v>
      </c>
      <c r="B1485" t="s">
        <v>4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2070</v>
      </c>
      <c r="J1485">
        <v>3.7039</v>
      </c>
      <c r="K1485" t="s">
        <v>33</v>
      </c>
    </row>
    <row r="1486" spans="1:11" x14ac:dyDescent="0.45">
      <c r="A1486" t="s">
        <v>90</v>
      </c>
      <c r="B1486" t="s">
        <v>4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2075</v>
      </c>
      <c r="J1486">
        <v>3.8219000000000003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2080</v>
      </c>
      <c r="J1487">
        <v>3.9399000000000002</v>
      </c>
      <c r="K1487" t="s">
        <v>33</v>
      </c>
    </row>
    <row r="1488" spans="1:11" x14ac:dyDescent="0.45">
      <c r="A1488" t="s">
        <v>90</v>
      </c>
      <c r="B1488" t="s">
        <v>4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2085</v>
      </c>
      <c r="J1488">
        <v>4.0999499999999998</v>
      </c>
      <c r="K1488" t="s">
        <v>33</v>
      </c>
    </row>
    <row r="1489" spans="1:11" x14ac:dyDescent="0.45">
      <c r="A1489" t="s">
        <v>90</v>
      </c>
      <c r="B1489" t="s">
        <v>4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2090</v>
      </c>
      <c r="J1489">
        <v>4.2600999999999996</v>
      </c>
      <c r="K1489" t="s">
        <v>33</v>
      </c>
    </row>
    <row r="1490" spans="1:11" x14ac:dyDescent="0.45">
      <c r="A1490" t="s">
        <v>90</v>
      </c>
      <c r="B1490" t="s">
        <v>4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2095</v>
      </c>
      <c r="J1490">
        <v>4.2486499999999996</v>
      </c>
      <c r="K1490" t="s">
        <v>33</v>
      </c>
    </row>
    <row r="1491" spans="1:11" x14ac:dyDescent="0.45">
      <c r="A1491" t="s">
        <v>90</v>
      </c>
      <c r="B1491" t="s">
        <v>4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2100</v>
      </c>
      <c r="J1491">
        <v>4.2371499999999997</v>
      </c>
      <c r="K1491" t="s">
        <v>33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6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2020</v>
      </c>
      <c r="J1509">
        <v>2.0344000000000002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2025</v>
      </c>
      <c r="J1510">
        <v>2.2217500000000001</v>
      </c>
      <c r="K1510" t="s">
        <v>33</v>
      </c>
    </row>
    <row r="1511" spans="1:11" x14ac:dyDescent="0.45">
      <c r="A1511" t="s">
        <v>90</v>
      </c>
      <c r="B1511" t="s">
        <v>6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2030</v>
      </c>
      <c r="J1511">
        <v>2.2603</v>
      </c>
      <c r="K1511" t="s">
        <v>33</v>
      </c>
    </row>
    <row r="1512" spans="1:11" x14ac:dyDescent="0.45">
      <c r="A1512" t="s">
        <v>90</v>
      </c>
      <c r="B1512" t="s">
        <v>6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2035</v>
      </c>
      <c r="J1512">
        <v>2.2448999999999999</v>
      </c>
      <c r="K1512" t="s">
        <v>33</v>
      </c>
    </row>
    <row r="1513" spans="1:11" x14ac:dyDescent="0.45">
      <c r="A1513" t="s">
        <v>90</v>
      </c>
      <c r="B1513" t="s">
        <v>6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2040</v>
      </c>
      <c r="J1513">
        <v>1.94885</v>
      </c>
      <c r="K1513" t="s">
        <v>33</v>
      </c>
    </row>
    <row r="1514" spans="1:11" x14ac:dyDescent="0.45">
      <c r="A1514" t="s">
        <v>90</v>
      </c>
      <c r="B1514" t="s">
        <v>6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2045</v>
      </c>
      <c r="J1514">
        <v>1.8105500000000001</v>
      </c>
      <c r="K1514" t="s">
        <v>33</v>
      </c>
    </row>
    <row r="1515" spans="1:11" x14ac:dyDescent="0.45">
      <c r="A1515" t="s">
        <v>90</v>
      </c>
      <c r="B1515" t="s">
        <v>6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2.1814</v>
      </c>
      <c r="K1515" t="s">
        <v>33</v>
      </c>
    </row>
    <row r="1516" spans="1:11" x14ac:dyDescent="0.45">
      <c r="A1516" t="s">
        <v>90</v>
      </c>
      <c r="B1516" t="s">
        <v>6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2055</v>
      </c>
      <c r="J1516">
        <v>1.5321500000000001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6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2065</v>
      </c>
      <c r="J1518">
        <v>2.2705000000000002</v>
      </c>
      <c r="K1518" t="s">
        <v>33</v>
      </c>
    </row>
    <row r="1519" spans="1:11" x14ac:dyDescent="0.45">
      <c r="A1519" t="s">
        <v>90</v>
      </c>
      <c r="B1519" t="s">
        <v>6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2070</v>
      </c>
      <c r="J1519">
        <v>2.2568000000000001</v>
      </c>
      <c r="K1519" t="s">
        <v>33</v>
      </c>
    </row>
    <row r="1520" spans="1:11" x14ac:dyDescent="0.45">
      <c r="A1520" t="s">
        <v>90</v>
      </c>
      <c r="B1520" t="s">
        <v>6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2075</v>
      </c>
      <c r="J1520">
        <v>2.2270000000000003</v>
      </c>
      <c r="K1520" t="s">
        <v>33</v>
      </c>
    </row>
    <row r="1521" spans="1:11" x14ac:dyDescent="0.45">
      <c r="A1521" t="s">
        <v>90</v>
      </c>
      <c r="B1521" t="s">
        <v>6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2080</v>
      </c>
      <c r="J1521">
        <v>2.1972499999999999</v>
      </c>
      <c r="K1521" t="s">
        <v>33</v>
      </c>
    </row>
    <row r="1522" spans="1:11" x14ac:dyDescent="0.45">
      <c r="A1522" t="s">
        <v>90</v>
      </c>
      <c r="B1522" t="s">
        <v>6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2085</v>
      </c>
      <c r="J1522">
        <v>2.1886000000000001</v>
      </c>
      <c r="K1522" t="s">
        <v>33</v>
      </c>
    </row>
    <row r="1523" spans="1:11" x14ac:dyDescent="0.45">
      <c r="A1523" t="s">
        <v>90</v>
      </c>
      <c r="B1523" t="s">
        <v>6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2090</v>
      </c>
      <c r="J1523">
        <v>2.1798999999999999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2095</v>
      </c>
      <c r="J1524">
        <v>2.117</v>
      </c>
      <c r="K1524" t="s">
        <v>33</v>
      </c>
    </row>
    <row r="1525" spans="1:11" x14ac:dyDescent="0.45">
      <c r="A1525" t="s">
        <v>90</v>
      </c>
      <c r="B1525" t="s">
        <v>6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2100</v>
      </c>
      <c r="J1525">
        <v>2.0540000000000003</v>
      </c>
      <c r="K1525" t="s">
        <v>33</v>
      </c>
    </row>
    <row r="1526" spans="1:11" x14ac:dyDescent="0.45">
      <c r="A1526" t="s">
        <v>90</v>
      </c>
      <c r="B1526" t="s">
        <v>5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2020</v>
      </c>
      <c r="J1526">
        <v>2.0344000000000002</v>
      </c>
      <c r="K1526" t="s">
        <v>33</v>
      </c>
    </row>
    <row r="1527" spans="1:11" x14ac:dyDescent="0.45">
      <c r="A1527" t="s">
        <v>90</v>
      </c>
      <c r="B1527" t="s">
        <v>5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2025</v>
      </c>
      <c r="J1527">
        <v>2.3414999999999999</v>
      </c>
      <c r="K1527" t="s">
        <v>33</v>
      </c>
    </row>
    <row r="1528" spans="1:11" x14ac:dyDescent="0.45">
      <c r="A1528" t="s">
        <v>90</v>
      </c>
      <c r="B1528" t="s">
        <v>5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2030</v>
      </c>
      <c r="J1528">
        <v>1.62375</v>
      </c>
      <c r="K1528" t="s">
        <v>33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2035</v>
      </c>
      <c r="J1529">
        <v>1.2301500000000001</v>
      </c>
      <c r="K1529" t="s">
        <v>33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2040</v>
      </c>
      <c r="J1530">
        <v>1.33395</v>
      </c>
      <c r="K1530" t="s">
        <v>33</v>
      </c>
    </row>
    <row r="1531" spans="1:11" x14ac:dyDescent="0.45">
      <c r="A1531" t="s">
        <v>90</v>
      </c>
      <c r="B1531" t="s">
        <v>5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2045</v>
      </c>
      <c r="J1531">
        <v>1.2519499999999999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2050</v>
      </c>
      <c r="J1532">
        <v>1.59405</v>
      </c>
      <c r="K1532" t="s">
        <v>33</v>
      </c>
    </row>
    <row r="1533" spans="1:11" x14ac:dyDescent="0.45">
      <c r="A1533" t="s">
        <v>90</v>
      </c>
      <c r="B1533" t="s">
        <v>5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2055</v>
      </c>
      <c r="J1533">
        <v>1.51485</v>
      </c>
      <c r="K1533" t="s">
        <v>33</v>
      </c>
    </row>
    <row r="1534" spans="1:11" x14ac:dyDescent="0.45">
      <c r="A1534" t="s">
        <v>90</v>
      </c>
      <c r="B1534" t="s">
        <v>5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2060</v>
      </c>
      <c r="J1534">
        <v>1.5146000000000002</v>
      </c>
      <c r="K1534" t="s">
        <v>33</v>
      </c>
    </row>
    <row r="1535" spans="1:11" x14ac:dyDescent="0.45">
      <c r="A1535" t="s">
        <v>90</v>
      </c>
      <c r="B1535" t="s">
        <v>5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2065</v>
      </c>
      <c r="J1535">
        <v>1.63405</v>
      </c>
      <c r="K1535" t="s">
        <v>33</v>
      </c>
    </row>
    <row r="1536" spans="1:11" x14ac:dyDescent="0.45">
      <c r="A1536" t="s">
        <v>90</v>
      </c>
      <c r="B1536" t="s">
        <v>5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2070</v>
      </c>
      <c r="J1536">
        <v>1.7535500000000002</v>
      </c>
      <c r="K1536" t="s">
        <v>33</v>
      </c>
    </row>
    <row r="1537" spans="1:11" x14ac:dyDescent="0.45">
      <c r="A1537" t="s">
        <v>90</v>
      </c>
      <c r="B1537" t="s">
        <v>5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1.8342499999999999</v>
      </c>
      <c r="K1537" t="s">
        <v>33</v>
      </c>
    </row>
    <row r="1538" spans="1:11" x14ac:dyDescent="0.45">
      <c r="A1538" t="s">
        <v>90</v>
      </c>
      <c r="B1538" t="s">
        <v>5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2080</v>
      </c>
      <c r="J1538">
        <v>1.9149500000000002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2085</v>
      </c>
      <c r="J1539">
        <v>1.8938000000000001</v>
      </c>
      <c r="K1539" t="s">
        <v>33</v>
      </c>
    </row>
    <row r="1540" spans="1:11" x14ac:dyDescent="0.45">
      <c r="A1540" t="s">
        <v>90</v>
      </c>
      <c r="B1540" t="s">
        <v>5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2090</v>
      </c>
      <c r="J1540">
        <v>1.8727</v>
      </c>
      <c r="K1540" t="s">
        <v>33</v>
      </c>
    </row>
    <row r="1541" spans="1:11" x14ac:dyDescent="0.45">
      <c r="A1541" t="s">
        <v>90</v>
      </c>
      <c r="B1541" t="s">
        <v>5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2095</v>
      </c>
      <c r="J1541">
        <v>1.7038500000000001</v>
      </c>
      <c r="K1541" t="s">
        <v>33</v>
      </c>
    </row>
    <row r="1542" spans="1:11" x14ac:dyDescent="0.45">
      <c r="A1542" t="s">
        <v>90</v>
      </c>
      <c r="B1542" t="s">
        <v>5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2100</v>
      </c>
      <c r="J1542">
        <v>1.53505</v>
      </c>
      <c r="K1542" t="s">
        <v>33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2020</v>
      </c>
      <c r="J1543">
        <v>2.0344000000000002</v>
      </c>
      <c r="K1543" t="s">
        <v>33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2025</v>
      </c>
      <c r="J1544">
        <v>2.1197999999999997</v>
      </c>
      <c r="K1544" t="s">
        <v>33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2030</v>
      </c>
      <c r="J1545">
        <v>2.0793499999999998</v>
      </c>
      <c r="K1545" t="s">
        <v>33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2035</v>
      </c>
      <c r="J1546">
        <v>2.0613000000000001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2040</v>
      </c>
      <c r="J1547">
        <v>1.9228499999999999</v>
      </c>
      <c r="K1547" t="s">
        <v>33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2045</v>
      </c>
      <c r="J1548">
        <v>1.8179000000000001</v>
      </c>
      <c r="K1548" t="s">
        <v>33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2050</v>
      </c>
      <c r="J1549">
        <v>1.8801999999999999</v>
      </c>
      <c r="K1549" t="s">
        <v>33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2055</v>
      </c>
      <c r="J1550">
        <v>1.8517000000000001</v>
      </c>
      <c r="K1550" t="s">
        <v>33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2060</v>
      </c>
      <c r="J1551">
        <v>2.3400499999999997</v>
      </c>
      <c r="K1551" t="s">
        <v>33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2065</v>
      </c>
      <c r="J1552">
        <v>2.2040999999999999</v>
      </c>
      <c r="K1552" t="s">
        <v>33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2070</v>
      </c>
      <c r="J1553">
        <v>2.0681500000000002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2075</v>
      </c>
      <c r="J1554">
        <v>2.1757499999999999</v>
      </c>
      <c r="K1554" t="s">
        <v>33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2080</v>
      </c>
      <c r="J1555">
        <v>2.28335</v>
      </c>
      <c r="K1555" t="s">
        <v>33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2085</v>
      </c>
      <c r="J1556">
        <v>2.29</v>
      </c>
      <c r="K1556" t="s">
        <v>33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2.2967</v>
      </c>
      <c r="K1557" t="s">
        <v>33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2095</v>
      </c>
      <c r="J1558">
        <v>2.3285</v>
      </c>
      <c r="K1558" t="s">
        <v>33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2100</v>
      </c>
      <c r="J1559">
        <v>2.3602499999999997</v>
      </c>
      <c r="K1559" t="s">
        <v>33</v>
      </c>
    </row>
    <row r="1560" spans="1:11" x14ac:dyDescent="0.45">
      <c r="A1560" t="s">
        <v>90</v>
      </c>
      <c r="B1560" t="s">
        <v>1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1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2.6320999999999999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1.7697500000000002</v>
      </c>
      <c r="K1562" t="s">
        <v>33</v>
      </c>
    </row>
    <row r="1563" spans="1:11" x14ac:dyDescent="0.45">
      <c r="A1563" t="s">
        <v>90</v>
      </c>
      <c r="B1563" t="s">
        <v>1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1.43615</v>
      </c>
      <c r="K1563" t="s">
        <v>33</v>
      </c>
    </row>
    <row r="1564" spans="1:11" x14ac:dyDescent="0.45">
      <c r="A1564" t="s">
        <v>90</v>
      </c>
      <c r="B1564" t="s">
        <v>1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1.3690500000000001</v>
      </c>
      <c r="K1564" t="s">
        <v>33</v>
      </c>
    </row>
    <row r="1565" spans="1:11" x14ac:dyDescent="0.45">
      <c r="A1565" t="s">
        <v>90</v>
      </c>
      <c r="B1565" t="s">
        <v>1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1.4416</v>
      </c>
      <c r="K1565" t="s">
        <v>33</v>
      </c>
    </row>
    <row r="1566" spans="1:11" x14ac:dyDescent="0.45">
      <c r="A1566" t="s">
        <v>90</v>
      </c>
      <c r="B1566" t="s">
        <v>1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1.7387999999999999</v>
      </c>
      <c r="K1566" t="s">
        <v>33</v>
      </c>
    </row>
    <row r="1567" spans="1:11" x14ac:dyDescent="0.45">
      <c r="A1567" t="s">
        <v>90</v>
      </c>
      <c r="B1567" t="s">
        <v>1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1.66615</v>
      </c>
      <c r="K1567" t="s">
        <v>33</v>
      </c>
    </row>
    <row r="1568" spans="1:11" x14ac:dyDescent="0.45">
      <c r="A1568" t="s">
        <v>90</v>
      </c>
      <c r="B1568" t="s">
        <v>1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1.8959000000000001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1.9075500000000001</v>
      </c>
      <c r="K1569" t="s">
        <v>33</v>
      </c>
    </row>
    <row r="1570" spans="1:11" x14ac:dyDescent="0.45">
      <c r="A1570" t="s">
        <v>90</v>
      </c>
      <c r="B1570" t="s">
        <v>1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1.9191499999999999</v>
      </c>
      <c r="K1570" t="s">
        <v>33</v>
      </c>
    </row>
    <row r="1571" spans="1:11" x14ac:dyDescent="0.45">
      <c r="A1571" t="s">
        <v>90</v>
      </c>
      <c r="B1571" t="s">
        <v>1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2.0170500000000002</v>
      </c>
      <c r="K1571" t="s">
        <v>33</v>
      </c>
    </row>
    <row r="1572" spans="1:11" x14ac:dyDescent="0.45">
      <c r="A1572" t="s">
        <v>90</v>
      </c>
      <c r="B1572" t="s">
        <v>1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2.1149</v>
      </c>
      <c r="K1572" t="s">
        <v>33</v>
      </c>
    </row>
    <row r="1573" spans="1:11" x14ac:dyDescent="0.45">
      <c r="A1573" t="s">
        <v>90</v>
      </c>
      <c r="B1573" t="s">
        <v>1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2.0994000000000002</v>
      </c>
      <c r="K1573" t="s">
        <v>33</v>
      </c>
    </row>
    <row r="1574" spans="1:11" x14ac:dyDescent="0.45">
      <c r="A1574" t="s">
        <v>90</v>
      </c>
      <c r="B1574" t="s">
        <v>1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2.0839499999999997</v>
      </c>
      <c r="K1574" t="s">
        <v>33</v>
      </c>
    </row>
    <row r="1575" spans="1:11" x14ac:dyDescent="0.45">
      <c r="A1575" t="s">
        <v>90</v>
      </c>
      <c r="B1575" t="s">
        <v>1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1.94255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3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4.6235499999999998</v>
      </c>
      <c r="K1578" t="s">
        <v>35</v>
      </c>
    </row>
    <row r="1579" spans="1:11" x14ac:dyDescent="0.45">
      <c r="A1579" t="s">
        <v>90</v>
      </c>
      <c r="B1579" t="s">
        <v>3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4.5418000000000003</v>
      </c>
      <c r="K1579" t="s">
        <v>35</v>
      </c>
    </row>
    <row r="1580" spans="1:11" x14ac:dyDescent="0.45">
      <c r="A1580" t="s">
        <v>90</v>
      </c>
      <c r="B1580" t="s">
        <v>3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5.2363</v>
      </c>
      <c r="K1580" t="s">
        <v>35</v>
      </c>
    </row>
    <row r="1581" spans="1:11" x14ac:dyDescent="0.45">
      <c r="A1581" t="s">
        <v>90</v>
      </c>
      <c r="B1581" t="s">
        <v>3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5.0498499999999993</v>
      </c>
      <c r="K1581" t="s">
        <v>35</v>
      </c>
    </row>
    <row r="1582" spans="1:11" x14ac:dyDescent="0.45">
      <c r="A1582" t="s">
        <v>90</v>
      </c>
      <c r="B1582" t="s">
        <v>3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4.7785500000000001</v>
      </c>
      <c r="K1582" t="s">
        <v>35</v>
      </c>
    </row>
    <row r="1583" spans="1:11" x14ac:dyDescent="0.45">
      <c r="A1583" t="s">
        <v>90</v>
      </c>
      <c r="B1583" t="s">
        <v>3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4.8777499999999998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4.5329499999999996</v>
      </c>
      <c r="K1584" t="s">
        <v>35</v>
      </c>
    </row>
    <row r="1585" spans="1:11" x14ac:dyDescent="0.45">
      <c r="A1585" t="s">
        <v>90</v>
      </c>
      <c r="B1585" t="s">
        <v>3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5.8452000000000002</v>
      </c>
      <c r="K1585" t="s">
        <v>35</v>
      </c>
    </row>
    <row r="1586" spans="1:11" x14ac:dyDescent="0.45">
      <c r="A1586" t="s">
        <v>90</v>
      </c>
      <c r="B1586" t="s">
        <v>3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5.5266999999999999</v>
      </c>
      <c r="K1586" t="s">
        <v>35</v>
      </c>
    </row>
    <row r="1587" spans="1:11" x14ac:dyDescent="0.45">
      <c r="A1587" t="s">
        <v>90</v>
      </c>
      <c r="B1587" t="s">
        <v>3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5.2081999999999997</v>
      </c>
      <c r="K1587" t="s">
        <v>35</v>
      </c>
    </row>
    <row r="1588" spans="1:11" x14ac:dyDescent="0.45">
      <c r="A1588" t="s">
        <v>90</v>
      </c>
      <c r="B1588" t="s">
        <v>3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5.0817499999999995</v>
      </c>
      <c r="K1588" t="s">
        <v>35</v>
      </c>
    </row>
    <row r="1589" spans="1:11" x14ac:dyDescent="0.45">
      <c r="A1589" t="s">
        <v>90</v>
      </c>
      <c r="B1589" t="s">
        <v>3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4.9551999999999996</v>
      </c>
      <c r="K1589" t="s">
        <v>35</v>
      </c>
    </row>
    <row r="1590" spans="1:11" x14ac:dyDescent="0.45">
      <c r="A1590" t="s">
        <v>90</v>
      </c>
      <c r="B1590" t="s">
        <v>3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5.0263999999999998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5.0976499999999998</v>
      </c>
      <c r="K1591" t="s">
        <v>35</v>
      </c>
    </row>
    <row r="1592" spans="1:11" x14ac:dyDescent="0.45">
      <c r="A1592" t="s">
        <v>90</v>
      </c>
      <c r="B1592" t="s">
        <v>3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5.0595999999999997</v>
      </c>
      <c r="K1592" t="s">
        <v>35</v>
      </c>
    </row>
    <row r="1593" spans="1:11" x14ac:dyDescent="0.45">
      <c r="A1593" t="s">
        <v>90</v>
      </c>
      <c r="B1593" t="s">
        <v>3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5.0215499999999995</v>
      </c>
      <c r="K1593" t="s">
        <v>35</v>
      </c>
    </row>
    <row r="1594" spans="1:11" x14ac:dyDescent="0.45">
      <c r="A1594" t="s">
        <v>90</v>
      </c>
      <c r="B1594" t="s">
        <v>4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2020</v>
      </c>
      <c r="J1594">
        <v>3.9710999999999999</v>
      </c>
      <c r="K1594" t="s">
        <v>35</v>
      </c>
    </row>
    <row r="1595" spans="1:11" x14ac:dyDescent="0.45">
      <c r="A1595" t="s">
        <v>90</v>
      </c>
      <c r="B1595" t="s">
        <v>4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2025</v>
      </c>
      <c r="J1595">
        <v>4.6684000000000001</v>
      </c>
      <c r="K1595" t="s">
        <v>35</v>
      </c>
    </row>
    <row r="1596" spans="1:11" x14ac:dyDescent="0.45">
      <c r="A1596" t="s">
        <v>90</v>
      </c>
      <c r="B1596" t="s">
        <v>4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4.6098499999999998</v>
      </c>
      <c r="K1596" t="s">
        <v>35</v>
      </c>
    </row>
    <row r="1597" spans="1:11" x14ac:dyDescent="0.45">
      <c r="A1597" t="s">
        <v>90</v>
      </c>
      <c r="B1597" t="s">
        <v>4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2035</v>
      </c>
      <c r="J1597">
        <v>4.9910999999999994</v>
      </c>
      <c r="K1597" t="s">
        <v>35</v>
      </c>
    </row>
    <row r="1598" spans="1:11" x14ac:dyDescent="0.45">
      <c r="A1598" t="s">
        <v>90</v>
      </c>
      <c r="B1598" t="s">
        <v>4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2040</v>
      </c>
      <c r="J1598">
        <v>5.2395999999999994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2045</v>
      </c>
      <c r="J1599">
        <v>5.4906499999999996</v>
      </c>
      <c r="K1599" t="s">
        <v>35</v>
      </c>
    </row>
    <row r="1600" spans="1:11" x14ac:dyDescent="0.45">
      <c r="A1600" t="s">
        <v>90</v>
      </c>
      <c r="B1600" t="s">
        <v>4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2050</v>
      </c>
      <c r="J1600">
        <v>5.6541999999999994</v>
      </c>
      <c r="K1600" t="s">
        <v>35</v>
      </c>
    </row>
    <row r="1601" spans="1:11" x14ac:dyDescent="0.45">
      <c r="A1601" t="s">
        <v>90</v>
      </c>
      <c r="B1601" t="s">
        <v>4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2055</v>
      </c>
      <c r="J1601">
        <v>5.6654</v>
      </c>
      <c r="K1601" t="s">
        <v>35</v>
      </c>
    </row>
    <row r="1602" spans="1:11" x14ac:dyDescent="0.45">
      <c r="A1602" t="s">
        <v>90</v>
      </c>
      <c r="B1602" t="s">
        <v>4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2060</v>
      </c>
      <c r="J1602">
        <v>6.6663999999999994</v>
      </c>
      <c r="K1602" t="s">
        <v>35</v>
      </c>
    </row>
    <row r="1603" spans="1:11" x14ac:dyDescent="0.45">
      <c r="A1603" t="s">
        <v>90</v>
      </c>
      <c r="B1603" t="s">
        <v>4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2065</v>
      </c>
      <c r="J1603">
        <v>6.5385</v>
      </c>
      <c r="K1603" t="s">
        <v>35</v>
      </c>
    </row>
    <row r="1604" spans="1:11" x14ac:dyDescent="0.45">
      <c r="A1604" t="s">
        <v>90</v>
      </c>
      <c r="B1604" t="s">
        <v>4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2070</v>
      </c>
      <c r="J1604">
        <v>6.4105500000000006</v>
      </c>
      <c r="K1604" t="s">
        <v>35</v>
      </c>
    </row>
    <row r="1605" spans="1:11" x14ac:dyDescent="0.45">
      <c r="A1605" t="s">
        <v>90</v>
      </c>
      <c r="B1605" t="s">
        <v>4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2075</v>
      </c>
      <c r="J1605">
        <v>6.6208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2080</v>
      </c>
      <c r="J1606">
        <v>6.8310500000000003</v>
      </c>
      <c r="K1606" t="s">
        <v>35</v>
      </c>
    </row>
    <row r="1607" spans="1:11" x14ac:dyDescent="0.45">
      <c r="A1607" t="s">
        <v>90</v>
      </c>
      <c r="B1607" t="s">
        <v>4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2085</v>
      </c>
      <c r="J1607">
        <v>7.0742500000000001</v>
      </c>
      <c r="K1607" t="s">
        <v>35</v>
      </c>
    </row>
    <row r="1608" spans="1:11" x14ac:dyDescent="0.45">
      <c r="A1608" t="s">
        <v>90</v>
      </c>
      <c r="B1608" t="s">
        <v>4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7.31745</v>
      </c>
      <c r="K1608" t="s">
        <v>35</v>
      </c>
    </row>
    <row r="1609" spans="1:11" x14ac:dyDescent="0.45">
      <c r="A1609" t="s">
        <v>90</v>
      </c>
      <c r="B1609" t="s">
        <v>4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2095</v>
      </c>
      <c r="J1609">
        <v>7.4690499999999993</v>
      </c>
      <c r="K1609" t="s">
        <v>35</v>
      </c>
    </row>
    <row r="1610" spans="1:11" x14ac:dyDescent="0.45">
      <c r="A1610" t="s">
        <v>90</v>
      </c>
      <c r="B1610" t="s">
        <v>4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2100</v>
      </c>
      <c r="J1610">
        <v>7.6207000000000003</v>
      </c>
      <c r="K1610" t="s">
        <v>35</v>
      </c>
    </row>
    <row r="1611" spans="1:11" x14ac:dyDescent="0.45">
      <c r="A1611" t="s">
        <v>90</v>
      </c>
      <c r="B1611" t="s">
        <v>0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2020</v>
      </c>
      <c r="J1611">
        <v>3.9710999999999999</v>
      </c>
      <c r="K1611" t="s">
        <v>35</v>
      </c>
    </row>
    <row r="1612" spans="1:11" x14ac:dyDescent="0.45">
      <c r="A1612" t="s">
        <v>90</v>
      </c>
      <c r="B1612" t="s">
        <v>0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2025</v>
      </c>
      <c r="J1612">
        <v>4.6684000000000001</v>
      </c>
      <c r="K1612" t="s">
        <v>35</v>
      </c>
    </row>
    <row r="1613" spans="1:11" x14ac:dyDescent="0.45">
      <c r="A1613" t="s">
        <v>90</v>
      </c>
      <c r="B1613" t="s">
        <v>0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2030</v>
      </c>
      <c r="J1613">
        <v>4.6098499999999998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2035</v>
      </c>
      <c r="J1614">
        <v>5.7273500000000004</v>
      </c>
      <c r="K1614" t="s">
        <v>35</v>
      </c>
    </row>
    <row r="1615" spans="1:11" x14ac:dyDescent="0.45">
      <c r="A1615" t="s">
        <v>90</v>
      </c>
      <c r="B1615" t="s">
        <v>0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2040</v>
      </c>
      <c r="J1615">
        <v>5.2990500000000003</v>
      </c>
      <c r="K1615" t="s">
        <v>35</v>
      </c>
    </row>
    <row r="1616" spans="1:11" x14ac:dyDescent="0.45">
      <c r="A1616" t="s">
        <v>90</v>
      </c>
      <c r="B1616" t="s">
        <v>0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4.6126000000000005</v>
      </c>
      <c r="K1616" t="s">
        <v>35</v>
      </c>
    </row>
    <row r="1617" spans="1:11" x14ac:dyDescent="0.45">
      <c r="A1617" t="s">
        <v>90</v>
      </c>
      <c r="B1617" t="s">
        <v>0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2050</v>
      </c>
      <c r="J1617">
        <v>4.1950500000000002</v>
      </c>
      <c r="K1617" t="s">
        <v>35</v>
      </c>
    </row>
    <row r="1618" spans="1:11" x14ac:dyDescent="0.45">
      <c r="A1618" t="s">
        <v>90</v>
      </c>
      <c r="B1618" t="s">
        <v>0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2055</v>
      </c>
      <c r="J1618">
        <v>4.3904499999999995</v>
      </c>
      <c r="K1618" t="s">
        <v>35</v>
      </c>
    </row>
    <row r="1619" spans="1:11" x14ac:dyDescent="0.45">
      <c r="A1619" t="s">
        <v>90</v>
      </c>
      <c r="B1619" t="s">
        <v>0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2060</v>
      </c>
      <c r="J1619">
        <v>5.1861999999999995</v>
      </c>
      <c r="K1619" t="s">
        <v>35</v>
      </c>
    </row>
    <row r="1620" spans="1:11" x14ac:dyDescent="0.45">
      <c r="A1620" t="s">
        <v>90</v>
      </c>
      <c r="B1620" t="s">
        <v>0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2065</v>
      </c>
      <c r="J1620">
        <v>5.0748999999999995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2070</v>
      </c>
      <c r="J1621">
        <v>4.9635999999999996</v>
      </c>
      <c r="K1621" t="s">
        <v>35</v>
      </c>
    </row>
    <row r="1622" spans="1:11" x14ac:dyDescent="0.45">
      <c r="A1622" t="s">
        <v>90</v>
      </c>
      <c r="B1622" t="s">
        <v>0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2075</v>
      </c>
      <c r="J1622">
        <v>5.0854999999999997</v>
      </c>
      <c r="K1622" t="s">
        <v>35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2080</v>
      </c>
      <c r="J1623">
        <v>5.2074499999999997</v>
      </c>
      <c r="K1623" t="s">
        <v>35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2085</v>
      </c>
      <c r="J1624">
        <v>5.1766000000000005</v>
      </c>
      <c r="K1624" t="s">
        <v>35</v>
      </c>
    </row>
    <row r="1625" spans="1:11" x14ac:dyDescent="0.45">
      <c r="A1625" t="s">
        <v>90</v>
      </c>
      <c r="B1625" t="s">
        <v>0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2090</v>
      </c>
      <c r="J1625">
        <v>5.1458000000000004</v>
      </c>
      <c r="K1625" t="s">
        <v>35</v>
      </c>
    </row>
    <row r="1626" spans="1:11" x14ac:dyDescent="0.45">
      <c r="A1626" t="s">
        <v>90</v>
      </c>
      <c r="B1626" t="s">
        <v>0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2095</v>
      </c>
      <c r="J1626">
        <v>5.0733999999999995</v>
      </c>
      <c r="K1626" t="s">
        <v>35</v>
      </c>
    </row>
    <row r="1627" spans="1:11" x14ac:dyDescent="0.45">
      <c r="A1627" t="s">
        <v>90</v>
      </c>
      <c r="B1627" t="s">
        <v>0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2100</v>
      </c>
      <c r="J1627">
        <v>5.0011000000000001</v>
      </c>
      <c r="K1627" t="s">
        <v>35</v>
      </c>
    </row>
    <row r="1628" spans="1:11" x14ac:dyDescent="0.45">
      <c r="A1628" t="s">
        <v>90</v>
      </c>
      <c r="B1628" t="s">
        <v>6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2020</v>
      </c>
      <c r="J1628">
        <v>3.9710999999999999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2025</v>
      </c>
      <c r="J1629">
        <v>4.6684000000000001</v>
      </c>
      <c r="K1629" t="s">
        <v>35</v>
      </c>
    </row>
    <row r="1630" spans="1:11" x14ac:dyDescent="0.45">
      <c r="A1630" t="s">
        <v>90</v>
      </c>
      <c r="B1630" t="s">
        <v>6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2030</v>
      </c>
      <c r="J1630">
        <v>4.6098499999999998</v>
      </c>
      <c r="K1630" t="s">
        <v>35</v>
      </c>
    </row>
    <row r="1631" spans="1:11" x14ac:dyDescent="0.45">
      <c r="A1631" t="s">
        <v>90</v>
      </c>
      <c r="B1631" t="s">
        <v>6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2035</v>
      </c>
      <c r="J1631">
        <v>5.0059500000000003</v>
      </c>
      <c r="K1631" t="s">
        <v>35</v>
      </c>
    </row>
    <row r="1632" spans="1:11" x14ac:dyDescent="0.45">
      <c r="A1632" t="s">
        <v>90</v>
      </c>
      <c r="B1632" t="s">
        <v>6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2040</v>
      </c>
      <c r="J1632">
        <v>4.9135</v>
      </c>
      <c r="K1632" t="s">
        <v>35</v>
      </c>
    </row>
    <row r="1633" spans="1:11" x14ac:dyDescent="0.45">
      <c r="A1633" t="s">
        <v>90</v>
      </c>
      <c r="B1633" t="s">
        <v>6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2045</v>
      </c>
      <c r="J1633">
        <v>5.3256499999999996</v>
      </c>
      <c r="K1633" t="s">
        <v>35</v>
      </c>
    </row>
    <row r="1634" spans="1:11" x14ac:dyDescent="0.45">
      <c r="A1634" t="s">
        <v>90</v>
      </c>
      <c r="B1634" t="s">
        <v>6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2050</v>
      </c>
      <c r="J1634">
        <v>5.1727499999999997</v>
      </c>
      <c r="K1634" t="s">
        <v>35</v>
      </c>
    </row>
    <row r="1635" spans="1:11" x14ac:dyDescent="0.45">
      <c r="A1635" t="s">
        <v>90</v>
      </c>
      <c r="B1635" t="s">
        <v>6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2055</v>
      </c>
      <c r="J1635">
        <v>4.8427000000000007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6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2065</v>
      </c>
      <c r="J1637">
        <v>5.65855</v>
      </c>
      <c r="K1637" t="s">
        <v>35</v>
      </c>
    </row>
    <row r="1638" spans="1:11" x14ac:dyDescent="0.45">
      <c r="A1638" t="s">
        <v>90</v>
      </c>
      <c r="B1638" t="s">
        <v>6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5.4417</v>
      </c>
      <c r="K1638" t="s">
        <v>35</v>
      </c>
    </row>
    <row r="1639" spans="1:11" x14ac:dyDescent="0.45">
      <c r="A1639" t="s">
        <v>90</v>
      </c>
      <c r="B1639" t="s">
        <v>6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2075</v>
      </c>
      <c r="J1639">
        <v>5.4064499999999995</v>
      </c>
      <c r="K1639" t="s">
        <v>35</v>
      </c>
    </row>
    <row r="1640" spans="1:11" x14ac:dyDescent="0.45">
      <c r="A1640" t="s">
        <v>90</v>
      </c>
      <c r="B1640" t="s">
        <v>6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2080</v>
      </c>
      <c r="J1640">
        <v>5.3712499999999999</v>
      </c>
      <c r="K1640" t="s">
        <v>35</v>
      </c>
    </row>
    <row r="1641" spans="1:11" x14ac:dyDescent="0.45">
      <c r="A1641" t="s">
        <v>90</v>
      </c>
      <c r="B1641" t="s">
        <v>6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2085</v>
      </c>
      <c r="J1641">
        <v>5.36965</v>
      </c>
      <c r="K1641" t="s">
        <v>35</v>
      </c>
    </row>
    <row r="1642" spans="1:11" x14ac:dyDescent="0.45">
      <c r="A1642" t="s">
        <v>90</v>
      </c>
      <c r="B1642" t="s">
        <v>6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2090</v>
      </c>
      <c r="J1642">
        <v>5.3680500000000002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2095</v>
      </c>
      <c r="J1643">
        <v>5.4055999999999997</v>
      </c>
      <c r="K1643" t="s">
        <v>35</v>
      </c>
    </row>
    <row r="1644" spans="1:11" x14ac:dyDescent="0.45">
      <c r="A1644" t="s">
        <v>90</v>
      </c>
      <c r="B1644" t="s">
        <v>6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2100</v>
      </c>
      <c r="J1644">
        <v>5.4432</v>
      </c>
      <c r="K1644" t="s">
        <v>35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2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2020</v>
      </c>
      <c r="J1662">
        <v>3.9710999999999999</v>
      </c>
      <c r="K1662" t="s">
        <v>35</v>
      </c>
    </row>
    <row r="1663" spans="1:11" x14ac:dyDescent="0.45">
      <c r="A1663" t="s">
        <v>90</v>
      </c>
      <c r="B1663" t="s">
        <v>2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2025</v>
      </c>
      <c r="J1663">
        <v>4.5302500000000006</v>
      </c>
      <c r="K1663" t="s">
        <v>35</v>
      </c>
    </row>
    <row r="1664" spans="1:11" x14ac:dyDescent="0.45">
      <c r="A1664" t="s">
        <v>90</v>
      </c>
      <c r="B1664" t="s">
        <v>2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2030</v>
      </c>
      <c r="J1664">
        <v>4.2876500000000002</v>
      </c>
      <c r="K1664" t="s">
        <v>35</v>
      </c>
    </row>
    <row r="1665" spans="1:11" x14ac:dyDescent="0.45">
      <c r="A1665" t="s">
        <v>90</v>
      </c>
      <c r="B1665" t="s">
        <v>2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2035</v>
      </c>
      <c r="J1665">
        <v>4.73515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2040</v>
      </c>
      <c r="J1666">
        <v>5.0349500000000003</v>
      </c>
      <c r="K1666" t="s">
        <v>35</v>
      </c>
    </row>
    <row r="1667" spans="1:11" x14ac:dyDescent="0.45">
      <c r="A1667" t="s">
        <v>90</v>
      </c>
      <c r="B1667" t="s">
        <v>2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2045</v>
      </c>
      <c r="J1667">
        <v>5.3595000000000006</v>
      </c>
      <c r="K1667" t="s">
        <v>35</v>
      </c>
    </row>
    <row r="1668" spans="1:11" x14ac:dyDescent="0.45">
      <c r="A1668" t="s">
        <v>90</v>
      </c>
      <c r="B1668" t="s">
        <v>2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2050</v>
      </c>
      <c r="J1668">
        <v>5.3207000000000004</v>
      </c>
      <c r="K1668" t="s">
        <v>35</v>
      </c>
    </row>
    <row r="1669" spans="1:11" x14ac:dyDescent="0.45">
      <c r="A1669" t="s">
        <v>90</v>
      </c>
      <c r="B1669" t="s">
        <v>2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2055</v>
      </c>
      <c r="J1669">
        <v>5.03695</v>
      </c>
      <c r="K1669" t="s">
        <v>35</v>
      </c>
    </row>
    <row r="1670" spans="1:11" x14ac:dyDescent="0.45">
      <c r="A1670" t="s">
        <v>90</v>
      </c>
      <c r="B1670" t="s">
        <v>2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2060</v>
      </c>
      <c r="J1670">
        <v>6.1361500000000007</v>
      </c>
      <c r="K1670" t="s">
        <v>35</v>
      </c>
    </row>
    <row r="1671" spans="1:11" x14ac:dyDescent="0.45">
      <c r="A1671" t="s">
        <v>90</v>
      </c>
      <c r="B1671" t="s">
        <v>2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2065</v>
      </c>
      <c r="J1671">
        <v>5.9593500000000006</v>
      </c>
      <c r="K1671" t="s">
        <v>35</v>
      </c>
    </row>
    <row r="1672" spans="1:11" x14ac:dyDescent="0.45">
      <c r="A1672" t="s">
        <v>90</v>
      </c>
      <c r="B1672" t="s">
        <v>2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2070</v>
      </c>
      <c r="J1672">
        <v>5.7826500000000003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2075</v>
      </c>
      <c r="J1673">
        <v>5.7862499999999999</v>
      </c>
      <c r="K1673" t="s">
        <v>35</v>
      </c>
    </row>
    <row r="1674" spans="1:11" x14ac:dyDescent="0.45">
      <c r="A1674" t="s">
        <v>90</v>
      </c>
      <c r="B1674" t="s">
        <v>2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2080</v>
      </c>
      <c r="J1674">
        <v>5.7898499999999995</v>
      </c>
      <c r="K1674" t="s">
        <v>35</v>
      </c>
    </row>
    <row r="1675" spans="1:11" x14ac:dyDescent="0.45">
      <c r="A1675" t="s">
        <v>90</v>
      </c>
      <c r="B1675" t="s">
        <v>2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2085</v>
      </c>
      <c r="J1675">
        <v>5.8544</v>
      </c>
      <c r="K1675" t="s">
        <v>35</v>
      </c>
    </row>
    <row r="1676" spans="1:11" x14ac:dyDescent="0.45">
      <c r="A1676" t="s">
        <v>90</v>
      </c>
      <c r="B1676" t="s">
        <v>2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5.9189499999999997</v>
      </c>
      <c r="K1676" t="s">
        <v>35</v>
      </c>
    </row>
    <row r="1677" spans="1:11" x14ac:dyDescent="0.45">
      <c r="A1677" t="s">
        <v>90</v>
      </c>
      <c r="B1677" t="s">
        <v>2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5.9424000000000001</v>
      </c>
      <c r="K1677" t="s">
        <v>35</v>
      </c>
    </row>
    <row r="1678" spans="1:11" x14ac:dyDescent="0.45">
      <c r="A1678" t="s">
        <v>90</v>
      </c>
      <c r="B1678" t="s">
        <v>2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2100</v>
      </c>
      <c r="J1678">
        <v>5.9658999999999995</v>
      </c>
      <c r="K1678" t="s">
        <v>35</v>
      </c>
    </row>
    <row r="1679" spans="1:11" x14ac:dyDescent="0.45">
      <c r="A1679" t="s">
        <v>90</v>
      </c>
      <c r="B1679" t="s">
        <v>1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2020</v>
      </c>
      <c r="J1679">
        <v>3.9710999999999999</v>
      </c>
      <c r="K1679" t="s">
        <v>35</v>
      </c>
    </row>
    <row r="1680" spans="1:11" x14ac:dyDescent="0.45">
      <c r="A1680" t="s">
        <v>90</v>
      </c>
      <c r="B1680" t="s">
        <v>1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2025</v>
      </c>
      <c r="J1680">
        <v>5.1760999999999999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2030</v>
      </c>
      <c r="J1681">
        <v>5.5630500000000005</v>
      </c>
      <c r="K1681" t="s">
        <v>35</v>
      </c>
    </row>
    <row r="1682" spans="1:11" x14ac:dyDescent="0.45">
      <c r="A1682" t="s">
        <v>90</v>
      </c>
      <c r="B1682" t="s">
        <v>1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2035</v>
      </c>
      <c r="J1682">
        <v>5.8599999999999994</v>
      </c>
      <c r="K1682" t="s">
        <v>35</v>
      </c>
    </row>
    <row r="1683" spans="1:11" x14ac:dyDescent="0.45">
      <c r="A1683" t="s">
        <v>90</v>
      </c>
      <c r="B1683" t="s">
        <v>1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2040</v>
      </c>
      <c r="J1683">
        <v>5.7955500000000004</v>
      </c>
      <c r="K1683" t="s">
        <v>35</v>
      </c>
    </row>
    <row r="1684" spans="1:11" x14ac:dyDescent="0.45">
      <c r="A1684" t="s">
        <v>90</v>
      </c>
      <c r="B1684" t="s">
        <v>1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2045</v>
      </c>
      <c r="J1684">
        <v>4.9245999999999999</v>
      </c>
      <c r="K1684" t="s">
        <v>35</v>
      </c>
    </row>
    <row r="1685" spans="1:11" x14ac:dyDescent="0.45">
      <c r="A1685" t="s">
        <v>90</v>
      </c>
      <c r="B1685" t="s">
        <v>1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2050</v>
      </c>
      <c r="J1685">
        <v>4.4139499999999998</v>
      </c>
      <c r="K1685" t="s">
        <v>35</v>
      </c>
    </row>
    <row r="1686" spans="1:11" x14ac:dyDescent="0.45">
      <c r="A1686" t="s">
        <v>90</v>
      </c>
      <c r="B1686" t="s">
        <v>1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2055</v>
      </c>
      <c r="J1686">
        <v>4.5674000000000001</v>
      </c>
      <c r="K1686" t="s">
        <v>35</v>
      </c>
    </row>
    <row r="1687" spans="1:11" x14ac:dyDescent="0.45">
      <c r="A1687" t="s">
        <v>90</v>
      </c>
      <c r="B1687" t="s">
        <v>1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2060</v>
      </c>
      <c r="J1687">
        <v>5.5579999999999998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2065</v>
      </c>
      <c r="J1688">
        <v>5.8658999999999999</v>
      </c>
      <c r="K1688" t="s">
        <v>35</v>
      </c>
    </row>
    <row r="1689" spans="1:11" x14ac:dyDescent="0.45">
      <c r="A1689" t="s">
        <v>90</v>
      </c>
      <c r="B1689" t="s">
        <v>1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2070</v>
      </c>
      <c r="J1689">
        <v>6.1738</v>
      </c>
      <c r="K1689" t="s">
        <v>35</v>
      </c>
    </row>
    <row r="1690" spans="1:11" x14ac:dyDescent="0.45">
      <c r="A1690" t="s">
        <v>90</v>
      </c>
      <c r="B1690" t="s">
        <v>1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2075</v>
      </c>
      <c r="J1690">
        <v>6.0717999999999996</v>
      </c>
      <c r="K1690" t="s">
        <v>35</v>
      </c>
    </row>
    <row r="1691" spans="1:11" x14ac:dyDescent="0.45">
      <c r="A1691" t="s">
        <v>90</v>
      </c>
      <c r="B1691" t="s">
        <v>1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5.9697999999999993</v>
      </c>
      <c r="K1691" t="s">
        <v>35</v>
      </c>
    </row>
    <row r="1692" spans="1:11" x14ac:dyDescent="0.45">
      <c r="A1692" t="s">
        <v>90</v>
      </c>
      <c r="B1692" t="s">
        <v>1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2085</v>
      </c>
      <c r="J1692">
        <v>5.8603500000000004</v>
      </c>
      <c r="K1692" t="s">
        <v>35</v>
      </c>
    </row>
    <row r="1693" spans="1:11" x14ac:dyDescent="0.45">
      <c r="A1693" t="s">
        <v>90</v>
      </c>
      <c r="B1693" t="s">
        <v>1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2090</v>
      </c>
      <c r="J1693">
        <v>5.7508499999999998</v>
      </c>
      <c r="K1693" t="s">
        <v>35</v>
      </c>
    </row>
    <row r="1694" spans="1:11" x14ac:dyDescent="0.45">
      <c r="A1694" t="s">
        <v>90</v>
      </c>
      <c r="B1694" t="s">
        <v>1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2095</v>
      </c>
      <c r="J1694">
        <v>5.3330500000000001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65.189400000000006</v>
      </c>
      <c r="K1696" t="s">
        <v>37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2025</v>
      </c>
      <c r="J1697">
        <v>61.863749999999996</v>
      </c>
      <c r="K1697" t="s">
        <v>37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2030</v>
      </c>
      <c r="J1698">
        <v>82.202550000000002</v>
      </c>
      <c r="K1698" t="s">
        <v>37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2035</v>
      </c>
      <c r="J1699">
        <v>79.196349999999995</v>
      </c>
      <c r="K1699" t="s">
        <v>37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2040</v>
      </c>
      <c r="J1700">
        <v>87.863900000000001</v>
      </c>
      <c r="K1700" t="s">
        <v>37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2045</v>
      </c>
      <c r="J1701">
        <v>93.5762</v>
      </c>
      <c r="K1701" t="s">
        <v>37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2050</v>
      </c>
      <c r="J1702">
        <v>99.286950000000004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2055</v>
      </c>
      <c r="J1703">
        <v>113.702</v>
      </c>
      <c r="K1703" t="s">
        <v>37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2060</v>
      </c>
      <c r="J1704">
        <v>175.04315</v>
      </c>
      <c r="K1704" t="s">
        <v>37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2065</v>
      </c>
      <c r="J1705">
        <v>208.89075</v>
      </c>
      <c r="K1705" t="s">
        <v>37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2070</v>
      </c>
      <c r="J1706">
        <v>242.73840000000001</v>
      </c>
      <c r="K1706" t="s">
        <v>37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2075</v>
      </c>
      <c r="J1707">
        <v>242.93020000000001</v>
      </c>
      <c r="K1707" t="s">
        <v>37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2080</v>
      </c>
      <c r="J1708">
        <v>243.12205</v>
      </c>
      <c r="K1708" t="s">
        <v>37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2085</v>
      </c>
      <c r="J1709">
        <v>251.51634999999999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2090</v>
      </c>
      <c r="J1710">
        <v>259.91070000000002</v>
      </c>
      <c r="K1710" t="s">
        <v>37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261.23194999999998</v>
      </c>
      <c r="K1711" t="s">
        <v>37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2100</v>
      </c>
      <c r="J1712">
        <v>262.55314999999996</v>
      </c>
      <c r="K1712" t="s">
        <v>37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2020</v>
      </c>
      <c r="J1713">
        <v>65.189400000000006</v>
      </c>
      <c r="K1713" t="s">
        <v>37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2025</v>
      </c>
      <c r="J1714">
        <v>72.009600000000006</v>
      </c>
      <c r="K1714" t="s">
        <v>37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82.546750000000003</v>
      </c>
      <c r="K1715" t="s">
        <v>37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2035</v>
      </c>
      <c r="J1716">
        <v>82.314250000000001</v>
      </c>
      <c r="K1716" t="s">
        <v>37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2040</v>
      </c>
      <c r="J1717">
        <v>92.362349999999992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2045</v>
      </c>
      <c r="J1718">
        <v>101.91849999999999</v>
      </c>
      <c r="K1718" t="s">
        <v>37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2050</v>
      </c>
      <c r="J1719">
        <v>108.10325</v>
      </c>
      <c r="K1719" t="s">
        <v>37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2055</v>
      </c>
      <c r="J1720">
        <v>124.46765000000001</v>
      </c>
      <c r="K1720" t="s">
        <v>37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2060</v>
      </c>
      <c r="J1721">
        <v>197.66784999999999</v>
      </c>
      <c r="K1721" t="s">
        <v>37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2065</v>
      </c>
      <c r="J1722">
        <v>236.26935</v>
      </c>
      <c r="K1722" t="s">
        <v>37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2070</v>
      </c>
      <c r="J1723">
        <v>274.87090000000001</v>
      </c>
      <c r="K1723" t="s">
        <v>37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2075</v>
      </c>
      <c r="J1724">
        <v>280.97659999999996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2080</v>
      </c>
      <c r="J1725">
        <v>287.08224999999999</v>
      </c>
      <c r="K1725" t="s">
        <v>37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288.87919999999997</v>
      </c>
      <c r="K1726" t="s">
        <v>37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2090</v>
      </c>
      <c r="J1727">
        <v>290.67615000000001</v>
      </c>
      <c r="K1727" t="s">
        <v>37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2095</v>
      </c>
      <c r="J1728">
        <v>300.19495000000001</v>
      </c>
      <c r="K1728" t="s">
        <v>37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2100</v>
      </c>
      <c r="J1729">
        <v>309.71379999999999</v>
      </c>
      <c r="K1729" t="s">
        <v>37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65.189400000000006</v>
      </c>
      <c r="K1730" t="s">
        <v>37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72.009600000000006</v>
      </c>
      <c r="K1731" t="s">
        <v>37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82.546750000000003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69.214550000000003</v>
      </c>
      <c r="K1733" t="s">
        <v>37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86.607200000000006</v>
      </c>
      <c r="K1734" t="s">
        <v>37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96.995800000000003</v>
      </c>
      <c r="K1735" t="s">
        <v>37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100.6613</v>
      </c>
      <c r="K1736" t="s">
        <v>37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116.69974999999999</v>
      </c>
      <c r="K1737" t="s">
        <v>37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175.08449999999999</v>
      </c>
      <c r="K1738" t="s">
        <v>37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209.59895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244.11335</v>
      </c>
      <c r="K1740" t="s">
        <v>37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249.99084999999999</v>
      </c>
      <c r="K1741" t="s">
        <v>37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255.86834999999999</v>
      </c>
      <c r="K1742" t="s">
        <v>37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259.85789999999997</v>
      </c>
      <c r="K1743" t="s">
        <v>37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263.84739999999999</v>
      </c>
      <c r="K1744" t="s">
        <v>37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267.02665000000002</v>
      </c>
      <c r="K1745" t="s">
        <v>37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270.20580000000001</v>
      </c>
      <c r="K1746" t="s">
        <v>37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2020</v>
      </c>
      <c r="J1747">
        <v>65.189400000000006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2025</v>
      </c>
      <c r="J1748">
        <v>72.009600000000006</v>
      </c>
      <c r="K1748" t="s">
        <v>37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2030</v>
      </c>
      <c r="J1749">
        <v>82.546750000000003</v>
      </c>
      <c r="K1749" t="s">
        <v>37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2035</v>
      </c>
      <c r="J1750">
        <v>64.376100000000008</v>
      </c>
      <c r="K1750" t="s">
        <v>37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2040</v>
      </c>
      <c r="J1751">
        <v>84.286650000000009</v>
      </c>
      <c r="K1751" t="s">
        <v>37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2045</v>
      </c>
      <c r="J1752">
        <v>97.598600000000005</v>
      </c>
      <c r="K1752" t="s">
        <v>37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2050</v>
      </c>
      <c r="J1753">
        <v>102.87139999999999</v>
      </c>
      <c r="K1753" t="s">
        <v>37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2055</v>
      </c>
      <c r="J1754">
        <v>116.9101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179.79354999999998</v>
      </c>
      <c r="K1755" t="s">
        <v>37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2065</v>
      </c>
      <c r="J1756">
        <v>216.17214999999999</v>
      </c>
      <c r="K1756" t="s">
        <v>37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2070</v>
      </c>
      <c r="J1757">
        <v>252.55079999999998</v>
      </c>
      <c r="K1757" t="s">
        <v>37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2075</v>
      </c>
      <c r="J1758">
        <v>256.21690000000001</v>
      </c>
      <c r="K1758" t="s">
        <v>37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2080</v>
      </c>
      <c r="J1759">
        <v>259.88295000000005</v>
      </c>
      <c r="K1759" t="s">
        <v>37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2085</v>
      </c>
      <c r="J1760">
        <v>261.11509999999998</v>
      </c>
      <c r="K1760" t="s">
        <v>37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2090</v>
      </c>
      <c r="J1761">
        <v>262.34730000000002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2095</v>
      </c>
      <c r="J1762">
        <v>273.11149999999998</v>
      </c>
      <c r="K1762" t="s">
        <v>37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2100</v>
      </c>
      <c r="J1763">
        <v>283.87569999999999</v>
      </c>
      <c r="K1763" t="s">
        <v>37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65.189400000000006</v>
      </c>
      <c r="K1764" t="s">
        <v>37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58.44885</v>
      </c>
      <c r="K1765" t="s">
        <v>37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67.760549999999995</v>
      </c>
      <c r="K1766" t="s">
        <v>37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74.5047</v>
      </c>
      <c r="K1767" t="s">
        <v>37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80.313099999999991</v>
      </c>
      <c r="K1768" t="s">
        <v>37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79.373799999999989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74.836749999999995</v>
      </c>
      <c r="K1770" t="s">
        <v>37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113.1446</v>
      </c>
      <c r="K1771" t="s">
        <v>37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179.99435</v>
      </c>
      <c r="K1772" t="s">
        <v>37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213.91899999999998</v>
      </c>
      <c r="K1773" t="s">
        <v>37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247.84360000000001</v>
      </c>
      <c r="K1774" t="s">
        <v>37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270.81659999999999</v>
      </c>
      <c r="K1775" t="s">
        <v>37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293.78949999999998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306.5256</v>
      </c>
      <c r="K1777" t="s">
        <v>37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319.26165000000003</v>
      </c>
      <c r="K1778" t="s">
        <v>37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340.33254999999997</v>
      </c>
      <c r="K1779" t="s">
        <v>37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361.40345000000002</v>
      </c>
      <c r="K1780" t="s">
        <v>37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2020</v>
      </c>
      <c r="J1781">
        <v>65.189400000000006</v>
      </c>
      <c r="K1781" t="s">
        <v>37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2025</v>
      </c>
      <c r="J1782">
        <v>67.619100000000003</v>
      </c>
      <c r="K1782" t="s">
        <v>37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2030</v>
      </c>
      <c r="J1783">
        <v>81.937299999999993</v>
      </c>
      <c r="K1783" t="s">
        <v>37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2035</v>
      </c>
      <c r="J1784">
        <v>81.215550000000007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2040</v>
      </c>
      <c r="J1785">
        <v>91.770399999999995</v>
      </c>
      <c r="K1785" t="s">
        <v>37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2045</v>
      </c>
      <c r="J1786">
        <v>101.27515</v>
      </c>
      <c r="K1786" t="s">
        <v>37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2050</v>
      </c>
      <c r="J1787">
        <v>106.26400000000001</v>
      </c>
      <c r="K1787" t="s">
        <v>37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2055</v>
      </c>
      <c r="J1788">
        <v>123.79705</v>
      </c>
      <c r="K1788" t="s">
        <v>37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2060</v>
      </c>
      <c r="J1789">
        <v>188.26465000000002</v>
      </c>
      <c r="K1789" t="s">
        <v>37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2065</v>
      </c>
      <c r="J1790">
        <v>223.32920000000001</v>
      </c>
      <c r="K1790" t="s">
        <v>37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2070</v>
      </c>
      <c r="J1791">
        <v>258.39369999999997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2075</v>
      </c>
      <c r="J1792">
        <v>261.06795</v>
      </c>
      <c r="K1792" t="s">
        <v>37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2080</v>
      </c>
      <c r="J1793">
        <v>263.74220000000003</v>
      </c>
      <c r="K1793" t="s">
        <v>37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2085</v>
      </c>
      <c r="J1794">
        <v>264.43470000000002</v>
      </c>
      <c r="K1794" t="s">
        <v>37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265.12720000000002</v>
      </c>
      <c r="K1795" t="s">
        <v>37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2095</v>
      </c>
      <c r="J1796">
        <v>275.90345000000002</v>
      </c>
      <c r="K1796" t="s">
        <v>37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2100</v>
      </c>
      <c r="J1797">
        <v>286.67975000000001</v>
      </c>
      <c r="K1797" t="s">
        <v>37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65.189400000000006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57.665100000000002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79.625100000000003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81.678049999999999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88.534649999999999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89.913350000000008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100.87350000000001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116.5746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183.90429999999998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231.2432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278.58215000000001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296.42349999999999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314.26490000000001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359.90930000000003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405.55369999999999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320.20389999999998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234.85415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9.4899999999999998E-2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0.1774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0.2382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0.43140000000000001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0.74629999999999996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1.43E-2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1.83E-2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2.2100000000000002E-2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2.6800000000000001E-2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0.03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3.4200000000000001E-2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4.07E-2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1.6199999999999999E-2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2.1100000000000001E-2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1.9199999999999998E-2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1.7600000000000001E-2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1.8200000000000001E-2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2.4400000000000002E-2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2.8500000000000001E-2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1E-4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5.0000000000000001E-4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1.6999999999999999E-3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3.8999999999999998E-3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8.8999999999999999E-3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1E-4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1.2999999999999999E-3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4.1999999999999997E-3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1.8987999999999998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2.8576000000000001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5.5000000000000005E-3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5.5000000000000005E-3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5.5000000000000005E-3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1.6499999999999997E-2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3.85E-2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1.3511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3.5651000000000002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3.1457000000000002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5.367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7.0838000000000001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7.4763000000000002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8.7202999999999999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1.9661999999999999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1.615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1.7063999999999999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2.1709999999999998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1.9769000000000001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2.6179000000000001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2.0156999999999998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2.2633000000000001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2.8098999999999998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3.3917999999999999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3.9051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4.1246999999999998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4.9743000000000004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3.1892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4.4941000000000004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4.8894000000000002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5.0796999999999999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5.641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5.3113999999999999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175.74879999999999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174.17500000000001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159.6277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158.4812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155.78460000000001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154.30719999999999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151.11609999999999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13.957599999999999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18.988299999999999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10.1265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10.780200000000001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10.55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12.7875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12.8865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1.49E-2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1.83E-2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2.2200000000000001E-2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2.9899999999999999E-2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3.5499999999999997E-2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3.8199999999999998E-2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4.1099999999999998E-2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1.7600000000000001E-2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2.2200000000000001E-2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2.1999999999999999E-2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2.07E-2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2.2200000000000001E-2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2.9899999999999999E-2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3.5900000000000001E-2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1E-4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2.0000000000000001E-4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5.9999999999999995E-4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1.4E-3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2.5999999999999999E-3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1.9458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2.6978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3.2618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4.3146000000000004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4.5965999999999996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5.9501999999999997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7.3225999999999996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5.5000000000000005E-3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1.1000000000000001E-2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1.6499999999999997E-2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2.2000000000000002E-2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4.4000000000000004E-2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7.6999999999999999E-2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1.3511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4.2782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2.5712000000000002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2.1154000000000002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4.1441999999999997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3.4339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2.8203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1.9661999999999999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1.603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1.4175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1.5760000000000001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1.661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1.7467999999999999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1.841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2.0156999999999998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2.2612000000000001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2.3734000000000002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3.0924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3.2919999999999998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3.6415999999999999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3.9622999999999999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3.1892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4.6092000000000004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5.0312999999999999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5.5602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6.0583999999999998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175.60409999999999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173.21449999999999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174.99260000000001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182.92169999999999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185.8965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194.43350000000001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195.38499999999999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13.8072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18.0793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21.968399999999999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29.657399999999999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32.673499999999997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43.744799999999998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47.146099999999997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0.12479999999999999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0.1694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0.2964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0.49730000000000002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1.52E-2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1.8800000000000001E-2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2.3099999999999999E-2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2.75E-2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3.1399999999999997E-2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3.61E-2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4.3099999999999999E-2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1.7899999999999999E-2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2.2800000000000001E-2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2.29E-2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1.9E-2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1.8800000000000001E-2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2.4899999999999999E-2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3.09E-2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1E-4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5.0000000000000001E-4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1.9E-3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4.1999999999999997E-3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1.03E-2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1.1999999999999999E-3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3.5000000000000001E-3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7.1000000000000004E-3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1.9645999999999999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2.7165999999999997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3.2993999999999999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5.5000000000000005E-3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5.5000000000000005E-3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5.5000000000000005E-3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5.5000000000000005E-3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1.6499999999999997E-2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2.75E-2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1.3511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4.2782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2.5712000000000002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8.2174999999999994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11.3034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1.9661999999999999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1.603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1.4175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2.0849000000000002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2.6640999999999999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2.0156999999999998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2.2612000000000001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2.3734000000000002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3.4872000000000001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4.0233999999999996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4.2594000000000003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5.1487999999999996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3.1892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4.6092000000000004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5.8960999999999997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5.1154000000000002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175.64570000000001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173.73509999999999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176.04580000000001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166.33009999999999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163.02000000000001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161.02000000000001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157.22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13.841799999999999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18.129100000000001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22.085699999999999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14.1172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13.4542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15.9315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16.117999999999999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4.1099999999999998E-2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4.8800000000000003E-2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0.2114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0.26469999999999999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1.47E-2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1.8800000000000001E-2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2.23E-2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2.8400000000000002E-2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3.3399999999999999E-2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3.8399999999999997E-2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4.5499999999999999E-2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1.67E-2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2.1999999999999999E-2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2.1999999999999999E-2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1.95E-2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1.9800000000000002E-2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2.81E-2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3.5999999999999997E-2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1E-4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4.0000000000000002E-4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1.1000000000000001E-3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2.8999999999999998E-3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5.5999999999999999E-3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1E-4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1.9176000000000002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2.7729999999999997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3.2523999999999997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5.5000000000000005E-3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5.5000000000000005E-3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5.5000000000000005E-3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1.6499999999999997E-2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3.85E-2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1.3511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4.2782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2.5712000000000002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3.4333999999999998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6.8171999999999997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5.7111999999999998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1.9661999999999999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1.603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1.4175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2.2206999999999999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2.1526000000000001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2.0146000000000002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2.0156999999999998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2.2612000000000001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2.3734000000000002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3.6726999999999999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3.9340999999999999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4.1013000000000002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5.0133999999999999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3.1892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4.6092000000000004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5.6050000000000004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6.1375999999999999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6.4734999999999996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175.25890000000001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173.90729999999999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175.9906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164.62129999999999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162.01220000000001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159.07329999999999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155.11109999999999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13.4611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18.291899999999998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22.0152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12.023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11.9206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14.4655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15.454499999999999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0.24440000000000001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0.50380000000000003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1.0972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1.6634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1.2586999999999999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1.4500000000000001E-2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1.8200000000000001E-2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2.93E-2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3.2099999999999997E-2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3.32E-2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3.8600000000000002E-2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4.36E-2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1.5699999999999999E-2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2.0899999999999998E-2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2.5100000000000001E-2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2.7199999999999998E-2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3.2000000000000001E-2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3.4099999999999998E-2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3.56E-2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1E-4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5.0000000000000001E-4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1.4E-3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1.9E-3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6.6E-3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1.8E-3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4.4000000000000003E-3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8.6999999999999994E-3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1.26E-2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1.29E-2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2.0116000000000001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2.9327999999999999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5.5000000000000005E-3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1.6499999999999997E-2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3.2999999999999995E-2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2.75E-2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3.85E-2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7.1499999999999994E-2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0.1265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1.3511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3.5651000000000002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0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0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5.2774999999999999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10.8195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1.9661999999999999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1.615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3.9855999999999998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4.6886999999999999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5.4470999999999998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2.0156999999999998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2.2633000000000001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0.78639999999999999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3.5508000000000002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4.4855999999999998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4.9785000000000004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3.1892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4.4941000000000004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5.56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8.0112000000000005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3.7957999999999998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176.46809999999999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176.7336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169.5821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171.70760000000001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172.01300000000001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161.02330000000001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154.86349999999999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14.650399999999999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20.556699999999999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19.3126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22.266999999999999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23.139700000000001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15.4323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11.8912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1.46E-2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1.8499999999999999E-2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2.1899999999999999E-2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2.8500000000000001E-2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3.3599999999999998E-2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3.6600000000000001E-2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3.9699999999999999E-2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1.6199999999999999E-2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2.1000000000000001E-2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2.1000000000000001E-2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1.8700000000000001E-2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1.9400000000000001E-2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2.6499999999999999E-2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3.2300000000000002E-2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1E-4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4.0000000000000002E-4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1.1000000000000001E-3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2.7000000000000001E-3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4.4000000000000003E-3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1.9176000000000002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2.867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3.2430000000000003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1.5416000000000001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0.16919999999999999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9.4000000000000004E-3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9.4000000000000004E-3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5.5000000000000005E-3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5.5000000000000005E-3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5.5000000000000005E-3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1.6499999999999997E-2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3.2999999999999995E-2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6.0500000000000005E-2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1.3511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3.5651000000000002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2.8376000000000001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2.1943000000000001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5.9964000000000004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3.6823000000000001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1.9661999999999999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1.615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1.3788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1.5017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1.5983000000000001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2.0156999999999998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2.2633000000000001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2.4053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3.262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3.7614000000000001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3.9350000000000001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4.7306999999999997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3.1892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4.4941000000000004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5.2838000000000003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5.2546999999999997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6.1520999999999999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6.2039999999999997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175.22280000000001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173.554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174.9956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170.4616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165.70670000000001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164.91829999999999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163.2336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13.434100000000001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18.377099999999999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21.7165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17.762799999999999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13.9306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15.8422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16.4787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0.1623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0.32090000000000002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1.0188999999999999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1.3147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2.2347999999999999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1.32E-2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1.6299999999999999E-2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1.7899999999999999E-2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2.1100000000000001E-2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2.52E-2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2.7799999999999998E-2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3.2199999999999999E-2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1.61E-2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2.0799999999999999E-2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1.7899999999999999E-2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1.6500000000000001E-2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1.5599999999999999E-2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1.9900000000000001E-2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2.9100000000000001E-2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1E-4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8.9999999999999998E-4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2.8E-3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7.7999999999999996E-3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5.0000000000000001E-3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1.5E-3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4.8999999999999998E-3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1.12E-2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1.7600000000000001E-2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2.5399999999999999E-2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1.8894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2.8388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5.5000000000000005E-3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5.5000000000000005E-3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5.5000000000000005E-3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5.5000000000000005E-3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5.5000000000000005E-3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5.5000000000000005E-3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1.3511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3.5651000000000002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28.259699999999999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24.4223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35.164099999999998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1.9661999999999999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1.615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9.1289999999999996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9.7355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11.7827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2.0156999999999998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2.2633000000000001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5.9455999999999998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2.2160000000000002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5.7712000000000003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6.9189999999999996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8.0222999999999995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3.1892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4.4941000000000004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6.2022000000000004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6.0152000000000001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10.097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3.2585000000000002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3.4138999999999999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175.5436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174.88239999999999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157.9922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156.3331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155.5763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155.6808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151.89250000000001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13.7745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18.831900000000001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8.6494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8.2187000000000001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8.3461999999999996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12.1435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11.749700000000001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6.2799999999999995E-2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0.22059999999999999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0.44819999999999999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0.76239999999999997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1.1082000000000001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1.2937000000000001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10.542199999999999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9.4329999999999998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1.0271999999999999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0.74180000000000001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0.56269999999999998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0.36749999999999999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0.20949999999999999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0.1076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1.9300000000000001E-2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1.3100000000000001E-2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1.55E-2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2.1999999999999999E-2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3.0200000000000001E-2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4.0899999999999999E-2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5.1200000000000002E-2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6.2700000000000006E-2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7.2700000000000001E-2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8.1199999999999994E-2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8.8099999999999998E-2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9.1700000000000004E-2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9.0300000000000005E-2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9.0399999999999994E-2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8.8099999999999998E-2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8.7400000000000005E-2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8.4199999999999997E-2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8.0699999999999994E-2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1.7000000000000001E-2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2.0199999999999999E-2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2.1700000000000001E-2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2.4500000000000001E-2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2.52E-2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3.2000000000000001E-2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4.0300000000000002E-2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4.48E-2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5.4800000000000001E-2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6.7400000000000002E-2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7.9799999999999996E-2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0.10249999999999999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0.1234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0.1469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0.1691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0.18149999999999999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0.19350000000000001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4.0000000000000002E-4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1.4E-3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3.8999999999999998E-3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7.1999999999999998E-3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1.15E-2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1.7500000000000002E-2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2.3900000000000001E-2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2.8000000000000001E-2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3.2500000000000001E-2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3.5999999999999997E-2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3.9699999999999999E-2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4.3400000000000001E-2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4.7300000000000002E-2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5.0599999999999999E-2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5.3900000000000003E-2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1E-4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5.9999999999999995E-4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1.1999999999999999E-3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2.3E-3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4.1999999999999997E-3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8.2000000000000007E-3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1.7299999999999999E-2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2.9700000000000001E-2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4.3799999999999999E-2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4.5400000000000003E-2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4.41E-2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4.1700000000000001E-2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3.9E-2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3.7100000000000001E-2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3.49E-2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3.5200000000000002E-2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3.5200000000000002E-2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7.1000000000000004E-3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1E-4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1E-4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1E-4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0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65.189400000000006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61.921999999999997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82.555199999999999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79.682100000000005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87.122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93.372500000000002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99.019000000000005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111.72839999999999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175.65369999999999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208.1696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240.68549999999999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240.43770000000001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240.19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246.29499999999999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252.4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256.17939999999999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259.9588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185.23089999999999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210.1405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152.6874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152.3152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153.69239999999999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155.68860000000001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162.71520000000001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165.72389999999999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165.92570000000001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166.9271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165.71440000000001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168.3048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169.333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167.5445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165.62029999999999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163.3262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160.9015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23.836099999999998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64.900400000000005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7.9414999999999996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7.5510999999999999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7.9295999999999998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9.8742999999999999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15.8916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16.715399999999999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14.288600000000001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14.5322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12.6632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13.8675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13.5268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13.132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12.5943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11.428800000000001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10.1328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1.2500000000000001E-2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1.49E-2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2.2700000000000001E-2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3.0200000000000001E-2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3.95E-2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4.5600000000000002E-2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5.3199999999999997E-2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5.74E-2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6.1600000000000002E-2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6.5100000000000005E-2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6.83E-2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6.8599999999999994E-2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6.9500000000000006E-2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6.7000000000000004E-2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6.5299999999999997E-2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6.3399999999999998E-2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6.2399999999999997E-2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1.77E-2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2.0500000000000001E-2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1.9900000000000001E-2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1.84E-2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2.1499999999999998E-2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2.6800000000000001E-2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3.1600000000000003E-2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4.2000000000000003E-2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5.2699999999999997E-2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6.2300000000000001E-2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8.0500000000000002E-2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9.8199999999999996E-2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0.11650000000000001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0.1341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0.1439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0.1535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4.0000000000000002E-4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1.1999999999999999E-3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2.5000000000000001E-3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4.0000000000000001E-3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6.7999999999999996E-3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1.12E-2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1.6199999999999999E-2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1.9400000000000001E-2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2.24E-2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2.53E-2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2.86E-2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3.1600000000000003E-2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3.4500000000000003E-2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3.6799999999999999E-2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3.8699999999999998E-2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6.9999999999999999E-4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2.8999999999999998E-3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8.6999999999999994E-3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1.9400000000000001E-2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3.5000000000000003E-2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5.5599999999999997E-2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5.8099999999999999E-2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5.9499999999999997E-2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5.8099999999999999E-2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5.0099999999999999E-2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5.4800000000000001E-2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5.5500000000000001E-2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7.3800000000000004E-2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8.77E-2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0.1171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0.14169999999999999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7.1000000000000004E-3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2.9999999999999997E-4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2.9999999999999997E-4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5.9999999999999995E-4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1.2999999999999999E-3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2.2000000000000001E-3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4.5999999999999999E-3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7.7999999999999996E-3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1E-4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1E-4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2.9999999999999997E-4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4.0000000000000002E-4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5.0000000000000001E-4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6.9999999999999999E-4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8.0000000000000004E-4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5.9999999999999995E-4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5.0000000000000001E-4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2.9999999999999997E-4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4.0000000000000002E-4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5.9999999999999995E-4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6.9999999999999999E-4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8.9999999999999998E-4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1.1999999999999999E-3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0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65.189400000000006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71.6417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82.322000000000003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82.177400000000006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92.134299999999996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101.5192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107.2972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123.56440000000001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196.03030000000001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233.6643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271.29840000000002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277.58589999999998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283.87329999999997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285.35829999999999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286.8433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296.0446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305.24590000000001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179.82310000000001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218.9076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314.62520000000001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410.36320000000001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522.87440000000004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619.7518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619.75660000000005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541.37840000000006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456.21719999999999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385.661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323.63330000000002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298.6823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278.41930000000002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273.75819999999999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267.8032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257.096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248.24770000000001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18.4297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67.89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161.95509999999999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256.32990000000001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367.73390000000001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465.54899999999998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466.8295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388.87740000000002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302.54320000000001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230.53550000000001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167.09399999999999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140.90199999999999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119.40470000000001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115.08880000000001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109.4522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99.993899999999996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92.355000000000004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5.8599999999999999E-2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1.08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2.1162000000000001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2.0731000000000002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2.2896000000000001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1.8596999999999999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1.4932000000000001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1.1428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0.82769999999999999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0.48330000000000001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0.20050000000000001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1.2571000000000001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2.5000000000000001E-3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1.3100000000000001E-2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1.55E-2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2.3E-2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3.0300000000000001E-2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4.0599999999999997E-2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5.0799999999999998E-2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6.4199999999999993E-2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7.5600000000000001E-2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8.5900000000000004E-2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8.7400000000000005E-2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8.8700000000000001E-2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8.8300000000000003E-2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8.8900000000000007E-2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8.6999999999999994E-2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8.6099999999999996E-2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8.3500000000000005E-2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8.1000000000000003E-2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1.7000000000000001E-2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1.9699999999999999E-2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1.9300000000000001E-2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1.9E-2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2.1999999999999999E-2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3.09E-2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4.0899999999999999E-2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4.4900000000000002E-2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5.28E-2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6.5199999999999994E-2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7.6600000000000001E-2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9.8500000000000004E-2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0.1187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0.14180000000000001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0.16400000000000001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0.17710000000000001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0.18990000000000001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4.0000000000000002E-4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1.1999999999999999E-3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3.0999999999999999E-3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5.3E-3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8.6999999999999994E-3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1.4E-2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2.0400000000000001E-2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2.4299999999999999E-2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2.8199999999999999E-2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3.2000000000000001E-2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3.5799999999999998E-2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3.9600000000000003E-2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4.3499999999999997E-2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4.7100000000000003E-2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5.0500000000000003E-2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6.9999999999999999E-4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2.8E-3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8.2000000000000007E-3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3.8999999999999998E-3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8.3999999999999995E-3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1.8599999999999998E-2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3.39E-2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5.16E-2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4.9700000000000001E-2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4.7100000000000003E-2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4.2700000000000002E-2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3.9300000000000002E-2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3.7400000000000003E-2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3.4500000000000003E-2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3.4700000000000002E-2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3.4099999999999998E-2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7.0000000000000001E-3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2.9999999999999997E-4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1E-4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2.0000000000000001E-4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2.0000000000000001E-4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1E-4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0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0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65.189400000000006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71.6417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82.322000000000003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68.520799999999994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86.9435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95.804100000000005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100.61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115.91070000000001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174.76320000000001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209.32820000000001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243.8931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248.1831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252.47300000000001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256.3689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260.2647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267.13749999999999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274.0102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187.37700000000001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226.36359999999999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309.54079999999999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386.78370000000001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157.5317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154.5147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153.29519999999999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156.68510000000001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160.0386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161.48230000000001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162.65690000000001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164.25239999999999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166.48089999999999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165.78139999999999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165.3244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164.08029999999999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162.04060000000001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25.981100000000001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74.888499999999993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155.9478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241.84379999999999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11.5038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8.4640000000000004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6.1853999999999996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7.2142999999999997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7.7514000000000003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8.6387999999999998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9.27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9.6090999999999998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10.582000000000001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11.415100000000001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12.4856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12.426299999999999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11.563499999999999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1.35E-2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0.12520000000000001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0.22059999999999999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0.2379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0.17730000000000001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0.1091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8.5199999999999998E-2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6.6400000000000001E-2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5.4199999999999998E-2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4.0399999999999998E-2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2.1899999999999999E-2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0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1.3100000000000001E-2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1.55E-2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2.3E-2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2.92E-2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3.8600000000000002E-2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4.9000000000000002E-2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6.1600000000000002E-2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7.3499999999999996E-2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8.6099999999999996E-2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8.77E-2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8.7599999999999997E-2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8.5999999999999993E-2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8.5599999999999996E-2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8.3699999999999997E-2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8.2900000000000001E-2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8.0199999999999994E-2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7.7600000000000002E-2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1.7000000000000001E-2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1.9699999999999999E-2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1.9300000000000001E-2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2.06E-2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2.2499999999999999E-2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2.93E-2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3.7699999999999997E-2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4.2599999999999999E-2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5.0700000000000002E-2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6.3100000000000003E-2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7.4099999999999999E-2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9.5100000000000004E-2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0.1143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0.13689999999999999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0.15859999999999999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0.1716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0.18379999999999999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4.0000000000000002E-4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1.2999999999999999E-3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3.0000000000000001E-3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5.4000000000000003E-3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8.8000000000000005E-3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1.4500000000000001E-2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2.0799999999999999E-2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2.4400000000000002E-2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2.8000000000000001E-2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3.1399999999999997E-2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3.49E-2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3.85E-2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4.2299999999999997E-2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4.5499999999999999E-2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4.8300000000000003E-2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6.9999999999999999E-4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2.8E-3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2.3E-3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1.0200000000000001E-2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3.0800000000000001E-2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5.8700000000000002E-2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8.0500000000000002E-2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9.0800000000000006E-2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8.5800000000000001E-2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8.0600000000000005E-2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7.5399999999999995E-2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7.0800000000000002E-2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6.5799999999999997E-2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5.9499999999999997E-2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5.5E-2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5.0599999999999999E-2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7.0000000000000001E-3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2.9999999999999997E-4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2.0000000000000001E-4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5.9999999999999995E-4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8.0000000000000004E-4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6.9999999999999999E-4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6.9999999999999999E-4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6.9999999999999999E-4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5.0000000000000001E-4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4.0000000000000002E-4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2.9999999999999997E-4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1E-4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1E-4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2.0000000000000001E-4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1E-4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1E-4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2.0000000000000001E-4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2.0000000000000001E-4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0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65.189400000000006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71.6417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82.322000000000003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56.825000000000003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80.382400000000004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95.475800000000007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100.7205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112.4838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180.77109999999999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216.25239999999999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251.7337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256.35910000000001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260.98450000000003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264.11110000000002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267.23770000000002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277.30810000000002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287.37849999999997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184.65799999999999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224.7448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310.31110000000001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162.33269999999999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154.3074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156.0436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158.77809999999999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158.14320000000001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154.73320000000001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155.4913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156.31870000000001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157.2268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158.04910000000001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158.0009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157.5523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155.9091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153.92590000000001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23.262599999999999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73.269199999999998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156.71729999999999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18.4297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10.2516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12.2431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14.301500000000001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12.0854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7.2900999999999998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7.0811000000000002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6.9683000000000002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7.7285000000000004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8.3806999999999992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9.4019999999999992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9.9984000000000002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9.1746999999999996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7.9919000000000002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1.83E-2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0.28289999999999998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1.0223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2.3599000000000001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4.6130000000000004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7.3281999999999998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10.881399999999999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9.6701999999999995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8.1347000000000005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7.2126999999999999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6.3540000000000001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5.7531999999999996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5.2724000000000002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4.8718000000000004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4.5837000000000003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1.23E-2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1.04E-2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1.15E-2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1.38E-2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1.66E-2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1.6400000000000001E-2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1.8499999999999999E-2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2.1000000000000001E-2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2.47E-2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2.53E-2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2.4299999999999999E-2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2.3E-2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2.24E-2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2.3800000000000002E-2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2.52E-2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2.5399999999999999E-2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2.5600000000000001E-2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1.7000000000000001E-2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2.2100000000000002E-2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2.29E-2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2.6200000000000001E-2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2.5100000000000001E-2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3.49E-2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4.7199999999999999E-2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6.0499999999999998E-2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7.6700000000000004E-2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9.2399999999999996E-2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0.1067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0.12640000000000001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0.14369999999999999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0.16170000000000001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0.17799999999999999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0.188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0.1971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5.0000000000000001E-4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8.0000000000000004E-4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3.0000000000000001E-3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6.4000000000000003E-3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1.2E-2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2.1600000000000001E-2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3.6499999999999998E-2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4.36E-2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5.0599999999999999E-2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5.2200000000000003E-2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5.3699999999999998E-2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5.57E-2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5.8299999999999998E-2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5.9900000000000002E-2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6.1400000000000003E-2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1E-4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5.9999999999999995E-4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6.9999999999999999E-4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1.1999999999999999E-3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2.2000000000000001E-3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3.8E-3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5.7000000000000002E-3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8.3000000000000001E-3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1.43E-2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1.8700000000000001E-2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1.9900000000000001E-2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2.1999999999999999E-2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2.23E-2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2.1999999999999999E-2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2.1899999999999999E-2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2.5499999999999998E-2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2.8500000000000001E-2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6.7000000000000002E-3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2.0000000000000001E-4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1E-4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1E-4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1E-4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65.189400000000006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58.661700000000003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68.229900000000001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75.018900000000002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79.469300000000004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76.842299999999994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75.689099999999996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112.3095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177.87960000000001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207.03749999999999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236.19540000000001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256.12860000000001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276.06169999999997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288.7824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301.50299999999999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319.31810000000002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337.13319999999999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187.51249999999999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230.9323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170.39089999999999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152.0455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153.4837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152.3665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150.9195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147.62090000000001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143.70830000000001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144.12559999999999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144.59350000000001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145.2799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146.15780000000001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146.69710000000001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147.4879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147.7004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147.3622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26.1374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85.734200000000001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25.0868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5.2401999999999997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4.0330000000000004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2.4401999999999999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0.60460000000000003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-0.91349999999999998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-3.4131999999999998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-2.5537000000000001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-1.5226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-1.7958000000000001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-1.8573999999999999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-0.88460000000000005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0.34100000000000003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1.2934000000000001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1.7183999999999999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1.6500000000000001E-2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7.9899999999999999E-2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0.16969999999999999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0.15379999999999999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0.2198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0.94879999999999998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0.8669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0.70199999999999996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0.51349999999999996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0.36969999999999997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0.2087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4.7300000000000002E-2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1.9300000000000001E-2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1.3299999999999999E-2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1.5900000000000001E-2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2.24E-2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3.1199999999999999E-2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4.2099999999999999E-2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5.2900000000000003E-2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6.2199999999999998E-2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7.0199999999999999E-2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7.4099999999999999E-2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7.7399999999999997E-2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7.9699999999999993E-2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7.9000000000000001E-2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7.9100000000000004E-2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7.7299999999999994E-2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7.6300000000000007E-2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7.3899999999999993E-2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7.1199999999999999E-2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1.6799999999999999E-2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1.9900000000000001E-2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2.1000000000000001E-2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2.3300000000000001E-2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2.5100000000000001E-2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3.2099999999999997E-2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3.8699999999999998E-2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4.3400000000000001E-2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4.8599999999999997E-2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5.9200000000000003E-2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7.0400000000000004E-2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9.06E-2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0.1094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0.12939999999999999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0.1484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0.1598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0.17150000000000001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4.0000000000000002E-4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1.4E-3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3.3E-3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5.4999999999999997E-3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8.5000000000000006E-3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1.3599999999999999E-2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1.8499999999999999E-2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2.1399999999999999E-2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2.5000000000000001E-2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2.8299999999999999E-2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3.1699999999999999E-2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3.49E-2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3.7999999999999999E-2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4.0399999999999998E-2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4.2999999999999997E-2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5.9999999999999995E-4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1.4E-3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2.2000000000000001E-3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4.3E-3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1.01E-2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4.19E-2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7.4999999999999997E-2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5.7599999999999998E-2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5.6000000000000001E-2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5.3699999999999998E-2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5.0999999999999997E-2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4.8899999999999999E-2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5.11E-2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5.3100000000000001E-2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5.3999999999999999E-2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5.5100000000000003E-2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7.1000000000000004E-3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1E-4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5.0000000000000001E-4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8.9999999999999998E-4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2.5000000000000001E-3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4.4000000000000003E-3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1E-4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1E-4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1E-4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1E-4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2.0000000000000001E-4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2.9999999999999997E-4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2.9999999999999997E-4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4.0000000000000002E-4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4.0000000000000002E-4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2.9999999999999997E-4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2.9999999999999997E-4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2.0000000000000001E-4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1E-4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0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65.189400000000006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67.219700000000003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81.729200000000006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81.053100000000001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91.525800000000004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100.8032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105.5977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122.996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186.6404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221.33600000000001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256.03149999999999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258.7167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261.40190000000001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261.93950000000001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262.47710000000001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273.22559999999999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283.9742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185.17009999999999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214.815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199.4316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179.27549999999999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161.99209999999999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165.64240000000001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216.03020000000001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218.52930000000001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181.78569999999999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182.87049999999999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183.2484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182.38509999999999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181.73820000000001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180.80359999999999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179.68530000000001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176.453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174.0772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23.773399999999999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69.313699999999997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52.578800000000001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30.2822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10.978999999999999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15.277699999999999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65.797300000000007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66.323400000000007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26.9057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26.2241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24.8889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23.600899999999999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22.523299999999999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22.659700000000001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22.591899999999999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20.352399999999999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18.9816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3.0499999999999999E-2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0.626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2.7054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6.9082999999999997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14.0783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20.159600000000001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21.542400000000001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19.755600000000001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18.028400000000001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15.5373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13.571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11.670400000000001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8.2973999999999997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3.3874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1.6537999999999999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1.2999999999999999E-2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1.55E-2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2.18E-2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2.9100000000000001E-2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3.9199999999999999E-2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5.0099999999999999E-2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6.4500000000000002E-2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7.9399999999999998E-2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9.2200000000000004E-2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9.7500000000000003E-2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0.1019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0.10349999999999999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0.1052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0.1032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0.1022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9.8199999999999996E-2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9.4500000000000001E-2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1.72E-2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2.0199999999999999E-2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2.1100000000000001E-2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2.3800000000000002E-2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2.3800000000000002E-2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3.2800000000000003E-2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4.4200000000000003E-2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5.0900000000000001E-2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6.1899999999999997E-2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7.6899999999999996E-2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9.11E-2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0.1172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0.1401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0.1653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0.18859999999999999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0.20169999999999999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0.2142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4.0000000000000002E-4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1.4E-3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4.1000000000000003E-3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7.9000000000000008E-3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1.41E-2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2.1499999999999998E-2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2.9700000000000001E-2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3.5000000000000003E-2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3.9699999999999999E-2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4.3999999999999997E-2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4.82E-2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5.21E-2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5.6099999999999997E-2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5.9400000000000001E-2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6.2300000000000001E-2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1E-4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5.0000000000000001E-4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1.1999999999999999E-3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3.3E-3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9.2999999999999992E-3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2.3599999999999999E-2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5.1299999999999998E-2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8.5599999999999996E-2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0.1232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0.12280000000000001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0.1195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0.10879999999999999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0.1008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9.2700000000000005E-2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7.1999999999999995E-2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3.2800000000000003E-2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1.7500000000000002E-2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6.8999999999999999E-3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0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65.189400000000006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58.546300000000002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78.862399999999994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82.082499999999996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90.008200000000002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89.726200000000006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98.991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118.2259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183.56209999999999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230.09540000000001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276.62880000000001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295.81920000000002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315.00959999999998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360.05939999999998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405.10919999999999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322.42540000000002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239.74160000000001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175.97409999999999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182.61089999999999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153.50620000000001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151.9213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151.5275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147.38740000000001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140.5154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134.11359999999999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131.2441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132.06639999999999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132.82480000000001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135.85720000000001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138.40889999999999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139.52269999999999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142.19390000000001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146.1704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146.61340000000001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14.572800000000001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36.434899999999999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6.9074999999999998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4.3578999999999999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1.9323999999999999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-2.7136999999999998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-10.7445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-16.460999999999999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-18.557200000000002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-17.207000000000001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-15.882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-13.5608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-11.7067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-9.9397000000000002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-6.6220999999999997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-1.589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-9.8199999999999996E-2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1.47E-2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0.12659999999999999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0.46600000000000003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0.74450000000000005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0.94869999999999999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6.9112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7.008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0.81559999999999999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5.9356999999999998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0.4703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0.30649999999999999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0.1762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9.0399999999999994E-2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1.3100000000000001E-2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1.32E-2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1.5599999999999999E-2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2.1899999999999999E-2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3.0599999999999999E-2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4.1300000000000003E-2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5.2200000000000003E-2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6.4100000000000004E-2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7.3999999999999996E-2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8.1799999999999998E-2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8.7499999999999994E-2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9.0899999999999995E-2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8.9700000000000002E-2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9.0300000000000005E-2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8.8499999999999995E-2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8.7900000000000006E-2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8.5099999999999995E-2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8.2199999999999995E-2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1.7000000000000001E-2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2.01E-2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2.1600000000000001E-2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2.4E-2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2.5000000000000001E-2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3.1800000000000002E-2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4.07E-2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4.6800000000000001E-2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5.5300000000000002E-2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6.8099999999999994E-2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8.1199999999999994E-2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0.1043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0.12520000000000001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0.14899999999999999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0.1719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0.185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0.1981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4.0000000000000002E-4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1.2999999999999999E-3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3.8999999999999998E-3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7.4000000000000003E-3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1.1900000000000001E-2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1.7899999999999999E-2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2.5000000000000001E-2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2.87E-2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3.32E-2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3.6799999999999999E-2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4.1000000000000002E-2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4.5100000000000001E-2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4.9299999999999997E-2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5.2699999999999997E-2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5.6000000000000001E-2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1E-4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5.9999999999999995E-4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1.4E-3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2.2000000000000001E-3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3.7000000000000002E-3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7.9000000000000008E-3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1.72E-2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3.1199999999999999E-2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5.0099999999999999E-2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5.04E-2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4.7899999999999998E-2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4.1599999999999998E-2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3.9300000000000002E-2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3.6799999999999999E-2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3.7199999999999997E-2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3.73E-2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7.1000000000000004E-3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1E-4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1E-4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1E-4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0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65.189400000000006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61.805500000000002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81.849900000000005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80.075100000000006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88.605800000000002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93.779899999999998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100.3021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115.6756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174.43260000000001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209.61189999999999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244.79130000000001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245.42269999999999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246.05410000000001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256.73770000000002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267.42140000000001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266.28449999999998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265.14749999999998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187.4872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215.13630000000001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202.61009999999999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153.75880000000001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156.12100000000001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157.8151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163.959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167.35890000000001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167.02670000000001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168.22640000000001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167.1191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169.6738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169.81460000000001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167.26920000000001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164.61019999999999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162.3467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160.0573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26.0899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69.956999999999994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57.881599999999999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8.8164999999999996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10.0207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11.7135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16.842500000000001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17.944900000000001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15.1533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15.5937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13.822100000000001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15.026199999999999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13.8207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12.6876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11.434100000000001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10.3111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9.1603999999999992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1.3100000000000001E-2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1.55E-2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2.3E-2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3.0700000000000002E-2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3.9600000000000003E-2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4.5900000000000003E-2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5.3800000000000001E-2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5.8299999999999998E-2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6.2100000000000002E-2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6.5699999999999995E-2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7.0000000000000007E-2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7.1199999999999999E-2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7.2900000000000006E-2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7.1499999999999994E-2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7.1300000000000002E-2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7.0199999999999999E-2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6.9500000000000006E-2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1.7000000000000001E-2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1.9699999999999999E-2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1.9699999999999999E-2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1.95E-2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1.8700000000000001E-2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2.2100000000000002E-2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2.7699999999999999E-2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3.3099999999999997E-2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4.3700000000000003E-2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5.4899999999999997E-2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6.5600000000000006E-2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8.5500000000000007E-2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0.10440000000000001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0.12529999999999999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0.14549999999999999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0.1583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0.1704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4.0000000000000002E-4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1.1999999999999999E-3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2.5000000000000001E-3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4.1000000000000003E-3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6.7000000000000002E-3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1.0800000000000001E-2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1.54E-2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1.8700000000000001E-2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2.23E-2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2.5700000000000001E-2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2.9399999999999999E-2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3.2899999999999999E-2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3.6600000000000001E-2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3.9600000000000003E-2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4.2000000000000003E-2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6.9999999999999999E-4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2.8999999999999998E-3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8.8000000000000005E-3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1.9800000000000002E-2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3.6999999999999998E-2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5.9700000000000003E-2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6.0900000000000003E-2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4.7800000000000002E-2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4.36E-2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3.6400000000000002E-2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4.1300000000000003E-2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4.3900000000000002E-2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5.8999999999999997E-2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7.0300000000000001E-2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9.69E-2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0.1193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7.1000000000000004E-3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2.9999999999999997E-4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2.9999999999999997E-4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1.4E-3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3.2000000000000002E-3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5.4999999999999997E-3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1.3299999999999999E-2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2.9000000000000001E-2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1E-4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1E-4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2.9999999999999997E-4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4.0000000000000002E-4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5.9999999999999995E-4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6.9999999999999999E-4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8.9999999999999998E-4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5.9999999999999995E-4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5.0000000000000001E-4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2.9999999999999997E-4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4.0000000000000002E-4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5.9999999999999995E-4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8.0000000000000004E-4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1.1000000000000001E-3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1.1999999999999999E-3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0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65.189400000000006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74.065200000000004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82.773700000000005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82.451099999999997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92.590400000000002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102.31780000000001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108.9093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125.37090000000001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199.30539999999999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238.87440000000001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278.4434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284.3673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290.2912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292.40010000000001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294.50900000000001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304.34530000000001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314.18169999999998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183.1653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222.11969999999999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313.30070000000001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416.0831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531.61779999999999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643.71839999999997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652.56709999999998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568.78620000000001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434.22910000000002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367.09660000000002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310.54849999999999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293.89940000000001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280.04750000000001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271.9812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263.68920000000003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250.03749999999999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240.55690000000001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21.769200000000001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71.170299999999997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160.74610000000001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261.9248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375.53980000000001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487.43520000000001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496.47269999999997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412.01769999999999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275.56540000000001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207.3168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149.69470000000001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132.98320000000001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119.0746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112.6944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106.0616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94.4298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86.933499999999995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1.18E-2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0.77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1.6411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1.6539999999999999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1.5813999999999999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1.3007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1.0691999999999999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0.81640000000000001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0.60370000000000001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3.0356999999999998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1.5084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0.67569999999999997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1.3100000000000001E-2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1.55E-2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2.3E-2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3.0200000000000001E-2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3.9399999999999998E-2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5.1799999999999999E-2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6.5500000000000003E-2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7.7200000000000005E-2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8.5000000000000006E-2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8.5900000000000004E-2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8.77E-2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8.7599999999999997E-2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8.8700000000000001E-2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8.7599999999999997E-2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8.7400000000000005E-2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8.4900000000000003E-2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8.2699999999999996E-2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1.7000000000000001E-2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1.9699999999999999E-2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1.9400000000000001E-2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1.9199999999999998E-2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1.9699999999999999E-2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3.1E-2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4.1300000000000003E-2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4.7E-2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5.3100000000000001E-2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6.59E-2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7.8299999999999995E-2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0.1007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0.121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0.1447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0.1676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0.18140000000000001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0.1948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4.0000000000000002E-4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1.2999999999999999E-3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3.3E-3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5.8999999999999999E-3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9.4999999999999998E-3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1.4800000000000001E-2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2.0500000000000001E-2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2.4299999999999999E-2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2.8000000000000001E-2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3.1600000000000003E-2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3.5499999999999997E-2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3.9600000000000003E-2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4.3999999999999997E-2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4.7800000000000002E-2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5.1400000000000001E-2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6.9999999999999999E-4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2.8E-3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8.0999999999999996E-3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3.8E-3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7.9000000000000008E-3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1.7999999999999999E-2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3.4700000000000002E-2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5.4399999999999997E-2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5.2299999999999999E-2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4.9700000000000001E-2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4.5400000000000003E-2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4.3299999999999998E-2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4.0800000000000003E-2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4.2299999999999997E-2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4.2599999999999999E-2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7.0000000000000001E-3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2.9999999999999997E-4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1E-4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2.0000000000000001E-4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2.0000000000000001E-4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1E-4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0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0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65.189400000000006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74.065200000000004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82.773700000000005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69.908299999999997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86.270899999999997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98.604600000000005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101.2509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117.4888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175.4058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209.86969999999999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244.33359999999999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251.79859999999999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259.26369999999997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263.34690000000001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267.43009999999998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266.91579999999999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266.40140000000002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181.7328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218.93430000000001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306.75700000000001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390.79160000000002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180.8733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156.6541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154.72980000000001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157.92959999999999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160.86709999999999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162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162.95269999999999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165.8965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168.98140000000001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168.5087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167.8639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167.7628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167.33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20.337299999999999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67.532899999999998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153.2842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245.67339999999999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34.719900000000003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10.3201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7.3075000000000001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8.1039999999999992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8.4877000000000002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9.0625999999999998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9.4567999999999994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11.1639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13.003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14.0411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14.8986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15.9291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16.616700000000002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3.8999999999999998E-3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3.5000000000000001E-3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5.0000000000000001E-3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6.4999999999999997E-3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7.1000000000000004E-3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6.4999999999999997E-3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5.1999999999999998E-3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4.0000000000000001E-3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2.3E-3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8.9999999999999998E-4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4.0000000000000002E-4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1.3100000000000001E-2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1.55E-2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2.3E-2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2.9600000000000001E-2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3.9600000000000003E-2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4.8500000000000001E-2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5.7500000000000002E-2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6.5500000000000003E-2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7.0400000000000004E-2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7.46E-2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7.9100000000000004E-2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7.8899999999999998E-2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7.9500000000000001E-2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7.8200000000000006E-2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7.8E-2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7.6100000000000001E-2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7.4899999999999994E-2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1.7000000000000001E-2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1.9699999999999999E-2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1.9599999999999999E-2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2.0199999999999999E-2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2.0299999999999999E-2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2.69E-2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3.3300000000000003E-2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3.95E-2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4.7E-2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5.8200000000000002E-2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6.9099999999999995E-2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8.9700000000000002E-2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0.1091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0.13150000000000001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0.15329999999999999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0.1678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0.18179999999999999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4.0000000000000002E-4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1.1999999999999999E-3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3.0999999999999999E-3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5.3E-3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8.3999999999999995E-3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1.32E-2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1.8100000000000002E-2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2.1100000000000001E-2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2.4500000000000001E-2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2.8000000000000001E-2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3.1899999999999998E-2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3.56E-2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3.9399999999999998E-2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4.2799999999999998E-2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4.58E-2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6.9999999999999999E-4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2.8E-3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1.9E-3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3.8999999999999998E-3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1.1900000000000001E-2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3.6200000000000003E-2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7.7899999999999997E-2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0.14580000000000001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0.16819999999999999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0.17780000000000001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0.1613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0.14649999999999999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0.12809999999999999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0.113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9.5500000000000002E-2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8.3199999999999996E-2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7.1000000000000004E-3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2.9999999999999997E-4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2.9999999999999997E-4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1.1999999999999999E-3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3.8E-3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5.3E-3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7.4000000000000003E-3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6.7999999999999996E-3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6.4000000000000003E-3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6.7999999999999996E-3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7.3000000000000001E-3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1.1299999999999999E-2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1.54E-2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1E-4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2.0000000000000001E-4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2.9999999999999997E-4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2.9999999999999997E-4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2.0000000000000001E-4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2.9999999999999997E-4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2.9999999999999997E-4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5.0000000000000001E-4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5.9999999999999995E-4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8.0000000000000004E-4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8.9999999999999998E-4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8.9999999999999998E-4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6.9999999999999999E-4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5.9999999999999995E-4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0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65.189400000000006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74.065200000000004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82.773700000000005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71.927199999999999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88.190899999999999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99.721400000000003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105.0223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121.3364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178.816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216.09190000000001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253.36789999999999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256.07470000000001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258.78140000000002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258.1191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257.45690000000002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268.91489999999999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280.37290000000002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185.23990000000001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223.60409999999999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309.3972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162.822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162.875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169.4949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180.69239999999999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188.22370000000001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192.9383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194.69669999999999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194.32550000000001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190.4365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187.20920000000001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182.87649999999999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179.066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174.95760000000001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171.79830000000001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23.8447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72.200500000000005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155.92500000000001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19.071200000000001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18.773299999999999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25.2379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35.438299999999998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41.444800000000001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45.067300000000003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45.2226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43.283799999999999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38.636099999999999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34.634900000000002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30.935300000000002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27.7454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24.293500000000002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21.766999999999999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5.7999999999999996E-3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0.26290000000000002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1.0305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2.6581000000000001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5.4523000000000001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8.7644000000000002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11.9612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10.268700000000001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8.8094999999999999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6.9227999999999996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5.4840999999999998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4.7648000000000001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3.5707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3.4904000000000002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3.5510999999999999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1.2200000000000001E-2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1.04E-2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1.1599999999999999E-2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1.3899999999999999E-2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1.6899999999999998E-2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1.7000000000000001E-2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2.0199999999999999E-2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2.2800000000000001E-2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2.6499999999999999E-2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2.6599999999999999E-2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2.5499999999999998E-2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2.4E-2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2.3099999999999999E-2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2.4799999999999999E-2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2.63E-2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2.76E-2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2.87E-2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1.7100000000000001E-2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2.2200000000000001E-2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2.3599999999999999E-2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2.6700000000000002E-2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2.5999999999999999E-2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3.6200000000000003E-2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5.0099999999999999E-2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6.2799999999999995E-2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7.8E-2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9.4600000000000004E-2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0.10920000000000001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0.12889999999999999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0.1457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0.16600000000000001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0.18410000000000001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0.19589999999999999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0.2069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1E-4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5.0000000000000001E-4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8.9999999999999998E-4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3.0000000000000001E-3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6.4999999999999997E-3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1.2500000000000001E-2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2.5100000000000001E-2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4.0899999999999999E-2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4.8099999999999997E-2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5.5100000000000003E-2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5.6300000000000003E-2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5.79E-2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5.8500000000000003E-2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6.0199999999999997E-2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6.2100000000000002E-2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6.3799999999999996E-2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1E-4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5.9999999999999995E-4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6.9999999999999999E-4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1.2999999999999999E-3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2.5999999999999999E-3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5.1999999999999998E-3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1.0500000000000001E-2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1.9199999999999998E-2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3.7600000000000001E-2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4.3999999999999997E-2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4.5600000000000002E-2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4.36E-2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4.0300000000000002E-2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3.5400000000000001E-2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2.8400000000000002E-2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2.6800000000000001E-2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2.5899999999999999E-2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6.7000000000000002E-3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2.0000000000000001E-4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1E-4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1E-4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2.0000000000000001E-4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65.189400000000006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58.235999999999997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67.398499999999999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74.374300000000005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81.156899999999993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81.905299999999997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78.530100000000004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113.97969999999999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182.10910000000001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220.8005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259.49180000000001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285.50459999999998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311.51729999999998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324.2688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337.02030000000002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361.34699999999998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385.6737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186.51050000000001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232.55189999999999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180.9623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152.35050000000001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153.8767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152.1437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149.45179999999999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145.26390000000001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141.28370000000001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141.74959999999999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141.8665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143.84209999999999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145.4975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145.8997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147.46039999999999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146.3246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144.91079999999999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25.145099999999999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87.467100000000002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35.748899999999999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5.4874999999999998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4.2304000000000004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2.1659999999999999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-0.65459999999999996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-3.0326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-5.8726000000000003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-5.0911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-4.4916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-3.5087999999999999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-2.8355000000000001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-2.0411999999999999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-8.5800000000000001E-2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-0.37409999999999999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-0.92959999999999998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1.24E-2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6.1899999999999997E-2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0.16089999999999999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0.1535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0.21859999999999999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1.2372000000000001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0.87219999999999998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0.68289999999999995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0.51319999999999999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0.3669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0.22409999999999999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5.5899999999999998E-2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2.4E-2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1.3100000000000001E-2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1.5599999999999999E-2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2.2200000000000001E-2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3.1099999999999999E-2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4.2500000000000003E-2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5.3499999999999999E-2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6.0699999999999997E-2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6.7699999999999996E-2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7.1599999999999997E-2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7.5999999999999998E-2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7.9200000000000007E-2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7.8700000000000006E-2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7.9600000000000004E-2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7.8399999999999997E-2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7.8200000000000006E-2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7.6899999999999996E-2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7.51E-2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1.7000000000000001E-2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2.01E-2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2.1499999999999998E-2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2.35E-2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2.5000000000000001E-2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3.2199999999999999E-2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3.7400000000000003E-2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4.24E-2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4.87E-2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6.0299999999999999E-2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7.1999999999999995E-2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9.3100000000000002E-2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0.1125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0.13400000000000001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0.15490000000000001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0.16839999999999999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0.182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4.0000000000000002E-4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1.4E-3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3.3E-3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5.7000000000000002E-3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8.5000000000000006E-3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1.2999999999999999E-2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1.7399999999999999E-2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2.0500000000000001E-2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2.4299999999999999E-2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2.7799999999999998E-2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3.15E-2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3.5200000000000002E-2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3.8899999999999997E-2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4.2099999999999999E-2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4.53E-2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5.9999999999999995E-4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1.4E-3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2.3999999999999998E-3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4.1999999999999997E-3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5.4399999999999997E-2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7.9399999999999998E-2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6.0600000000000001E-2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5.9200000000000003E-2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5.6800000000000003E-2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5.3800000000000001E-2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5.1400000000000001E-2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5.6599999999999998E-2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6.0900000000000003E-2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6.3700000000000007E-2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6.6900000000000001E-2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7.1000000000000004E-3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2.0000000000000001E-4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4.0000000000000002E-4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5.9999999999999995E-4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1.4E-3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2.3E-3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5.1000000000000004E-3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8.6E-3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1E-4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1E-4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1E-4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1E-4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2.9999999999999997E-4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2.9999999999999997E-4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4.0000000000000002E-4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4.0000000000000002E-4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4.0000000000000002E-4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2.9999999999999997E-4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2.0000000000000001E-4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1E-4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1E-4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0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65.189400000000006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68.104100000000003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82.145399999999995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81.378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92.015000000000001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101.7471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106.9303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124.5981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189.88890000000001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225.32239999999999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260.7559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263.41919999999999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266.08249999999998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266.92989999999998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267.77730000000003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278.5813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289.38529999999997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182.1865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213.5993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199.12690000000001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188.80670000000001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160.8903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164.7362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235.31530000000001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222.26689999999999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180.46010000000001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180.97980000000001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180.80680000000001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180.13849999999999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179.72900000000001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180.87610000000001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181.25559999999999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178.77680000000001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177.083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20.790600000000001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67.566699999999997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51.815600000000003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40.185499999999998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11.08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15.742599999999999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86.407700000000006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71.804400000000001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28.274000000000001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27.212599999999998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25.515799999999999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23.9481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22.626000000000001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24.1265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24.840900000000001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23.006499999999999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21.965599999999998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3.1399999999999997E-2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0.57440000000000002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2.5790999999999999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6.9291999999999998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14.489800000000001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20.503699999999998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20.351700000000001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18.509499999999999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16.782399999999999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14.392799999999999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12.270200000000001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10.3047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6.7229999999999999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2.9506999999999999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1.7212000000000001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1.26E-2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1.46E-2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1.9900000000000001E-2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2.58E-2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3.4500000000000003E-2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4.36E-2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5.6300000000000003E-2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6.9099999999999995E-2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7.7899999999999997E-2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8.2199999999999995E-2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8.6800000000000002E-2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8.9300000000000004E-2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9.1499999999999998E-2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9.0499999999999997E-2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9.01E-2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8.6999999999999994E-2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8.4500000000000006E-2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1.6500000000000001E-2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1.9199999999999998E-2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2.18E-2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2.1100000000000001E-2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2.8799999999999999E-2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3.8600000000000002E-2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4.5699999999999998E-2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5.5500000000000001E-2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7.0400000000000004E-2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8.2799999999999999E-2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0.1053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0.12540000000000001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0.14799999999999999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0.16850000000000001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0.18029999999999999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0.19209999999999999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4.0000000000000002E-4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1.2999999999999999E-3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3.5999999999999999E-3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6.7999999999999996E-3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1.2500000000000001E-2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1.9E-2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2.6800000000000001E-2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3.1600000000000003E-2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3.6299999999999999E-2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4.07E-2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4.48E-2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4.8800000000000003E-2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5.2699999999999997E-2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5.5599999999999997E-2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5.8599999999999999E-2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1E-4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5.0000000000000001E-4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1.1999999999999999E-3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3.2000000000000002E-3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9.5999999999999992E-3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2.5100000000000001E-2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5.57E-2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9.0700000000000003E-2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0.1237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0.11990000000000001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0.1143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0.1022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9.1200000000000003E-2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8.1100000000000005E-2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5.7000000000000002E-2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2.63E-2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1.54E-2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7.0000000000000001E-3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1E-4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0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65.189400000000006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56.783900000000003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80.387799999999999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81.8172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88.5929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90.100499999999997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104.5163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114.9233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184.2465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232.39099999999999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280.53550000000001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297.02780000000001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313.52019999999999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359.75920000000002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405.9982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317.98239999999998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229.9667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183.22300000000001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208.29580000000001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154.6575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152.88929999999999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151.7894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147.0737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139.4982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133.05099999999999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131.76079999999999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132.64500000000001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133.4238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136.07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138.5179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139.77940000000001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142.86000000000001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145.64570000000001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145.67259999999999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21.840299999999999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61.112099999999998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7.1406999999999998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4.8080999999999996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2.0859000000000001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-2.9331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-11.6144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-17.3917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-17.8535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-16.376100000000001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-14.975300000000001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-12.970800000000001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-11.151999999999999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-9.2395999999999994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-5.5133000000000001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-1.7185999999999999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-0.69369999999999998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1.6400000000000001E-2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1.26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5.7183999999999999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8.8125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1.3100000000000001E-2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1.55E-2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2.1899999999999999E-2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3.0099999999999998E-2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4.1300000000000003E-2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5.2200000000000003E-2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6.5199999999999994E-2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1.7100000000000001E-2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2.01E-2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2.1000000000000001E-2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2.1999999999999999E-2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2.3699999999999999E-2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3.1399999999999997E-2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4.1200000000000001E-2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2.9999999999999997E-4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1.1999999999999999E-3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3.8999999999999998E-3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7.4000000000000003E-3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1.21E-2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1E-4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6.9999999999999999E-4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2E-3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3.5999999999999999E-3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3.8999999999999998E-3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8.3999999999999995E-3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1.7600000000000001E-2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7.1000000000000004E-3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2.0000000000000001E-4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1E-4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1E-4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0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65.189400000000006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77.500299999999996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82.902199999999993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78.710599999999999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88.645499999999998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95.361699999999999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99.554900000000004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187.89789999999999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220.75829999999999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247.6277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238.40010000000001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173.4177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160.94970000000001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162.97229999999999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26.502300000000002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74.837699999999998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102.193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92.980800000000002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27.1129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14.5421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15.7835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1.35E-2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1.6400000000000001E-2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2.29E-2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3.2199999999999999E-2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4.3900000000000002E-2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5.1499999999999997E-2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5.9499999999999997E-2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1.77E-2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2.06E-2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2.1100000000000001E-2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2.1899999999999999E-2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1.9699999999999999E-2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2.3800000000000002E-2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3.0200000000000001E-2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2.9999999999999997E-4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1E-3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2.5000000000000001E-3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4.3E-3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7.1999999999999998E-3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6.9999999999999999E-4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3.0999999999999999E-3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9.1000000000000004E-3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2.0299999999999999E-2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3.8899999999999997E-2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6.4199999999999993E-2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7.4999999999999997E-3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2.9999999999999997E-4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1E-4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1E-4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2.9999999999999997E-4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4.0000000000000002E-4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5.9999999999999995E-4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6.9999999999999999E-4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0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65.189400000000006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72.377499999999998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82.771500000000003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82.830299999999994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92.866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102.78789999999999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109.7967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182.3982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225.98779999999999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324.00310000000002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426.50599999999997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544.52340000000004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672.81629999999996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688.48479999999995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20.988099999999999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74.408600000000007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171.91030000000001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273.09059999999999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388.31439999999998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515.83659999999998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532.76379999999995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1.09E-2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5.45E-2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0.6885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1.6697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1.38E-2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1.6899999999999998E-2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2.3800000000000002E-2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3.1E-2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0.04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5.3600000000000002E-2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6.8199999999999997E-2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1.7999999999999999E-2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2.12E-2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2.1999999999999999E-2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1.9800000000000002E-2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1.9699999999999999E-2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3.1300000000000001E-2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4.1599999999999998E-2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2.9999999999999997E-4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1.4E-3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3.7000000000000002E-3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6.7000000000000002E-3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1.09E-2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6.9999999999999999E-4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3.0999999999999999E-3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8.3999999999999995E-3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3.8E-3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8.3000000000000001E-3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1.95E-2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7.4999999999999997E-3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2.9999999999999997E-4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1E-4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2.0000000000000001E-4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2.0000000000000001E-4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0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65.189400000000006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72.377499999999998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82.771500000000003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72.098399999999998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88.740700000000004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98.1875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100.71259999999999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186.51589999999999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231.8982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327.97640000000001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401.41649999999998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166.47219999999999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155.28120000000001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153.75380000000001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25.101400000000002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79.852999999999994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174.95189999999999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255.88939999999999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20.0685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8.8755000000000006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6.4226999999999999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1.34E-2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1.6E-2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2.3800000000000002E-2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3.2099999999999997E-2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4.2099999999999999E-2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4.9500000000000002E-2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5.7599999999999998E-2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1.7399999999999999E-2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2.0400000000000001E-2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2.06E-2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2.06E-2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0.02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2.41E-2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0.03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4.0000000000000002E-4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1.2999999999999999E-3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2.7000000000000001E-3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4.4999999999999997E-3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7.4000000000000003E-3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6.9999999999999999E-4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3.0999999999999999E-3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8.0999999999999996E-3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1.67E-2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3.0099999999999998E-2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5.0299999999999997E-2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7.1999999999999998E-3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2.9999999999999997E-4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1E-4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2.0000000000000001E-4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2.9999999999999997E-4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5.0000000000000001E-4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5.9999999999999995E-4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0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65.189400000000006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72.377499999999998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82.771500000000003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81.690399999999997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91.021900000000002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99.722300000000004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106.0673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183.3706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228.07069999999999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325.3426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406.03300000000002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525.79790000000003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661.57830000000001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654.89229999999998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21.974299999999999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76.053700000000006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172.32409999999999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254.64590000000001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373.77949999999998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511.53539999999998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505.67809999999997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0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0.18940000000000001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0.96760000000000002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2.6619000000000002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5.5389999999999997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1.1900000000000001E-2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9.9000000000000008E-3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1.0999999999999999E-2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1.3599999999999999E-2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1.5900000000000001E-2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1.54E-2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1.7999999999999999E-2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1.6500000000000001E-2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2.1000000000000001E-2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2.18E-2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2.47E-2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2.3699999999999999E-2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3.2099999999999997E-2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4.53E-2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1E-4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5.0000000000000001E-4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8.9999999999999998E-4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2.8E-3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6.0000000000000001E-3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1.1299999999999999E-2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1E-4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6.9999999999999999E-4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6.9999999999999999E-4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1.2999999999999999E-3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2.5999999999999999E-3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5.3E-3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2.9999999999999997E-4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1E-4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2.0000000000000001E-4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2.0000000000000001E-4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2.0000000000000001E-4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0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65.189400000000006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58.802100000000003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68.122600000000006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74.635099999999994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83.389700000000005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82.111599999999996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73.984399999999994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186.3766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234.495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189.76589999999999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152.69929999999999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153.61320000000001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151.7688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148.9983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25.007899999999999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89.203199999999995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44.600299999999997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5.9809999999999999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4.3169000000000004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2.0644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-0.99070000000000003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8.0000000000000002E-3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5.21E-2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0.15720000000000001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0.1525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1.3100000000000001E-2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1.5599999999999999E-2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2.23E-2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3.1199999999999999E-2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4.2700000000000002E-2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5.3900000000000003E-2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5.9799999999999999E-2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1.7000000000000001E-2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2.01E-2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2.1399999999999999E-2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2.35E-2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2.5100000000000001E-2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3.2300000000000002E-2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3.6600000000000001E-2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4.0000000000000002E-4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1.4E-3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3.5000000000000001E-3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5.8999999999999999E-3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8.6E-3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5.9999999999999995E-4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1.4E-3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2.3999999999999998E-3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4.1000000000000003E-3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7.0300000000000001E-2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7.1000000000000004E-3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2.0000000000000001E-4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1E-4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1E-4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1E-4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1E-4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0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65.189400000000006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68.018500000000003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82.321299999999994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81.553299999999993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92.3934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102.4658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107.283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185.2193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217.27879999999999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202.143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192.5949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161.73939999999999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167.018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268.05919999999998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23.8233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70.721599999999995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54.6937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44.0428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11.555899999999999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16.426500000000001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116.2975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3.1199999999999999E-2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0.57399999999999995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2.6166999999999998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7.0990000000000002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14.5366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1.26E-2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1.47E-2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2.01E-2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2.6200000000000001E-2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3.4700000000000002E-2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4.41E-2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5.6399999999999999E-2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1.6400000000000001E-2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1.9E-2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1.9599999999999999E-2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2.1399999999999999E-2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2.1000000000000001E-2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2.86E-2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3.9100000000000003E-2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4.0000000000000002E-4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1.2999999999999999E-3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3.7000000000000002E-3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7.0000000000000001E-3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1.3100000000000001E-2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1E-4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5.9999999999999995E-4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1.1999999999999999E-3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3.0999999999999999E-3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9.2999999999999992E-3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2.46E-2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5.3900000000000003E-2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7.0000000000000001E-3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1E-4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0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65.189400000000006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60.598199999999999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81.006500000000003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81.538899999999998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88.476399999999998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90.472200000000001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102.756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181.5889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209.38409999999999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155.60730000000001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153.13319999999999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151.9907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146.92089999999999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139.0044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20.200099999999999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62.383699999999997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8.2071000000000005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4.9410999999999996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2.1709000000000001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-3.0064000000000002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-11.6784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2025-09-16T18:17:25Z</dcterms:modified>
</cp:coreProperties>
</file>