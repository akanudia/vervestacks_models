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OR_grids_kan\SubRES_Tmpl\"/>
    </mc:Choice>
  </mc:AlternateContent>
  <xr:revisionPtr revIDLastSave="0" documentId="8_{78C1C582-4213-404F-8C2B-ED7BFA884563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7" l="1"/>
  <c r="L27" i="7"/>
  <c r="J24" i="7"/>
  <c r="J26" i="7"/>
  <c r="J25" i="7"/>
  <c r="J23" i="7"/>
  <c r="J20" i="7"/>
  <c r="O26" i="7"/>
  <c r="J16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G8" i="10" l="1"/>
  <c r="J28" i="7" l="1"/>
  <c r="J27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25" i="7"/>
  <c r="O24" i="7"/>
  <c r="O19" i="7"/>
  <c r="O23" i="7"/>
  <c r="O21" i="7"/>
  <c r="O20" i="7"/>
  <c r="O18" i="7"/>
  <c r="O17" i="7"/>
  <c r="O22" i="7"/>
  <c r="J17" i="7"/>
  <c r="J15" i="7"/>
  <c r="J14" i="7"/>
  <c r="J13" i="7"/>
</calcChain>
</file>

<file path=xl/sharedStrings.xml><?xml version="1.0" encoding="utf-8"?>
<sst xmlns="http://schemas.openxmlformats.org/spreadsheetml/2006/main" count="2735" uniqueCount="759">
  <si>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</si>
  <si>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</si>
  <si>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</si>
  <si>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</si>
  <si>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</si>
  <si>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</si>
  <si>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</si>
  <si>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</si>
  <si>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</si>
  <si>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</si>
  <si>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</si>
  <si>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</si>
  <si>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</si>
  <si>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</si>
  <si>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</si>
  <si>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</si>
  <si>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</si>
  <si>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</si>
  <si>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</si>
  <si>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</si>
  <si>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</si>
  <si>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</si>
  <si>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</si>
  <si>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</si>
  <si>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</si>
  <si>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</si>
  <si>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</si>
  <si>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</si>
  <si>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</si>
  <si>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</si>
  <si>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</si>
  <si>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</si>
  <si>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</si>
  <si>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</si>
  <si>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</si>
  <si>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</si>
  <si>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</si>
  <si>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</si>
  <si>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</si>
  <si>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</si>
  <si>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</si>
  <si>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</si>
  <si>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</si>
  <si>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</si>
  <si>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</si>
  <si>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</si>
  <si>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</si>
  <si>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</si>
  <si>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</si>
  <si>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</si>
  <si>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</si>
  <si>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</si>
  <si>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</si>
  <si>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</si>
  <si>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</si>
  <si>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</si>
  <si>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</si>
  <si>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</si>
  <si>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</si>
  <si>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</si>
  <si>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</si>
  <si>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</si>
  <si>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</si>
  <si>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</si>
  <si>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</si>
  <si>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</si>
  <si>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</si>
  <si>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</si>
  <si>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</si>
  <si>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</si>
  <si>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</si>
  <si>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</si>
  <si>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</si>
  <si>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</si>
  <si>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</si>
  <si>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</si>
  <si>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</si>
  <si>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</si>
  <si>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</si>
  <si>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</si>
  <si>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</si>
  <si>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</si>
  <si>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</si>
  <si>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</si>
  <si>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</si>
  <si>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</si>
  <si>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</si>
  <si>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</si>
  <si>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</si>
  <si>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</si>
  <si>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</si>
  <si>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</si>
  <si>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</si>
  <si>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</si>
  <si>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</si>
  <si>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</si>
  <si>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</si>
  <si>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</si>
  <si>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</si>
  <si>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</si>
  <si>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</si>
  <si>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</si>
  <si>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</si>
  <si>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</si>
  <si>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</si>
  <si>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</si>
  <si>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</si>
  <si>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</si>
  <si>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</si>
  <si>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</si>
  <si>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</si>
  <si>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</si>
  <si>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</si>
  <si>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</si>
  <si>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</si>
  <si>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</si>
  <si>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</si>
  <si>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</si>
  <si>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</si>
  <si>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</si>
  <si>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</si>
  <si>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</si>
  <si>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</si>
  <si>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</si>
  <si>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</si>
  <si>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</si>
  <si>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</si>
  <si>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</si>
  <si>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</si>
  <si>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</si>
  <si>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</si>
  <si>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</si>
  <si>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</si>
  <si>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</si>
  <si>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</si>
  <si>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</si>
  <si>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</si>
  <si>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</si>
  <si>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</si>
  <si>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</si>
  <si>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</si>
  <si>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</si>
  <si>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</si>
  <si>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</si>
  <si>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</si>
  <si>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</si>
  <si>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</si>
  <si>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</si>
  <si>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</si>
  <si>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</si>
  <si>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</si>
  <si>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</si>
  <si>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</si>
  <si>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</si>
  <si>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</si>
  <si>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</si>
  <si>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</si>
  <si>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</si>
  <si>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</si>
  <si>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</si>
  <si>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</si>
  <si>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</si>
  <si>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</si>
  <si>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ELC_BatIn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</si>
  <si>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</si>
  <si>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</si>
  <si>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</si>
  <si>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</si>
  <si>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</si>
  <si>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</si>
  <si>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</si>
  <si>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</si>
  <si>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</si>
  <si>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e_spv_NOR_001</t>
  </si>
  <si>
    <t>solar resource in cluster 1</t>
  </si>
  <si>
    <t>annual</t>
  </si>
  <si>
    <t>no</t>
  </si>
  <si>
    <t>e_spv_NOR_002</t>
  </si>
  <si>
    <t>solar resource in cluster 2</t>
  </si>
  <si>
    <t>e_spv_NOR_003</t>
  </si>
  <si>
    <t>solar resource in cluster 3</t>
  </si>
  <si>
    <t>e_spv_NOR_004</t>
  </si>
  <si>
    <t>solar resource in cluster 4</t>
  </si>
  <si>
    <t>e_spv_NOR_005</t>
  </si>
  <si>
    <t>solar resource in cluster 5</t>
  </si>
  <si>
    <t>e_spv_NOR_006</t>
  </si>
  <si>
    <t>solar resource in cluster 6</t>
  </si>
  <si>
    <t>e_spv_NOR_007</t>
  </si>
  <si>
    <t>solar resource in cluster 7</t>
  </si>
  <si>
    <t>e_spv_NOR_008</t>
  </si>
  <si>
    <t>solar resource in cluster 8</t>
  </si>
  <si>
    <t>e_spv_NOR_009</t>
  </si>
  <si>
    <t>solar resource in cluster 9</t>
  </si>
  <si>
    <t>e_spv_NOR_010</t>
  </si>
  <si>
    <t>solar resource in cluster 10</t>
  </si>
  <si>
    <t>~fi_t</t>
  </si>
  <si>
    <t>comm-out</t>
  </si>
  <si>
    <t>cap_bnd</t>
  </si>
  <si>
    <t>af~fx</t>
  </si>
  <si>
    <t>elc_spv_NOR_001</t>
  </si>
  <si>
    <t>elc_spv_NOR_002</t>
  </si>
  <si>
    <t>elc_spv_NOR_003</t>
  </si>
  <si>
    <t>elc_spv_NOR_004</t>
  </si>
  <si>
    <t>elc_spv_NOR_005</t>
  </si>
  <si>
    <t>elc_spv_NOR_006</t>
  </si>
  <si>
    <t>elc_spv_NOR_007</t>
  </si>
  <si>
    <t>elc_spv_NOR_008</t>
  </si>
  <si>
    <t>elc_spv_NOR_009</t>
  </si>
  <si>
    <t>elc_spv_NOR_010</t>
  </si>
  <si>
    <t>primarycg</t>
  </si>
  <si>
    <t>pre</t>
  </si>
  <si>
    <t>distr_solelc_spv_NOR_005</t>
  </si>
  <si>
    <t>connecting solar to buses in cluster 5</t>
  </si>
  <si>
    <t>NRGI</t>
  </si>
  <si>
    <t>daynite</t>
  </si>
  <si>
    <t>distr_solelc_spv_NOR_003</t>
  </si>
  <si>
    <t>connecting solar to buses in cluster 3</t>
  </si>
  <si>
    <t>distr_solelc_spv_NOR_002</t>
  </si>
  <si>
    <t>connecting solar to buses in cluster 2</t>
  </si>
  <si>
    <t>distr_solelc_spv_NOR_010</t>
  </si>
  <si>
    <t>connecting solar to buses in cluster 10</t>
  </si>
  <si>
    <t>distr_solelc_spv_NOR_008</t>
  </si>
  <si>
    <t>connecting solar to buses in cluster 8</t>
  </si>
  <si>
    <t>distr_solelc_spv_NOR_004</t>
  </si>
  <si>
    <t>connecting solar to buses in cluster 4</t>
  </si>
  <si>
    <t>distr_solelc_spv_NOR_006</t>
  </si>
  <si>
    <t>connecting solar to buses in cluster 6</t>
  </si>
  <si>
    <t>distr_solelc_spv_NOR_001</t>
  </si>
  <si>
    <t>connecting solar to buses in cluster 1</t>
  </si>
  <si>
    <t>distr_solelc_spv_NOR_007</t>
  </si>
  <si>
    <t>connecting solar to buses in cluster 7</t>
  </si>
  <si>
    <t>distr_solelc_spv_NOR_009</t>
  </si>
  <si>
    <t>connecting solar to buses in cluster 9</t>
  </si>
  <si>
    <t>comm-in</t>
  </si>
  <si>
    <t>ncap_cost~USD21_alt</t>
  </si>
  <si>
    <t>e_w60495669-420_NOR,e_w295444099-420_NOR,e_w120279477-300_NOR</t>
  </si>
  <si>
    <t>e_r12969006-300_NOR,e_r8847096-300_NOR,e_NO79-300_NOR,e_NO94-420_NOR,e_r8860331-420_NOR,e_r7805329-300_NOR</t>
  </si>
  <si>
    <t>e_r13989591-300_NOR,e_w118231876-300_NOR,e_w631983832-300_NOR</t>
  </si>
  <si>
    <t>e_r7883882-300_NOR,e_r7879876-300_NOR,e_r7854485-300_NOR</t>
  </si>
  <si>
    <t>e_r8193470-300_NOR,e_w577998803-420_NOR,e_r7928148-420_NOR</t>
  </si>
  <si>
    <t>e_w232893576-420_NOR</t>
  </si>
  <si>
    <t>e_w295444089-420_NOR,e_w493018044-420_NOR,e_w114845318-420_NOR,e_r10308957-300_NOR</t>
  </si>
  <si>
    <t>e_w799370310-300_NOR,e_w90273427-300_NOR,e_r10175479-300_NOR,e_NO99-300_NOR</t>
  </si>
  <si>
    <t>e_w358915801-420_NOR,e_NO85-300_NOR,e_w206628449-420_NOR,e_w100648754-300_NOR,e_w287115458-300_NOR</t>
  </si>
  <si>
    <t>e_r8182117-420_NOR,e_w1156161502-300_NOR</t>
  </si>
  <si>
    <t>distr_wonelc_won_NOR_007</t>
  </si>
  <si>
    <t>connecting wind onshore to buses in cluster 7</t>
  </si>
  <si>
    <t>distr_wonelc_won_NOR_010</t>
  </si>
  <si>
    <t>connecting wind onshore to buses in cluster 10</t>
  </si>
  <si>
    <t>distr_wonelc_won_NOR_009</t>
  </si>
  <si>
    <t>connecting wind onshore to buses in cluster 9</t>
  </si>
  <si>
    <t>distr_wonelc_won_NOR_005</t>
  </si>
  <si>
    <t>connecting wind onshore to buses in cluster 5</t>
  </si>
  <si>
    <t>distr_wonelc_won_NOR_001</t>
  </si>
  <si>
    <t>connecting wind onshore to buses in cluster 1</t>
  </si>
  <si>
    <t>distr_wonelc_won_NOR_008</t>
  </si>
  <si>
    <t>connecting wind onshore to buses in cluster 8</t>
  </si>
  <si>
    <t>distr_wonelc_won_NOR_006</t>
  </si>
  <si>
    <t>connecting wind onshore to buses in cluster 6</t>
  </si>
  <si>
    <t>distr_wonelc_won_NOR_003</t>
  </si>
  <si>
    <t>connecting wind onshore to buses in cluster 3</t>
  </si>
  <si>
    <t>distr_wonelc_won_NOR_002</t>
  </si>
  <si>
    <t>connecting wind onshore to buses in cluster 2</t>
  </si>
  <si>
    <t>distr_wonelc_won_NOR_004</t>
  </si>
  <si>
    <t>connecting wind onshore to buses in cluster 4</t>
  </si>
  <si>
    <t>elc_won_NOR_007</t>
  </si>
  <si>
    <t>e_r13989591-300_NOR,e_w118231876-300_NOR,e_w631983832-300_NOR,e_w799370310-300_NOR,e_w90273427-300_NOR</t>
  </si>
  <si>
    <t>elc_won_NOR_010</t>
  </si>
  <si>
    <t>e_r10175479-300_NOR,e_r8193470-300_NOR,e_r7928148-420_NOR,e_w358915801-420_NOR</t>
  </si>
  <si>
    <t>elc_won_NOR_009</t>
  </si>
  <si>
    <t>e_w358915801-420_NOR,e_w206628449-420_NOR,e_w100648754-300_NOR,e_w493018044-420_NOR,e_w232893576-420_NOR</t>
  </si>
  <si>
    <t>elc_won_NOR_005</t>
  </si>
  <si>
    <t>e_w1156161502-300_NOR,e_r7883882-300_NOR,e_r7879876-300_NOR</t>
  </si>
  <si>
    <t>elc_won_NOR_001</t>
  </si>
  <si>
    <t>e_NO85-300_NOR,e_r7854485-300_NOR,e_w295444089-420_NOR</t>
  </si>
  <si>
    <t>elc_won_NOR_008</t>
  </si>
  <si>
    <t>e_w287115458-300_NOR,e_w114845318-420_NOR,e_r10308957-300_NOR,e_w60495669-420_NOR,e_w295444099-420_NOR,e_w120279477-300_NOR</t>
  </si>
  <si>
    <t>elc_won_NOR_006</t>
  </si>
  <si>
    <t>e_r12969006-300_NOR,e_r8847096-300_NOR,e_NO79-300_NOR</t>
  </si>
  <si>
    <t>elc_won_NOR_003</t>
  </si>
  <si>
    <t>e_r8860331-420_NOR</t>
  </si>
  <si>
    <t>elc_won_NOR_002</t>
  </si>
  <si>
    <t>e_NO99-300_NOR,e_NO94-420_NOR</t>
  </si>
  <si>
    <t>elc_won_NOR_004</t>
  </si>
  <si>
    <t>e_w577998803-420_NOR,e_r8182117-420_NOR,e_r7928148-420_NOR,e_NO85-300_NOR</t>
  </si>
  <si>
    <t>distr_wofelc_wof_NOR_030</t>
  </si>
  <si>
    <t>connecting wind offshore to buses in cluster 30</t>
  </si>
  <si>
    <t>distr_wofelc_wof_NOR_006</t>
  </si>
  <si>
    <t>connecting wind offshore to buses in cluster 6</t>
  </si>
  <si>
    <t>distr_wofelc_wof_NOR_025</t>
  </si>
  <si>
    <t>connecting wind offshore to buses in cluster 25</t>
  </si>
  <si>
    <t>distr_wofelc_wof_NOR_001</t>
  </si>
  <si>
    <t>connecting wind offshore to buses in cluster 1</t>
  </si>
  <si>
    <t>distr_wofelc_wof_NOR_007</t>
  </si>
  <si>
    <t>connecting wind offshore to buses in cluster 7</t>
  </si>
  <si>
    <t>distr_wofelc_wof_NOR_034</t>
  </si>
  <si>
    <t>connecting wind offshore to buses in cluster 34</t>
  </si>
  <si>
    <t>distr_wofelc_wof_NOR_036</t>
  </si>
  <si>
    <t>connecting wind offshore to buses in cluster 36</t>
  </si>
  <si>
    <t>distr_wofelc_wof_NOR_019</t>
  </si>
  <si>
    <t>connecting wind offshore to buses in cluster 19</t>
  </si>
  <si>
    <t>distr_wofelc_wof_NOR_031</t>
  </si>
  <si>
    <t>connecting wind offshore to buses in cluster 31</t>
  </si>
  <si>
    <t>distr_wofelc_wof_NOR_027</t>
  </si>
  <si>
    <t>connecting wind offshore to buses in cluster 27</t>
  </si>
  <si>
    <t>distr_wofelc_wof_NOR_004</t>
  </si>
  <si>
    <t>connecting wind offshore to buses in cluster 4</t>
  </si>
  <si>
    <t>distr_wofelc_wof_NOR_033</t>
  </si>
  <si>
    <t>connecting wind offshore to buses in cluster 33</t>
  </si>
  <si>
    <t>distr_wofelc_wof_NOR_029</t>
  </si>
  <si>
    <t>connecting wind offshore to buses in cluster 29</t>
  </si>
  <si>
    <t>distr_wofelc_wof_NOR_026</t>
  </si>
  <si>
    <t>connecting wind offshore to buses in cluster 26</t>
  </si>
  <si>
    <t>distr_wofelc_wof_NOR_013</t>
  </si>
  <si>
    <t>connecting wind offshore to buses in cluster 13</t>
  </si>
  <si>
    <t>distr_wofelc_wof_NOR_017</t>
  </si>
  <si>
    <t>connecting wind offshore to buses in cluster 17</t>
  </si>
  <si>
    <t>distr_wofelc_wof_NOR_023</t>
  </si>
  <si>
    <t>connecting wind offshore to buses in cluster 23</t>
  </si>
  <si>
    <t>distr_wofelc_wof_NOR_015</t>
  </si>
  <si>
    <t>connecting wind offshore to buses in cluster 15</t>
  </si>
  <si>
    <t>distr_wofelc_wof_NOR_011</t>
  </si>
  <si>
    <t>connecting wind offshore to buses in cluster 11</t>
  </si>
  <si>
    <t>distr_wofelc_wof_NOR_028</t>
  </si>
  <si>
    <t>connecting wind offshore to buses in cluster 28</t>
  </si>
  <si>
    <t>distr_wofelc_wof_NOR_002</t>
  </si>
  <si>
    <t>connecting wind offshore to buses in cluster 2</t>
  </si>
  <si>
    <t>distr_wofelc_wof_NOR_005</t>
  </si>
  <si>
    <t>connecting wind offshore to buses in cluster 5</t>
  </si>
  <si>
    <t>distr_wofelc_wof_NOR_024</t>
  </si>
  <si>
    <t>connecting wind offshore to buses in cluster 24</t>
  </si>
  <si>
    <t>distr_wofelc_wof_NOR_035</t>
  </si>
  <si>
    <t>connecting wind offshore to buses in cluster 35</t>
  </si>
  <si>
    <t>distr_wofelc_wof_NOR_012</t>
  </si>
  <si>
    <t>connecting wind offshore to buses in cluster 12</t>
  </si>
  <si>
    <t>distr_wofelc_wof_NOR_008</t>
  </si>
  <si>
    <t>connecting wind offshore to buses in cluster 8</t>
  </si>
  <si>
    <t>distr_wofelc_wof_NOR_003</t>
  </si>
  <si>
    <t>connecting wind offshore to buses in cluster 3</t>
  </si>
  <si>
    <t>distr_wofelc_wof_NOR_020</t>
  </si>
  <si>
    <t>connecting wind offshore to buses in cluster 20</t>
  </si>
  <si>
    <t>distr_wofelc_wof_NOR_018</t>
  </si>
  <si>
    <t>connecting wind offshore to buses in cluster 18</t>
  </si>
  <si>
    <t>distr_wofelc_wof_NOR_032</t>
  </si>
  <si>
    <t>connecting wind offshore to buses in cluster 32</t>
  </si>
  <si>
    <t>distr_wofelc_wof_NOR_014</t>
  </si>
  <si>
    <t>connecting wind offshore to buses in cluster 14</t>
  </si>
  <si>
    <t>distr_wofelc_wof_NOR_016</t>
  </si>
  <si>
    <t>connecting wind offshore to buses in cluster 16</t>
  </si>
  <si>
    <t>distr_wofelc_wof_NOR_022</t>
  </si>
  <si>
    <t>connecting wind offshore to buses in cluster 22</t>
  </si>
  <si>
    <t>distr_wofelc_wof_NOR_021</t>
  </si>
  <si>
    <t>connecting wind offshore to buses in cluster 21</t>
  </si>
  <si>
    <t>distr_wofelc_wof_NOR_010</t>
  </si>
  <si>
    <t>connecting wind offshore to buses in cluster 10</t>
  </si>
  <si>
    <t>distr_wofelc_wof_NOR_009</t>
  </si>
  <si>
    <t>connecting wind offshore to buses in cluster 9</t>
  </si>
  <si>
    <t>elc_wof_NOR_030</t>
  </si>
  <si>
    <t>e_r7839089-420_NOR,e_w615122824-420_NOR,e_w613587460-420_NOR,e_w254428135-420_NOR,e_NO23-420_NOR</t>
  </si>
  <si>
    <t>elc_wof_NOR_006</t>
  </si>
  <si>
    <t>e_w883151328-420_NOR,e_w400567451-220_NOR</t>
  </si>
  <si>
    <t>elc_wof_NOR_025</t>
  </si>
  <si>
    <t>e_w842385259-420_NOR,e_NO11-420_NOR,e_NO7-420_NOR,e_w252924745-420_NOR,e_w572898618-420_NOR</t>
  </si>
  <si>
    <t>elc_wof_NOR_001</t>
  </si>
  <si>
    <t>e_w257192868-220_NOR</t>
  </si>
  <si>
    <t>elc_wof_NOR_007</t>
  </si>
  <si>
    <t>e_w883151328-420_NOR</t>
  </si>
  <si>
    <t>elc_wof_NOR_034</t>
  </si>
  <si>
    <t>e_NO34-420_NOR,e_r10104222-420_NOR,e_r7839089-420_NOR,e_w633896066-420_NOR,e_w633840104-420_NOR,e_w615122824-420_NOR</t>
  </si>
  <si>
    <t>elc_wof_NOR_036</t>
  </si>
  <si>
    <t>e_NO36-420_NOR,e_w548473094-420_NOR,e_r10104222-420_NOR,e_r7839089-420_NOR</t>
  </si>
  <si>
    <t>elc_wof_NOR_019</t>
  </si>
  <si>
    <t>e_r7928148_NOR,e_r7928148-420_NOR,e_w358915801-420_NOR,e_w206628449-300_NOR</t>
  </si>
  <si>
    <t>elc_wof_NOR_031</t>
  </si>
  <si>
    <t>e_w615122824-420_NOR,e_w613587460-420_NOR</t>
  </si>
  <si>
    <t>elc_wof_NOR_027</t>
  </si>
  <si>
    <t>e_NO23-420_NOR,e_NO22-420_NOR,e_NO18-420_NOR,e_NO16-420_NOR,e_r8294222-420_NOR</t>
  </si>
  <si>
    <t>elc_wof_NOR_004</t>
  </si>
  <si>
    <t>elc_wof_NOR_033</t>
  </si>
  <si>
    <t>e_NO28-300_NOR,e_NO28-420_NOR,e_w633840104-420_NOR,e_w615122824-420_NOR,e_w613587460-420_NOR,e_w254428135-420_NOR</t>
  </si>
  <si>
    <t>elc_wof_NOR_029</t>
  </si>
  <si>
    <t>e_NO23-420_NOR,e_NO22-420_NOR,e_NO18-420_NOR</t>
  </si>
  <si>
    <t>elc_wof_NOR_026</t>
  </si>
  <si>
    <t>e_NO6-420_NOR,e_w252924745-420_NOR,e_w572898618-420_NOR,e_w572898616-420_NOR</t>
  </si>
  <si>
    <t>elc_wof_NOR_013</t>
  </si>
  <si>
    <t>e_w572898618-420_NOR,e_w572898616-420_NOR,e_w883151328-420_NOR</t>
  </si>
  <si>
    <t>elc_wof_NOR_017</t>
  </si>
  <si>
    <t>e_w636875282-300_NOR,e_NO44-420_NOR,e_w637005916-300_NOR</t>
  </si>
  <si>
    <t>elc_wof_NOR_023</t>
  </si>
  <si>
    <t>e_r13989591-300_NOR,e_r8847096-300_NOR,e_r8837899-300_NOR,e_w1028850314-300_NOR,e_NO65-300_NOR,e_r12969006-300_NOR</t>
  </si>
  <si>
    <t>elc_wof_NOR_015</t>
  </si>
  <si>
    <t>elc_wof_NOR_011</t>
  </si>
  <si>
    <t>e_w572898616-420_NOR,e_w883151328-420_NOR</t>
  </si>
  <si>
    <t>elc_wof_NOR_028</t>
  </si>
  <si>
    <t>e_NO22-420_NOR,e_NO18-420_NOR,e_w842385259-420_NOR,e_NO11-420_NOR</t>
  </si>
  <si>
    <t>elc_wof_NOR_002</t>
  </si>
  <si>
    <t>e_w400567451-220_NOR,e_w257192868-220_NOR</t>
  </si>
  <si>
    <t>elc_wof_NOR_005</t>
  </si>
  <si>
    <t>elc_wof_NOR_024</t>
  </si>
  <si>
    <t>e_r13989591-300_NOR,e_w636875282-300_NOR,e_w631983832-300_NOR,e_w90273427-300_NOR,e_w799370310-300_NOR,e_w830770515-420_NOR</t>
  </si>
  <si>
    <t>elc_wof_NOR_035</t>
  </si>
  <si>
    <t>e_NO44-420_NOR,e_NO43-420_NOR,e_w548201553-420_NOR,e_NO34-420_NOR,e_r10104222-420_NOR</t>
  </si>
  <si>
    <t>elc_wof_NOR_012</t>
  </si>
  <si>
    <t>e_NO11-420_NOR,e_w252924745-420_NOR,e_w572898618-420_NOR,e_w572898616-420_NOR</t>
  </si>
  <si>
    <t>elc_wof_NOR_008</t>
  </si>
  <si>
    <t>e_w252924745-420_NOR,e_w572898618-420_NOR,e_w572898616-420_NOR,e_w883151328-420_NOR</t>
  </si>
  <si>
    <t>elc_wof_NOR_003</t>
  </si>
  <si>
    <t>elc_wof_NOR_020</t>
  </si>
  <si>
    <t>e_r8896922-300_NOR,e_r10175479-300_NOR,e_NO99-300_NOR,e_r7928148_NOR,e_w577998803-420_NOR,e_r7928148-420_NOR</t>
  </si>
  <si>
    <t>elc_wof_NOR_018</t>
  </si>
  <si>
    <t>elc_wof_NOR_032</t>
  </si>
  <si>
    <t>e_w254428135-420_NOR,e_r8482013-300_NOR,e_r8476872-300_NOR,e_NO23-420_NOR</t>
  </si>
  <si>
    <t>elc_wof_NOR_014</t>
  </si>
  <si>
    <t>elc_wof_NOR_016</t>
  </si>
  <si>
    <t>e_w636875282-300_NOR,e_NO44-420_NOR</t>
  </si>
  <si>
    <t>elc_wof_NOR_022</t>
  </si>
  <si>
    <t>e_r13989591-300_NOR,e_w636875282-300_NOR</t>
  </si>
  <si>
    <t>elc_wof_NOR_021</t>
  </si>
  <si>
    <t>e_w90273427-300_NOR,e_w799370310-300_NOR,e_r8332571-300_NOR,e_r8896922-300_NOR,e_r10175479-300_NOR</t>
  </si>
  <si>
    <t>elc_wof_NOR_010</t>
  </si>
  <si>
    <t>elc_wof_NOR_009</t>
  </si>
  <si>
    <t>e_won_NOR_001</t>
  </si>
  <si>
    <t>wind resource in cluster 1</t>
  </si>
  <si>
    <t>e_won_NOR_002</t>
  </si>
  <si>
    <t>wind resource in cluster 2</t>
  </si>
  <si>
    <t>e_won_NOR_003</t>
  </si>
  <si>
    <t>wind resource in cluster 3</t>
  </si>
  <si>
    <t>e_won_NOR_004</t>
  </si>
  <si>
    <t>wind resource in cluster 4</t>
  </si>
  <si>
    <t>e_won_NOR_005</t>
  </si>
  <si>
    <t>wind resource in cluster 5</t>
  </si>
  <si>
    <t>e_won_NOR_006</t>
  </si>
  <si>
    <t>wind resource in cluster 6</t>
  </si>
  <si>
    <t>e_won_NOR_007</t>
  </si>
  <si>
    <t>wind resource in cluster 7</t>
  </si>
  <si>
    <t>e_won_NOR_008</t>
  </si>
  <si>
    <t>wind resource in cluster 8</t>
  </si>
  <si>
    <t>e_won_NOR_009</t>
  </si>
  <si>
    <t>wind resource in cluster 9</t>
  </si>
  <si>
    <t>e_won_NOR_010</t>
  </si>
  <si>
    <t>wind resource in cluster 10</t>
  </si>
  <si>
    <t>e_wof_NOR_001</t>
  </si>
  <si>
    <t>wind offshore resource in cluster 1</t>
  </si>
  <si>
    <t>e_wof_NOR_002</t>
  </si>
  <si>
    <t>wind offshore resource in cluster 2</t>
  </si>
  <si>
    <t>e_wof_NOR_003</t>
  </si>
  <si>
    <t>wind offshore resource in cluster 3</t>
  </si>
  <si>
    <t>e_wof_NOR_004</t>
  </si>
  <si>
    <t>wind offshore resource in cluster 4</t>
  </si>
  <si>
    <t>e_wof_NOR_005</t>
  </si>
  <si>
    <t>wind offshore resource in cluster 5</t>
  </si>
  <si>
    <t>e_wof_NOR_006</t>
  </si>
  <si>
    <t>wind offshore resource in cluster 6</t>
  </si>
  <si>
    <t>e_wof_NOR_007</t>
  </si>
  <si>
    <t>wind offshore resource in cluster 7</t>
  </si>
  <si>
    <t>e_wof_NOR_008</t>
  </si>
  <si>
    <t>wind offshore resource in cluster 8</t>
  </si>
  <si>
    <t>e_wof_NOR_009</t>
  </si>
  <si>
    <t>wind offshore resource in cluster 9</t>
  </si>
  <si>
    <t>e_wof_NOR_010</t>
  </si>
  <si>
    <t>wind offshore resource in cluster 10</t>
  </si>
  <si>
    <t>e_wof_NOR_011</t>
  </si>
  <si>
    <t>wind offshore resource in cluster 11</t>
  </si>
  <si>
    <t>e_wof_NOR_012</t>
  </si>
  <si>
    <t>wind offshore resource in cluster 12</t>
  </si>
  <si>
    <t>e_wof_NOR_013</t>
  </si>
  <si>
    <t>wind offshore resource in cluster 13</t>
  </si>
  <si>
    <t>e_wof_NOR_014</t>
  </si>
  <si>
    <t>wind offshore resource in cluster 14</t>
  </si>
  <si>
    <t>e_wof_NOR_015</t>
  </si>
  <si>
    <t>wind offshore resource in cluster 15</t>
  </si>
  <si>
    <t>e_wof_NOR_016</t>
  </si>
  <si>
    <t>wind offshore resource in cluster 16</t>
  </si>
  <si>
    <t>e_wof_NOR_017</t>
  </si>
  <si>
    <t>wind offshore resource in cluster 17</t>
  </si>
  <si>
    <t>e_wof_NOR_018</t>
  </si>
  <si>
    <t>wind offshore resource in cluster 18</t>
  </si>
  <si>
    <t>e_wof_NOR_019</t>
  </si>
  <si>
    <t>wind offshore resource in cluster 19</t>
  </si>
  <si>
    <t>e_wof_NOR_020</t>
  </si>
  <si>
    <t>wind offshore resource in cluster 20</t>
  </si>
  <si>
    <t>e_wof_NOR_021</t>
  </si>
  <si>
    <t>wind offshore resource in cluster 21</t>
  </si>
  <si>
    <t>e_wof_NOR_022</t>
  </si>
  <si>
    <t>wind offshore resource in cluster 22</t>
  </si>
  <si>
    <t>e_wof_NOR_023</t>
  </si>
  <si>
    <t>wind offshore resource in cluster 23</t>
  </si>
  <si>
    <t>e_wof_NOR_024</t>
  </si>
  <si>
    <t>wind offshore resource in cluster 24</t>
  </si>
  <si>
    <t>e_wof_NOR_025</t>
  </si>
  <si>
    <t>wind offshore resource in cluster 25</t>
  </si>
  <si>
    <t>e_wof_NOR_026</t>
  </si>
  <si>
    <t>wind offshore resource in cluster 26</t>
  </si>
  <si>
    <t>e_wof_NOR_027</t>
  </si>
  <si>
    <t>wind offshore resource in cluster 27</t>
  </si>
  <si>
    <t>e_wof_NOR_028</t>
  </si>
  <si>
    <t>wind offshore resource in cluster 28</t>
  </si>
  <si>
    <t>e_wof_NOR_029</t>
  </si>
  <si>
    <t>wind offshore resource in cluster 29</t>
  </si>
  <si>
    <t>e_wof_NOR_030</t>
  </si>
  <si>
    <t>wind offshore resource in cluster 30</t>
  </si>
  <si>
    <t>e_wof_NOR_031</t>
  </si>
  <si>
    <t>wind offshore resource in cluster 31</t>
  </si>
  <si>
    <t>e_wof_NOR_032</t>
  </si>
  <si>
    <t>wind offshore resource in cluster 32</t>
  </si>
  <si>
    <t>e_wof_NOR_033</t>
  </si>
  <si>
    <t>wind offshore resource in cluster 33</t>
  </si>
  <si>
    <t>e_wof_NOR_034</t>
  </si>
  <si>
    <t>wind offshore resource in cluster 34</t>
  </si>
  <si>
    <t>e_wof_NOR_035</t>
  </si>
  <si>
    <t>wind offshore resource in cluster 35</t>
  </si>
  <si>
    <t>e_wof_NOR_036</t>
  </si>
  <si>
    <t>wind offshore resource in cluster 36</t>
  </si>
  <si>
    <t>en_gas_ccgt</t>
  </si>
  <si>
    <t>ncap_cost</t>
  </si>
  <si>
    <t>ncap_fom</t>
  </si>
  <si>
    <t>act_cost</t>
  </si>
  <si>
    <t>ncap_tlife</t>
  </si>
  <si>
    <t>ncap_iled</t>
  </si>
  <si>
    <t>en_gas_turbine</t>
  </si>
  <si>
    <t>en_gas_chp</t>
  </si>
  <si>
    <t>ELC,HET</t>
  </si>
  <si>
    <t>ncap_chpr</t>
  </si>
  <si>
    <t>en_gas_fuelcell</t>
  </si>
  <si>
    <t>en_gas_ccs</t>
  </si>
  <si>
    <t>ELC,CO2Cap</t>
  </si>
  <si>
    <t>en_coal_subcritical</t>
  </si>
  <si>
    <t>en_coal_supercritical</t>
  </si>
  <si>
    <t>en_coal_ultrasupercritical</t>
  </si>
  <si>
    <t>en_coal_igcc</t>
  </si>
  <si>
    <t>en_coal_ccs</t>
  </si>
  <si>
    <t>en_coal_igcc_ccs</t>
  </si>
  <si>
    <t>en_coal_oxyfuel_ccs</t>
  </si>
  <si>
    <t>en_nuclear</t>
  </si>
  <si>
    <t>en_nuclear_smr</t>
  </si>
  <si>
    <t>en_biomass</t>
  </si>
  <si>
    <t>ncap_af</t>
  </si>
  <si>
    <t>en_biomass_cofiring</t>
  </si>
  <si>
    <t>en_biomass_chp</t>
  </si>
  <si>
    <t>en_biomass_ccs</t>
  </si>
  <si>
    <t>en_geothermal</t>
  </si>
  <si>
    <t>yes</t>
  </si>
  <si>
    <t>CHP</t>
  </si>
  <si>
    <t>stepdown_NO26_NOR_420to400</t>
  </si>
  <si>
    <t>e_NO26-420_NOR</t>
  </si>
  <si>
    <t>e_NO26-400_NOR</t>
  </si>
  <si>
    <t>stepup_NO26_NOR_400to420</t>
  </si>
  <si>
    <t>stepdown_NO27_NOR_420to300</t>
  </si>
  <si>
    <t>e_NO27-420_NOR</t>
  </si>
  <si>
    <t>e_NO27-300_NOR</t>
  </si>
  <si>
    <t>stepup_NO27_NOR_300to420</t>
  </si>
  <si>
    <t>stepdown_NO28_NOR_420to300</t>
  </si>
  <si>
    <t>e_NO28-420_NOR</t>
  </si>
  <si>
    <t>e_NO28-300_NOR</t>
  </si>
  <si>
    <t>stepup_NO28_NOR_300to420</t>
  </si>
  <si>
    <t>stepdown_NO29_NOR_420to300</t>
  </si>
  <si>
    <t>e_NO29-420_NOR</t>
  </si>
  <si>
    <t>e_NO29-300_NOR</t>
  </si>
  <si>
    <t>stepup_NO29_NOR_300to420</t>
  </si>
  <si>
    <t>stepdown_NO30_NOR_420to300</t>
  </si>
  <si>
    <t>e_NO30-420_NOR</t>
  </si>
  <si>
    <t>e_NO30-300_NOR</t>
  </si>
  <si>
    <t>stepup_NO30_NOR_300to420</t>
  </si>
  <si>
    <t>stepdown_NO5_NOR_420to400</t>
  </si>
  <si>
    <t>e_NO5-420_NOR</t>
  </si>
  <si>
    <t>e_NO5-400_NOR</t>
  </si>
  <si>
    <t>stepup_NO5_NOR_400to420</t>
  </si>
  <si>
    <t>stepdown_NO84_NOR_420to300</t>
  </si>
  <si>
    <t>e_NO84-420_NOR</t>
  </si>
  <si>
    <t>e_NO84-300_NOR</t>
  </si>
  <si>
    <t>stepup_NO84_NOR_300to420</t>
  </si>
  <si>
    <t>stepdown_r11036958_NOR_420to300</t>
  </si>
  <si>
    <t>e_r11036958-420_NOR</t>
  </si>
  <si>
    <t>e_r11036958-300_NOR</t>
  </si>
  <si>
    <t>stepup_r11036958_NOR_300to420</t>
  </si>
  <si>
    <t>stepdown_r12832053_NOR_515to420</t>
  </si>
  <si>
    <t>e_r12832053_NOR</t>
  </si>
  <si>
    <t>e_r12832053-420_NOR</t>
  </si>
  <si>
    <t>stepup_r12832053_NOR_420to515</t>
  </si>
  <si>
    <t>stepdown_r3993780_NOR_420to300</t>
  </si>
  <si>
    <t>e_r3993780-420_NOR</t>
  </si>
  <si>
    <t>e_r3993780-300_NOR</t>
  </si>
  <si>
    <t>stepup_r3993780_NOR_300to420</t>
  </si>
  <si>
    <t>stepdown_r7839720_NOR_420to300</t>
  </si>
  <si>
    <t>e_r7839720-420_NOR</t>
  </si>
  <si>
    <t>e_r7839720-300_NOR</t>
  </si>
  <si>
    <t>stepup_r7839720_NOR_300to420</t>
  </si>
  <si>
    <t>stepdown_r7854485_NOR_420to300</t>
  </si>
  <si>
    <t>e_r7854485-420_NOR</t>
  </si>
  <si>
    <t>e_r7854485-300_NOR</t>
  </si>
  <si>
    <t>stepup_r7854485_NOR_300to420</t>
  </si>
  <si>
    <t>stepdown_r7928148_NOR_500to420</t>
  </si>
  <si>
    <t>e_r7928148_NOR</t>
  </si>
  <si>
    <t>e_r7928148-420_NOR</t>
  </si>
  <si>
    <t>stepup_r7928148_NOR_420to500</t>
  </si>
  <si>
    <t>stepdown_r8473044_NOR_420to300</t>
  </si>
  <si>
    <t>e_r8473044-420_NOR</t>
  </si>
  <si>
    <t>e_r8473044-300_NOR</t>
  </si>
  <si>
    <t>stepup_r8473044_NOR_300to420</t>
  </si>
  <si>
    <t>stepdown_r8473044_NOR_300to220</t>
  </si>
  <si>
    <t>e_r8473044-220_NOR</t>
  </si>
  <si>
    <t>stepup_r8473044_NOR_220to300</t>
  </si>
  <si>
    <t>stepdown_r8488332_NOR_420to300</t>
  </si>
  <si>
    <t>e_r8488332-420_NOR</t>
  </si>
  <si>
    <t>e_r8488332-300_NOR</t>
  </si>
  <si>
    <t>stepup_r8488332_NOR_300to420</t>
  </si>
  <si>
    <t>stepdown_r8860331_NOR_420to300</t>
  </si>
  <si>
    <t>e_r8860331-300_NOR</t>
  </si>
  <si>
    <t>stepup_r8860331_NOR_300to420</t>
  </si>
  <si>
    <t>stepdown_r8886202_NOR_420to300</t>
  </si>
  <si>
    <t>e_r8886202-420_NOR</t>
  </si>
  <si>
    <t>e_r8886202-300_NOR</t>
  </si>
  <si>
    <t>stepup_r8886202_NOR_300to420</t>
  </si>
  <si>
    <t>stepdown_r8890887_NOR_525to420</t>
  </si>
  <si>
    <t>e_r8890887_NOR</t>
  </si>
  <si>
    <t>e_r8890887-420_NOR</t>
  </si>
  <si>
    <t>stepup_r8890887_NOR_420to525</t>
  </si>
  <si>
    <t>stepdown_r8890887_NOR_420to300</t>
  </si>
  <si>
    <t>e_r8890887-300_NOR</t>
  </si>
  <si>
    <t>stepup_r8890887_NOR_300to420</t>
  </si>
  <si>
    <t>stepdown_r8894066_NOR_420to300</t>
  </si>
  <si>
    <t>e_r8894066-420_NOR</t>
  </si>
  <si>
    <t>e_r8894066-300_NOR</t>
  </si>
  <si>
    <t>stepup_r8894066_NOR_300to420</t>
  </si>
  <si>
    <t>stepdown_w114414014_NOR_420to300</t>
  </si>
  <si>
    <t>e_w114414014-420_NOR</t>
  </si>
  <si>
    <t>e_w114414014-300_NOR</t>
  </si>
  <si>
    <t>stepup_w114414014_NOR_300to420</t>
  </si>
  <si>
    <t>stepdown_w114845318_NOR_420to300</t>
  </si>
  <si>
    <t>e_w114845318-420_NOR</t>
  </si>
  <si>
    <t>e_w114845318-300_NOR</t>
  </si>
  <si>
    <t>stepup_w114845318_NOR_300to420</t>
  </si>
  <si>
    <t>stepdown_w128406208_NOR_420to300</t>
  </si>
  <si>
    <t>e_w128406208-420_NOR</t>
  </si>
  <si>
    <t>e_w128406208-300_NOR</t>
  </si>
  <si>
    <t>stepup_w128406208_NOR_300to420</t>
  </si>
  <si>
    <t>stepdown_w206538656_NOR_420to300</t>
  </si>
  <si>
    <t>e_w206538656-420_NOR</t>
  </si>
  <si>
    <t>e_w206538656-300_NOR</t>
  </si>
  <si>
    <t>stepup_w206538656_NOR_300to420</t>
  </si>
  <si>
    <t>stepdown_w206628449_NOR_420to300</t>
  </si>
  <si>
    <t>e_w206628449-420_NOR</t>
  </si>
  <si>
    <t>e_w206628449-300_NOR</t>
  </si>
  <si>
    <t>stepup_w206628449_NOR_300to420</t>
  </si>
  <si>
    <t>stepdown_w229806970_NOR_420to300</t>
  </si>
  <si>
    <t>e_w229806970-420_NOR</t>
  </si>
  <si>
    <t>e_w229806970-300_NOR</t>
  </si>
  <si>
    <t>stepup_w229806970_NOR_300to420</t>
  </si>
  <si>
    <t>stepdown_w287685850_NOR_420to300</t>
  </si>
  <si>
    <t>e_w287685850-420_NOR</t>
  </si>
  <si>
    <t>e_w287685850-300_NOR</t>
  </si>
  <si>
    <t>stepup_w287685850_NOR_300to420</t>
  </si>
  <si>
    <t>stepdown_w295444099_NOR_420to300</t>
  </si>
  <si>
    <t>e_w295444099-420_NOR</t>
  </si>
  <si>
    <t>e_w295444099-300_NOR</t>
  </si>
  <si>
    <t>stepup_w295444099_NOR_300to420</t>
  </si>
  <si>
    <t>stepdown_w296229069_NOR_420to300</t>
  </si>
  <si>
    <t>e_w296229069-420_NOR</t>
  </si>
  <si>
    <t>e_w296229069-300_NOR</t>
  </si>
  <si>
    <t>stepup_w296229069_NOR_300to420</t>
  </si>
  <si>
    <t>stepdown_w350332649_NOR_420to300</t>
  </si>
  <si>
    <t>e_w350332649-420_NOR</t>
  </si>
  <si>
    <t>e_w350332649-300_NOR</t>
  </si>
  <si>
    <t>stepup_w350332649_NOR_300to420</t>
  </si>
  <si>
    <t>stepdown_w469098816_NOR_420to300</t>
  </si>
  <si>
    <t>e_w469098816-420_NOR</t>
  </si>
  <si>
    <t>e_w469098816-300_NOR</t>
  </si>
  <si>
    <t>stepup_w469098816_NOR_300to420</t>
  </si>
  <si>
    <t>stepdown_w51854396_NOR_420to300</t>
  </si>
  <si>
    <t>e_w51854396-420_NOR</t>
  </si>
  <si>
    <t>e_w51854396-300_NOR</t>
  </si>
  <si>
    <t>stepup_w51854396_NOR_300to420</t>
  </si>
  <si>
    <t>stepdown_w60495669_NOR_420to300</t>
  </si>
  <si>
    <t>e_w60495669-420_NOR</t>
  </si>
  <si>
    <t>e_w60495669-300_NOR</t>
  </si>
  <si>
    <t>stepup_w60495669_NOR_300to420</t>
  </si>
  <si>
    <t>stepdown_w640796702_NOR_420to300</t>
  </si>
  <si>
    <t>e_w640796702-420_NOR</t>
  </si>
  <si>
    <t>e_w640796702-300_NOR</t>
  </si>
  <si>
    <t>stepup_w640796702_NOR_300to420</t>
  </si>
  <si>
    <t>stepdown_w830770515_NOR_420to300</t>
  </si>
  <si>
    <t>e_w830770515-420_NOR</t>
  </si>
  <si>
    <t>e_w830770515-300_NOR</t>
  </si>
  <si>
    <t>stepup_w830770515_NOR_300to420</t>
  </si>
  <si>
    <t>activityunit</t>
  </si>
  <si>
    <t>capacityunit</t>
  </si>
  <si>
    <t>Transformer: e_NO26-420_NOR → e_NO26-400_NOR</t>
  </si>
  <si>
    <t>Transformer: e_NO26-400_NOR → e_NO26-420_NOR</t>
  </si>
  <si>
    <t>Transformer: e_NO27-420_NOR → e_NO27-300_NOR</t>
  </si>
  <si>
    <t>Transformer: e_NO27-300_NOR → e_NO27-420_NOR</t>
  </si>
  <si>
    <t>Transformer: e_NO28-420_NOR → e_NO28-300_NOR</t>
  </si>
  <si>
    <t>Transformer: e_NO28-300_NOR → e_NO28-420_NOR</t>
  </si>
  <si>
    <t>Transformer: e_NO29-420_NOR → e_NO29-300_NOR</t>
  </si>
  <si>
    <t>Transformer: e_NO29-300_NOR → e_NO29-420_NOR</t>
  </si>
  <si>
    <t>Transformer: e_NO30-420_NOR → e_NO30-300_NOR</t>
  </si>
  <si>
    <t>Transformer: e_NO30-300_NOR → e_NO30-420_NOR</t>
  </si>
  <si>
    <t>Transformer: e_NO5-420_NOR → e_NO5-400_NOR</t>
  </si>
  <si>
    <t>Transformer: e_NO5-400_NOR → e_NO5-420_NOR</t>
  </si>
  <si>
    <t>Transformer: e_NO84-420_NOR → e_NO84-300_NOR</t>
  </si>
  <si>
    <t>Transformer: e_NO84-300_NOR → e_NO84-420_NOR</t>
  </si>
  <si>
    <t>Transformer: e_r11036958-420_NOR → e_r11036958-300_NOR</t>
  </si>
  <si>
    <t>Transformer: e_r11036958-300_NOR → e_r11036958-420_NOR</t>
  </si>
  <si>
    <t>Transformer: e_r12832053_NOR → e_r12832053-420_NOR</t>
  </si>
  <si>
    <t>Transformer: e_r12832053-420_NOR → e_r12832053_NOR</t>
  </si>
  <si>
    <t>Transformer: e_r3993780-420_NOR → e_r3993780-300_NOR</t>
  </si>
  <si>
    <t>Transformer: e_r3993780-300_NOR → e_r3993780-420_NOR</t>
  </si>
  <si>
    <t>Transformer: e_r7839720-420_NOR → e_r7839720-300_NOR</t>
  </si>
  <si>
    <t>Transformer: e_r7839720-300_NOR → e_r7839720-420_NOR</t>
  </si>
  <si>
    <t>Transformer: e_r7854485-420_NOR → e_r7854485-300_NOR</t>
  </si>
  <si>
    <t>Transformer: e_r7854485-300_NOR → e_r7854485-420_NOR</t>
  </si>
  <si>
    <t>Transformer: e_r7928148_NOR → e_r7928148-420_NOR</t>
  </si>
  <si>
    <t>Transformer: e_r7928148-420_NOR → e_r7928148_NOR</t>
  </si>
  <si>
    <t>Transformer: e_r8473044-420_NOR → e_r8473044-300_NOR</t>
  </si>
  <si>
    <t>Transformer: e_r8473044-300_NOR → e_r8473044-420_NOR</t>
  </si>
  <si>
    <t>Transformer: e_r8473044-300_NOR → e_r8473044-220_NOR</t>
  </si>
  <si>
    <t>Transformer: e_r8473044-220_NOR → e_r8473044-300_NOR</t>
  </si>
  <si>
    <t>Transformer: e_r8488332-420_NOR → e_r8488332-300_NOR</t>
  </si>
  <si>
    <t>Transformer: e_r8488332-300_NOR → e_r8488332-420_NOR</t>
  </si>
  <si>
    <t>Transformer: e_r8860331-420_NOR → e_r8860331-300_NOR</t>
  </si>
  <si>
    <t>Transformer: e_r8860331-300_NOR → e_r8860331-420_NOR</t>
  </si>
  <si>
    <t>Transformer: e_r8886202-420_NOR → e_r8886202-300_NOR</t>
  </si>
  <si>
    <t>Transformer: e_r8886202-300_NOR → e_r8886202-420_NOR</t>
  </si>
  <si>
    <t>Transformer: e_r8890887_NOR → e_r8890887-420_NOR</t>
  </si>
  <si>
    <t>Transformer: e_r8890887-420_NOR → e_r8890887_NOR</t>
  </si>
  <si>
    <t>Transformer: e_r8890887-420_NOR → e_r8890887-300_NOR</t>
  </si>
  <si>
    <t>Transformer: e_r8890887-300_NOR → e_r8890887-420_NOR</t>
  </si>
  <si>
    <t>Transformer: e_r8894066-420_NOR → e_r8894066-300_NOR</t>
  </si>
  <si>
    <t>Transformer: e_r8894066-300_NOR → e_r8894066-420_NOR</t>
  </si>
  <si>
    <t>Transformer: e_w114414014-420_NOR → e_w114414014-300_NOR</t>
  </si>
  <si>
    <t>Transformer: e_w114414014-300_NOR → e_w114414014-420_NOR</t>
  </si>
  <si>
    <t>Transformer: e_w114845318-420_NOR → e_w114845318-300_NOR</t>
  </si>
  <si>
    <t>Transformer: e_w114845318-300_NOR → e_w114845318-420_NOR</t>
  </si>
  <si>
    <t>Transformer: e_w128406208-420_NOR → e_w128406208-300_NOR</t>
  </si>
  <si>
    <t>Transformer: e_w128406208-300_NOR → e_w128406208-420_NOR</t>
  </si>
  <si>
    <t>Transformer: e_w206538656-420_NOR → e_w206538656-300_NOR</t>
  </si>
  <si>
    <t>Transformer: e_w206538656-300_NOR → e_w206538656-420_NOR</t>
  </si>
  <si>
    <t>Transformer: e_w206628449-420_NOR → e_w206628449-300_NOR</t>
  </si>
  <si>
    <t>Transformer: e_w206628449-300_NOR → e_w206628449-420_NOR</t>
  </si>
  <si>
    <t>Transformer: e_w229806970-420_NOR → e_w229806970-300_NOR</t>
  </si>
  <si>
    <t>Transformer: e_w229806970-300_NOR → e_w229806970-420_NOR</t>
  </si>
  <si>
    <t>Transformer: e_w287685850-420_NOR → e_w287685850-300_NOR</t>
  </si>
  <si>
    <t>Transformer: e_w287685850-300_NOR → e_w287685850-420_NOR</t>
  </si>
  <si>
    <t>Transformer: e_w295444099-420_NOR → e_w295444099-300_NOR</t>
  </si>
  <si>
    <t>Transformer: e_w295444099-300_NOR → e_w295444099-420_NOR</t>
  </si>
  <si>
    <t>Transformer: e_w296229069-420_NOR → e_w296229069-300_NOR</t>
  </si>
  <si>
    <t>Transformer: e_w296229069-300_NOR → e_w296229069-420_NOR</t>
  </si>
  <si>
    <t>Transformer: e_w350332649-420_NOR → e_w350332649-300_NOR</t>
  </si>
  <si>
    <t>Transformer: e_w350332649-300_NOR → e_w350332649-420_NOR</t>
  </si>
  <si>
    <t>Transformer: e_w469098816-420_NOR → e_w469098816-300_NOR</t>
  </si>
  <si>
    <t>Transformer: e_w469098816-300_NOR → e_w469098816-420_NOR</t>
  </si>
  <si>
    <t>Transformer: e_w51854396-420_NOR → e_w51854396-300_NOR</t>
  </si>
  <si>
    <t>Transformer: e_w51854396-300_NOR → e_w51854396-420_NOR</t>
  </si>
  <si>
    <t>Transformer: e_w60495669-420_NOR → e_w60495669-300_NOR</t>
  </si>
  <si>
    <t>Transformer: e_w60495669-300_NOR → e_w60495669-420_NOR</t>
  </si>
  <si>
    <t>Transformer: e_w640796702-420_NOR → e_w640796702-300_NOR</t>
  </si>
  <si>
    <t>Transformer: e_w640796702-300_NOR → e_w640796702-420_NOR</t>
  </si>
  <si>
    <t>Transformer: e_w830770515-420_NOR → e_w830770515-300_NOR</t>
  </si>
  <si>
    <t>Transformer: e_w830770515-300_NOR → e_w830770515-420_NOR</t>
  </si>
  <si>
    <t>e_NO26-400_NOR,e_NO5-400_NOR,e_r8473044-220_NOR,e_w232893576-420_NOR,e_w257192868-220_NOR,e_w400567451-220_NOR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</si>
</sst>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1"/>
      <color rgb="FF9C0006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FFC7CE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0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  <xf numFmtId="0" fontId="21" fillId="17" borderId="0" applyNumberFormat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21" fillId="17" borderId="0" xfId="19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20">
    <cellStyle name="20% - Accent3 3 2" xfId="4" xr:uid="{ABC4988B-8BA7-47D0-A9D6-448C999748B6}"/>
    <cellStyle name="Bad" xfId="19" builtinId="27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Tiam_framework_Kapsarc/SubRes_Tmpl/SubRES_H2-Production.xlsm" TargetMode="External"/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11:V28"/>
  <sheetViews>
    <sheetView workbookViewId="0">
      <selection activeCell="V28" sqref="V28"/>
    </sheetView>
  </sheetViews>
  <sheetFormatPr defaultRowHeight="14.25"/>
  <cols>
    <col min="2" max="2" width="12.19921875" bestFit="1" customWidth="1"/>
    <col min="3" max="3" width="17.9296875" bestFit="1" customWidth="1"/>
    <col min="4" max="4" width="19.33203125" bestFit="1" customWidth="1"/>
    <col min="5" max="5" width="4.3984375" bestFit="1" customWidth="1"/>
    <col min="6" max="6" width="4.6640625" bestFit="1" customWidth="1"/>
    <col min="7" max="7" width="7.59765625" bestFit="1" customWidth="1"/>
    <col min="10" max="10" width="17.9296875" bestFit="1" customWidth="1"/>
    <col min="11" max="11" width="8.3984375" bestFit="1" customWidth="1"/>
    <col min="12" max="12" width="32.19921875" bestFit="1" customWidth="1"/>
    <col min="13" max="13" width="3.3984375" bestFit="1" customWidth="1"/>
    <col min="14" max="14" width="7.86328125" bestFit="1" customWidth="1"/>
    <col min="15" max="15" width="7.1328125" bestFit="1" customWidth="1"/>
    <col min="16" max="16" width="4.73046875" bestFit="1" customWidth="1"/>
    <col min="17" max="17" width="1.73046875" bestFit="1" customWidth="1"/>
    <col min="18" max="18" width="6.53125" bestFit="1" customWidth="1"/>
    <col min="19" max="19" width="3.265625" bestFit="1" customWidth="1"/>
    <col min="22" max="22" width="4.265625" bestFit="1" customWidth="1"/>
  </cols>
  <sheetData>
    <row r="11" spans="2:22" ht="17.25" thickBot="1">
      <c r="B11" s="143" t="s">
        <v>0</v>
      </c>
      <c r="L11" s="143" t="s">
        <v>102</v>
      </c>
      <c r="N11" s="1"/>
      <c r="O11" s="1"/>
      <c r="P11" s="1"/>
      <c r="Q11" s="1"/>
    </row>
    <row r="12" spans="2:22" ht="15" thickTop="1" thickBot="1">
      <c r="B12" s="2" t="s">
        <v>6</v>
      </c>
      <c r="C12" s="2" t="s">
        <v>1</v>
      </c>
      <c r="D12" s="2" t="s">
        <v>7</v>
      </c>
      <c r="E12" s="2" t="s">
        <v>9</v>
      </c>
      <c r="F12" s="2" t="s">
        <v>8</v>
      </c>
      <c r="G12" s="2" t="s">
        <v>11</v>
      </c>
      <c r="J12" s="2" t="s">
        <v>12</v>
      </c>
      <c r="K12" s="2" t="s">
        <v>2</v>
      </c>
      <c r="L12" s="2" t="s">
        <v>3</v>
      </c>
      <c r="M12" s="2" t="s">
        <v>4</v>
      </c>
      <c r="N12" s="2" t="s">
        <v>5</v>
      </c>
      <c r="O12" s="2" t="s">
        <v>30</v>
      </c>
      <c r="P12" s="2">
        <v>2022</v>
      </c>
      <c r="Q12" s="2">
        <v>0</v>
      </c>
      <c r="R12" s="2" t="s">
        <v>101</v>
      </c>
      <c r="S12" s="2" t="s">
        <v>105</v>
      </c>
    </row>
    <row r="13" spans="2:22">
      <c r="B13" s="1" t="s">
        <v>17</v>
      </c>
      <c r="C13" s="1" t="s">
        <v>13</v>
      </c>
      <c r="E13" s="1" t="s">
        <v>21</v>
      </c>
      <c r="F13" t="s">
        <v>10</v>
      </c>
      <c r="G13" t="s">
        <v>14</v>
      </c>
      <c r="J13" s="1" t="str">
        <f>C13</f>
        <v>ElcAgg_Solar</v>
      </c>
      <c r="L13" s="1" t="s">
        <v>15</v>
      </c>
      <c r="M13" s="1">
        <v>1</v>
      </c>
      <c r="N13" s="1">
        <v>8.76</v>
      </c>
      <c r="O13" s="1"/>
      <c r="P13" s="1"/>
      <c r="Q13" s="1"/>
    </row>
    <row r="14" spans="2:22">
      <c r="B14" s="1" t="s">
        <v>17</v>
      </c>
      <c r="C14" s="1" t="s">
        <v>16</v>
      </c>
      <c r="E14" s="1" t="s">
        <v>21</v>
      </c>
      <c r="F14" t="s">
        <v>10</v>
      </c>
      <c r="G14" t="s">
        <v>14</v>
      </c>
      <c r="H14" s="1"/>
      <c r="I14" s="1"/>
      <c r="J14" s="1" t="str">
        <f>C14</f>
        <v>ElcAgg_Wind</v>
      </c>
      <c r="L14" s="1" t="s">
        <v>15</v>
      </c>
      <c r="M14" s="1">
        <v>1</v>
      </c>
      <c r="N14" s="1">
        <v>8.76</v>
      </c>
      <c r="O14" s="1"/>
      <c r="P14" s="1"/>
      <c r="Q14" s="1"/>
    </row>
    <row r="15" spans="2:22">
      <c r="B15" t="s">
        <v>20</v>
      </c>
      <c r="C15" t="s">
        <v>104</v>
      </c>
      <c r="D15" s="1" t="s">
        <v>106</v>
      </c>
      <c r="E15" s="1" t="s">
        <v>21</v>
      </c>
      <c r="F15" t="s">
        <v>10</v>
      </c>
      <c r="G15" s="1"/>
      <c r="H15" s="1"/>
      <c r="I15" s="1"/>
      <c r="J15" s="1" t="str">
        <f>C15</f>
        <v>e_demand</v>
      </c>
      <c r="K15" s="1" t="s">
        <v>19</v>
      </c>
      <c r="L15" t="s">
        <v>22</v>
      </c>
      <c r="M15" s="1">
        <v>1</v>
      </c>
      <c r="N15" s="1">
        <v>8.76</v>
      </c>
      <c r="O15" s="1"/>
      <c r="P15" s="1"/>
      <c r="Q15" s="1"/>
      <c r="V15" t="s">
        <v>100</v>
      </c>
    </row>
    <row r="16" spans="2:22">
      <c r="B16" t="s">
        <v>20</v>
      </c>
      <c r="C16" t="s">
        <v>147</v>
      </c>
      <c r="D16" s="1" t="s">
        <v>148</v>
      </c>
      <c r="E16" s="1" t="s">
        <v>21</v>
      </c>
      <c r="F16" t="s">
        <v>10</v>
      </c>
      <c r="G16" s="1"/>
      <c r="H16" s="1"/>
      <c r="I16" s="1"/>
      <c r="J16" s="1" t="str">
        <f>C16</f>
        <v>h_demand</v>
      </c>
      <c r="K16" s="1" t="s">
        <v>35</v>
      </c>
      <c r="L16" t="s">
        <v>149</v>
      </c>
      <c r="M16" s="1">
        <v>1</v>
      </c>
      <c r="N16" s="1">
        <v>8.76</v>
      </c>
      <c r="O16" s="1"/>
      <c r="P16" s="1"/>
      <c r="Q16" s="1"/>
    </row>
    <row r="17" spans="2:22">
      <c r="B17" t="s">
        <v>29</v>
      </c>
      <c r="C17" t="s">
        <v>98</v>
      </c>
      <c r="D17" s="1"/>
      <c r="E17" s="1" t="s">
        <v>21</v>
      </c>
      <c r="F17" t="s">
        <v>10</v>
      </c>
      <c r="G17" t="s">
        <v>14</v>
      </c>
      <c r="H17" s="1"/>
      <c r="I17" s="1"/>
      <c r="J17" s="1" t="str">
        <f>C19</f>
        <v>fossil_supply</v>
      </c>
      <c r="K17" s="1"/>
      <c r="L17" s="1" t="s">
        <v>32</v>
      </c>
      <c r="M17" s="1"/>
      <c r="N17" s="1"/>
      <c r="O17" s="1">
        <f t="shared" ref="O17:O21" si="0">V17*3.6</f>
        <v>7.2</v>
      </c>
      <c r="P17" s="1"/>
      <c r="V17" s="1">
        <v>2</v>
      </c>
    </row>
    <row r="18" spans="2:22">
      <c r="B18" t="s">
        <v>97</v>
      </c>
      <c r="C18" t="s">
        <v>99</v>
      </c>
      <c r="D18" s="1"/>
      <c r="E18" s="1" t="s">
        <v>21</v>
      </c>
      <c r="F18" t="s">
        <v>10</v>
      </c>
      <c r="G18" t="s">
        <v>14</v>
      </c>
      <c r="H18" s="1"/>
      <c r="I18" s="1"/>
      <c r="K18" s="1"/>
      <c r="L18" s="1" t="s">
        <v>33</v>
      </c>
      <c r="M18" s="1"/>
      <c r="N18" s="1"/>
      <c r="O18" s="1">
        <f t="shared" si="0"/>
        <v>18</v>
      </c>
      <c r="P18" s="1"/>
      <c r="V18" s="1">
        <v>5</v>
      </c>
    </row>
    <row r="19" spans="2:22">
      <c r="B19" s="1" t="s">
        <v>29</v>
      </c>
      <c r="C19" s="1" t="s">
        <v>152</v>
      </c>
      <c r="D19" s="1" t="s">
        <v>107</v>
      </c>
      <c r="E19" s="1" t="s">
        <v>21</v>
      </c>
      <c r="F19" t="s">
        <v>10</v>
      </c>
      <c r="G19" s="1"/>
      <c r="H19" s="1"/>
      <c r="I19" s="1"/>
      <c r="K19" s="1"/>
      <c r="L19" s="1" t="s">
        <v>37</v>
      </c>
      <c r="M19" s="1"/>
      <c r="N19" s="1"/>
      <c r="O19" s="1">
        <f>V19*3.6</f>
        <v>36</v>
      </c>
      <c r="P19" s="1"/>
      <c r="V19">
        <v>10</v>
      </c>
    </row>
    <row r="20" spans="2:22">
      <c r="B20" s="1" t="s">
        <v>29</v>
      </c>
      <c r="C20" s="1" t="s">
        <v>154</v>
      </c>
      <c r="D20" s="1" t="s">
        <v>153</v>
      </c>
      <c r="E20" s="1" t="s">
        <v>21</v>
      </c>
      <c r="F20" t="s">
        <v>10</v>
      </c>
      <c r="G20" s="1"/>
      <c r="H20" s="1"/>
      <c r="I20" s="1"/>
      <c r="J20" s="1" t="str">
        <f>C20</f>
        <v>renewable</v>
      </c>
      <c r="K20" s="1"/>
      <c r="L20" s="1" t="s">
        <v>34</v>
      </c>
      <c r="M20" s="1"/>
      <c r="N20" s="1"/>
      <c r="O20" s="1">
        <f t="shared" si="0"/>
        <v>0.36000000000000004</v>
      </c>
      <c r="P20" s="1"/>
      <c r="V20">
        <v>0.1</v>
      </c>
    </row>
    <row r="21" spans="2:22">
      <c r="B21" s="1" t="s">
        <v>29</v>
      </c>
      <c r="C21" s="1" t="s">
        <v>155</v>
      </c>
      <c r="D21" s="1" t="s">
        <v>156</v>
      </c>
      <c r="E21" s="1" t="s">
        <v>21</v>
      </c>
      <c r="F21" t="s">
        <v>10</v>
      </c>
      <c r="G21" s="1"/>
      <c r="H21" s="1"/>
      <c r="I21" s="1"/>
      <c r="K21" s="1"/>
      <c r="L21" s="1" t="s">
        <v>28</v>
      </c>
      <c r="M21" s="1"/>
      <c r="N21" s="1"/>
      <c r="O21" s="1">
        <f t="shared" si="0"/>
        <v>0.36000000000000004</v>
      </c>
      <c r="P21" s="1"/>
      <c r="V21">
        <v>0.1</v>
      </c>
    </row>
    <row r="22" spans="2:22">
      <c r="B22" s="1" t="s">
        <v>29</v>
      </c>
      <c r="C22" s="1" t="s">
        <v>157</v>
      </c>
      <c r="D22" s="1" t="s">
        <v>160</v>
      </c>
      <c r="E22" s="1" t="s">
        <v>21</v>
      </c>
      <c r="F22" t="s">
        <v>10</v>
      </c>
      <c r="G22" s="1"/>
      <c r="H22" s="1"/>
      <c r="I22" s="1"/>
      <c r="L22" s="1" t="s">
        <v>31</v>
      </c>
      <c r="M22" s="1"/>
      <c r="N22" s="1"/>
      <c r="O22" s="1">
        <f>V22*3.6</f>
        <v>25.2</v>
      </c>
      <c r="P22" s="1"/>
      <c r="V22" s="1">
        <v>7</v>
      </c>
    </row>
    <row r="23" spans="2:22">
      <c r="B23" s="1" t="s">
        <v>29</v>
      </c>
      <c r="C23" t="s">
        <v>158</v>
      </c>
      <c r="D23" t="s">
        <v>161</v>
      </c>
      <c r="E23" s="1" t="s">
        <v>21</v>
      </c>
      <c r="F23" t="s">
        <v>10</v>
      </c>
      <c r="G23" s="1"/>
      <c r="H23" s="1"/>
      <c r="I23" s="1"/>
      <c r="J23" s="1" t="str">
        <f>C21</f>
        <v>nuclear_fuel</v>
      </c>
      <c r="K23" s="1"/>
      <c r="L23" s="1" t="s">
        <v>36</v>
      </c>
      <c r="M23" s="1"/>
      <c r="N23" s="1"/>
      <c r="O23" s="1">
        <f>V23*3.6</f>
        <v>0.36000000000000004</v>
      </c>
      <c r="P23" s="1"/>
      <c r="V23">
        <v>0.1</v>
      </c>
    </row>
    <row r="24" spans="2:22">
      <c r="B24" s="1" t="s">
        <v>29</v>
      </c>
      <c r="C24" t="s">
        <v>159</v>
      </c>
      <c r="D24" t="s">
        <v>162</v>
      </c>
      <c r="E24" s="1" t="s">
        <v>21</v>
      </c>
      <c r="F24" t="s">
        <v>10</v>
      </c>
      <c r="G24" s="1"/>
      <c r="H24" s="1"/>
      <c r="I24" s="1"/>
      <c r="J24" s="1" t="str">
        <f>C22</f>
        <v>solar_potential</v>
      </c>
      <c r="K24" s="1"/>
      <c r="L24" s="1" t="s">
        <v>27</v>
      </c>
      <c r="M24" s="1"/>
      <c r="N24" s="1"/>
      <c r="O24" s="1">
        <f>V24*3.6</f>
        <v>0.36000000000000004</v>
      </c>
      <c r="P24" s="1"/>
      <c r="V24">
        <v>0.1</v>
      </c>
    </row>
    <row r="25" spans="2:22">
      <c r="B25" s="1"/>
      <c r="C25" s="1"/>
      <c r="D25" s="1"/>
      <c r="E25" s="1"/>
      <c r="F25" s="1"/>
      <c r="G25" s="1"/>
      <c r="H25" s="1"/>
      <c r="I25" s="1"/>
      <c r="J25" s="1" t="str">
        <f>C23</f>
        <v>winon_potential</v>
      </c>
      <c r="K25" s="1"/>
      <c r="L25" s="1" t="s">
        <v>150</v>
      </c>
      <c r="M25" s="1"/>
      <c r="N25" s="1"/>
      <c r="O25" s="1">
        <f>V25*3.6</f>
        <v>0.36000000000000004</v>
      </c>
      <c r="P25" s="1"/>
      <c r="V25">
        <v>0.1</v>
      </c>
    </row>
    <row r="26" spans="2:22">
      <c r="B26" s="1"/>
      <c r="C26" s="1"/>
      <c r="D26" s="1"/>
      <c r="E26" s="1"/>
      <c r="F26" s="1"/>
      <c r="G26" s="1"/>
      <c r="H26" s="1"/>
      <c r="I26" s="1"/>
      <c r="J26" s="1" t="str">
        <f>C24</f>
        <v>winoff_potential</v>
      </c>
      <c r="K26" s="1"/>
      <c r="L26" s="1" t="s">
        <v>151</v>
      </c>
      <c r="M26" s="1"/>
      <c r="N26" s="1"/>
      <c r="O26" s="1">
        <f t="shared" ref="O26" si="1">V26*3.6</f>
        <v>0.36000000000000004</v>
      </c>
      <c r="P26" s="1"/>
      <c r="V26">
        <v>0.1</v>
      </c>
    </row>
    <row r="27" spans="2:22">
      <c r="J27" t="str">
        <f>C17</f>
        <v>Trd_electricity import</v>
      </c>
      <c r="L27" t="str">
        <f>$V$28</f>
        <v>e_NO26-400_NOR,e_NO5-400_NOR,e_r8473044-220_NOR,e_w232893576-420_NOR,e_w257192868-220_NOR,e_w400567451-220_NOR</v>
      </c>
      <c r="P27">
        <v>0</v>
      </c>
      <c r="Q27">
        <v>3</v>
      </c>
      <c r="R27">
        <v>1000</v>
      </c>
      <c r="S27">
        <v>50</v>
      </c>
    </row>
    <row r="28" spans="2:22">
      <c r="J28" t="str">
        <f>C18</f>
        <v>Trd_electricity export</v>
      </c>
      <c r="K28" t="str">
        <f>$V$28</f>
        <v>e_NO26-400_NOR,e_NO5-400_NOR,e_r8473044-220_NOR,e_w232893576-420_NOR,e_w257192868-220_NOR,e_w400567451-220_NOR</v>
      </c>
      <c r="P28">
        <v>0</v>
      </c>
      <c r="Q28">
        <v>3</v>
      </c>
      <c r="R28">
        <v>1000</v>
      </c>
      <c r="S28">
        <v>50</v>
      </c>
      <c r="V28" s="147" t="s">
        <v>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F8" sqref="F8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">
        <v>163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8" t="s">
        <v>109</v>
      </c>
      <c r="D1" s="148"/>
      <c r="E1" s="148"/>
      <c r="F1" s="149" t="s">
        <v>110</v>
      </c>
      <c r="G1" s="148"/>
      <c r="H1" s="150"/>
      <c r="I1" s="148" t="s">
        <v>111</v>
      </c>
      <c r="J1" s="148"/>
      <c r="K1" s="148"/>
      <c r="L1" s="148"/>
      <c r="M1" s="148"/>
      <c r="N1" s="148"/>
      <c r="O1" s="151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2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2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3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E793B-0805-40F7-A0D2-F0D494EDB9FA}">
  <dimension ref="B9:BD46"/>
  <sheetViews>
    <sheetView workbookViewId="0"/>
  </sheetViews>
  <sheetFormatPr defaultRowHeight="14.25"/>
  <sheetData>
    <row r="9" spans="2:56">
      <c r="B9" t="s">
        <v>164</v>
      </c>
      <c r="J9" t="s">
        <v>195</v>
      </c>
      <c r="O9" t="s">
        <v>164</v>
      </c>
      <c r="X9" t="s">
        <v>195</v>
      </c>
      <c r="AD9" t="s">
        <v>164</v>
      </c>
      <c r="AL9" t="s">
        <v>195</v>
      </c>
      <c r="AR9" t="s">
        <v>164</v>
      </c>
      <c r="AZ9" t="s">
        <v>195</v>
      </c>
    </row>
    <row r="10" spans="2:5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209</v>
      </c>
      <c r="U10" t="s">
        <v>170</v>
      </c>
      <c r="V10" t="s">
        <v>171</v>
      </c>
      <c r="X10" t="s">
        <v>166</v>
      </c>
      <c r="Y10" t="s">
        <v>233</v>
      </c>
      <c r="Z10" t="s">
        <v>196</v>
      </c>
      <c r="AA10" t="s">
        <v>146</v>
      </c>
      <c r="AB10" t="s">
        <v>234</v>
      </c>
      <c r="AD10" t="s">
        <v>165</v>
      </c>
      <c r="AE10" t="s">
        <v>166</v>
      </c>
      <c r="AF10" t="s">
        <v>167</v>
      </c>
      <c r="AG10" t="s">
        <v>168</v>
      </c>
      <c r="AH10" t="s">
        <v>169</v>
      </c>
      <c r="AI10" t="s">
        <v>170</v>
      </c>
      <c r="AJ10" t="s">
        <v>171</v>
      </c>
      <c r="AL10" t="s">
        <v>166</v>
      </c>
      <c r="AM10" t="s">
        <v>233</v>
      </c>
      <c r="AN10" t="s">
        <v>196</v>
      </c>
      <c r="AO10" t="s">
        <v>146</v>
      </c>
      <c r="AP10" t="s">
        <v>234</v>
      </c>
      <c r="AR10" t="s">
        <v>165</v>
      </c>
      <c r="AS10" t="s">
        <v>166</v>
      </c>
      <c r="AT10" t="s">
        <v>167</v>
      </c>
      <c r="AU10" t="s">
        <v>168</v>
      </c>
      <c r="AV10" t="s">
        <v>169</v>
      </c>
      <c r="AW10" t="s">
        <v>170</v>
      </c>
      <c r="AX10" t="s">
        <v>171</v>
      </c>
      <c r="AZ10" t="s">
        <v>166</v>
      </c>
      <c r="BA10" t="s">
        <v>233</v>
      </c>
      <c r="BB10" t="s">
        <v>196</v>
      </c>
      <c r="BC10" t="s">
        <v>146</v>
      </c>
      <c r="BD10" t="s">
        <v>234</v>
      </c>
    </row>
    <row r="11" spans="2:56">
      <c r="B11" t="s">
        <v>172</v>
      </c>
      <c r="C11" t="s">
        <v>173</v>
      </c>
      <c r="D11" t="s">
        <v>174</v>
      </c>
      <c r="E11" t="s">
        <v>10</v>
      </c>
      <c r="F11" t="s">
        <v>21</v>
      </c>
      <c r="G11" t="s">
        <v>175</v>
      </c>
      <c r="H11" t="s">
        <v>176</v>
      </c>
      <c r="J11" t="s">
        <v>173</v>
      </c>
      <c r="K11" t="s">
        <v>199</v>
      </c>
      <c r="L11">
        <v>2.0538866273528673</v>
      </c>
      <c r="M11">
        <v>0.1464000590050136</v>
      </c>
      <c r="O11" t="s">
        <v>210</v>
      </c>
      <c r="P11" t="s">
        <v>211</v>
      </c>
      <c r="Q11" t="s">
        <v>212</v>
      </c>
      <c r="R11" t="s">
        <v>10</v>
      </c>
      <c r="S11" t="s">
        <v>21</v>
      </c>
      <c r="T11" t="s">
        <v>213</v>
      </c>
      <c r="U11" t="s">
        <v>214</v>
      </c>
      <c r="V11" t="s">
        <v>176</v>
      </c>
      <c r="X11" t="s">
        <v>211</v>
      </c>
      <c r="Y11" t="s">
        <v>203</v>
      </c>
      <c r="Z11" t="s">
        <v>235</v>
      </c>
      <c r="AA11">
        <v>0.99575016499253088</v>
      </c>
      <c r="AB11">
        <v>77.913641803599788</v>
      </c>
      <c r="AD11" t="s">
        <v>210</v>
      </c>
      <c r="AE11" t="s">
        <v>245</v>
      </c>
      <c r="AF11" t="s">
        <v>246</v>
      </c>
      <c r="AG11" t="s">
        <v>10</v>
      </c>
      <c r="AH11" t="s">
        <v>21</v>
      </c>
      <c r="AI11" t="s">
        <v>214</v>
      </c>
      <c r="AJ11" t="s">
        <v>176</v>
      </c>
      <c r="AL11" t="s">
        <v>245</v>
      </c>
      <c r="AM11" t="s">
        <v>265</v>
      </c>
      <c r="AN11" t="s">
        <v>266</v>
      </c>
      <c r="AO11">
        <v>0.99881709761965065</v>
      </c>
      <c r="AP11">
        <v>21.686543639737447</v>
      </c>
      <c r="AR11" t="s">
        <v>210</v>
      </c>
      <c r="AS11" t="s">
        <v>285</v>
      </c>
      <c r="AT11" t="s">
        <v>286</v>
      </c>
      <c r="AU11" t="s">
        <v>10</v>
      </c>
      <c r="AV11" t="s">
        <v>21</v>
      </c>
      <c r="AW11" t="s">
        <v>214</v>
      </c>
      <c r="AX11" t="s">
        <v>176</v>
      </c>
      <c r="AZ11" t="s">
        <v>285</v>
      </c>
      <c r="BA11" t="s">
        <v>357</v>
      </c>
      <c r="BB11" t="s">
        <v>358</v>
      </c>
      <c r="BC11">
        <v>0.97946796363902389</v>
      </c>
      <c r="BD11">
        <v>376.42066661789517</v>
      </c>
    </row>
    <row r="12" spans="2:56">
      <c r="B12" t="s">
        <v>172</v>
      </c>
      <c r="C12" t="s">
        <v>177</v>
      </c>
      <c r="D12" t="s">
        <v>178</v>
      </c>
      <c r="E12" t="s">
        <v>10</v>
      </c>
      <c r="F12" t="s">
        <v>21</v>
      </c>
      <c r="G12" t="s">
        <v>175</v>
      </c>
      <c r="H12" t="s">
        <v>176</v>
      </c>
      <c r="J12" t="s">
        <v>177</v>
      </c>
      <c r="K12" t="s">
        <v>200</v>
      </c>
      <c r="L12">
        <v>6.9111854409091081E-2</v>
      </c>
      <c r="M12">
        <v>0.14882013215878481</v>
      </c>
      <c r="O12" t="s">
        <v>210</v>
      </c>
      <c r="P12" t="s">
        <v>215</v>
      </c>
      <c r="Q12" t="s">
        <v>216</v>
      </c>
      <c r="R12" t="s">
        <v>10</v>
      </c>
      <c r="S12" t="s">
        <v>21</v>
      </c>
      <c r="T12" t="s">
        <v>213</v>
      </c>
      <c r="U12" t="s">
        <v>214</v>
      </c>
      <c r="V12" t="s">
        <v>176</v>
      </c>
      <c r="X12" t="s">
        <v>215</v>
      </c>
      <c r="Y12" t="s">
        <v>201</v>
      </c>
      <c r="Z12" t="s">
        <v>236</v>
      </c>
      <c r="AA12">
        <v>0.99882847078053061</v>
      </c>
      <c r="AB12">
        <v>21.478035690271827</v>
      </c>
      <c r="AD12" t="s">
        <v>210</v>
      </c>
      <c r="AE12" t="s">
        <v>247</v>
      </c>
      <c r="AF12" t="s">
        <v>248</v>
      </c>
      <c r="AG12" t="s">
        <v>10</v>
      </c>
      <c r="AH12" t="s">
        <v>21</v>
      </c>
      <c r="AI12" t="s">
        <v>214</v>
      </c>
      <c r="AJ12" t="s">
        <v>176</v>
      </c>
      <c r="AL12" t="s">
        <v>247</v>
      </c>
      <c r="AM12" t="s">
        <v>267</v>
      </c>
      <c r="AN12" t="s">
        <v>268</v>
      </c>
      <c r="AO12">
        <v>0.99820448750458923</v>
      </c>
      <c r="AP12">
        <v>32.91772908253018</v>
      </c>
      <c r="AR12" t="s">
        <v>210</v>
      </c>
      <c r="AS12" t="s">
        <v>287</v>
      </c>
      <c r="AT12" t="s">
        <v>288</v>
      </c>
      <c r="AU12" t="s">
        <v>10</v>
      </c>
      <c r="AV12" t="s">
        <v>21</v>
      </c>
      <c r="AW12" t="s">
        <v>214</v>
      </c>
      <c r="AX12" t="s">
        <v>176</v>
      </c>
      <c r="AZ12" t="s">
        <v>287</v>
      </c>
      <c r="BA12" t="s">
        <v>359</v>
      </c>
      <c r="BB12" t="s">
        <v>360</v>
      </c>
      <c r="BC12">
        <v>0.98680057418415568</v>
      </c>
      <c r="BD12">
        <v>241.9894732904786</v>
      </c>
    </row>
    <row r="13" spans="2:56">
      <c r="B13" t="s">
        <v>172</v>
      </c>
      <c r="C13" t="s">
        <v>179</v>
      </c>
      <c r="D13" t="s">
        <v>180</v>
      </c>
      <c r="E13" t="s">
        <v>10</v>
      </c>
      <c r="F13" t="s">
        <v>21</v>
      </c>
      <c r="G13" t="s">
        <v>175</v>
      </c>
      <c r="H13" t="s">
        <v>176</v>
      </c>
      <c r="J13" t="s">
        <v>179</v>
      </c>
      <c r="K13" t="s">
        <v>201</v>
      </c>
      <c r="L13">
        <v>2.1151752952743372</v>
      </c>
      <c r="M13">
        <v>0.1401778336911112</v>
      </c>
      <c r="O13" t="s">
        <v>210</v>
      </c>
      <c r="P13" t="s">
        <v>217</v>
      </c>
      <c r="Q13" t="s">
        <v>218</v>
      </c>
      <c r="R13" t="s">
        <v>10</v>
      </c>
      <c r="S13" t="s">
        <v>21</v>
      </c>
      <c r="T13" t="s">
        <v>213</v>
      </c>
      <c r="U13" t="s">
        <v>214</v>
      </c>
      <c r="V13" t="s">
        <v>176</v>
      </c>
      <c r="X13" t="s">
        <v>217</v>
      </c>
      <c r="Y13" t="s">
        <v>200</v>
      </c>
      <c r="Z13" t="s">
        <v>237</v>
      </c>
      <c r="AA13">
        <v>0.99600812242405146</v>
      </c>
      <c r="AB13">
        <v>73.184422225722628</v>
      </c>
      <c r="AD13" t="s">
        <v>210</v>
      </c>
      <c r="AE13" t="s">
        <v>249</v>
      </c>
      <c r="AF13" t="s">
        <v>250</v>
      </c>
      <c r="AG13" t="s">
        <v>10</v>
      </c>
      <c r="AH13" t="s">
        <v>21</v>
      </c>
      <c r="AI13" t="s">
        <v>214</v>
      </c>
      <c r="AJ13" t="s">
        <v>176</v>
      </c>
      <c r="AL13" t="s">
        <v>249</v>
      </c>
      <c r="AM13" t="s">
        <v>269</v>
      </c>
      <c r="AN13" t="s">
        <v>270</v>
      </c>
      <c r="AO13">
        <v>0.99829640811481757</v>
      </c>
      <c r="AP13">
        <v>31.232517895012144</v>
      </c>
      <c r="AR13" t="s">
        <v>210</v>
      </c>
      <c r="AS13" t="s">
        <v>289</v>
      </c>
      <c r="AT13" t="s">
        <v>290</v>
      </c>
      <c r="AU13" t="s">
        <v>10</v>
      </c>
      <c r="AV13" t="s">
        <v>21</v>
      </c>
      <c r="AW13" t="s">
        <v>214</v>
      </c>
      <c r="AX13" t="s">
        <v>176</v>
      </c>
      <c r="AZ13" t="s">
        <v>289</v>
      </c>
      <c r="BA13" t="s">
        <v>361</v>
      </c>
      <c r="BB13" t="s">
        <v>362</v>
      </c>
      <c r="BC13">
        <v>0.99263092479256698</v>
      </c>
      <c r="BD13">
        <v>135.09971213627173</v>
      </c>
    </row>
    <row r="14" spans="2:56">
      <c r="B14" t="s">
        <v>172</v>
      </c>
      <c r="C14" t="s">
        <v>181</v>
      </c>
      <c r="D14" t="s">
        <v>182</v>
      </c>
      <c r="E14" t="s">
        <v>10</v>
      </c>
      <c r="F14" t="s">
        <v>21</v>
      </c>
      <c r="G14" t="s">
        <v>175</v>
      </c>
      <c r="H14" t="s">
        <v>176</v>
      </c>
      <c r="J14" t="s">
        <v>181</v>
      </c>
      <c r="K14" t="s">
        <v>202</v>
      </c>
      <c r="L14">
        <v>7.6211411342299611</v>
      </c>
      <c r="M14">
        <v>0.15589190397780561</v>
      </c>
      <c r="O14" t="s">
        <v>210</v>
      </c>
      <c r="P14" t="s">
        <v>219</v>
      </c>
      <c r="Q14" t="s">
        <v>220</v>
      </c>
      <c r="R14" t="s">
        <v>10</v>
      </c>
      <c r="S14" t="s">
        <v>21</v>
      </c>
      <c r="T14" t="s">
        <v>213</v>
      </c>
      <c r="U14" t="s">
        <v>214</v>
      </c>
      <c r="V14" t="s">
        <v>176</v>
      </c>
      <c r="X14" t="s">
        <v>219</v>
      </c>
      <c r="Y14" t="s">
        <v>208</v>
      </c>
      <c r="Z14" t="s">
        <v>238</v>
      </c>
      <c r="AA14">
        <v>0.99815562054185902</v>
      </c>
      <c r="AB14">
        <v>33.81362339925078</v>
      </c>
      <c r="AD14" t="s">
        <v>210</v>
      </c>
      <c r="AE14" t="s">
        <v>251</v>
      </c>
      <c r="AF14" t="s">
        <v>252</v>
      </c>
      <c r="AG14" t="s">
        <v>10</v>
      </c>
      <c r="AH14" t="s">
        <v>21</v>
      </c>
      <c r="AI14" t="s">
        <v>214</v>
      </c>
      <c r="AJ14" t="s">
        <v>176</v>
      </c>
      <c r="AL14" t="s">
        <v>251</v>
      </c>
      <c r="AM14" t="s">
        <v>271</v>
      </c>
      <c r="AN14" t="s">
        <v>272</v>
      </c>
      <c r="AO14">
        <v>0.99826505593505321</v>
      </c>
      <c r="AP14">
        <v>31.807307857358317</v>
      </c>
      <c r="AR14" t="s">
        <v>210</v>
      </c>
      <c r="AS14" t="s">
        <v>291</v>
      </c>
      <c r="AT14" t="s">
        <v>292</v>
      </c>
      <c r="AU14" t="s">
        <v>10</v>
      </c>
      <c r="AV14" t="s">
        <v>21</v>
      </c>
      <c r="AW14" t="s">
        <v>214</v>
      </c>
      <c r="AX14" t="s">
        <v>176</v>
      </c>
      <c r="AZ14" t="s">
        <v>291</v>
      </c>
      <c r="BA14" t="s">
        <v>363</v>
      </c>
      <c r="BB14" t="s">
        <v>364</v>
      </c>
      <c r="BC14">
        <v>0.9735302461515426</v>
      </c>
      <c r="BD14">
        <v>485.2788205550533</v>
      </c>
    </row>
    <row r="15" spans="2:56">
      <c r="B15" t="s">
        <v>172</v>
      </c>
      <c r="C15" t="s">
        <v>183</v>
      </c>
      <c r="D15" t="s">
        <v>184</v>
      </c>
      <c r="E15" t="s">
        <v>10</v>
      </c>
      <c r="F15" t="s">
        <v>21</v>
      </c>
      <c r="G15" t="s">
        <v>175</v>
      </c>
      <c r="H15" t="s">
        <v>176</v>
      </c>
      <c r="J15" t="s">
        <v>183</v>
      </c>
      <c r="K15" t="s">
        <v>203</v>
      </c>
      <c r="L15">
        <v>5.9147470229377381</v>
      </c>
      <c r="M15">
        <v>0.1448081809828432</v>
      </c>
      <c r="O15" t="s">
        <v>210</v>
      </c>
      <c r="P15" t="s">
        <v>221</v>
      </c>
      <c r="Q15" t="s">
        <v>222</v>
      </c>
      <c r="R15" t="s">
        <v>10</v>
      </c>
      <c r="S15" t="s">
        <v>21</v>
      </c>
      <c r="T15" t="s">
        <v>213</v>
      </c>
      <c r="U15" t="s">
        <v>214</v>
      </c>
      <c r="V15" t="s">
        <v>176</v>
      </c>
      <c r="X15" t="s">
        <v>221</v>
      </c>
      <c r="Y15" t="s">
        <v>206</v>
      </c>
      <c r="Z15" t="s">
        <v>239</v>
      </c>
      <c r="AA15">
        <v>0.99772047083431703</v>
      </c>
      <c r="AB15">
        <v>41.791368037520947</v>
      </c>
      <c r="AD15" t="s">
        <v>210</v>
      </c>
      <c r="AE15" t="s">
        <v>253</v>
      </c>
      <c r="AF15" t="s">
        <v>254</v>
      </c>
      <c r="AG15" t="s">
        <v>10</v>
      </c>
      <c r="AH15" t="s">
        <v>21</v>
      </c>
      <c r="AI15" t="s">
        <v>214</v>
      </c>
      <c r="AJ15" t="s">
        <v>176</v>
      </c>
      <c r="AL15" t="s">
        <v>253</v>
      </c>
      <c r="AM15" t="s">
        <v>273</v>
      </c>
      <c r="AN15" t="s">
        <v>274</v>
      </c>
      <c r="AO15">
        <v>0.99879556660280355</v>
      </c>
      <c r="AP15">
        <v>22.081278948601042</v>
      </c>
      <c r="AR15" t="s">
        <v>210</v>
      </c>
      <c r="AS15" t="s">
        <v>293</v>
      </c>
      <c r="AT15" t="s">
        <v>294</v>
      </c>
      <c r="AU15" t="s">
        <v>10</v>
      </c>
      <c r="AV15" t="s">
        <v>21</v>
      </c>
      <c r="AW15" t="s">
        <v>214</v>
      </c>
      <c r="AX15" t="s">
        <v>176</v>
      </c>
      <c r="AZ15" t="s">
        <v>293</v>
      </c>
      <c r="BA15" t="s">
        <v>365</v>
      </c>
      <c r="BB15" t="s">
        <v>366</v>
      </c>
      <c r="BC15">
        <v>0.98702443219639058</v>
      </c>
      <c r="BD15">
        <v>237.88540973283864</v>
      </c>
    </row>
    <row r="16" spans="2:56">
      <c r="B16" t="s">
        <v>172</v>
      </c>
      <c r="C16" t="s">
        <v>185</v>
      </c>
      <c r="D16" t="s">
        <v>186</v>
      </c>
      <c r="E16" t="s">
        <v>10</v>
      </c>
      <c r="F16" t="s">
        <v>21</v>
      </c>
      <c r="G16" t="s">
        <v>175</v>
      </c>
      <c r="H16" t="s">
        <v>176</v>
      </c>
      <c r="J16" t="s">
        <v>185</v>
      </c>
      <c r="K16" t="s">
        <v>204</v>
      </c>
      <c r="L16">
        <v>5.8516527032396821</v>
      </c>
      <c r="M16">
        <v>0.149279341139122</v>
      </c>
      <c r="O16" t="s">
        <v>210</v>
      </c>
      <c r="P16" t="s">
        <v>223</v>
      </c>
      <c r="Q16" t="s">
        <v>224</v>
      </c>
      <c r="R16" t="s">
        <v>10</v>
      </c>
      <c r="S16" t="s">
        <v>21</v>
      </c>
      <c r="T16" t="s">
        <v>213</v>
      </c>
      <c r="U16" t="s">
        <v>214</v>
      </c>
      <c r="V16" t="s">
        <v>176</v>
      </c>
      <c r="X16" t="s">
        <v>223</v>
      </c>
      <c r="Y16" t="s">
        <v>202</v>
      </c>
      <c r="Z16" t="s">
        <v>240</v>
      </c>
      <c r="AA16">
        <v>0.99808381962859305</v>
      </c>
      <c r="AB16">
        <v>35.129973475794912</v>
      </c>
      <c r="AD16" t="s">
        <v>210</v>
      </c>
      <c r="AE16" t="s">
        <v>255</v>
      </c>
      <c r="AF16" t="s">
        <v>256</v>
      </c>
      <c r="AG16" t="s">
        <v>10</v>
      </c>
      <c r="AH16" t="s">
        <v>21</v>
      </c>
      <c r="AI16" t="s">
        <v>214</v>
      </c>
      <c r="AJ16" t="s">
        <v>176</v>
      </c>
      <c r="AL16" t="s">
        <v>255</v>
      </c>
      <c r="AM16" t="s">
        <v>275</v>
      </c>
      <c r="AN16" t="s">
        <v>276</v>
      </c>
      <c r="AO16">
        <v>0.99797671409285116</v>
      </c>
      <c r="AP16">
        <v>37.093574964395906</v>
      </c>
      <c r="AR16" t="s">
        <v>210</v>
      </c>
      <c r="AS16" t="s">
        <v>295</v>
      </c>
      <c r="AT16" t="s">
        <v>296</v>
      </c>
      <c r="AU16" t="s">
        <v>10</v>
      </c>
      <c r="AV16" t="s">
        <v>21</v>
      </c>
      <c r="AW16" t="s">
        <v>214</v>
      </c>
      <c r="AX16" t="s">
        <v>176</v>
      </c>
      <c r="AZ16" t="s">
        <v>295</v>
      </c>
      <c r="BA16" t="s">
        <v>367</v>
      </c>
      <c r="BB16" t="s">
        <v>368</v>
      </c>
      <c r="BC16">
        <v>0.98476539237821181</v>
      </c>
      <c r="BD16">
        <v>279.30113973278407</v>
      </c>
    </row>
    <row r="17" spans="2:56">
      <c r="B17" t="s">
        <v>172</v>
      </c>
      <c r="C17" t="s">
        <v>187</v>
      </c>
      <c r="D17" t="s">
        <v>188</v>
      </c>
      <c r="E17" t="s">
        <v>10</v>
      </c>
      <c r="F17" t="s">
        <v>21</v>
      </c>
      <c r="G17" t="s">
        <v>175</v>
      </c>
      <c r="H17" t="s">
        <v>176</v>
      </c>
      <c r="J17" t="s">
        <v>187</v>
      </c>
      <c r="K17" t="s">
        <v>205</v>
      </c>
      <c r="L17">
        <v>7.9797059341900134</v>
      </c>
      <c r="M17">
        <v>0.1551338909357704</v>
      </c>
      <c r="O17" t="s">
        <v>210</v>
      </c>
      <c r="P17" t="s">
        <v>225</v>
      </c>
      <c r="Q17" t="s">
        <v>226</v>
      </c>
      <c r="R17" t="s">
        <v>10</v>
      </c>
      <c r="S17" t="s">
        <v>21</v>
      </c>
      <c r="T17" t="s">
        <v>213</v>
      </c>
      <c r="U17" t="s">
        <v>214</v>
      </c>
      <c r="V17" t="s">
        <v>176</v>
      </c>
      <c r="X17" t="s">
        <v>225</v>
      </c>
      <c r="Y17" t="s">
        <v>204</v>
      </c>
      <c r="Z17" t="s">
        <v>241</v>
      </c>
      <c r="AA17">
        <v>0.99907990948974823</v>
      </c>
      <c r="AB17">
        <v>16.868326021282812</v>
      </c>
      <c r="AD17" t="s">
        <v>210</v>
      </c>
      <c r="AE17" t="s">
        <v>257</v>
      </c>
      <c r="AF17" t="s">
        <v>258</v>
      </c>
      <c r="AG17" t="s">
        <v>10</v>
      </c>
      <c r="AH17" t="s">
        <v>21</v>
      </c>
      <c r="AI17" t="s">
        <v>214</v>
      </c>
      <c r="AJ17" t="s">
        <v>176</v>
      </c>
      <c r="AL17" t="s">
        <v>257</v>
      </c>
      <c r="AM17" t="s">
        <v>277</v>
      </c>
      <c r="AN17" t="s">
        <v>278</v>
      </c>
      <c r="AO17">
        <v>0.99876487267473824</v>
      </c>
      <c r="AP17">
        <v>22.64400096313291</v>
      </c>
      <c r="AR17" t="s">
        <v>210</v>
      </c>
      <c r="AS17" t="s">
        <v>297</v>
      </c>
      <c r="AT17" t="s">
        <v>298</v>
      </c>
      <c r="AU17" t="s">
        <v>10</v>
      </c>
      <c r="AV17" t="s">
        <v>21</v>
      </c>
      <c r="AW17" t="s">
        <v>214</v>
      </c>
      <c r="AX17" t="s">
        <v>176</v>
      </c>
      <c r="AZ17" t="s">
        <v>297</v>
      </c>
      <c r="BA17" t="s">
        <v>369</v>
      </c>
      <c r="BB17" t="s">
        <v>370</v>
      </c>
      <c r="BC17">
        <v>0.99415783676882774</v>
      </c>
      <c r="BD17">
        <v>107.10632590482507</v>
      </c>
    </row>
    <row r="18" spans="2:56">
      <c r="B18" t="s">
        <v>172</v>
      </c>
      <c r="C18" t="s">
        <v>189</v>
      </c>
      <c r="D18" t="s">
        <v>190</v>
      </c>
      <c r="E18" t="s">
        <v>10</v>
      </c>
      <c r="F18" t="s">
        <v>21</v>
      </c>
      <c r="G18" t="s">
        <v>175</v>
      </c>
      <c r="H18" t="s">
        <v>176</v>
      </c>
      <c r="J18" t="s">
        <v>189</v>
      </c>
      <c r="K18" t="s">
        <v>206</v>
      </c>
      <c r="L18">
        <v>5.9781662722653088</v>
      </c>
      <c r="M18">
        <v>0.1528263083866529</v>
      </c>
      <c r="O18" t="s">
        <v>210</v>
      </c>
      <c r="P18" t="s">
        <v>227</v>
      </c>
      <c r="Q18" t="s">
        <v>228</v>
      </c>
      <c r="R18" t="s">
        <v>10</v>
      </c>
      <c r="S18" t="s">
        <v>21</v>
      </c>
      <c r="T18" t="s">
        <v>213</v>
      </c>
      <c r="U18" t="s">
        <v>214</v>
      </c>
      <c r="V18" t="s">
        <v>176</v>
      </c>
      <c r="X18" t="s">
        <v>227</v>
      </c>
      <c r="Y18" t="s">
        <v>199</v>
      </c>
      <c r="Z18" t="s">
        <v>242</v>
      </c>
      <c r="AA18">
        <v>0.99895143703583655</v>
      </c>
      <c r="AB18">
        <v>19.223654342996348</v>
      </c>
      <c r="AD18" t="s">
        <v>210</v>
      </c>
      <c r="AE18" t="s">
        <v>259</v>
      </c>
      <c r="AF18" t="s">
        <v>260</v>
      </c>
      <c r="AG18" t="s">
        <v>10</v>
      </c>
      <c r="AH18" t="s">
        <v>21</v>
      </c>
      <c r="AI18" t="s">
        <v>214</v>
      </c>
      <c r="AJ18" t="s">
        <v>176</v>
      </c>
      <c r="AL18" t="s">
        <v>259</v>
      </c>
      <c r="AM18" t="s">
        <v>279</v>
      </c>
      <c r="AN18" t="s">
        <v>280</v>
      </c>
      <c r="AO18">
        <v>0.99964145023420503</v>
      </c>
      <c r="AP18">
        <v>6.5734123729074465</v>
      </c>
      <c r="AR18" t="s">
        <v>210</v>
      </c>
      <c r="AS18" t="s">
        <v>299</v>
      </c>
      <c r="AT18" t="s">
        <v>300</v>
      </c>
      <c r="AU18" t="s">
        <v>10</v>
      </c>
      <c r="AV18" t="s">
        <v>21</v>
      </c>
      <c r="AW18" t="s">
        <v>214</v>
      </c>
      <c r="AX18" t="s">
        <v>176</v>
      </c>
      <c r="AZ18" t="s">
        <v>299</v>
      </c>
      <c r="BA18" t="s">
        <v>371</v>
      </c>
      <c r="BB18" t="s">
        <v>372</v>
      </c>
      <c r="BC18">
        <v>0.99504227556735247</v>
      </c>
      <c r="BD18">
        <v>90.891614598538183</v>
      </c>
    </row>
    <row r="19" spans="2:56">
      <c r="B19" t="s">
        <v>172</v>
      </c>
      <c r="C19" t="s">
        <v>191</v>
      </c>
      <c r="D19" t="s">
        <v>192</v>
      </c>
      <c r="E19" t="s">
        <v>10</v>
      </c>
      <c r="F19" t="s">
        <v>21</v>
      </c>
      <c r="G19" t="s">
        <v>175</v>
      </c>
      <c r="H19" t="s">
        <v>176</v>
      </c>
      <c r="J19" t="s">
        <v>191</v>
      </c>
      <c r="K19" t="s">
        <v>207</v>
      </c>
      <c r="L19">
        <v>1.4482489585390732</v>
      </c>
      <c r="M19">
        <v>0.14936066270951009</v>
      </c>
      <c r="O19" t="s">
        <v>210</v>
      </c>
      <c r="P19" t="s">
        <v>229</v>
      </c>
      <c r="Q19" t="s">
        <v>230</v>
      </c>
      <c r="R19" t="s">
        <v>10</v>
      </c>
      <c r="S19" t="s">
        <v>21</v>
      </c>
      <c r="T19" t="s">
        <v>213</v>
      </c>
      <c r="U19" t="s">
        <v>214</v>
      </c>
      <c r="V19" t="s">
        <v>176</v>
      </c>
      <c r="X19" t="s">
        <v>229</v>
      </c>
      <c r="Y19" t="s">
        <v>205</v>
      </c>
      <c r="Z19" t="s">
        <v>243</v>
      </c>
      <c r="AA19">
        <v>0.99839397127563723</v>
      </c>
      <c r="AB19">
        <v>29.44385994665101</v>
      </c>
      <c r="AD19" t="s">
        <v>210</v>
      </c>
      <c r="AE19" t="s">
        <v>261</v>
      </c>
      <c r="AF19" t="s">
        <v>262</v>
      </c>
      <c r="AG19" t="s">
        <v>10</v>
      </c>
      <c r="AH19" t="s">
        <v>21</v>
      </c>
      <c r="AI19" t="s">
        <v>214</v>
      </c>
      <c r="AJ19" t="s">
        <v>176</v>
      </c>
      <c r="AL19" t="s">
        <v>261</v>
      </c>
      <c r="AM19" t="s">
        <v>281</v>
      </c>
      <c r="AN19" t="s">
        <v>282</v>
      </c>
      <c r="AO19">
        <v>0.99841640215354499</v>
      </c>
      <c r="AP19">
        <v>29.032627185008565</v>
      </c>
      <c r="AR19" t="s">
        <v>210</v>
      </c>
      <c r="AS19" t="s">
        <v>301</v>
      </c>
      <c r="AT19" t="s">
        <v>302</v>
      </c>
      <c r="AU19" t="s">
        <v>10</v>
      </c>
      <c r="AV19" t="s">
        <v>21</v>
      </c>
      <c r="AW19" t="s">
        <v>214</v>
      </c>
      <c r="AX19" t="s">
        <v>176</v>
      </c>
      <c r="AZ19" t="s">
        <v>301</v>
      </c>
      <c r="BA19" t="s">
        <v>373</v>
      </c>
      <c r="BB19" t="s">
        <v>374</v>
      </c>
      <c r="BC19">
        <v>0.98895989498625159</v>
      </c>
      <c r="BD19">
        <v>202.40192525205526</v>
      </c>
    </row>
    <row r="20" spans="2:56">
      <c r="B20" t="s">
        <v>172</v>
      </c>
      <c r="C20" t="s">
        <v>193</v>
      </c>
      <c r="D20" t="s">
        <v>194</v>
      </c>
      <c r="E20" t="s">
        <v>10</v>
      </c>
      <c r="F20" t="s">
        <v>21</v>
      </c>
      <c r="G20" t="s">
        <v>175</v>
      </c>
      <c r="H20" t="s">
        <v>176</v>
      </c>
      <c r="J20" t="s">
        <v>193</v>
      </c>
      <c r="K20" t="s">
        <v>208</v>
      </c>
      <c r="L20">
        <v>1.9157311138131199</v>
      </c>
      <c r="M20">
        <v>0.1518090112554904</v>
      </c>
      <c r="O20" t="s">
        <v>210</v>
      </c>
      <c r="P20" t="s">
        <v>231</v>
      </c>
      <c r="Q20" t="s">
        <v>232</v>
      </c>
      <c r="R20" t="s">
        <v>10</v>
      </c>
      <c r="S20" t="s">
        <v>21</v>
      </c>
      <c r="T20" t="s">
        <v>213</v>
      </c>
      <c r="U20" t="s">
        <v>214</v>
      </c>
      <c r="V20" t="s">
        <v>176</v>
      </c>
      <c r="X20" t="s">
        <v>231</v>
      </c>
      <c r="Y20" t="s">
        <v>207</v>
      </c>
      <c r="Z20" t="s">
        <v>244</v>
      </c>
      <c r="AA20">
        <v>0.99861411826024438</v>
      </c>
      <c r="AB20">
        <v>25.407831895519109</v>
      </c>
      <c r="AD20" t="s">
        <v>210</v>
      </c>
      <c r="AE20" t="s">
        <v>263</v>
      </c>
      <c r="AF20" t="s">
        <v>264</v>
      </c>
      <c r="AG20" t="s">
        <v>10</v>
      </c>
      <c r="AH20" t="s">
        <v>21</v>
      </c>
      <c r="AI20" t="s">
        <v>214</v>
      </c>
      <c r="AJ20" t="s">
        <v>176</v>
      </c>
      <c r="AL20" t="s">
        <v>263</v>
      </c>
      <c r="AM20" t="s">
        <v>283</v>
      </c>
      <c r="AN20" t="s">
        <v>284</v>
      </c>
      <c r="AO20">
        <v>0.99788960803391069</v>
      </c>
      <c r="AP20">
        <v>38.69051937830465</v>
      </c>
      <c r="AR20" t="s">
        <v>210</v>
      </c>
      <c r="AS20" t="s">
        <v>303</v>
      </c>
      <c r="AT20" t="s">
        <v>304</v>
      </c>
      <c r="AU20" t="s">
        <v>10</v>
      </c>
      <c r="AV20" t="s">
        <v>21</v>
      </c>
      <c r="AW20" t="s">
        <v>214</v>
      </c>
      <c r="AX20" t="s">
        <v>176</v>
      </c>
      <c r="AZ20" t="s">
        <v>303</v>
      </c>
      <c r="BA20" t="s">
        <v>375</v>
      </c>
      <c r="BB20" t="s">
        <v>376</v>
      </c>
      <c r="BC20">
        <v>0.9946795421707223</v>
      </c>
      <c r="BD20">
        <v>97.541726870091992</v>
      </c>
    </row>
    <row r="21" spans="2:56">
      <c r="AR21" t="s">
        <v>210</v>
      </c>
      <c r="AS21" t="s">
        <v>305</v>
      </c>
      <c r="AT21" t="s">
        <v>306</v>
      </c>
      <c r="AU21" t="s">
        <v>10</v>
      </c>
      <c r="AV21" t="s">
        <v>21</v>
      </c>
      <c r="AW21" t="s">
        <v>214</v>
      </c>
      <c r="AX21" t="s">
        <v>176</v>
      </c>
      <c r="AZ21" t="s">
        <v>305</v>
      </c>
      <c r="BA21" t="s">
        <v>377</v>
      </c>
      <c r="BB21" t="s">
        <v>360</v>
      </c>
      <c r="BC21">
        <v>0.99203628399018684</v>
      </c>
      <c r="BD21">
        <v>146.0014601799073</v>
      </c>
    </row>
    <row r="22" spans="2:56">
      <c r="AR22" t="s">
        <v>210</v>
      </c>
      <c r="AS22" t="s">
        <v>307</v>
      </c>
      <c r="AT22" t="s">
        <v>308</v>
      </c>
      <c r="AU22" t="s">
        <v>10</v>
      </c>
      <c r="AV22" t="s">
        <v>21</v>
      </c>
      <c r="AW22" t="s">
        <v>214</v>
      </c>
      <c r="AX22" t="s">
        <v>176</v>
      </c>
      <c r="AZ22" t="s">
        <v>307</v>
      </c>
      <c r="BA22" t="s">
        <v>378</v>
      </c>
      <c r="BB22" t="s">
        <v>379</v>
      </c>
      <c r="BC22">
        <v>0.99409227633736386</v>
      </c>
      <c r="BD22">
        <v>108.3082671483288</v>
      </c>
    </row>
    <row r="23" spans="2:56">
      <c r="AR23" t="s">
        <v>210</v>
      </c>
      <c r="AS23" t="s">
        <v>309</v>
      </c>
      <c r="AT23" t="s">
        <v>310</v>
      </c>
      <c r="AU23" t="s">
        <v>10</v>
      </c>
      <c r="AV23" t="s">
        <v>21</v>
      </c>
      <c r="AW23" t="s">
        <v>214</v>
      </c>
      <c r="AX23" t="s">
        <v>176</v>
      </c>
      <c r="AZ23" t="s">
        <v>309</v>
      </c>
      <c r="BA23" t="s">
        <v>380</v>
      </c>
      <c r="BB23" t="s">
        <v>381</v>
      </c>
      <c r="BC23">
        <v>0.98616712629287406</v>
      </c>
      <c r="BD23">
        <v>253.60268463064131</v>
      </c>
    </row>
    <row r="24" spans="2:56">
      <c r="AR24" t="s">
        <v>210</v>
      </c>
      <c r="AS24" t="s">
        <v>311</v>
      </c>
      <c r="AT24" t="s">
        <v>312</v>
      </c>
      <c r="AU24" t="s">
        <v>10</v>
      </c>
      <c r="AV24" t="s">
        <v>21</v>
      </c>
      <c r="AW24" t="s">
        <v>214</v>
      </c>
      <c r="AX24" t="s">
        <v>176</v>
      </c>
      <c r="AZ24" t="s">
        <v>311</v>
      </c>
      <c r="BA24" t="s">
        <v>382</v>
      </c>
      <c r="BB24" t="s">
        <v>383</v>
      </c>
      <c r="BC24">
        <v>0.99132349157736788</v>
      </c>
      <c r="BD24">
        <v>159.06932108158975</v>
      </c>
    </row>
    <row r="25" spans="2:56">
      <c r="AR25" t="s">
        <v>210</v>
      </c>
      <c r="AS25" t="s">
        <v>313</v>
      </c>
      <c r="AT25" t="s">
        <v>314</v>
      </c>
      <c r="AU25" t="s">
        <v>10</v>
      </c>
      <c r="AV25" t="s">
        <v>21</v>
      </c>
      <c r="AW25" t="s">
        <v>214</v>
      </c>
      <c r="AX25" t="s">
        <v>176</v>
      </c>
      <c r="AZ25" t="s">
        <v>313</v>
      </c>
      <c r="BA25" t="s">
        <v>384</v>
      </c>
      <c r="BB25" t="s">
        <v>385</v>
      </c>
      <c r="BC25">
        <v>0.97511664185498959</v>
      </c>
      <c r="BD25">
        <v>456.19489932519053</v>
      </c>
    </row>
    <row r="26" spans="2:56">
      <c r="AR26" t="s">
        <v>210</v>
      </c>
      <c r="AS26" t="s">
        <v>315</v>
      </c>
      <c r="AT26" t="s">
        <v>316</v>
      </c>
      <c r="AU26" t="s">
        <v>10</v>
      </c>
      <c r="AV26" t="s">
        <v>21</v>
      </c>
      <c r="AW26" t="s">
        <v>214</v>
      </c>
      <c r="AX26" t="s">
        <v>176</v>
      </c>
      <c r="AZ26" t="s">
        <v>315</v>
      </c>
      <c r="BA26" t="s">
        <v>386</v>
      </c>
      <c r="BB26" t="s">
        <v>387</v>
      </c>
      <c r="BC26">
        <v>0.98663125284575504</v>
      </c>
      <c r="BD26">
        <v>245.09369782782457</v>
      </c>
    </row>
    <row r="27" spans="2:56">
      <c r="AR27" t="s">
        <v>210</v>
      </c>
      <c r="AS27" t="s">
        <v>317</v>
      </c>
      <c r="AT27" t="s">
        <v>318</v>
      </c>
      <c r="AU27" t="s">
        <v>10</v>
      </c>
      <c r="AV27" t="s">
        <v>21</v>
      </c>
      <c r="AW27" t="s">
        <v>214</v>
      </c>
      <c r="AX27" t="s">
        <v>176</v>
      </c>
      <c r="AZ27" t="s">
        <v>317</v>
      </c>
      <c r="BA27" t="s">
        <v>388</v>
      </c>
      <c r="BB27" t="s">
        <v>389</v>
      </c>
      <c r="BC27">
        <v>0.99797704648789787</v>
      </c>
      <c r="BD27">
        <v>37.087481055204883</v>
      </c>
    </row>
    <row r="28" spans="2:56">
      <c r="AR28" t="s">
        <v>210</v>
      </c>
      <c r="AS28" t="s">
        <v>319</v>
      </c>
      <c r="AT28" t="s">
        <v>320</v>
      </c>
      <c r="AU28" t="s">
        <v>10</v>
      </c>
      <c r="AV28" t="s">
        <v>21</v>
      </c>
      <c r="AW28" t="s">
        <v>214</v>
      </c>
      <c r="AX28" t="s">
        <v>176</v>
      </c>
      <c r="AZ28" t="s">
        <v>319</v>
      </c>
      <c r="BA28" t="s">
        <v>390</v>
      </c>
      <c r="BB28" t="s">
        <v>360</v>
      </c>
      <c r="BC28">
        <v>0.97980165720226331</v>
      </c>
      <c r="BD28">
        <v>370.30295129183952</v>
      </c>
    </row>
    <row r="29" spans="2:56">
      <c r="AR29" t="s">
        <v>210</v>
      </c>
      <c r="AS29" t="s">
        <v>321</v>
      </c>
      <c r="AT29" t="s">
        <v>322</v>
      </c>
      <c r="AU29" t="s">
        <v>10</v>
      </c>
      <c r="AV29" t="s">
        <v>21</v>
      </c>
      <c r="AW29" t="s">
        <v>214</v>
      </c>
      <c r="AX29" t="s">
        <v>176</v>
      </c>
      <c r="AZ29" t="s">
        <v>321</v>
      </c>
      <c r="BA29" t="s">
        <v>391</v>
      </c>
      <c r="BB29" t="s">
        <v>392</v>
      </c>
      <c r="BC29">
        <v>0.96888074485113784</v>
      </c>
      <c r="BD29">
        <v>570.51967772914054</v>
      </c>
    </row>
    <row r="30" spans="2:56">
      <c r="AR30" t="s">
        <v>210</v>
      </c>
      <c r="AS30" t="s">
        <v>323</v>
      </c>
      <c r="AT30" t="s">
        <v>324</v>
      </c>
      <c r="AU30" t="s">
        <v>10</v>
      </c>
      <c r="AV30" t="s">
        <v>21</v>
      </c>
      <c r="AW30" t="s">
        <v>214</v>
      </c>
      <c r="AX30" t="s">
        <v>176</v>
      </c>
      <c r="AZ30" t="s">
        <v>323</v>
      </c>
      <c r="BA30" t="s">
        <v>393</v>
      </c>
      <c r="BB30" t="s">
        <v>394</v>
      </c>
      <c r="BC30">
        <v>0.98673181208908134</v>
      </c>
      <c r="BD30">
        <v>243.25011170017518</v>
      </c>
    </row>
    <row r="31" spans="2:56">
      <c r="AR31" t="s">
        <v>210</v>
      </c>
      <c r="AS31" t="s">
        <v>325</v>
      </c>
      <c r="AT31" t="s">
        <v>326</v>
      </c>
      <c r="AU31" t="s">
        <v>10</v>
      </c>
      <c r="AV31" t="s">
        <v>21</v>
      </c>
      <c r="AW31" t="s">
        <v>214</v>
      </c>
      <c r="AX31" t="s">
        <v>176</v>
      </c>
      <c r="AZ31" t="s">
        <v>325</v>
      </c>
      <c r="BA31" t="s">
        <v>395</v>
      </c>
      <c r="BB31" t="s">
        <v>396</v>
      </c>
      <c r="BC31">
        <v>0.98356866932261144</v>
      </c>
      <c r="BD31">
        <v>301.24106241879042</v>
      </c>
    </row>
    <row r="32" spans="2:56">
      <c r="AR32" t="s">
        <v>210</v>
      </c>
      <c r="AS32" t="s">
        <v>327</v>
      </c>
      <c r="AT32" t="s">
        <v>328</v>
      </c>
      <c r="AU32" t="s">
        <v>10</v>
      </c>
      <c r="AV32" t="s">
        <v>21</v>
      </c>
      <c r="AW32" t="s">
        <v>214</v>
      </c>
      <c r="AX32" t="s">
        <v>176</v>
      </c>
      <c r="AZ32" t="s">
        <v>327</v>
      </c>
      <c r="BA32" t="s">
        <v>397</v>
      </c>
      <c r="BB32" t="s">
        <v>364</v>
      </c>
      <c r="BC32">
        <v>0.98444845125527902</v>
      </c>
      <c r="BD32">
        <v>285.11172698655224</v>
      </c>
    </row>
    <row r="33" spans="44:56">
      <c r="AR33" t="s">
        <v>210</v>
      </c>
      <c r="AS33" t="s">
        <v>329</v>
      </c>
      <c r="AT33" t="s">
        <v>330</v>
      </c>
      <c r="AU33" t="s">
        <v>10</v>
      </c>
      <c r="AV33" t="s">
        <v>21</v>
      </c>
      <c r="AW33" t="s">
        <v>214</v>
      </c>
      <c r="AX33" t="s">
        <v>176</v>
      </c>
      <c r="AZ33" t="s">
        <v>329</v>
      </c>
      <c r="BA33" t="s">
        <v>398</v>
      </c>
      <c r="BB33" t="s">
        <v>399</v>
      </c>
      <c r="BC33">
        <v>0.99160660811081658</v>
      </c>
      <c r="BD33">
        <v>153.87885130169599</v>
      </c>
    </row>
    <row r="34" spans="44:56">
      <c r="AR34" t="s">
        <v>210</v>
      </c>
      <c r="AS34" t="s">
        <v>331</v>
      </c>
      <c r="AT34" t="s">
        <v>332</v>
      </c>
      <c r="AU34" t="s">
        <v>10</v>
      </c>
      <c r="AV34" t="s">
        <v>21</v>
      </c>
      <c r="AW34" t="s">
        <v>214</v>
      </c>
      <c r="AX34" t="s">
        <v>176</v>
      </c>
      <c r="AZ34" t="s">
        <v>331</v>
      </c>
      <c r="BA34" t="s">
        <v>400</v>
      </c>
      <c r="BB34" t="s">
        <v>401</v>
      </c>
      <c r="BC34">
        <v>0.9915629183169814</v>
      </c>
      <c r="BD34">
        <v>154.67983085534144</v>
      </c>
    </row>
    <row r="35" spans="44:56">
      <c r="AR35" t="s">
        <v>210</v>
      </c>
      <c r="AS35" t="s">
        <v>333</v>
      </c>
      <c r="AT35" t="s">
        <v>334</v>
      </c>
      <c r="AU35" t="s">
        <v>10</v>
      </c>
      <c r="AV35" t="s">
        <v>21</v>
      </c>
      <c r="AW35" t="s">
        <v>214</v>
      </c>
      <c r="AX35" t="s">
        <v>176</v>
      </c>
      <c r="AZ35" t="s">
        <v>333</v>
      </c>
      <c r="BA35" t="s">
        <v>402</v>
      </c>
      <c r="BB35" t="s">
        <v>403</v>
      </c>
      <c r="BC35">
        <v>0.96838022096107534</v>
      </c>
      <c r="BD35">
        <v>579.69594904695282</v>
      </c>
    </row>
    <row r="36" spans="44:56">
      <c r="AR36" t="s">
        <v>210</v>
      </c>
      <c r="AS36" t="s">
        <v>335</v>
      </c>
      <c r="AT36" t="s">
        <v>336</v>
      </c>
      <c r="AU36" t="s">
        <v>10</v>
      </c>
      <c r="AV36" t="s">
        <v>21</v>
      </c>
      <c r="AW36" t="s">
        <v>214</v>
      </c>
      <c r="AX36" t="s">
        <v>176</v>
      </c>
      <c r="AZ36" t="s">
        <v>335</v>
      </c>
      <c r="BA36" t="s">
        <v>404</v>
      </c>
      <c r="BB36" t="s">
        <v>405</v>
      </c>
      <c r="BC36">
        <v>0.98154698324453926</v>
      </c>
      <c r="BD36">
        <v>338.30530718344716</v>
      </c>
    </row>
    <row r="37" spans="44:56">
      <c r="AR37" t="s">
        <v>210</v>
      </c>
      <c r="AS37" t="s">
        <v>337</v>
      </c>
      <c r="AT37" t="s">
        <v>338</v>
      </c>
      <c r="AU37" t="s">
        <v>10</v>
      </c>
      <c r="AV37" t="s">
        <v>21</v>
      </c>
      <c r="AW37" t="s">
        <v>214</v>
      </c>
      <c r="AX37" t="s">
        <v>176</v>
      </c>
      <c r="AZ37" t="s">
        <v>337</v>
      </c>
      <c r="BA37" t="s">
        <v>406</v>
      </c>
      <c r="BB37" t="s">
        <v>396</v>
      </c>
      <c r="BC37">
        <v>0.98933754518059658</v>
      </c>
      <c r="BD37">
        <v>195.47833835572942</v>
      </c>
    </row>
    <row r="38" spans="44:56">
      <c r="AR38" t="s">
        <v>210</v>
      </c>
      <c r="AS38" t="s">
        <v>339</v>
      </c>
      <c r="AT38" t="s">
        <v>340</v>
      </c>
      <c r="AU38" t="s">
        <v>10</v>
      </c>
      <c r="AV38" t="s">
        <v>21</v>
      </c>
      <c r="AW38" t="s">
        <v>214</v>
      </c>
      <c r="AX38" t="s">
        <v>176</v>
      </c>
      <c r="AZ38" t="s">
        <v>339</v>
      </c>
      <c r="BA38" t="s">
        <v>407</v>
      </c>
      <c r="BB38" t="s">
        <v>408</v>
      </c>
      <c r="BC38">
        <v>0.99736616273496814</v>
      </c>
      <c r="BD38">
        <v>48.287016525584328</v>
      </c>
    </row>
    <row r="39" spans="44:56">
      <c r="AR39" t="s">
        <v>210</v>
      </c>
      <c r="AS39" t="s">
        <v>341</v>
      </c>
      <c r="AT39" t="s">
        <v>342</v>
      </c>
      <c r="AU39" t="s">
        <v>10</v>
      </c>
      <c r="AV39" t="s">
        <v>21</v>
      </c>
      <c r="AW39" t="s">
        <v>214</v>
      </c>
      <c r="AX39" t="s">
        <v>176</v>
      </c>
      <c r="AZ39" t="s">
        <v>341</v>
      </c>
      <c r="BA39" t="s">
        <v>409</v>
      </c>
      <c r="BB39" t="s">
        <v>270</v>
      </c>
      <c r="BC39">
        <v>0.9970758558134436</v>
      </c>
      <c r="BD39">
        <v>53.609310086867303</v>
      </c>
    </row>
    <row r="40" spans="44:56">
      <c r="AR40" t="s">
        <v>210</v>
      </c>
      <c r="AS40" t="s">
        <v>343</v>
      </c>
      <c r="AT40" t="s">
        <v>344</v>
      </c>
      <c r="AU40" t="s">
        <v>10</v>
      </c>
      <c r="AV40" t="s">
        <v>21</v>
      </c>
      <c r="AW40" t="s">
        <v>214</v>
      </c>
      <c r="AX40" t="s">
        <v>176</v>
      </c>
      <c r="AZ40" t="s">
        <v>343</v>
      </c>
      <c r="BA40" t="s">
        <v>410</v>
      </c>
      <c r="BB40" t="s">
        <v>411</v>
      </c>
      <c r="BC40">
        <v>0.99084956331481444</v>
      </c>
      <c r="BD40">
        <v>167.75800589506906</v>
      </c>
    </row>
    <row r="41" spans="44:56">
      <c r="AR41" t="s">
        <v>210</v>
      </c>
      <c r="AS41" t="s">
        <v>345</v>
      </c>
      <c r="AT41" t="s">
        <v>346</v>
      </c>
      <c r="AU41" t="s">
        <v>10</v>
      </c>
      <c r="AV41" t="s">
        <v>21</v>
      </c>
      <c r="AW41" t="s">
        <v>214</v>
      </c>
      <c r="AX41" t="s">
        <v>176</v>
      </c>
      <c r="AZ41" t="s">
        <v>345</v>
      </c>
      <c r="BA41" t="s">
        <v>412</v>
      </c>
      <c r="BB41" t="s">
        <v>360</v>
      </c>
      <c r="BC41">
        <v>0.97270723841704188</v>
      </c>
      <c r="BD41">
        <v>500.36729568756573</v>
      </c>
    </row>
    <row r="42" spans="44:56">
      <c r="AR42" t="s">
        <v>210</v>
      </c>
      <c r="AS42" t="s">
        <v>347</v>
      </c>
      <c r="AT42" t="s">
        <v>348</v>
      </c>
      <c r="AU42" t="s">
        <v>10</v>
      </c>
      <c r="AV42" t="s">
        <v>21</v>
      </c>
      <c r="AW42" t="s">
        <v>214</v>
      </c>
      <c r="AX42" t="s">
        <v>176</v>
      </c>
      <c r="AZ42" t="s">
        <v>347</v>
      </c>
      <c r="BA42" t="s">
        <v>413</v>
      </c>
      <c r="BB42" t="s">
        <v>414</v>
      </c>
      <c r="BC42">
        <v>0.97883706818412031</v>
      </c>
      <c r="BD42">
        <v>387.9870832911281</v>
      </c>
    </row>
    <row r="43" spans="44:56">
      <c r="AR43" t="s">
        <v>210</v>
      </c>
      <c r="AS43" t="s">
        <v>349</v>
      </c>
      <c r="AT43" t="s">
        <v>350</v>
      </c>
      <c r="AU43" t="s">
        <v>10</v>
      </c>
      <c r="AV43" t="s">
        <v>21</v>
      </c>
      <c r="AW43" t="s">
        <v>214</v>
      </c>
      <c r="AX43" t="s">
        <v>176</v>
      </c>
      <c r="AZ43" t="s">
        <v>349</v>
      </c>
      <c r="BA43" t="s">
        <v>415</v>
      </c>
      <c r="BB43" t="s">
        <v>416</v>
      </c>
      <c r="BC43">
        <v>0.98028383834588584</v>
      </c>
      <c r="BD43">
        <v>361.46296365875969</v>
      </c>
    </row>
    <row r="44" spans="44:56">
      <c r="AR44" t="s">
        <v>210</v>
      </c>
      <c r="AS44" t="s">
        <v>351</v>
      </c>
      <c r="AT44" t="s">
        <v>352</v>
      </c>
      <c r="AU44" t="s">
        <v>10</v>
      </c>
      <c r="AV44" t="s">
        <v>21</v>
      </c>
      <c r="AW44" t="s">
        <v>214</v>
      </c>
      <c r="AX44" t="s">
        <v>176</v>
      </c>
      <c r="AZ44" t="s">
        <v>351</v>
      </c>
      <c r="BA44" t="s">
        <v>417</v>
      </c>
      <c r="BB44" t="s">
        <v>418</v>
      </c>
      <c r="BC44">
        <v>0.99011129922618213</v>
      </c>
      <c r="BD44">
        <v>181.29284751999512</v>
      </c>
    </row>
    <row r="45" spans="44:56">
      <c r="AR45" t="s">
        <v>210</v>
      </c>
      <c r="AS45" t="s">
        <v>353</v>
      </c>
      <c r="AT45" t="s">
        <v>354</v>
      </c>
      <c r="AU45" t="s">
        <v>10</v>
      </c>
      <c r="AV45" t="s">
        <v>21</v>
      </c>
      <c r="AW45" t="s">
        <v>214</v>
      </c>
      <c r="AX45" t="s">
        <v>176</v>
      </c>
      <c r="AZ45" t="s">
        <v>353</v>
      </c>
      <c r="BA45" t="s">
        <v>419</v>
      </c>
      <c r="BB45" t="s">
        <v>405</v>
      </c>
      <c r="BC45">
        <v>0.98774608354852067</v>
      </c>
      <c r="BD45">
        <v>224.6551349437874</v>
      </c>
    </row>
    <row r="46" spans="44:56">
      <c r="AR46" t="s">
        <v>210</v>
      </c>
      <c r="AS46" t="s">
        <v>355</v>
      </c>
      <c r="AT46" t="s">
        <v>356</v>
      </c>
      <c r="AU46" t="s">
        <v>10</v>
      </c>
      <c r="AV46" t="s">
        <v>21</v>
      </c>
      <c r="AW46" t="s">
        <v>214</v>
      </c>
      <c r="AX46" t="s">
        <v>176</v>
      </c>
      <c r="AZ46" t="s">
        <v>355</v>
      </c>
      <c r="BA46" t="s">
        <v>420</v>
      </c>
      <c r="BB46" t="s">
        <v>366</v>
      </c>
      <c r="BC46">
        <v>0.9898072805035012</v>
      </c>
      <c r="BD46">
        <v>186.86652410247837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576FD-0F8A-4605-B888-C97E942F8C16}">
  <dimension ref="B9:Z46"/>
  <sheetViews>
    <sheetView workbookViewId="0"/>
  </sheetViews>
  <sheetFormatPr defaultRowHeight="14.25"/>
  <sheetData>
    <row r="9" spans="2:26">
      <c r="B9" t="s">
        <v>164</v>
      </c>
      <c r="J9" t="s">
        <v>195</v>
      </c>
      <c r="O9" t="s">
        <v>164</v>
      </c>
      <c r="W9" t="s">
        <v>195</v>
      </c>
    </row>
    <row r="10" spans="2:26">
      <c r="B10" t="s">
        <v>165</v>
      </c>
      <c r="C10" t="s">
        <v>166</v>
      </c>
      <c r="D10" t="s">
        <v>167</v>
      </c>
      <c r="E10" t="s">
        <v>168</v>
      </c>
      <c r="F10" t="s">
        <v>169</v>
      </c>
      <c r="G10" t="s">
        <v>170</v>
      </c>
      <c r="H10" t="s">
        <v>171</v>
      </c>
      <c r="J10" t="s">
        <v>166</v>
      </c>
      <c r="K10" t="s">
        <v>196</v>
      </c>
      <c r="L10" t="s">
        <v>197</v>
      </c>
      <c r="M10" t="s">
        <v>198</v>
      </c>
      <c r="O10" t="s">
        <v>165</v>
      </c>
      <c r="P10" t="s">
        <v>166</v>
      </c>
      <c r="Q10" t="s">
        <v>167</v>
      </c>
      <c r="R10" t="s">
        <v>168</v>
      </c>
      <c r="S10" t="s">
        <v>169</v>
      </c>
      <c r="T10" t="s">
        <v>170</v>
      </c>
      <c r="U10" t="s">
        <v>171</v>
      </c>
      <c r="W10" t="s">
        <v>166</v>
      </c>
      <c r="X10" t="s">
        <v>196</v>
      </c>
      <c r="Y10" t="s">
        <v>197</v>
      </c>
      <c r="Z10" t="s">
        <v>198</v>
      </c>
    </row>
    <row r="11" spans="2:26">
      <c r="B11" t="s">
        <v>172</v>
      </c>
      <c r="C11" t="s">
        <v>421</v>
      </c>
      <c r="D11" t="s">
        <v>422</v>
      </c>
      <c r="E11" t="s">
        <v>10</v>
      </c>
      <c r="F11" t="s">
        <v>21</v>
      </c>
      <c r="G11" t="s">
        <v>175</v>
      </c>
      <c r="H11" t="s">
        <v>176</v>
      </c>
      <c r="J11" t="s">
        <v>421</v>
      </c>
      <c r="K11" t="s">
        <v>273</v>
      </c>
      <c r="L11">
        <v>9.3983953427017717</v>
      </c>
      <c r="M11">
        <v>0.10063185037298571</v>
      </c>
      <c r="O11" t="s">
        <v>172</v>
      </c>
      <c r="P11" t="s">
        <v>441</v>
      </c>
      <c r="Q11" t="s">
        <v>442</v>
      </c>
      <c r="R11" t="s">
        <v>10</v>
      </c>
      <c r="S11" t="s">
        <v>21</v>
      </c>
      <c r="T11" t="s">
        <v>175</v>
      </c>
      <c r="U11" t="s">
        <v>176</v>
      </c>
      <c r="W11" t="s">
        <v>441</v>
      </c>
      <c r="X11" t="s">
        <v>363</v>
      </c>
      <c r="Y11">
        <v>175.143</v>
      </c>
      <c r="Z11">
        <v>0.49833897876343491</v>
      </c>
    </row>
    <row r="12" spans="2:26">
      <c r="B12" t="s">
        <v>172</v>
      </c>
      <c r="C12" t="s">
        <v>423</v>
      </c>
      <c r="D12" t="s">
        <v>424</v>
      </c>
      <c r="E12" t="s">
        <v>10</v>
      </c>
      <c r="F12" t="s">
        <v>21</v>
      </c>
      <c r="G12" t="s">
        <v>175</v>
      </c>
      <c r="H12" t="s">
        <v>176</v>
      </c>
      <c r="J12" t="s">
        <v>423</v>
      </c>
      <c r="K12" t="s">
        <v>281</v>
      </c>
      <c r="L12">
        <v>13.625732114073267</v>
      </c>
      <c r="M12">
        <v>0.28168119491895188</v>
      </c>
      <c r="O12" t="s">
        <v>172</v>
      </c>
      <c r="P12" t="s">
        <v>443</v>
      </c>
      <c r="Q12" t="s">
        <v>444</v>
      </c>
      <c r="R12" t="s">
        <v>10</v>
      </c>
      <c r="S12" t="s">
        <v>21</v>
      </c>
      <c r="T12" t="s">
        <v>175</v>
      </c>
      <c r="U12" t="s">
        <v>176</v>
      </c>
      <c r="W12" t="s">
        <v>443</v>
      </c>
      <c r="X12" t="s">
        <v>395</v>
      </c>
      <c r="Y12">
        <v>80.552999999999997</v>
      </c>
      <c r="Z12">
        <v>0.50410370785305925</v>
      </c>
    </row>
    <row r="13" spans="2:26">
      <c r="B13" t="s">
        <v>172</v>
      </c>
      <c r="C13" t="s">
        <v>425</v>
      </c>
      <c r="D13" t="s">
        <v>426</v>
      </c>
      <c r="E13" t="s">
        <v>10</v>
      </c>
      <c r="F13" t="s">
        <v>21</v>
      </c>
      <c r="G13" t="s">
        <v>175</v>
      </c>
      <c r="H13" t="s">
        <v>176</v>
      </c>
      <c r="J13" t="s">
        <v>425</v>
      </c>
      <c r="K13" t="s">
        <v>279</v>
      </c>
      <c r="L13">
        <v>4.6051004861597438</v>
      </c>
      <c r="M13">
        <v>0.10800478656370351</v>
      </c>
      <c r="O13" t="s">
        <v>172</v>
      </c>
      <c r="P13" t="s">
        <v>445</v>
      </c>
      <c r="Q13" t="s">
        <v>446</v>
      </c>
      <c r="R13" t="s">
        <v>10</v>
      </c>
      <c r="S13" t="s">
        <v>21</v>
      </c>
      <c r="T13" t="s">
        <v>175</v>
      </c>
      <c r="U13" t="s">
        <v>176</v>
      </c>
      <c r="W13" t="s">
        <v>445</v>
      </c>
      <c r="X13" t="s">
        <v>406</v>
      </c>
      <c r="Y13">
        <v>122.583</v>
      </c>
      <c r="Z13">
        <v>0.48507107201937999</v>
      </c>
    </row>
    <row r="14" spans="2:26">
      <c r="B14" t="s">
        <v>172</v>
      </c>
      <c r="C14" t="s">
        <v>427</v>
      </c>
      <c r="D14" t="s">
        <v>428</v>
      </c>
      <c r="E14" t="s">
        <v>10</v>
      </c>
      <c r="F14" t="s">
        <v>21</v>
      </c>
      <c r="G14" t="s">
        <v>175</v>
      </c>
      <c r="H14" t="s">
        <v>176</v>
      </c>
      <c r="J14" t="s">
        <v>427</v>
      </c>
      <c r="K14" t="s">
        <v>283</v>
      </c>
      <c r="L14">
        <v>33.306493435672031</v>
      </c>
      <c r="M14">
        <v>0.25373613341354379</v>
      </c>
      <c r="O14" t="s">
        <v>172</v>
      </c>
      <c r="P14" t="s">
        <v>447</v>
      </c>
      <c r="Q14" t="s">
        <v>448</v>
      </c>
      <c r="R14" t="s">
        <v>10</v>
      </c>
      <c r="S14" t="s">
        <v>21</v>
      </c>
      <c r="T14" t="s">
        <v>175</v>
      </c>
      <c r="U14" t="s">
        <v>176</v>
      </c>
      <c r="W14" t="s">
        <v>447</v>
      </c>
      <c r="X14" t="s">
        <v>377</v>
      </c>
      <c r="Y14">
        <v>9.1065000000000005</v>
      </c>
      <c r="Z14">
        <v>0.22036248113595791</v>
      </c>
    </row>
    <row r="15" spans="2:26">
      <c r="B15" t="s">
        <v>172</v>
      </c>
      <c r="C15" t="s">
        <v>429</v>
      </c>
      <c r="D15" t="s">
        <v>430</v>
      </c>
      <c r="E15" t="s">
        <v>10</v>
      </c>
      <c r="F15" t="s">
        <v>21</v>
      </c>
      <c r="G15" t="s">
        <v>175</v>
      </c>
      <c r="H15" t="s">
        <v>176</v>
      </c>
      <c r="J15" t="s">
        <v>429</v>
      </c>
      <c r="K15" t="s">
        <v>271</v>
      </c>
      <c r="L15">
        <v>28.124383953079484</v>
      </c>
      <c r="M15">
        <v>0.18428842334938661</v>
      </c>
      <c r="O15" t="s">
        <v>172</v>
      </c>
      <c r="P15" t="s">
        <v>449</v>
      </c>
      <c r="Q15" t="s">
        <v>450</v>
      </c>
      <c r="R15" t="s">
        <v>10</v>
      </c>
      <c r="S15" t="s">
        <v>21</v>
      </c>
      <c r="T15" t="s">
        <v>175</v>
      </c>
      <c r="U15" t="s">
        <v>176</v>
      </c>
      <c r="W15" t="s">
        <v>449</v>
      </c>
      <c r="X15" t="s">
        <v>397</v>
      </c>
      <c r="Y15">
        <v>29.298749999999998</v>
      </c>
      <c r="Z15">
        <v>0.35117581212839949</v>
      </c>
    </row>
    <row r="16" spans="2:26">
      <c r="B16" t="s">
        <v>172</v>
      </c>
      <c r="C16" t="s">
        <v>431</v>
      </c>
      <c r="D16" t="s">
        <v>432</v>
      </c>
      <c r="E16" t="s">
        <v>10</v>
      </c>
      <c r="F16" t="s">
        <v>21</v>
      </c>
      <c r="G16" t="s">
        <v>175</v>
      </c>
      <c r="H16" t="s">
        <v>176</v>
      </c>
      <c r="J16" t="s">
        <v>431</v>
      </c>
      <c r="K16" t="s">
        <v>277</v>
      </c>
      <c r="L16">
        <v>8.0206658660488124</v>
      </c>
      <c r="M16">
        <v>0.29969013915976062</v>
      </c>
      <c r="O16" t="s">
        <v>172</v>
      </c>
      <c r="P16" t="s">
        <v>451</v>
      </c>
      <c r="Q16" t="s">
        <v>452</v>
      </c>
      <c r="R16" t="s">
        <v>10</v>
      </c>
      <c r="S16" t="s">
        <v>21</v>
      </c>
      <c r="T16" t="s">
        <v>175</v>
      </c>
      <c r="U16" t="s">
        <v>176</v>
      </c>
      <c r="W16" t="s">
        <v>451</v>
      </c>
      <c r="X16" t="s">
        <v>359</v>
      </c>
      <c r="Y16">
        <v>80.770499999999998</v>
      </c>
      <c r="Z16">
        <v>0.47642355491761229</v>
      </c>
    </row>
    <row r="17" spans="2:26">
      <c r="B17" t="s">
        <v>172</v>
      </c>
      <c r="C17" t="s">
        <v>433</v>
      </c>
      <c r="D17" t="s">
        <v>434</v>
      </c>
      <c r="E17" t="s">
        <v>10</v>
      </c>
      <c r="F17" t="s">
        <v>21</v>
      </c>
      <c r="G17" t="s">
        <v>175</v>
      </c>
      <c r="H17" t="s">
        <v>176</v>
      </c>
      <c r="J17" t="s">
        <v>433</v>
      </c>
      <c r="K17" t="s">
        <v>265</v>
      </c>
      <c r="L17">
        <v>3.7261534166349795</v>
      </c>
      <c r="M17">
        <v>0.48439202824593119</v>
      </c>
      <c r="O17" t="s">
        <v>172</v>
      </c>
      <c r="P17" t="s">
        <v>453</v>
      </c>
      <c r="Q17" t="s">
        <v>454</v>
      </c>
      <c r="R17" t="s">
        <v>10</v>
      </c>
      <c r="S17" t="s">
        <v>21</v>
      </c>
      <c r="T17" t="s">
        <v>175</v>
      </c>
      <c r="U17" t="s">
        <v>176</v>
      </c>
      <c r="W17" t="s">
        <v>453</v>
      </c>
      <c r="X17" t="s">
        <v>365</v>
      </c>
      <c r="Y17">
        <v>107.307</v>
      </c>
      <c r="Z17">
        <v>0.4962049083672902</v>
      </c>
    </row>
    <row r="18" spans="2:26">
      <c r="B18" t="s">
        <v>172</v>
      </c>
      <c r="C18" t="s">
        <v>435</v>
      </c>
      <c r="D18" t="s">
        <v>436</v>
      </c>
      <c r="E18" t="s">
        <v>10</v>
      </c>
      <c r="F18" t="s">
        <v>21</v>
      </c>
      <c r="G18" t="s">
        <v>175</v>
      </c>
      <c r="H18" t="s">
        <v>176</v>
      </c>
      <c r="J18" t="s">
        <v>435</v>
      </c>
      <c r="K18" t="s">
        <v>275</v>
      </c>
      <c r="L18">
        <v>26.672003507855468</v>
      </c>
      <c r="M18">
        <v>0.22059693446426959</v>
      </c>
      <c r="O18" t="s">
        <v>172</v>
      </c>
      <c r="P18" t="s">
        <v>455</v>
      </c>
      <c r="Q18" t="s">
        <v>456</v>
      </c>
      <c r="R18" t="s">
        <v>10</v>
      </c>
      <c r="S18" t="s">
        <v>21</v>
      </c>
      <c r="T18" t="s">
        <v>175</v>
      </c>
      <c r="U18" t="s">
        <v>176</v>
      </c>
      <c r="W18" t="s">
        <v>455</v>
      </c>
      <c r="X18" t="s">
        <v>404</v>
      </c>
      <c r="Y18">
        <v>161.3595</v>
      </c>
      <c r="Z18">
        <v>0.51084366929284541</v>
      </c>
    </row>
    <row r="19" spans="2:26">
      <c r="B19" t="s">
        <v>172</v>
      </c>
      <c r="C19" t="s">
        <v>437</v>
      </c>
      <c r="D19" t="s">
        <v>438</v>
      </c>
      <c r="E19" t="s">
        <v>10</v>
      </c>
      <c r="F19" t="s">
        <v>21</v>
      </c>
      <c r="G19" t="s">
        <v>175</v>
      </c>
      <c r="H19" t="s">
        <v>176</v>
      </c>
      <c r="J19" t="s">
        <v>437</v>
      </c>
      <c r="K19" t="s">
        <v>269</v>
      </c>
      <c r="L19">
        <v>28.011000950183487</v>
      </c>
      <c r="M19">
        <v>0.34947480055634661</v>
      </c>
      <c r="O19" t="s">
        <v>172</v>
      </c>
      <c r="P19" t="s">
        <v>457</v>
      </c>
      <c r="Q19" t="s">
        <v>458</v>
      </c>
      <c r="R19" t="s">
        <v>10</v>
      </c>
      <c r="S19" t="s">
        <v>21</v>
      </c>
      <c r="T19" t="s">
        <v>175</v>
      </c>
      <c r="U19" t="s">
        <v>176</v>
      </c>
      <c r="W19" t="s">
        <v>457</v>
      </c>
      <c r="X19" t="s">
        <v>420</v>
      </c>
      <c r="Y19">
        <v>17.402249999999999</v>
      </c>
      <c r="Z19">
        <v>0.36974999159546162</v>
      </c>
    </row>
    <row r="20" spans="2:26">
      <c r="B20" t="s">
        <v>172</v>
      </c>
      <c r="C20" t="s">
        <v>439</v>
      </c>
      <c r="D20" t="s">
        <v>440</v>
      </c>
      <c r="E20" t="s">
        <v>10</v>
      </c>
      <c r="F20" t="s">
        <v>21</v>
      </c>
      <c r="G20" t="s">
        <v>175</v>
      </c>
      <c r="H20" t="s">
        <v>176</v>
      </c>
      <c r="J20" t="s">
        <v>439</v>
      </c>
      <c r="K20" t="s">
        <v>267</v>
      </c>
      <c r="L20">
        <v>19.93200133031517</v>
      </c>
      <c r="M20">
        <v>0.44720476529370801</v>
      </c>
      <c r="O20" t="s">
        <v>172</v>
      </c>
      <c r="P20" t="s">
        <v>459</v>
      </c>
      <c r="Q20" t="s">
        <v>460</v>
      </c>
      <c r="R20" t="s">
        <v>10</v>
      </c>
      <c r="S20" t="s">
        <v>21</v>
      </c>
      <c r="T20" t="s">
        <v>175</v>
      </c>
      <c r="U20" t="s">
        <v>176</v>
      </c>
      <c r="W20" t="s">
        <v>459</v>
      </c>
      <c r="X20" t="s">
        <v>419</v>
      </c>
      <c r="Y20">
        <v>107.56874999999999</v>
      </c>
      <c r="Z20">
        <v>0.46866252578836121</v>
      </c>
    </row>
    <row r="21" spans="2:26">
      <c r="O21" t="s">
        <v>172</v>
      </c>
      <c r="P21" t="s">
        <v>461</v>
      </c>
      <c r="Q21" t="s">
        <v>462</v>
      </c>
      <c r="R21" t="s">
        <v>10</v>
      </c>
      <c r="S21" t="s">
        <v>21</v>
      </c>
      <c r="T21" t="s">
        <v>175</v>
      </c>
      <c r="U21" t="s">
        <v>176</v>
      </c>
      <c r="W21" t="s">
        <v>461</v>
      </c>
      <c r="X21" t="s">
        <v>391</v>
      </c>
      <c r="Y21">
        <v>100.545</v>
      </c>
      <c r="Z21">
        <v>0.53627331375966991</v>
      </c>
    </row>
    <row r="22" spans="2:26">
      <c r="O22" t="s">
        <v>172</v>
      </c>
      <c r="P22" t="s">
        <v>463</v>
      </c>
      <c r="Q22" t="s">
        <v>464</v>
      </c>
      <c r="R22" t="s">
        <v>10</v>
      </c>
      <c r="S22" t="s">
        <v>21</v>
      </c>
      <c r="T22" t="s">
        <v>175</v>
      </c>
      <c r="U22" t="s">
        <v>176</v>
      </c>
      <c r="W22" t="s">
        <v>463</v>
      </c>
      <c r="X22" t="s">
        <v>402</v>
      </c>
      <c r="Y22">
        <v>112.0095</v>
      </c>
      <c r="Z22">
        <v>0.55721710252031764</v>
      </c>
    </row>
    <row r="23" spans="2:26">
      <c r="O23" t="s">
        <v>172</v>
      </c>
      <c r="P23" t="s">
        <v>465</v>
      </c>
      <c r="Q23" t="s">
        <v>466</v>
      </c>
      <c r="R23" t="s">
        <v>10</v>
      </c>
      <c r="S23" t="s">
        <v>21</v>
      </c>
      <c r="T23" t="s">
        <v>175</v>
      </c>
      <c r="U23" t="s">
        <v>176</v>
      </c>
      <c r="W23" t="s">
        <v>465</v>
      </c>
      <c r="X23" t="s">
        <v>384</v>
      </c>
      <c r="Y23">
        <v>78.981750000000005</v>
      </c>
      <c r="Z23">
        <v>0.53718740155734324</v>
      </c>
    </row>
    <row r="24" spans="2:26">
      <c r="O24" t="s">
        <v>172</v>
      </c>
      <c r="P24" t="s">
        <v>467</v>
      </c>
      <c r="Q24" t="s">
        <v>468</v>
      </c>
      <c r="R24" t="s">
        <v>10</v>
      </c>
      <c r="S24" t="s">
        <v>21</v>
      </c>
      <c r="T24" t="s">
        <v>175</v>
      </c>
      <c r="U24" t="s">
        <v>176</v>
      </c>
      <c r="W24" t="s">
        <v>467</v>
      </c>
      <c r="X24" t="s">
        <v>412</v>
      </c>
      <c r="Y24">
        <v>91.574250000000006</v>
      </c>
      <c r="Z24">
        <v>0.52724877973837259</v>
      </c>
    </row>
    <row r="25" spans="2:26">
      <c r="O25" t="s">
        <v>172</v>
      </c>
      <c r="P25" t="s">
        <v>469</v>
      </c>
      <c r="Q25" t="s">
        <v>470</v>
      </c>
      <c r="R25" t="s">
        <v>10</v>
      </c>
      <c r="S25" t="s">
        <v>21</v>
      </c>
      <c r="T25" t="s">
        <v>175</v>
      </c>
      <c r="U25" t="s">
        <v>176</v>
      </c>
      <c r="W25" t="s">
        <v>469</v>
      </c>
      <c r="X25" t="s">
        <v>390</v>
      </c>
      <c r="Y25">
        <v>118.12350000000001</v>
      </c>
      <c r="Z25">
        <v>0.51709935274295138</v>
      </c>
    </row>
    <row r="26" spans="2:26">
      <c r="O26" t="s">
        <v>172</v>
      </c>
      <c r="P26" t="s">
        <v>471</v>
      </c>
      <c r="Q26" t="s">
        <v>472</v>
      </c>
      <c r="R26" t="s">
        <v>10</v>
      </c>
      <c r="S26" t="s">
        <v>21</v>
      </c>
      <c r="T26" t="s">
        <v>175</v>
      </c>
      <c r="U26" t="s">
        <v>176</v>
      </c>
      <c r="W26" t="s">
        <v>471</v>
      </c>
      <c r="X26" t="s">
        <v>413</v>
      </c>
      <c r="Y26">
        <v>91.725750000000005</v>
      </c>
      <c r="Z26">
        <v>0.55540867387399195</v>
      </c>
    </row>
    <row r="27" spans="2:26">
      <c r="O27" t="s">
        <v>172</v>
      </c>
      <c r="P27" t="s">
        <v>473</v>
      </c>
      <c r="Q27" t="s">
        <v>474</v>
      </c>
      <c r="R27" t="s">
        <v>10</v>
      </c>
      <c r="S27" t="s">
        <v>21</v>
      </c>
      <c r="T27" t="s">
        <v>175</v>
      </c>
      <c r="U27" t="s">
        <v>176</v>
      </c>
      <c r="W27" t="s">
        <v>473</v>
      </c>
      <c r="X27" t="s">
        <v>386</v>
      </c>
      <c r="Y27">
        <v>183.10175000000001</v>
      </c>
      <c r="Z27">
        <v>0.52869037083467918</v>
      </c>
    </row>
    <row r="28" spans="2:26">
      <c r="O28" t="s">
        <v>172</v>
      </c>
      <c r="P28" t="s">
        <v>475</v>
      </c>
      <c r="Q28" t="s">
        <v>476</v>
      </c>
      <c r="R28" t="s">
        <v>10</v>
      </c>
      <c r="S28" t="s">
        <v>21</v>
      </c>
      <c r="T28" t="s">
        <v>175</v>
      </c>
      <c r="U28" t="s">
        <v>176</v>
      </c>
      <c r="W28" t="s">
        <v>475</v>
      </c>
      <c r="X28" t="s">
        <v>409</v>
      </c>
      <c r="Y28">
        <v>21.253499999999999</v>
      </c>
      <c r="Z28">
        <v>0.38301436709725739</v>
      </c>
    </row>
    <row r="29" spans="2:26">
      <c r="O29" t="s">
        <v>172</v>
      </c>
      <c r="P29" t="s">
        <v>477</v>
      </c>
      <c r="Q29" t="s">
        <v>478</v>
      </c>
      <c r="R29" t="s">
        <v>10</v>
      </c>
      <c r="S29" t="s">
        <v>21</v>
      </c>
      <c r="T29" t="s">
        <v>175</v>
      </c>
      <c r="U29" t="s">
        <v>176</v>
      </c>
      <c r="W29" t="s">
        <v>477</v>
      </c>
      <c r="X29" t="s">
        <v>371</v>
      </c>
      <c r="Y29">
        <v>52.41375</v>
      </c>
      <c r="Z29">
        <v>0.51298242017662687</v>
      </c>
    </row>
    <row r="30" spans="2:26">
      <c r="O30" t="s">
        <v>172</v>
      </c>
      <c r="P30" t="s">
        <v>479</v>
      </c>
      <c r="Q30" t="s">
        <v>480</v>
      </c>
      <c r="R30" t="s">
        <v>10</v>
      </c>
      <c r="S30" t="s">
        <v>21</v>
      </c>
      <c r="T30" t="s">
        <v>175</v>
      </c>
      <c r="U30" t="s">
        <v>176</v>
      </c>
      <c r="W30" t="s">
        <v>479</v>
      </c>
      <c r="X30" t="s">
        <v>407</v>
      </c>
      <c r="Y30">
        <v>20.409749999999999</v>
      </c>
      <c r="Z30">
        <v>0.49616822390939552</v>
      </c>
    </row>
    <row r="31" spans="2:26">
      <c r="O31" t="s">
        <v>172</v>
      </c>
      <c r="P31" t="s">
        <v>481</v>
      </c>
      <c r="Q31" t="s">
        <v>482</v>
      </c>
      <c r="R31" t="s">
        <v>10</v>
      </c>
      <c r="S31" t="s">
        <v>21</v>
      </c>
      <c r="T31" t="s">
        <v>175</v>
      </c>
      <c r="U31" t="s">
        <v>176</v>
      </c>
      <c r="W31" t="s">
        <v>481</v>
      </c>
      <c r="X31" t="s">
        <v>417</v>
      </c>
      <c r="Y31">
        <v>130.00049999999999</v>
      </c>
      <c r="Z31">
        <v>0.6056164266838896</v>
      </c>
    </row>
    <row r="32" spans="2:26">
      <c r="O32" t="s">
        <v>172</v>
      </c>
      <c r="P32" t="s">
        <v>483</v>
      </c>
      <c r="Q32" t="s">
        <v>484</v>
      </c>
      <c r="R32" t="s">
        <v>10</v>
      </c>
      <c r="S32" t="s">
        <v>21</v>
      </c>
      <c r="T32" t="s">
        <v>175</v>
      </c>
      <c r="U32" t="s">
        <v>176</v>
      </c>
      <c r="W32" t="s">
        <v>483</v>
      </c>
      <c r="X32" t="s">
        <v>415</v>
      </c>
      <c r="Y32">
        <v>113.55374999999999</v>
      </c>
      <c r="Z32">
        <v>0.56520931473195613</v>
      </c>
    </row>
    <row r="33" spans="15:26">
      <c r="O33" t="s">
        <v>172</v>
      </c>
      <c r="P33" t="s">
        <v>485</v>
      </c>
      <c r="Q33" t="s">
        <v>486</v>
      </c>
      <c r="R33" t="s">
        <v>10</v>
      </c>
      <c r="S33" t="s">
        <v>21</v>
      </c>
      <c r="T33" t="s">
        <v>175</v>
      </c>
      <c r="U33" t="s">
        <v>176</v>
      </c>
      <c r="W33" t="s">
        <v>485</v>
      </c>
      <c r="X33" t="s">
        <v>388</v>
      </c>
      <c r="Y33">
        <v>34.866</v>
      </c>
      <c r="Z33">
        <v>0.39265857391539799</v>
      </c>
    </row>
    <row r="34" spans="15:26">
      <c r="O34" t="s">
        <v>172</v>
      </c>
      <c r="P34" t="s">
        <v>487</v>
      </c>
      <c r="Q34" t="s">
        <v>488</v>
      </c>
      <c r="R34" t="s">
        <v>10</v>
      </c>
      <c r="S34" t="s">
        <v>21</v>
      </c>
      <c r="T34" t="s">
        <v>175</v>
      </c>
      <c r="U34" t="s">
        <v>176</v>
      </c>
      <c r="W34" t="s">
        <v>487</v>
      </c>
      <c r="X34" t="s">
        <v>398</v>
      </c>
      <c r="Y34">
        <v>121.57675</v>
      </c>
      <c r="Z34">
        <v>0.53621466010778895</v>
      </c>
    </row>
    <row r="35" spans="15:26">
      <c r="O35" t="s">
        <v>172</v>
      </c>
      <c r="P35" t="s">
        <v>489</v>
      </c>
      <c r="Q35" t="s">
        <v>490</v>
      </c>
      <c r="R35" t="s">
        <v>10</v>
      </c>
      <c r="S35" t="s">
        <v>21</v>
      </c>
      <c r="T35" t="s">
        <v>175</v>
      </c>
      <c r="U35" t="s">
        <v>176</v>
      </c>
      <c r="W35" t="s">
        <v>489</v>
      </c>
      <c r="X35" t="s">
        <v>361</v>
      </c>
      <c r="Y35">
        <v>23.104500000000002</v>
      </c>
      <c r="Z35">
        <v>0.27111779179654738</v>
      </c>
    </row>
    <row r="36" spans="15:26">
      <c r="O36" t="s">
        <v>172</v>
      </c>
      <c r="P36" t="s">
        <v>491</v>
      </c>
      <c r="Q36" t="s">
        <v>492</v>
      </c>
      <c r="R36" t="s">
        <v>10</v>
      </c>
      <c r="S36" t="s">
        <v>21</v>
      </c>
      <c r="T36" t="s">
        <v>175</v>
      </c>
      <c r="U36" t="s">
        <v>176</v>
      </c>
      <c r="W36" t="s">
        <v>491</v>
      </c>
      <c r="X36" t="s">
        <v>382</v>
      </c>
      <c r="Y36">
        <v>38.839500000000001</v>
      </c>
      <c r="Z36">
        <v>0.38389889354824791</v>
      </c>
    </row>
    <row r="37" spans="15:26">
      <c r="O37" t="s">
        <v>172</v>
      </c>
      <c r="P37" t="s">
        <v>493</v>
      </c>
      <c r="Q37" t="s">
        <v>494</v>
      </c>
      <c r="R37" t="s">
        <v>10</v>
      </c>
      <c r="S37" t="s">
        <v>21</v>
      </c>
      <c r="T37" t="s">
        <v>175</v>
      </c>
      <c r="U37" t="s">
        <v>176</v>
      </c>
      <c r="W37" t="s">
        <v>493</v>
      </c>
      <c r="X37" t="s">
        <v>375</v>
      </c>
      <c r="Y37">
        <v>45.419249999999998</v>
      </c>
      <c r="Z37">
        <v>0.343991708786477</v>
      </c>
    </row>
    <row r="38" spans="15:26">
      <c r="O38" t="s">
        <v>172</v>
      </c>
      <c r="P38" t="s">
        <v>495</v>
      </c>
      <c r="Q38" t="s">
        <v>496</v>
      </c>
      <c r="R38" t="s">
        <v>10</v>
      </c>
      <c r="S38" t="s">
        <v>21</v>
      </c>
      <c r="T38" t="s">
        <v>175</v>
      </c>
      <c r="U38" t="s">
        <v>176</v>
      </c>
      <c r="W38" t="s">
        <v>495</v>
      </c>
      <c r="X38" t="s">
        <v>393</v>
      </c>
      <c r="Y38">
        <v>39.345750000000002</v>
      </c>
      <c r="Z38">
        <v>0.43744221798394928</v>
      </c>
    </row>
    <row r="39" spans="15:26">
      <c r="O39" t="s">
        <v>172</v>
      </c>
      <c r="P39" t="s">
        <v>497</v>
      </c>
      <c r="Q39" t="s">
        <v>498</v>
      </c>
      <c r="R39" t="s">
        <v>10</v>
      </c>
      <c r="S39" t="s">
        <v>21</v>
      </c>
      <c r="T39" t="s">
        <v>175</v>
      </c>
      <c r="U39" t="s">
        <v>176</v>
      </c>
      <c r="W39" t="s">
        <v>497</v>
      </c>
      <c r="X39" t="s">
        <v>380</v>
      </c>
      <c r="Y39">
        <v>95.484750000000005</v>
      </c>
      <c r="Z39">
        <v>0.4700802309615098</v>
      </c>
    </row>
    <row r="40" spans="15:26">
      <c r="O40" t="s">
        <v>172</v>
      </c>
      <c r="P40" t="s">
        <v>499</v>
      </c>
      <c r="Q40" t="s">
        <v>500</v>
      </c>
      <c r="R40" t="s">
        <v>10</v>
      </c>
      <c r="S40" t="s">
        <v>21</v>
      </c>
      <c r="T40" t="s">
        <v>175</v>
      </c>
      <c r="U40" t="s">
        <v>176</v>
      </c>
      <c r="W40" t="s">
        <v>499</v>
      </c>
      <c r="X40" t="s">
        <v>357</v>
      </c>
      <c r="Y40">
        <v>145.971</v>
      </c>
      <c r="Z40">
        <v>0.49673708828721308</v>
      </c>
    </row>
    <row r="41" spans="15:26">
      <c r="O41" t="s">
        <v>172</v>
      </c>
      <c r="P41" t="s">
        <v>501</v>
      </c>
      <c r="Q41" t="s">
        <v>502</v>
      </c>
      <c r="R41" t="s">
        <v>10</v>
      </c>
      <c r="S41" t="s">
        <v>21</v>
      </c>
      <c r="T41" t="s">
        <v>175</v>
      </c>
      <c r="U41" t="s">
        <v>176</v>
      </c>
      <c r="W41" t="s">
        <v>501</v>
      </c>
      <c r="X41" t="s">
        <v>373</v>
      </c>
      <c r="Y41">
        <v>77.473500000000001</v>
      </c>
      <c r="Z41">
        <v>0.49408010494233728</v>
      </c>
    </row>
    <row r="42" spans="15:26">
      <c r="O42" t="s">
        <v>172</v>
      </c>
      <c r="P42" t="s">
        <v>503</v>
      </c>
      <c r="Q42" t="s">
        <v>504</v>
      </c>
      <c r="R42" t="s">
        <v>10</v>
      </c>
      <c r="S42" t="s">
        <v>21</v>
      </c>
      <c r="T42" t="s">
        <v>175</v>
      </c>
      <c r="U42" t="s">
        <v>176</v>
      </c>
      <c r="W42" t="s">
        <v>503</v>
      </c>
      <c r="X42" t="s">
        <v>410</v>
      </c>
      <c r="Y42">
        <v>63.514499999999998</v>
      </c>
      <c r="Z42">
        <v>0.42498591605911118</v>
      </c>
    </row>
    <row r="43" spans="15:26">
      <c r="O43" t="s">
        <v>172</v>
      </c>
      <c r="P43" t="s">
        <v>505</v>
      </c>
      <c r="Q43" t="s">
        <v>506</v>
      </c>
      <c r="R43" t="s">
        <v>10</v>
      </c>
      <c r="S43" t="s">
        <v>21</v>
      </c>
      <c r="T43" t="s">
        <v>175</v>
      </c>
      <c r="U43" t="s">
        <v>176</v>
      </c>
      <c r="W43" t="s">
        <v>505</v>
      </c>
      <c r="X43" t="s">
        <v>378</v>
      </c>
      <c r="Y43">
        <v>71.952749999999995</v>
      </c>
      <c r="Z43">
        <v>0.42991796764781021</v>
      </c>
    </row>
    <row r="44" spans="15:26">
      <c r="O44" t="s">
        <v>172</v>
      </c>
      <c r="P44" t="s">
        <v>507</v>
      </c>
      <c r="Q44" t="s">
        <v>508</v>
      </c>
      <c r="R44" t="s">
        <v>10</v>
      </c>
      <c r="S44" t="s">
        <v>21</v>
      </c>
      <c r="T44" t="s">
        <v>175</v>
      </c>
      <c r="U44" t="s">
        <v>176</v>
      </c>
      <c r="W44" t="s">
        <v>507</v>
      </c>
      <c r="X44" t="s">
        <v>367</v>
      </c>
      <c r="Y44">
        <v>155.05350000000001</v>
      </c>
      <c r="Z44">
        <v>0.51252841803223037</v>
      </c>
    </row>
    <row r="45" spans="15:26">
      <c r="O45" t="s">
        <v>172</v>
      </c>
      <c r="P45" t="s">
        <v>509</v>
      </c>
      <c r="Q45" t="s">
        <v>510</v>
      </c>
      <c r="R45" t="s">
        <v>10</v>
      </c>
      <c r="S45" t="s">
        <v>21</v>
      </c>
      <c r="T45" t="s">
        <v>175</v>
      </c>
      <c r="U45" t="s">
        <v>176</v>
      </c>
      <c r="W45" t="s">
        <v>509</v>
      </c>
      <c r="X45" t="s">
        <v>400</v>
      </c>
      <c r="Y45">
        <v>68.032499999999999</v>
      </c>
      <c r="Z45">
        <v>0.52994703360977002</v>
      </c>
    </row>
    <row r="46" spans="15:26">
      <c r="O46" t="s">
        <v>172</v>
      </c>
      <c r="P46" t="s">
        <v>511</v>
      </c>
      <c r="Q46" t="s">
        <v>512</v>
      </c>
      <c r="R46" t="s">
        <v>10</v>
      </c>
      <c r="S46" t="s">
        <v>21</v>
      </c>
      <c r="T46" t="s">
        <v>175</v>
      </c>
      <c r="U46" t="s">
        <v>176</v>
      </c>
      <c r="W46" t="s">
        <v>511</v>
      </c>
      <c r="X46" t="s">
        <v>369</v>
      </c>
      <c r="Y46">
        <v>77.678250000000006</v>
      </c>
      <c r="Z46">
        <v>0.4428347996976929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F1208-B4D8-4DBA-8801-8516C99B3B3C}">
  <dimension ref="B9:S128"/>
  <sheetViews>
    <sheetView workbookViewId="0"/>
  </sheetViews>
  <sheetFormatPr defaultRowHeight="14.25"/>
  <sheetData>
    <row r="9" spans="2:19">
      <c r="B9" t="s">
        <v>195</v>
      </c>
      <c r="M9" t="s">
        <v>164</v>
      </c>
    </row>
    <row r="10" spans="2:19">
      <c r="B10" t="s">
        <v>166</v>
      </c>
      <c r="C10" t="s">
        <v>233</v>
      </c>
      <c r="D10" t="s">
        <v>196</v>
      </c>
      <c r="E10">
        <v>2022</v>
      </c>
      <c r="F10">
        <v>2030</v>
      </c>
      <c r="G10">
        <v>2035</v>
      </c>
      <c r="H10">
        <v>2040</v>
      </c>
      <c r="I10">
        <v>2045</v>
      </c>
      <c r="J10">
        <v>2050</v>
      </c>
      <c r="K10" t="s">
        <v>54</v>
      </c>
      <c r="M10" t="s">
        <v>165</v>
      </c>
      <c r="N10" t="s">
        <v>166</v>
      </c>
      <c r="O10" t="s">
        <v>167</v>
      </c>
      <c r="P10" t="s">
        <v>168</v>
      </c>
      <c r="Q10" t="s">
        <v>169</v>
      </c>
      <c r="R10" t="s">
        <v>170</v>
      </c>
      <c r="S10" t="s">
        <v>171</v>
      </c>
    </row>
    <row r="11" spans="2:19">
      <c r="B11" t="s">
        <v>513</v>
      </c>
      <c r="C11" t="s">
        <v>33</v>
      </c>
      <c r="D11" t="s">
        <v>19</v>
      </c>
      <c r="E11">
        <v>1000</v>
      </c>
      <c r="F11">
        <v>1000</v>
      </c>
      <c r="J11">
        <v>1000</v>
      </c>
      <c r="K11" t="s">
        <v>514</v>
      </c>
      <c r="M11" t="s">
        <v>172</v>
      </c>
      <c r="N11" t="s">
        <v>513</v>
      </c>
      <c r="P11" t="s">
        <v>10</v>
      </c>
      <c r="Q11" t="s">
        <v>21</v>
      </c>
      <c r="R11" t="s">
        <v>214</v>
      </c>
      <c r="S11" t="s">
        <v>541</v>
      </c>
    </row>
    <row r="12" spans="2:19">
      <c r="B12" t="s">
        <v>513</v>
      </c>
      <c r="C12" t="s">
        <v>33</v>
      </c>
      <c r="D12" t="s">
        <v>19</v>
      </c>
      <c r="E12">
        <v>25</v>
      </c>
      <c r="F12">
        <v>25</v>
      </c>
      <c r="J12">
        <v>25</v>
      </c>
      <c r="K12" t="s">
        <v>515</v>
      </c>
      <c r="M12" t="s">
        <v>172</v>
      </c>
      <c r="N12" t="s">
        <v>519</v>
      </c>
      <c r="P12" t="s">
        <v>10</v>
      </c>
      <c r="Q12" t="s">
        <v>21</v>
      </c>
      <c r="R12" t="s">
        <v>214</v>
      </c>
      <c r="S12" t="s">
        <v>541</v>
      </c>
    </row>
    <row r="13" spans="2:19">
      <c r="B13" t="s">
        <v>513</v>
      </c>
      <c r="C13" t="s">
        <v>33</v>
      </c>
      <c r="D13" t="s">
        <v>19</v>
      </c>
      <c r="E13">
        <v>0.60299999999999998</v>
      </c>
      <c r="F13">
        <v>0.56699999999999995</v>
      </c>
      <c r="J13">
        <v>0.497</v>
      </c>
      <c r="K13" t="s">
        <v>516</v>
      </c>
      <c r="M13" t="s">
        <v>542</v>
      </c>
      <c r="N13" t="s">
        <v>520</v>
      </c>
      <c r="P13" t="s">
        <v>10</v>
      </c>
      <c r="Q13" t="s">
        <v>21</v>
      </c>
      <c r="R13" t="s">
        <v>214</v>
      </c>
      <c r="S13" t="s">
        <v>541</v>
      </c>
    </row>
    <row r="14" spans="2:19">
      <c r="B14" t="s">
        <v>513</v>
      </c>
      <c r="C14" t="s">
        <v>33</v>
      </c>
      <c r="D14" t="s">
        <v>19</v>
      </c>
      <c r="E14">
        <v>0.59</v>
      </c>
      <c r="F14">
        <v>0.6</v>
      </c>
      <c r="J14">
        <v>0.61</v>
      </c>
      <c r="K14" t="s">
        <v>146</v>
      </c>
      <c r="M14" t="s">
        <v>172</v>
      </c>
      <c r="N14" t="s">
        <v>523</v>
      </c>
      <c r="P14" t="s">
        <v>10</v>
      </c>
      <c r="Q14" t="s">
        <v>21</v>
      </c>
      <c r="R14" t="s">
        <v>214</v>
      </c>
      <c r="S14" t="s">
        <v>541</v>
      </c>
    </row>
    <row r="15" spans="2:19">
      <c r="B15" t="s">
        <v>513</v>
      </c>
      <c r="C15" t="s">
        <v>33</v>
      </c>
      <c r="D15" t="s">
        <v>19</v>
      </c>
      <c r="E15">
        <v>30</v>
      </c>
      <c r="F15">
        <v>30</v>
      </c>
      <c r="G15">
        <v>30</v>
      </c>
      <c r="H15">
        <v>30</v>
      </c>
      <c r="I15">
        <v>30</v>
      </c>
      <c r="J15">
        <v>30</v>
      </c>
      <c r="K15" t="s">
        <v>517</v>
      </c>
      <c r="M15" t="s">
        <v>172</v>
      </c>
      <c r="N15" t="s">
        <v>524</v>
      </c>
      <c r="P15" t="s">
        <v>10</v>
      </c>
      <c r="Q15" t="s">
        <v>21</v>
      </c>
      <c r="R15" t="s">
        <v>214</v>
      </c>
      <c r="S15" t="s">
        <v>541</v>
      </c>
    </row>
    <row r="16" spans="2:19">
      <c r="B16" t="s">
        <v>513</v>
      </c>
      <c r="C16" t="s">
        <v>33</v>
      </c>
      <c r="D16" t="s">
        <v>19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 t="s">
        <v>518</v>
      </c>
      <c r="M16" t="s">
        <v>172</v>
      </c>
      <c r="N16" t="s">
        <v>526</v>
      </c>
      <c r="P16" t="s">
        <v>10</v>
      </c>
      <c r="Q16" t="s">
        <v>21</v>
      </c>
      <c r="R16" t="s">
        <v>214</v>
      </c>
      <c r="S16" t="s">
        <v>541</v>
      </c>
    </row>
    <row r="17" spans="2:19">
      <c r="B17" t="s">
        <v>519</v>
      </c>
      <c r="C17" t="s">
        <v>33</v>
      </c>
      <c r="D17" t="s">
        <v>19</v>
      </c>
      <c r="E17">
        <v>500</v>
      </c>
      <c r="F17">
        <v>500</v>
      </c>
      <c r="J17">
        <v>500</v>
      </c>
      <c r="K17" t="s">
        <v>514</v>
      </c>
      <c r="M17" t="s">
        <v>172</v>
      </c>
      <c r="N17" t="s">
        <v>527</v>
      </c>
      <c r="P17" t="s">
        <v>10</v>
      </c>
      <c r="Q17" t="s">
        <v>21</v>
      </c>
      <c r="R17" t="s">
        <v>214</v>
      </c>
      <c r="S17" t="s">
        <v>541</v>
      </c>
    </row>
    <row r="18" spans="2:19">
      <c r="B18" t="s">
        <v>519</v>
      </c>
      <c r="C18" t="s">
        <v>33</v>
      </c>
      <c r="D18" t="s">
        <v>19</v>
      </c>
      <c r="E18">
        <v>20</v>
      </c>
      <c r="F18">
        <v>20</v>
      </c>
      <c r="J18">
        <v>20</v>
      </c>
      <c r="K18" t="s">
        <v>515</v>
      </c>
      <c r="M18" t="s">
        <v>172</v>
      </c>
      <c r="N18" t="s">
        <v>528</v>
      </c>
      <c r="P18" t="s">
        <v>10</v>
      </c>
      <c r="Q18" t="s">
        <v>21</v>
      </c>
      <c r="R18" t="s">
        <v>214</v>
      </c>
      <c r="S18" t="s">
        <v>541</v>
      </c>
    </row>
    <row r="19" spans="2:19">
      <c r="B19" t="s">
        <v>519</v>
      </c>
      <c r="C19" t="s">
        <v>33</v>
      </c>
      <c r="D19" t="s">
        <v>19</v>
      </c>
      <c r="E19">
        <v>1.9279999999999999</v>
      </c>
      <c r="F19">
        <v>1.9279999999999999</v>
      </c>
      <c r="J19">
        <v>1.9279999999999999</v>
      </c>
      <c r="K19" t="s">
        <v>516</v>
      </c>
      <c r="M19" t="s">
        <v>172</v>
      </c>
      <c r="N19" t="s">
        <v>529</v>
      </c>
      <c r="P19" t="s">
        <v>10</v>
      </c>
      <c r="Q19" t="s">
        <v>21</v>
      </c>
      <c r="R19" t="s">
        <v>214</v>
      </c>
      <c r="S19" t="s">
        <v>541</v>
      </c>
    </row>
    <row r="20" spans="2:19">
      <c r="B20" t="s">
        <v>519</v>
      </c>
      <c r="C20" t="s">
        <v>33</v>
      </c>
      <c r="D20" t="s">
        <v>19</v>
      </c>
      <c r="E20">
        <v>0.4</v>
      </c>
      <c r="F20">
        <v>0.41</v>
      </c>
      <c r="J20">
        <v>0.42</v>
      </c>
      <c r="K20" t="s">
        <v>146</v>
      </c>
      <c r="M20" t="s">
        <v>172</v>
      </c>
      <c r="N20" t="s">
        <v>530</v>
      </c>
      <c r="P20" t="s">
        <v>10</v>
      </c>
      <c r="Q20" t="s">
        <v>21</v>
      </c>
      <c r="R20" t="s">
        <v>214</v>
      </c>
      <c r="S20" t="s">
        <v>541</v>
      </c>
    </row>
    <row r="21" spans="2:19">
      <c r="B21" t="s">
        <v>519</v>
      </c>
      <c r="C21" t="s">
        <v>33</v>
      </c>
      <c r="D21" t="s">
        <v>19</v>
      </c>
      <c r="E21">
        <v>30</v>
      </c>
      <c r="F21">
        <v>30</v>
      </c>
      <c r="G21">
        <v>30</v>
      </c>
      <c r="H21">
        <v>30</v>
      </c>
      <c r="I21">
        <v>30</v>
      </c>
      <c r="J21">
        <v>30</v>
      </c>
      <c r="K21" t="s">
        <v>517</v>
      </c>
      <c r="M21" t="s">
        <v>172</v>
      </c>
      <c r="N21" t="s">
        <v>531</v>
      </c>
      <c r="P21" t="s">
        <v>10</v>
      </c>
      <c r="Q21" t="s">
        <v>21</v>
      </c>
      <c r="R21" t="s">
        <v>214</v>
      </c>
      <c r="S21" t="s">
        <v>541</v>
      </c>
    </row>
    <row r="22" spans="2:19">
      <c r="B22" t="s">
        <v>519</v>
      </c>
      <c r="C22" t="s">
        <v>33</v>
      </c>
      <c r="D22" t="s">
        <v>19</v>
      </c>
      <c r="E22">
        <v>2</v>
      </c>
      <c r="F22">
        <v>2</v>
      </c>
      <c r="G22">
        <v>2</v>
      </c>
      <c r="H22">
        <v>2</v>
      </c>
      <c r="I22">
        <v>2</v>
      </c>
      <c r="J22">
        <v>2</v>
      </c>
      <c r="K22" t="s">
        <v>518</v>
      </c>
      <c r="M22" t="s">
        <v>172</v>
      </c>
      <c r="N22" t="s">
        <v>532</v>
      </c>
      <c r="P22" t="s">
        <v>10</v>
      </c>
      <c r="Q22" t="s">
        <v>21</v>
      </c>
      <c r="R22" t="s">
        <v>214</v>
      </c>
      <c r="S22" t="s">
        <v>541</v>
      </c>
    </row>
    <row r="23" spans="2:19">
      <c r="B23" t="s">
        <v>520</v>
      </c>
      <c r="C23" t="s">
        <v>33</v>
      </c>
      <c r="D23" t="s">
        <v>521</v>
      </c>
      <c r="E23">
        <v>1300</v>
      </c>
      <c r="F23">
        <v>1300</v>
      </c>
      <c r="J23">
        <v>1300</v>
      </c>
      <c r="K23" t="s">
        <v>514</v>
      </c>
      <c r="M23" t="s">
        <v>172</v>
      </c>
      <c r="N23" t="s">
        <v>533</v>
      </c>
      <c r="P23" t="s">
        <v>10</v>
      </c>
      <c r="Q23" t="s">
        <v>21</v>
      </c>
      <c r="R23" t="s">
        <v>214</v>
      </c>
      <c r="S23" t="s">
        <v>541</v>
      </c>
    </row>
    <row r="24" spans="2:19">
      <c r="B24" t="s">
        <v>520</v>
      </c>
      <c r="C24" t="s">
        <v>33</v>
      </c>
      <c r="D24" t="s">
        <v>521</v>
      </c>
      <c r="E24">
        <v>40</v>
      </c>
      <c r="F24">
        <v>40</v>
      </c>
      <c r="J24">
        <v>40</v>
      </c>
      <c r="K24" t="s">
        <v>515</v>
      </c>
      <c r="M24" t="s">
        <v>172</v>
      </c>
      <c r="N24" t="s">
        <v>534</v>
      </c>
      <c r="P24" t="s">
        <v>10</v>
      </c>
      <c r="Q24" t="s">
        <v>21</v>
      </c>
      <c r="R24" t="s">
        <v>214</v>
      </c>
      <c r="S24" t="s">
        <v>541</v>
      </c>
    </row>
    <row r="25" spans="2:19">
      <c r="B25" t="s">
        <v>520</v>
      </c>
      <c r="C25" t="s">
        <v>33</v>
      </c>
      <c r="D25" t="s">
        <v>521</v>
      </c>
      <c r="E25">
        <v>0.69399999999999995</v>
      </c>
      <c r="F25">
        <v>0.69399999999999995</v>
      </c>
      <c r="J25">
        <v>0.69399999999999995</v>
      </c>
      <c r="K25" t="s">
        <v>516</v>
      </c>
      <c r="M25" t="s">
        <v>172</v>
      </c>
      <c r="N25" t="s">
        <v>535</v>
      </c>
      <c r="P25" t="s">
        <v>10</v>
      </c>
      <c r="Q25" t="s">
        <v>21</v>
      </c>
      <c r="R25" t="s">
        <v>214</v>
      </c>
      <c r="S25" t="s">
        <v>541</v>
      </c>
    </row>
    <row r="26" spans="2:19">
      <c r="B26" t="s">
        <v>520</v>
      </c>
      <c r="C26" t="s">
        <v>33</v>
      </c>
      <c r="D26" t="s">
        <v>521</v>
      </c>
      <c r="E26">
        <v>0.53300000000000003</v>
      </c>
      <c r="F26">
        <v>0.54</v>
      </c>
      <c r="J26">
        <v>0.54600000000000004</v>
      </c>
      <c r="K26" t="s">
        <v>146</v>
      </c>
      <c r="M26" t="s">
        <v>172</v>
      </c>
      <c r="N26" t="s">
        <v>537</v>
      </c>
      <c r="P26" t="s">
        <v>10</v>
      </c>
      <c r="Q26" t="s">
        <v>21</v>
      </c>
      <c r="R26" t="s">
        <v>214</v>
      </c>
      <c r="S26" t="s">
        <v>541</v>
      </c>
    </row>
    <row r="27" spans="2:19">
      <c r="B27" t="s">
        <v>520</v>
      </c>
      <c r="C27" t="s">
        <v>33</v>
      </c>
      <c r="D27" t="s">
        <v>521</v>
      </c>
      <c r="E27">
        <v>25</v>
      </c>
      <c r="F27">
        <v>25</v>
      </c>
      <c r="G27">
        <v>25</v>
      </c>
      <c r="H27">
        <v>25</v>
      </c>
      <c r="I27">
        <v>25</v>
      </c>
      <c r="J27">
        <v>25</v>
      </c>
      <c r="K27" t="s">
        <v>517</v>
      </c>
      <c r="M27" t="s">
        <v>542</v>
      </c>
      <c r="N27" t="s">
        <v>538</v>
      </c>
      <c r="P27" t="s">
        <v>10</v>
      </c>
      <c r="Q27" t="s">
        <v>21</v>
      </c>
      <c r="R27" t="s">
        <v>214</v>
      </c>
      <c r="S27" t="s">
        <v>541</v>
      </c>
    </row>
    <row r="28" spans="2:19">
      <c r="B28" t="s">
        <v>520</v>
      </c>
      <c r="C28" t="s">
        <v>33</v>
      </c>
      <c r="D28" t="s">
        <v>521</v>
      </c>
      <c r="E28">
        <v>3</v>
      </c>
      <c r="F28">
        <v>3</v>
      </c>
      <c r="G28">
        <v>3</v>
      </c>
      <c r="H28">
        <v>3</v>
      </c>
      <c r="I28">
        <v>3</v>
      </c>
      <c r="J28">
        <v>3</v>
      </c>
      <c r="K28" t="s">
        <v>518</v>
      </c>
      <c r="M28" t="s">
        <v>172</v>
      </c>
      <c r="N28" t="s">
        <v>539</v>
      </c>
      <c r="P28" t="s">
        <v>10</v>
      </c>
      <c r="Q28" t="s">
        <v>21</v>
      </c>
      <c r="R28" t="s">
        <v>214</v>
      </c>
      <c r="S28" t="s">
        <v>541</v>
      </c>
    </row>
    <row r="29" spans="2:19">
      <c r="B29" t="s">
        <v>520</v>
      </c>
      <c r="C29" t="s">
        <v>33</v>
      </c>
      <c r="D29" t="s">
        <v>521</v>
      </c>
      <c r="E29">
        <v>4.5259999999999998</v>
      </c>
      <c r="F29">
        <v>4.5259999999999998</v>
      </c>
      <c r="G29">
        <v>4.5259999999999998</v>
      </c>
      <c r="H29">
        <v>4.5259999999999998</v>
      </c>
      <c r="I29">
        <v>4.5259999999999998</v>
      </c>
      <c r="J29">
        <v>4.5259999999999998</v>
      </c>
      <c r="K29" t="s">
        <v>522</v>
      </c>
      <c r="M29" t="s">
        <v>172</v>
      </c>
      <c r="N29" t="s">
        <v>540</v>
      </c>
      <c r="P29" t="s">
        <v>10</v>
      </c>
      <c r="Q29" t="s">
        <v>21</v>
      </c>
      <c r="R29" t="s">
        <v>214</v>
      </c>
      <c r="S29" t="s">
        <v>541</v>
      </c>
    </row>
    <row r="30" spans="2:19">
      <c r="B30" t="s">
        <v>523</v>
      </c>
      <c r="C30" t="s">
        <v>33</v>
      </c>
      <c r="D30" t="s">
        <v>19</v>
      </c>
      <c r="E30">
        <v>5000</v>
      </c>
      <c r="F30">
        <v>2500</v>
      </c>
      <c r="J30">
        <v>2500</v>
      </c>
      <c r="K30" t="s">
        <v>514</v>
      </c>
    </row>
    <row r="31" spans="2:19">
      <c r="B31" t="s">
        <v>523</v>
      </c>
      <c r="C31" t="s">
        <v>33</v>
      </c>
      <c r="D31" t="s">
        <v>19</v>
      </c>
      <c r="E31">
        <v>100</v>
      </c>
      <c r="F31">
        <v>50</v>
      </c>
      <c r="J31">
        <v>50</v>
      </c>
      <c r="K31" t="s">
        <v>515</v>
      </c>
    </row>
    <row r="32" spans="2:19">
      <c r="B32" t="s">
        <v>523</v>
      </c>
      <c r="C32" t="s">
        <v>33</v>
      </c>
      <c r="D32" t="s">
        <v>19</v>
      </c>
      <c r="E32">
        <v>0.83299999999999996</v>
      </c>
      <c r="F32">
        <v>0.83299999999999996</v>
      </c>
      <c r="J32">
        <v>0.83299999999999996</v>
      </c>
      <c r="K32" t="s">
        <v>516</v>
      </c>
    </row>
    <row r="33" spans="2:11">
      <c r="B33" t="s">
        <v>523</v>
      </c>
      <c r="C33" t="s">
        <v>33</v>
      </c>
      <c r="D33" t="s">
        <v>19</v>
      </c>
      <c r="E33">
        <v>0.46</v>
      </c>
      <c r="F33">
        <v>0.54</v>
      </c>
      <c r="J33">
        <v>0.6</v>
      </c>
      <c r="K33" t="s">
        <v>146</v>
      </c>
    </row>
    <row r="34" spans="2:11">
      <c r="B34" t="s">
        <v>523</v>
      </c>
      <c r="C34" t="s">
        <v>33</v>
      </c>
      <c r="D34" t="s">
        <v>19</v>
      </c>
      <c r="E34">
        <v>20</v>
      </c>
      <c r="F34">
        <v>20</v>
      </c>
      <c r="G34">
        <v>20</v>
      </c>
      <c r="H34">
        <v>20</v>
      </c>
      <c r="I34">
        <v>20</v>
      </c>
      <c r="J34">
        <v>20</v>
      </c>
      <c r="K34" t="s">
        <v>517</v>
      </c>
    </row>
    <row r="35" spans="2:11">
      <c r="B35" t="s">
        <v>523</v>
      </c>
      <c r="C35" t="s">
        <v>33</v>
      </c>
      <c r="D35" t="s">
        <v>19</v>
      </c>
      <c r="E35">
        <v>2</v>
      </c>
      <c r="F35">
        <v>2</v>
      </c>
      <c r="G35">
        <v>2</v>
      </c>
      <c r="H35">
        <v>2</v>
      </c>
      <c r="I35">
        <v>2</v>
      </c>
      <c r="J35">
        <v>2</v>
      </c>
      <c r="K35" t="s">
        <v>518</v>
      </c>
    </row>
    <row r="36" spans="2:11">
      <c r="B36" t="s">
        <v>524</v>
      </c>
      <c r="C36" t="s">
        <v>33</v>
      </c>
      <c r="D36" t="s">
        <v>525</v>
      </c>
      <c r="E36">
        <v>3100</v>
      </c>
      <c r="F36">
        <v>3100</v>
      </c>
      <c r="J36">
        <v>2500</v>
      </c>
      <c r="K36" t="s">
        <v>514</v>
      </c>
    </row>
    <row r="37" spans="2:11">
      <c r="B37" t="s">
        <v>524</v>
      </c>
      <c r="C37" t="s">
        <v>33</v>
      </c>
      <c r="D37" t="s">
        <v>525</v>
      </c>
      <c r="E37">
        <v>80</v>
      </c>
      <c r="F37">
        <v>75</v>
      </c>
      <c r="J37">
        <v>60</v>
      </c>
      <c r="K37" t="s">
        <v>515</v>
      </c>
    </row>
    <row r="38" spans="2:11">
      <c r="B38" t="s">
        <v>524</v>
      </c>
      <c r="C38" t="s">
        <v>33</v>
      </c>
      <c r="D38" t="s">
        <v>525</v>
      </c>
      <c r="E38">
        <v>1.35</v>
      </c>
      <c r="F38">
        <v>1.2</v>
      </c>
      <c r="J38">
        <v>0.98899999999999999</v>
      </c>
      <c r="K38" t="s">
        <v>516</v>
      </c>
    </row>
    <row r="39" spans="2:11">
      <c r="B39" t="s">
        <v>524</v>
      </c>
      <c r="C39" t="s">
        <v>33</v>
      </c>
      <c r="D39" t="s">
        <v>525</v>
      </c>
      <c r="E39">
        <v>0.51</v>
      </c>
      <c r="F39">
        <v>0.52</v>
      </c>
      <c r="J39">
        <v>0.52</v>
      </c>
      <c r="K39" t="s">
        <v>146</v>
      </c>
    </row>
    <row r="40" spans="2:11">
      <c r="B40" t="s">
        <v>524</v>
      </c>
      <c r="C40" t="s">
        <v>33</v>
      </c>
      <c r="D40" t="s">
        <v>525</v>
      </c>
      <c r="E40">
        <v>30</v>
      </c>
      <c r="F40">
        <v>30</v>
      </c>
      <c r="G40">
        <v>30</v>
      </c>
      <c r="H40">
        <v>30</v>
      </c>
      <c r="I40">
        <v>30</v>
      </c>
      <c r="J40">
        <v>30</v>
      </c>
      <c r="K40" t="s">
        <v>517</v>
      </c>
    </row>
    <row r="41" spans="2:11">
      <c r="B41" t="s">
        <v>524</v>
      </c>
      <c r="C41" t="s">
        <v>33</v>
      </c>
      <c r="D41" t="s">
        <v>525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 t="s">
        <v>518</v>
      </c>
    </row>
    <row r="42" spans="2:11">
      <c r="B42" t="s">
        <v>526</v>
      </c>
      <c r="C42" t="s">
        <v>32</v>
      </c>
      <c r="D42" t="s">
        <v>19</v>
      </c>
      <c r="E42">
        <v>1700</v>
      </c>
      <c r="F42">
        <v>1700</v>
      </c>
      <c r="J42">
        <v>1700</v>
      </c>
      <c r="K42" t="s">
        <v>514</v>
      </c>
    </row>
    <row r="43" spans="2:11">
      <c r="B43" t="s">
        <v>526</v>
      </c>
      <c r="C43" t="s">
        <v>32</v>
      </c>
      <c r="D43" t="s">
        <v>19</v>
      </c>
      <c r="E43">
        <v>45</v>
      </c>
      <c r="F43">
        <v>45</v>
      </c>
      <c r="J43">
        <v>45</v>
      </c>
      <c r="K43" t="s">
        <v>515</v>
      </c>
    </row>
    <row r="44" spans="2:11">
      <c r="B44" t="s">
        <v>526</v>
      </c>
      <c r="C44" t="s">
        <v>32</v>
      </c>
      <c r="D44" t="s">
        <v>19</v>
      </c>
      <c r="E44">
        <v>2.3610000000000002</v>
      </c>
      <c r="F44">
        <v>2.3610000000000002</v>
      </c>
      <c r="J44">
        <v>2.3610000000000002</v>
      </c>
      <c r="K44" t="s">
        <v>516</v>
      </c>
    </row>
    <row r="45" spans="2:11">
      <c r="B45" t="s">
        <v>526</v>
      </c>
      <c r="C45" t="s">
        <v>32</v>
      </c>
      <c r="D45" t="s">
        <v>19</v>
      </c>
      <c r="E45">
        <v>0.39</v>
      </c>
      <c r="F45">
        <v>0.39</v>
      </c>
      <c r="J45">
        <v>0.39</v>
      </c>
      <c r="K45" t="s">
        <v>146</v>
      </c>
    </row>
    <row r="46" spans="2:11">
      <c r="B46" t="s">
        <v>526</v>
      </c>
      <c r="C46" t="s">
        <v>32</v>
      </c>
      <c r="D46" t="s">
        <v>19</v>
      </c>
      <c r="E46">
        <v>40</v>
      </c>
      <c r="F46">
        <v>40</v>
      </c>
      <c r="G46">
        <v>40</v>
      </c>
      <c r="H46">
        <v>40</v>
      </c>
      <c r="I46">
        <v>40</v>
      </c>
      <c r="J46">
        <v>40</v>
      </c>
      <c r="K46" t="s">
        <v>517</v>
      </c>
    </row>
    <row r="47" spans="2:11">
      <c r="B47" t="s">
        <v>526</v>
      </c>
      <c r="C47" t="s">
        <v>32</v>
      </c>
      <c r="D47" t="s">
        <v>19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 t="s">
        <v>518</v>
      </c>
    </row>
    <row r="48" spans="2:11">
      <c r="B48" t="s">
        <v>527</v>
      </c>
      <c r="C48" t="s">
        <v>32</v>
      </c>
      <c r="D48" t="s">
        <v>19</v>
      </c>
      <c r="E48">
        <v>2000</v>
      </c>
      <c r="F48">
        <v>2000</v>
      </c>
      <c r="J48">
        <v>2000</v>
      </c>
      <c r="K48" t="s">
        <v>514</v>
      </c>
    </row>
    <row r="49" spans="2:11">
      <c r="B49" t="s">
        <v>527</v>
      </c>
      <c r="C49" t="s">
        <v>32</v>
      </c>
      <c r="D49" t="s">
        <v>19</v>
      </c>
      <c r="E49">
        <v>60</v>
      </c>
      <c r="F49">
        <v>60</v>
      </c>
      <c r="J49">
        <v>60</v>
      </c>
      <c r="K49" t="s">
        <v>515</v>
      </c>
    </row>
    <row r="50" spans="2:11">
      <c r="B50" t="s">
        <v>527</v>
      </c>
      <c r="C50" t="s">
        <v>32</v>
      </c>
      <c r="D50" t="s">
        <v>19</v>
      </c>
      <c r="E50">
        <v>2.5830000000000002</v>
      </c>
      <c r="F50">
        <v>2.4969999999999999</v>
      </c>
      <c r="J50">
        <v>2.3170000000000002</v>
      </c>
      <c r="K50" t="s">
        <v>516</v>
      </c>
    </row>
    <row r="51" spans="2:11">
      <c r="B51" t="s">
        <v>527</v>
      </c>
      <c r="C51" t="s">
        <v>32</v>
      </c>
      <c r="D51" t="s">
        <v>19</v>
      </c>
      <c r="E51">
        <v>0.43</v>
      </c>
      <c r="F51">
        <v>0.43</v>
      </c>
      <c r="J51">
        <v>0.43</v>
      </c>
      <c r="K51" t="s">
        <v>146</v>
      </c>
    </row>
    <row r="52" spans="2:11">
      <c r="B52" t="s">
        <v>527</v>
      </c>
      <c r="C52" t="s">
        <v>32</v>
      </c>
      <c r="D52" t="s">
        <v>19</v>
      </c>
      <c r="E52">
        <v>40</v>
      </c>
      <c r="F52">
        <v>40</v>
      </c>
      <c r="G52">
        <v>40</v>
      </c>
      <c r="H52">
        <v>40</v>
      </c>
      <c r="I52">
        <v>40</v>
      </c>
      <c r="J52">
        <v>40</v>
      </c>
      <c r="K52" t="s">
        <v>517</v>
      </c>
    </row>
    <row r="53" spans="2:11">
      <c r="B53" t="s">
        <v>527</v>
      </c>
      <c r="C53" t="s">
        <v>32</v>
      </c>
      <c r="D53" t="s">
        <v>19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 t="s">
        <v>518</v>
      </c>
    </row>
    <row r="54" spans="2:11">
      <c r="B54" t="s">
        <v>528</v>
      </c>
      <c r="C54" t="s">
        <v>32</v>
      </c>
      <c r="D54" t="s">
        <v>19</v>
      </c>
      <c r="E54">
        <v>2200</v>
      </c>
      <c r="F54">
        <v>2200</v>
      </c>
      <c r="J54">
        <v>2200</v>
      </c>
      <c r="K54" t="s">
        <v>514</v>
      </c>
    </row>
    <row r="55" spans="2:11">
      <c r="B55" t="s">
        <v>528</v>
      </c>
      <c r="C55" t="s">
        <v>32</v>
      </c>
      <c r="D55" t="s">
        <v>19</v>
      </c>
      <c r="E55">
        <v>65</v>
      </c>
      <c r="F55">
        <v>65</v>
      </c>
      <c r="J55">
        <v>65</v>
      </c>
      <c r="K55" t="s">
        <v>515</v>
      </c>
    </row>
    <row r="56" spans="2:11">
      <c r="B56" t="s">
        <v>528</v>
      </c>
      <c r="C56" t="s">
        <v>32</v>
      </c>
      <c r="D56" t="s">
        <v>19</v>
      </c>
      <c r="E56">
        <v>2.6389999999999998</v>
      </c>
      <c r="F56">
        <v>2.6389999999999998</v>
      </c>
      <c r="J56">
        <v>2.6389999999999998</v>
      </c>
      <c r="K56" t="s">
        <v>516</v>
      </c>
    </row>
    <row r="57" spans="2:11">
      <c r="B57" t="s">
        <v>528</v>
      </c>
      <c r="C57" t="s">
        <v>32</v>
      </c>
      <c r="D57" t="s">
        <v>19</v>
      </c>
      <c r="E57">
        <v>0.45</v>
      </c>
      <c r="F57">
        <v>0.47</v>
      </c>
      <c r="J57">
        <v>0.47</v>
      </c>
      <c r="K57" t="s">
        <v>146</v>
      </c>
    </row>
    <row r="58" spans="2:11">
      <c r="B58" t="s">
        <v>528</v>
      </c>
      <c r="C58" t="s">
        <v>32</v>
      </c>
      <c r="D58" t="s">
        <v>19</v>
      </c>
      <c r="E58">
        <v>40</v>
      </c>
      <c r="F58">
        <v>40</v>
      </c>
      <c r="G58">
        <v>40</v>
      </c>
      <c r="H58">
        <v>40</v>
      </c>
      <c r="I58">
        <v>40</v>
      </c>
      <c r="J58">
        <v>40</v>
      </c>
      <c r="K58" t="s">
        <v>517</v>
      </c>
    </row>
    <row r="59" spans="2:11">
      <c r="B59" t="s">
        <v>528</v>
      </c>
      <c r="C59" t="s">
        <v>32</v>
      </c>
      <c r="D59" t="s">
        <v>19</v>
      </c>
      <c r="E59">
        <v>4</v>
      </c>
      <c r="F59">
        <v>4</v>
      </c>
      <c r="G59">
        <v>4</v>
      </c>
      <c r="H59">
        <v>4</v>
      </c>
      <c r="I59">
        <v>4</v>
      </c>
      <c r="J59">
        <v>4</v>
      </c>
      <c r="K59" t="s">
        <v>518</v>
      </c>
    </row>
    <row r="60" spans="2:11">
      <c r="B60" t="s">
        <v>529</v>
      </c>
      <c r="C60" t="s">
        <v>32</v>
      </c>
      <c r="D60" t="s">
        <v>19</v>
      </c>
      <c r="E60">
        <v>2500</v>
      </c>
      <c r="F60">
        <v>2350</v>
      </c>
      <c r="J60">
        <v>2300</v>
      </c>
      <c r="K60" t="s">
        <v>514</v>
      </c>
    </row>
    <row r="61" spans="2:11">
      <c r="B61" t="s">
        <v>529</v>
      </c>
      <c r="C61" t="s">
        <v>32</v>
      </c>
      <c r="D61" t="s">
        <v>19</v>
      </c>
      <c r="E61">
        <v>95</v>
      </c>
      <c r="F61">
        <v>85</v>
      </c>
      <c r="J61">
        <v>80</v>
      </c>
      <c r="K61" t="s">
        <v>515</v>
      </c>
    </row>
    <row r="62" spans="2:11">
      <c r="B62" t="s">
        <v>529</v>
      </c>
      <c r="C62" t="s">
        <v>32</v>
      </c>
      <c r="D62" t="s">
        <v>19</v>
      </c>
      <c r="E62">
        <v>0.44</v>
      </c>
      <c r="F62">
        <v>0.47</v>
      </c>
      <c r="J62">
        <v>0.49</v>
      </c>
      <c r="K62" t="s">
        <v>146</v>
      </c>
    </row>
    <row r="63" spans="2:11">
      <c r="B63" t="s">
        <v>529</v>
      </c>
      <c r="C63" t="s">
        <v>32</v>
      </c>
      <c r="D63" t="s">
        <v>19</v>
      </c>
      <c r="E63">
        <v>40</v>
      </c>
      <c r="F63">
        <v>40</v>
      </c>
      <c r="G63">
        <v>40</v>
      </c>
      <c r="H63">
        <v>40</v>
      </c>
      <c r="I63">
        <v>40</v>
      </c>
      <c r="J63">
        <v>40</v>
      </c>
      <c r="K63" t="s">
        <v>517</v>
      </c>
    </row>
    <row r="64" spans="2:11">
      <c r="B64" t="s">
        <v>529</v>
      </c>
      <c r="C64" t="s">
        <v>32</v>
      </c>
      <c r="D64" t="s">
        <v>19</v>
      </c>
      <c r="E64">
        <v>4</v>
      </c>
      <c r="F64">
        <v>4</v>
      </c>
      <c r="G64">
        <v>4</v>
      </c>
      <c r="H64">
        <v>4</v>
      </c>
      <c r="I64">
        <v>4</v>
      </c>
      <c r="J64">
        <v>4</v>
      </c>
      <c r="K64" t="s">
        <v>518</v>
      </c>
    </row>
    <row r="65" spans="2:11">
      <c r="B65" t="s">
        <v>530</v>
      </c>
      <c r="C65" t="s">
        <v>32</v>
      </c>
      <c r="D65" t="s">
        <v>525</v>
      </c>
      <c r="E65">
        <v>5500</v>
      </c>
      <c r="F65">
        <v>5500</v>
      </c>
      <c r="J65">
        <v>4500</v>
      </c>
      <c r="K65" t="s">
        <v>514</v>
      </c>
    </row>
    <row r="66" spans="2:11">
      <c r="B66" t="s">
        <v>530</v>
      </c>
      <c r="C66" t="s">
        <v>32</v>
      </c>
      <c r="D66" t="s">
        <v>525</v>
      </c>
      <c r="E66">
        <v>165</v>
      </c>
      <c r="F66">
        <v>165</v>
      </c>
      <c r="J66">
        <v>135</v>
      </c>
      <c r="K66" t="s">
        <v>515</v>
      </c>
    </row>
    <row r="67" spans="2:11">
      <c r="B67" t="s">
        <v>530</v>
      </c>
      <c r="C67" t="s">
        <v>32</v>
      </c>
      <c r="D67" t="s">
        <v>525</v>
      </c>
      <c r="E67">
        <v>4.4779999999999998</v>
      </c>
      <c r="F67">
        <v>4.1529999999999996</v>
      </c>
      <c r="J67">
        <v>3.7309999999999999</v>
      </c>
      <c r="K67" t="s">
        <v>516</v>
      </c>
    </row>
    <row r="68" spans="2:11">
      <c r="B68" t="s">
        <v>530</v>
      </c>
      <c r="C68" t="s">
        <v>32</v>
      </c>
      <c r="D68" t="s">
        <v>525</v>
      </c>
      <c r="E68">
        <v>0.36</v>
      </c>
      <c r="F68">
        <v>0.37</v>
      </c>
      <c r="J68">
        <v>0.37</v>
      </c>
      <c r="K68" t="s">
        <v>146</v>
      </c>
    </row>
    <row r="69" spans="2:11">
      <c r="B69" t="s">
        <v>530</v>
      </c>
      <c r="C69" t="s">
        <v>32</v>
      </c>
      <c r="D69" t="s">
        <v>525</v>
      </c>
      <c r="E69">
        <v>40</v>
      </c>
      <c r="F69">
        <v>40</v>
      </c>
      <c r="G69">
        <v>40</v>
      </c>
      <c r="H69">
        <v>40</v>
      </c>
      <c r="I69">
        <v>40</v>
      </c>
      <c r="J69">
        <v>40</v>
      </c>
      <c r="K69" t="s">
        <v>517</v>
      </c>
    </row>
    <row r="70" spans="2:11">
      <c r="B70" t="s">
        <v>530</v>
      </c>
      <c r="C70" t="s">
        <v>32</v>
      </c>
      <c r="D70" t="s">
        <v>525</v>
      </c>
      <c r="E70">
        <v>5</v>
      </c>
      <c r="F70">
        <v>5</v>
      </c>
      <c r="G70">
        <v>5</v>
      </c>
      <c r="H70">
        <v>5</v>
      </c>
      <c r="I70">
        <v>5</v>
      </c>
      <c r="J70">
        <v>5</v>
      </c>
      <c r="K70" t="s">
        <v>518</v>
      </c>
    </row>
    <row r="71" spans="2:11">
      <c r="B71" t="s">
        <v>531</v>
      </c>
      <c r="C71" t="s">
        <v>32</v>
      </c>
      <c r="D71" t="s">
        <v>525</v>
      </c>
      <c r="E71">
        <v>5850</v>
      </c>
      <c r="F71">
        <v>5700</v>
      </c>
      <c r="J71">
        <v>5150</v>
      </c>
      <c r="K71" t="s">
        <v>514</v>
      </c>
    </row>
    <row r="72" spans="2:11">
      <c r="B72" t="s">
        <v>531</v>
      </c>
      <c r="C72" t="s">
        <v>32</v>
      </c>
      <c r="D72" t="s">
        <v>525</v>
      </c>
      <c r="E72">
        <v>205</v>
      </c>
      <c r="F72">
        <v>200</v>
      </c>
      <c r="J72">
        <v>180</v>
      </c>
      <c r="K72" t="s">
        <v>515</v>
      </c>
    </row>
    <row r="73" spans="2:11">
      <c r="B73" t="s">
        <v>531</v>
      </c>
      <c r="C73" t="s">
        <v>32</v>
      </c>
      <c r="D73" t="s">
        <v>525</v>
      </c>
      <c r="E73">
        <v>4.5830000000000002</v>
      </c>
      <c r="F73">
        <v>4.5830000000000002</v>
      </c>
      <c r="J73">
        <v>4.5830000000000002</v>
      </c>
      <c r="K73" t="s">
        <v>516</v>
      </c>
    </row>
    <row r="74" spans="2:11">
      <c r="B74" t="s">
        <v>531</v>
      </c>
      <c r="C74" t="s">
        <v>32</v>
      </c>
      <c r="D74" t="s">
        <v>525</v>
      </c>
      <c r="E74">
        <v>0.35</v>
      </c>
      <c r="F74">
        <v>0.36</v>
      </c>
      <c r="J74">
        <v>0.39</v>
      </c>
      <c r="K74" t="s">
        <v>146</v>
      </c>
    </row>
    <row r="75" spans="2:11">
      <c r="B75" t="s">
        <v>531</v>
      </c>
      <c r="C75" t="s">
        <v>32</v>
      </c>
      <c r="D75" t="s">
        <v>525</v>
      </c>
      <c r="E75">
        <v>40</v>
      </c>
      <c r="F75">
        <v>40</v>
      </c>
      <c r="G75">
        <v>40</v>
      </c>
      <c r="H75">
        <v>40</v>
      </c>
      <c r="I75">
        <v>40</v>
      </c>
      <c r="J75">
        <v>40</v>
      </c>
      <c r="K75" t="s">
        <v>517</v>
      </c>
    </row>
    <row r="76" spans="2:11">
      <c r="B76" t="s">
        <v>531</v>
      </c>
      <c r="C76" t="s">
        <v>32</v>
      </c>
      <c r="D76" t="s">
        <v>525</v>
      </c>
      <c r="E76">
        <v>5</v>
      </c>
      <c r="F76">
        <v>5</v>
      </c>
      <c r="G76">
        <v>5</v>
      </c>
      <c r="H76">
        <v>5</v>
      </c>
      <c r="I76">
        <v>5</v>
      </c>
      <c r="J76">
        <v>5</v>
      </c>
      <c r="K76" t="s">
        <v>518</v>
      </c>
    </row>
    <row r="77" spans="2:11">
      <c r="B77" t="s">
        <v>532</v>
      </c>
      <c r="C77" t="s">
        <v>32</v>
      </c>
      <c r="D77" t="s">
        <v>525</v>
      </c>
      <c r="E77">
        <v>5700</v>
      </c>
      <c r="F77">
        <v>5700</v>
      </c>
      <c r="J77">
        <v>5150</v>
      </c>
      <c r="K77" t="s">
        <v>514</v>
      </c>
    </row>
    <row r="78" spans="2:11">
      <c r="B78" t="s">
        <v>532</v>
      </c>
      <c r="C78" t="s">
        <v>32</v>
      </c>
      <c r="D78" t="s">
        <v>525</v>
      </c>
      <c r="E78">
        <v>170</v>
      </c>
      <c r="F78">
        <v>170</v>
      </c>
      <c r="J78">
        <v>155</v>
      </c>
      <c r="K78" t="s">
        <v>515</v>
      </c>
    </row>
    <row r="79" spans="2:11">
      <c r="B79" t="s">
        <v>532</v>
      </c>
      <c r="C79" t="s">
        <v>32</v>
      </c>
      <c r="D79" t="s">
        <v>525</v>
      </c>
      <c r="E79">
        <v>4.306</v>
      </c>
      <c r="F79">
        <v>4.306</v>
      </c>
      <c r="J79">
        <v>4.306</v>
      </c>
      <c r="K79" t="s">
        <v>516</v>
      </c>
    </row>
    <row r="80" spans="2:11">
      <c r="B80" t="s">
        <v>532</v>
      </c>
      <c r="C80" t="s">
        <v>32</v>
      </c>
      <c r="D80" t="s">
        <v>525</v>
      </c>
      <c r="E80">
        <v>0.36</v>
      </c>
      <c r="F80">
        <v>0.37</v>
      </c>
      <c r="J80">
        <v>0.37</v>
      </c>
      <c r="K80" t="s">
        <v>146</v>
      </c>
    </row>
    <row r="81" spans="2:11">
      <c r="B81" t="s">
        <v>532</v>
      </c>
      <c r="C81" t="s">
        <v>32</v>
      </c>
      <c r="D81" t="s">
        <v>525</v>
      </c>
      <c r="E81">
        <v>40</v>
      </c>
      <c r="F81">
        <v>40</v>
      </c>
      <c r="G81">
        <v>40</v>
      </c>
      <c r="H81">
        <v>40</v>
      </c>
      <c r="I81">
        <v>40</v>
      </c>
      <c r="J81">
        <v>40</v>
      </c>
      <c r="K81" t="s">
        <v>517</v>
      </c>
    </row>
    <row r="82" spans="2:11">
      <c r="B82" t="s">
        <v>532</v>
      </c>
      <c r="C82" t="s">
        <v>32</v>
      </c>
      <c r="D82" t="s">
        <v>525</v>
      </c>
      <c r="E82">
        <v>5</v>
      </c>
      <c r="F82">
        <v>5</v>
      </c>
      <c r="G82">
        <v>5</v>
      </c>
      <c r="H82">
        <v>5</v>
      </c>
      <c r="I82">
        <v>5</v>
      </c>
      <c r="J82">
        <v>5</v>
      </c>
      <c r="K82" t="s">
        <v>518</v>
      </c>
    </row>
    <row r="83" spans="2:11">
      <c r="B83" t="s">
        <v>533</v>
      </c>
      <c r="C83" t="s">
        <v>36</v>
      </c>
      <c r="D83" t="s">
        <v>19</v>
      </c>
      <c r="E83">
        <v>6600</v>
      </c>
      <c r="F83">
        <v>5100</v>
      </c>
      <c r="J83">
        <v>4500</v>
      </c>
      <c r="K83" t="s">
        <v>514</v>
      </c>
    </row>
    <row r="84" spans="2:11">
      <c r="B84" t="s">
        <v>533</v>
      </c>
      <c r="C84" t="s">
        <v>36</v>
      </c>
      <c r="D84" t="s">
        <v>19</v>
      </c>
      <c r="E84">
        <v>160</v>
      </c>
      <c r="F84">
        <v>160</v>
      </c>
      <c r="J84">
        <v>160</v>
      </c>
      <c r="K84" t="s">
        <v>515</v>
      </c>
    </row>
    <row r="85" spans="2:11">
      <c r="B85" t="s">
        <v>533</v>
      </c>
      <c r="C85" t="s">
        <v>36</v>
      </c>
      <c r="D85" t="s">
        <v>19</v>
      </c>
      <c r="F85">
        <v>0.77800000000000002</v>
      </c>
      <c r="J85">
        <v>0.77800000000000002</v>
      </c>
      <c r="K85" t="s">
        <v>516</v>
      </c>
    </row>
    <row r="86" spans="2:11">
      <c r="B86" t="s">
        <v>533</v>
      </c>
      <c r="C86" t="s">
        <v>36</v>
      </c>
      <c r="D86" t="s">
        <v>19</v>
      </c>
      <c r="E86">
        <v>60</v>
      </c>
      <c r="F86">
        <v>60</v>
      </c>
      <c r="G86">
        <v>60</v>
      </c>
      <c r="H86">
        <v>60</v>
      </c>
      <c r="I86">
        <v>60</v>
      </c>
      <c r="J86">
        <v>60</v>
      </c>
      <c r="K86" t="s">
        <v>517</v>
      </c>
    </row>
    <row r="87" spans="2:11">
      <c r="B87" t="s">
        <v>533</v>
      </c>
      <c r="C87" t="s">
        <v>36</v>
      </c>
      <c r="D87" t="s">
        <v>19</v>
      </c>
      <c r="E87">
        <v>7</v>
      </c>
      <c r="F87">
        <v>7</v>
      </c>
      <c r="G87">
        <v>7</v>
      </c>
      <c r="H87">
        <v>7</v>
      </c>
      <c r="I87">
        <v>7</v>
      </c>
      <c r="J87">
        <v>7</v>
      </c>
      <c r="K87" t="s">
        <v>518</v>
      </c>
    </row>
    <row r="88" spans="2:11">
      <c r="B88" t="s">
        <v>534</v>
      </c>
      <c r="C88" t="s">
        <v>36</v>
      </c>
      <c r="D88" t="s">
        <v>19</v>
      </c>
      <c r="F88">
        <v>10253.1</v>
      </c>
      <c r="G88">
        <v>7863</v>
      </c>
      <c r="H88">
        <v>6373.8</v>
      </c>
      <c r="I88">
        <v>5480.2</v>
      </c>
      <c r="J88">
        <v>4884.6000000000004</v>
      </c>
      <c r="K88" t="s">
        <v>514</v>
      </c>
    </row>
    <row r="89" spans="2:11">
      <c r="B89" t="s">
        <v>534</v>
      </c>
      <c r="C89" t="s">
        <v>36</v>
      </c>
      <c r="D89" t="s">
        <v>19</v>
      </c>
      <c r="F89">
        <v>144.5</v>
      </c>
      <c r="G89">
        <v>136</v>
      </c>
      <c r="H89">
        <v>136</v>
      </c>
      <c r="I89">
        <v>136</v>
      </c>
      <c r="J89">
        <v>136</v>
      </c>
      <c r="K89" t="s">
        <v>515</v>
      </c>
    </row>
    <row r="90" spans="2:11">
      <c r="B90" t="s">
        <v>534</v>
      </c>
      <c r="C90" t="s">
        <v>36</v>
      </c>
      <c r="D90" t="s">
        <v>19</v>
      </c>
      <c r="F90">
        <v>0.72199999999999998</v>
      </c>
      <c r="G90">
        <v>0.72199999999999998</v>
      </c>
      <c r="H90">
        <v>0.72199999999999998</v>
      </c>
      <c r="I90">
        <v>0.72199999999999998</v>
      </c>
      <c r="J90">
        <v>0.72199999999999998</v>
      </c>
      <c r="K90" t="s">
        <v>516</v>
      </c>
    </row>
    <row r="91" spans="2:11">
      <c r="B91" t="s">
        <v>534</v>
      </c>
      <c r="C91" t="s">
        <v>36</v>
      </c>
      <c r="D91" t="s">
        <v>19</v>
      </c>
      <c r="E91">
        <v>40</v>
      </c>
      <c r="F91">
        <v>40</v>
      </c>
      <c r="G91">
        <v>40</v>
      </c>
      <c r="H91">
        <v>40</v>
      </c>
      <c r="I91">
        <v>40</v>
      </c>
      <c r="J91">
        <v>40</v>
      </c>
      <c r="K91" t="s">
        <v>517</v>
      </c>
    </row>
    <row r="92" spans="2:11">
      <c r="B92" t="s">
        <v>534</v>
      </c>
      <c r="C92" t="s">
        <v>36</v>
      </c>
      <c r="D92" t="s">
        <v>19</v>
      </c>
      <c r="E92">
        <v>3</v>
      </c>
      <c r="F92">
        <v>3</v>
      </c>
      <c r="G92">
        <v>3</v>
      </c>
      <c r="H92">
        <v>3</v>
      </c>
      <c r="I92">
        <v>3</v>
      </c>
      <c r="J92">
        <v>3</v>
      </c>
      <c r="K92" t="s">
        <v>518</v>
      </c>
    </row>
    <row r="93" spans="2:11">
      <c r="B93" t="s">
        <v>535</v>
      </c>
      <c r="C93" t="s">
        <v>31</v>
      </c>
      <c r="D93" t="s">
        <v>19</v>
      </c>
      <c r="E93">
        <v>2400</v>
      </c>
      <c r="F93">
        <v>2350</v>
      </c>
      <c r="J93">
        <v>2300</v>
      </c>
      <c r="K93" t="s">
        <v>514</v>
      </c>
    </row>
    <row r="94" spans="2:11">
      <c r="B94" t="s">
        <v>535</v>
      </c>
      <c r="C94" t="s">
        <v>31</v>
      </c>
      <c r="D94" t="s">
        <v>19</v>
      </c>
      <c r="E94">
        <v>85</v>
      </c>
      <c r="F94">
        <v>80</v>
      </c>
      <c r="J94">
        <v>80</v>
      </c>
      <c r="K94" t="s">
        <v>515</v>
      </c>
    </row>
    <row r="95" spans="2:11">
      <c r="B95" t="s">
        <v>535</v>
      </c>
      <c r="C95" t="s">
        <v>31</v>
      </c>
      <c r="D95" t="s">
        <v>19</v>
      </c>
      <c r="E95">
        <v>1.4570000000000001</v>
      </c>
      <c r="F95">
        <v>1.4570000000000001</v>
      </c>
      <c r="J95">
        <v>1.4570000000000001</v>
      </c>
      <c r="K95" t="s">
        <v>516</v>
      </c>
    </row>
    <row r="96" spans="2:11">
      <c r="B96" t="s">
        <v>535</v>
      </c>
      <c r="C96" t="s">
        <v>31</v>
      </c>
      <c r="D96" t="s">
        <v>19</v>
      </c>
      <c r="E96">
        <v>0.35</v>
      </c>
      <c r="F96">
        <v>0.35</v>
      </c>
      <c r="J96">
        <v>0.35</v>
      </c>
      <c r="K96" t="s">
        <v>146</v>
      </c>
    </row>
    <row r="97" spans="2:11">
      <c r="B97" t="s">
        <v>535</v>
      </c>
      <c r="C97" t="s">
        <v>31</v>
      </c>
      <c r="D97" t="s">
        <v>19</v>
      </c>
      <c r="E97">
        <v>0.6</v>
      </c>
      <c r="F97">
        <v>0.6</v>
      </c>
      <c r="J97">
        <v>0.6</v>
      </c>
      <c r="K97" t="s">
        <v>536</v>
      </c>
    </row>
    <row r="98" spans="2:11">
      <c r="B98" t="s">
        <v>535</v>
      </c>
      <c r="C98" t="s">
        <v>31</v>
      </c>
      <c r="D98" t="s">
        <v>19</v>
      </c>
      <c r="E98">
        <v>45</v>
      </c>
      <c r="F98">
        <v>45</v>
      </c>
      <c r="G98">
        <v>45</v>
      </c>
      <c r="H98">
        <v>45</v>
      </c>
      <c r="I98">
        <v>45</v>
      </c>
      <c r="J98">
        <v>45</v>
      </c>
      <c r="K98" t="s">
        <v>517</v>
      </c>
    </row>
    <row r="99" spans="2:11">
      <c r="B99" t="s">
        <v>535</v>
      </c>
      <c r="C99" t="s">
        <v>31</v>
      </c>
      <c r="D99" t="s">
        <v>19</v>
      </c>
      <c r="E99">
        <v>3</v>
      </c>
      <c r="F99">
        <v>3</v>
      </c>
      <c r="G99">
        <v>3</v>
      </c>
      <c r="H99">
        <v>3</v>
      </c>
      <c r="I99">
        <v>3</v>
      </c>
      <c r="J99">
        <v>3</v>
      </c>
      <c r="K99" t="s">
        <v>518</v>
      </c>
    </row>
    <row r="100" spans="2:11">
      <c r="B100" t="s">
        <v>537</v>
      </c>
      <c r="C100" t="s">
        <v>31</v>
      </c>
      <c r="D100" t="s">
        <v>19</v>
      </c>
      <c r="E100">
        <v>600</v>
      </c>
      <c r="F100">
        <v>575</v>
      </c>
      <c r="J100">
        <v>575</v>
      </c>
      <c r="K100" t="s">
        <v>514</v>
      </c>
    </row>
    <row r="101" spans="2:11">
      <c r="B101" t="s">
        <v>537</v>
      </c>
      <c r="C101" t="s">
        <v>31</v>
      </c>
      <c r="D101" t="s">
        <v>19</v>
      </c>
      <c r="E101">
        <v>25</v>
      </c>
      <c r="F101">
        <v>20</v>
      </c>
      <c r="J101">
        <v>20</v>
      </c>
      <c r="K101" t="s">
        <v>515</v>
      </c>
    </row>
    <row r="102" spans="2:11">
      <c r="B102" t="s">
        <v>537</v>
      </c>
      <c r="C102" t="s">
        <v>31</v>
      </c>
      <c r="D102" t="s">
        <v>19</v>
      </c>
      <c r="E102">
        <v>1.111</v>
      </c>
      <c r="F102">
        <v>1.111</v>
      </c>
      <c r="J102">
        <v>1.111</v>
      </c>
      <c r="K102" t="s">
        <v>516</v>
      </c>
    </row>
    <row r="103" spans="2:11">
      <c r="B103" t="s">
        <v>537</v>
      </c>
      <c r="C103" t="s">
        <v>31</v>
      </c>
      <c r="D103" t="s">
        <v>19</v>
      </c>
      <c r="E103">
        <v>0.37</v>
      </c>
      <c r="F103">
        <v>0.37</v>
      </c>
      <c r="J103">
        <v>0.37</v>
      </c>
      <c r="K103" t="s">
        <v>146</v>
      </c>
    </row>
    <row r="104" spans="2:11">
      <c r="B104" t="s">
        <v>537</v>
      </c>
      <c r="C104" t="s">
        <v>31</v>
      </c>
      <c r="D104" t="s">
        <v>19</v>
      </c>
      <c r="E104">
        <v>0.6</v>
      </c>
      <c r="F104">
        <v>0.6</v>
      </c>
      <c r="J104">
        <v>0.6</v>
      </c>
      <c r="K104" t="s">
        <v>536</v>
      </c>
    </row>
    <row r="105" spans="2:11">
      <c r="B105" t="s">
        <v>537</v>
      </c>
      <c r="C105" t="s">
        <v>31</v>
      </c>
      <c r="D105" t="s">
        <v>19</v>
      </c>
      <c r="E105">
        <v>40</v>
      </c>
      <c r="F105">
        <v>40</v>
      </c>
      <c r="G105">
        <v>40</v>
      </c>
      <c r="H105">
        <v>40</v>
      </c>
      <c r="I105">
        <v>40</v>
      </c>
      <c r="J105">
        <v>40</v>
      </c>
      <c r="K105" t="s">
        <v>517</v>
      </c>
    </row>
    <row r="106" spans="2:11">
      <c r="B106" t="s">
        <v>537</v>
      </c>
      <c r="C106" t="s">
        <v>31</v>
      </c>
      <c r="D106" t="s">
        <v>19</v>
      </c>
      <c r="E106">
        <v>2</v>
      </c>
      <c r="F106">
        <v>2</v>
      </c>
      <c r="G106">
        <v>2</v>
      </c>
      <c r="H106">
        <v>2</v>
      </c>
      <c r="I106">
        <v>2</v>
      </c>
      <c r="J106">
        <v>2</v>
      </c>
      <c r="K106" t="s">
        <v>518</v>
      </c>
    </row>
    <row r="107" spans="2:11">
      <c r="B107" t="s">
        <v>538</v>
      </c>
      <c r="C107" t="s">
        <v>31</v>
      </c>
      <c r="D107" t="s">
        <v>521</v>
      </c>
      <c r="E107">
        <v>3750</v>
      </c>
      <c r="F107">
        <v>3650</v>
      </c>
      <c r="J107">
        <v>3550</v>
      </c>
      <c r="K107" t="s">
        <v>514</v>
      </c>
    </row>
    <row r="108" spans="2:11">
      <c r="B108" t="s">
        <v>538</v>
      </c>
      <c r="C108" t="s">
        <v>31</v>
      </c>
      <c r="D108" t="s">
        <v>521</v>
      </c>
      <c r="E108">
        <v>140</v>
      </c>
      <c r="F108">
        <v>140</v>
      </c>
      <c r="J108">
        <v>130</v>
      </c>
      <c r="K108" t="s">
        <v>515</v>
      </c>
    </row>
    <row r="109" spans="2:11">
      <c r="B109" t="s">
        <v>538</v>
      </c>
      <c r="C109" t="s">
        <v>31</v>
      </c>
      <c r="D109" t="s">
        <v>521</v>
      </c>
      <c r="E109">
        <v>1.667</v>
      </c>
      <c r="F109">
        <v>1.667</v>
      </c>
      <c r="J109">
        <v>1.667</v>
      </c>
      <c r="K109" t="s">
        <v>516</v>
      </c>
    </row>
    <row r="110" spans="2:11">
      <c r="B110" t="s">
        <v>538</v>
      </c>
      <c r="C110" t="s">
        <v>31</v>
      </c>
      <c r="D110" t="s">
        <v>521</v>
      </c>
      <c r="E110">
        <v>0.38500000000000001</v>
      </c>
      <c r="F110">
        <v>0.38500000000000001</v>
      </c>
      <c r="J110">
        <v>0.38500000000000001</v>
      </c>
      <c r="K110" t="s">
        <v>146</v>
      </c>
    </row>
    <row r="111" spans="2:11">
      <c r="B111" t="s">
        <v>538</v>
      </c>
      <c r="C111" t="s">
        <v>31</v>
      </c>
      <c r="D111" t="s">
        <v>521</v>
      </c>
      <c r="E111">
        <v>0.7</v>
      </c>
      <c r="F111">
        <v>0.7</v>
      </c>
      <c r="J111">
        <v>0.7</v>
      </c>
      <c r="K111" t="s">
        <v>536</v>
      </c>
    </row>
    <row r="112" spans="2:11">
      <c r="B112" t="s">
        <v>538</v>
      </c>
      <c r="C112" t="s">
        <v>31</v>
      </c>
      <c r="D112" t="s">
        <v>521</v>
      </c>
      <c r="E112">
        <v>25</v>
      </c>
      <c r="F112">
        <v>25</v>
      </c>
      <c r="G112">
        <v>25</v>
      </c>
      <c r="H112">
        <v>25</v>
      </c>
      <c r="I112">
        <v>25</v>
      </c>
      <c r="J112">
        <v>25</v>
      </c>
      <c r="K112" t="s">
        <v>517</v>
      </c>
    </row>
    <row r="113" spans="2:11">
      <c r="B113" t="s">
        <v>538</v>
      </c>
      <c r="C113" t="s">
        <v>31</v>
      </c>
      <c r="D113" t="s">
        <v>521</v>
      </c>
      <c r="E113">
        <v>2</v>
      </c>
      <c r="F113">
        <v>2</v>
      </c>
      <c r="G113">
        <v>2</v>
      </c>
      <c r="H113">
        <v>2</v>
      </c>
      <c r="I113">
        <v>2</v>
      </c>
      <c r="J113">
        <v>2</v>
      </c>
      <c r="K113" t="s">
        <v>518</v>
      </c>
    </row>
    <row r="114" spans="2:11">
      <c r="B114" t="s">
        <v>538</v>
      </c>
      <c r="C114" t="s">
        <v>31</v>
      </c>
      <c r="D114" t="s">
        <v>521</v>
      </c>
      <c r="E114">
        <v>4.5259999999999998</v>
      </c>
      <c r="F114">
        <v>4.5259999999999998</v>
      </c>
      <c r="G114">
        <v>4.5259999999999998</v>
      </c>
      <c r="H114">
        <v>4.5259999999999998</v>
      </c>
      <c r="I114">
        <v>4.5259999999999998</v>
      </c>
      <c r="J114">
        <v>4.5259999999999998</v>
      </c>
      <c r="K114" t="s">
        <v>522</v>
      </c>
    </row>
    <row r="115" spans="2:11">
      <c r="B115" t="s">
        <v>539</v>
      </c>
      <c r="C115" t="s">
        <v>31</v>
      </c>
      <c r="D115" t="s">
        <v>525</v>
      </c>
      <c r="E115">
        <v>5750</v>
      </c>
      <c r="F115">
        <v>5700</v>
      </c>
      <c r="J115">
        <v>5100</v>
      </c>
      <c r="K115" t="s">
        <v>514</v>
      </c>
    </row>
    <row r="116" spans="2:11">
      <c r="B116" t="s">
        <v>539</v>
      </c>
      <c r="C116" t="s">
        <v>31</v>
      </c>
      <c r="D116" t="s">
        <v>525</v>
      </c>
      <c r="E116">
        <v>205</v>
      </c>
      <c r="F116">
        <v>200</v>
      </c>
      <c r="J116">
        <v>180</v>
      </c>
      <c r="K116" t="s">
        <v>515</v>
      </c>
    </row>
    <row r="117" spans="2:11">
      <c r="B117" t="s">
        <v>539</v>
      </c>
      <c r="C117" t="s">
        <v>31</v>
      </c>
      <c r="D117" t="s">
        <v>525</v>
      </c>
      <c r="E117">
        <v>2.3610000000000002</v>
      </c>
      <c r="F117">
        <v>2.3610000000000002</v>
      </c>
      <c r="J117">
        <v>2.3610000000000002</v>
      </c>
      <c r="K117" t="s">
        <v>516</v>
      </c>
    </row>
    <row r="118" spans="2:11">
      <c r="B118" t="s">
        <v>539</v>
      </c>
      <c r="C118" t="s">
        <v>31</v>
      </c>
      <c r="D118" t="s">
        <v>525</v>
      </c>
      <c r="E118">
        <v>0.3</v>
      </c>
      <c r="F118">
        <v>0.3</v>
      </c>
      <c r="J118">
        <v>0.3</v>
      </c>
      <c r="K118" t="s">
        <v>146</v>
      </c>
    </row>
    <row r="119" spans="2:11">
      <c r="B119" t="s">
        <v>539</v>
      </c>
      <c r="C119" t="s">
        <v>31</v>
      </c>
      <c r="D119" t="s">
        <v>525</v>
      </c>
      <c r="E119">
        <v>0.6</v>
      </c>
      <c r="F119">
        <v>0.6</v>
      </c>
      <c r="J119">
        <v>0.6</v>
      </c>
      <c r="K119" t="s">
        <v>536</v>
      </c>
    </row>
    <row r="120" spans="2:11">
      <c r="B120" t="s">
        <v>539</v>
      </c>
      <c r="C120" t="s">
        <v>31</v>
      </c>
      <c r="D120" t="s">
        <v>525</v>
      </c>
      <c r="E120">
        <v>30</v>
      </c>
      <c r="F120">
        <v>30</v>
      </c>
      <c r="G120">
        <v>30</v>
      </c>
      <c r="H120">
        <v>30</v>
      </c>
      <c r="I120">
        <v>30</v>
      </c>
      <c r="J120">
        <v>30</v>
      </c>
      <c r="K120" t="s">
        <v>517</v>
      </c>
    </row>
    <row r="121" spans="2:11">
      <c r="B121" t="s">
        <v>539</v>
      </c>
      <c r="C121" t="s">
        <v>31</v>
      </c>
      <c r="D121" t="s">
        <v>525</v>
      </c>
      <c r="E121">
        <v>3</v>
      </c>
      <c r="F121">
        <v>3</v>
      </c>
      <c r="G121">
        <v>3</v>
      </c>
      <c r="H121">
        <v>3</v>
      </c>
      <c r="I121">
        <v>3</v>
      </c>
      <c r="J121">
        <v>3</v>
      </c>
      <c r="K121" t="s">
        <v>518</v>
      </c>
    </row>
    <row r="122" spans="2:11">
      <c r="B122" t="s">
        <v>540</v>
      </c>
      <c r="C122" t="s">
        <v>34</v>
      </c>
      <c r="D122" t="s">
        <v>19</v>
      </c>
      <c r="E122">
        <v>2850</v>
      </c>
      <c r="F122">
        <v>2750</v>
      </c>
      <c r="J122">
        <v>2550</v>
      </c>
      <c r="K122" t="s">
        <v>514</v>
      </c>
    </row>
    <row r="123" spans="2:11">
      <c r="B123" t="s">
        <v>540</v>
      </c>
      <c r="C123" t="s">
        <v>34</v>
      </c>
      <c r="D123" t="s">
        <v>19</v>
      </c>
      <c r="E123">
        <v>55</v>
      </c>
      <c r="F123">
        <v>55</v>
      </c>
      <c r="J123">
        <v>50</v>
      </c>
      <c r="K123" t="s">
        <v>515</v>
      </c>
    </row>
    <row r="124" spans="2:11">
      <c r="B124" t="s">
        <v>540</v>
      </c>
      <c r="C124" t="s">
        <v>34</v>
      </c>
      <c r="D124" t="s">
        <v>19</v>
      </c>
      <c r="E124">
        <v>0</v>
      </c>
      <c r="F124">
        <v>0</v>
      </c>
      <c r="J124">
        <v>0</v>
      </c>
      <c r="K124" t="s">
        <v>516</v>
      </c>
    </row>
    <row r="125" spans="2:11">
      <c r="B125" t="s">
        <v>540</v>
      </c>
      <c r="C125" t="s">
        <v>34</v>
      </c>
      <c r="D125" t="s">
        <v>19</v>
      </c>
      <c r="E125">
        <v>0.1</v>
      </c>
      <c r="F125">
        <v>0.1</v>
      </c>
      <c r="J125">
        <v>0.1</v>
      </c>
      <c r="K125" t="s">
        <v>146</v>
      </c>
    </row>
    <row r="126" spans="2:11">
      <c r="B126" t="s">
        <v>540</v>
      </c>
      <c r="C126" t="s">
        <v>34</v>
      </c>
      <c r="D126" t="s">
        <v>19</v>
      </c>
      <c r="E126">
        <v>0.85</v>
      </c>
      <c r="F126">
        <v>0.85</v>
      </c>
      <c r="J126">
        <v>0.85</v>
      </c>
      <c r="K126" t="s">
        <v>536</v>
      </c>
    </row>
    <row r="127" spans="2:11">
      <c r="B127" t="s">
        <v>540</v>
      </c>
      <c r="C127" t="s">
        <v>34</v>
      </c>
      <c r="D127" t="s">
        <v>19</v>
      </c>
      <c r="E127">
        <v>30</v>
      </c>
      <c r="F127">
        <v>30</v>
      </c>
      <c r="G127">
        <v>30</v>
      </c>
      <c r="H127">
        <v>30</v>
      </c>
      <c r="I127">
        <v>30</v>
      </c>
      <c r="J127">
        <v>30</v>
      </c>
      <c r="K127" t="s">
        <v>517</v>
      </c>
    </row>
    <row r="128" spans="2:11">
      <c r="B128" t="s">
        <v>540</v>
      </c>
      <c r="C128" t="s">
        <v>34</v>
      </c>
      <c r="D128" t="s">
        <v>19</v>
      </c>
      <c r="E128">
        <v>4</v>
      </c>
      <c r="F128">
        <v>4</v>
      </c>
      <c r="G128">
        <v>4</v>
      </c>
      <c r="H128">
        <v>4</v>
      </c>
      <c r="I128">
        <v>4</v>
      </c>
      <c r="J128">
        <v>4</v>
      </c>
      <c r="K128" t="s">
        <v>518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85293-E209-4A5E-B10C-8FC389083B19}">
  <dimension ref="B2:M75"/>
  <sheetViews>
    <sheetView tabSelected="1" workbookViewId="0"/>
  </sheetViews>
  <sheetFormatPr defaultRowHeight="14.25"/>
  <sheetData>
    <row r="2" spans="2:13">
      <c r="B2" t="s">
        <v>195</v>
      </c>
      <c r="H2" t="s">
        <v>164</v>
      </c>
    </row>
    <row r="3" spans="2:13">
      <c r="B3" t="s">
        <v>166</v>
      </c>
      <c r="C3" t="s">
        <v>233</v>
      </c>
      <c r="D3" t="s">
        <v>196</v>
      </c>
      <c r="E3" t="s">
        <v>146</v>
      </c>
      <c r="H3" t="s">
        <v>165</v>
      </c>
      <c r="I3" t="s">
        <v>166</v>
      </c>
      <c r="J3" t="s">
        <v>167</v>
      </c>
      <c r="K3" t="s">
        <v>684</v>
      </c>
      <c r="L3" t="s">
        <v>685</v>
      </c>
      <c r="M3" t="s">
        <v>170</v>
      </c>
    </row>
    <row r="4" spans="2:13">
      <c r="B4" t="s">
        <v>543</v>
      </c>
      <c r="C4" t="s">
        <v>544</v>
      </c>
      <c r="D4" t="s">
        <v>545</v>
      </c>
      <c r="E4">
        <v>1</v>
      </c>
      <c r="H4" t="s">
        <v>210</v>
      </c>
      <c r="I4" t="s">
        <v>543</v>
      </c>
      <c r="J4" t="s">
        <v>686</v>
      </c>
      <c r="K4" t="s">
        <v>21</v>
      </c>
      <c r="L4" t="s">
        <v>10</v>
      </c>
      <c r="M4" t="s">
        <v>214</v>
      </c>
    </row>
    <row r="5" spans="2:13">
      <c r="B5" t="s">
        <v>546</v>
      </c>
      <c r="C5" t="s">
        <v>545</v>
      </c>
      <c r="D5" t="s">
        <v>544</v>
      </c>
      <c r="E5">
        <v>1</v>
      </c>
      <c r="H5" t="s">
        <v>210</v>
      </c>
      <c r="I5" t="s">
        <v>546</v>
      </c>
      <c r="J5" t="s">
        <v>687</v>
      </c>
      <c r="K5" t="s">
        <v>21</v>
      </c>
      <c r="L5" t="s">
        <v>10</v>
      </c>
      <c r="M5" t="s">
        <v>214</v>
      </c>
    </row>
    <row r="6" spans="2:13">
      <c r="B6" t="s">
        <v>547</v>
      </c>
      <c r="C6" t="s">
        <v>548</v>
      </c>
      <c r="D6" t="s">
        <v>549</v>
      </c>
      <c r="E6">
        <v>1</v>
      </c>
      <c r="H6" t="s">
        <v>210</v>
      </c>
      <c r="I6" t="s">
        <v>547</v>
      </c>
      <c r="J6" t="s">
        <v>688</v>
      </c>
      <c r="K6" t="s">
        <v>21</v>
      </c>
      <c r="L6" t="s">
        <v>10</v>
      </c>
      <c r="M6" t="s">
        <v>214</v>
      </c>
    </row>
    <row r="7" spans="2:13">
      <c r="B7" t="s">
        <v>550</v>
      </c>
      <c r="C7" t="s">
        <v>549</v>
      </c>
      <c r="D7" t="s">
        <v>548</v>
      </c>
      <c r="E7">
        <v>1</v>
      </c>
      <c r="H7" t="s">
        <v>210</v>
      </c>
      <c r="I7" t="s">
        <v>550</v>
      </c>
      <c r="J7" t="s">
        <v>689</v>
      </c>
      <c r="K7" t="s">
        <v>21</v>
      </c>
      <c r="L7" t="s">
        <v>10</v>
      </c>
      <c r="M7" t="s">
        <v>214</v>
      </c>
    </row>
    <row r="8" spans="2:13">
      <c r="B8" t="s">
        <v>551</v>
      </c>
      <c r="C8" t="s">
        <v>552</v>
      </c>
      <c r="D8" t="s">
        <v>553</v>
      </c>
      <c r="E8">
        <v>1</v>
      </c>
      <c r="H8" t="s">
        <v>210</v>
      </c>
      <c r="I8" t="s">
        <v>551</v>
      </c>
      <c r="J8" t="s">
        <v>690</v>
      </c>
      <c r="K8" t="s">
        <v>21</v>
      </c>
      <c r="L8" t="s">
        <v>10</v>
      </c>
      <c r="M8" t="s">
        <v>214</v>
      </c>
    </row>
    <row r="9" spans="2:13">
      <c r="B9" t="s">
        <v>554</v>
      </c>
      <c r="C9" t="s">
        <v>553</v>
      </c>
      <c r="D9" t="s">
        <v>552</v>
      </c>
      <c r="E9">
        <v>1</v>
      </c>
      <c r="H9" t="s">
        <v>210</v>
      </c>
      <c r="I9" t="s">
        <v>554</v>
      </c>
      <c r="J9" t="s">
        <v>691</v>
      </c>
      <c r="K9" t="s">
        <v>21</v>
      </c>
      <c r="L9" t="s">
        <v>10</v>
      </c>
      <c r="M9" t="s">
        <v>214</v>
      </c>
    </row>
    <row r="10" spans="2:13">
      <c r="B10" t="s">
        <v>555</v>
      </c>
      <c r="C10" t="s">
        <v>556</v>
      </c>
      <c r="D10" t="s">
        <v>557</v>
      </c>
      <c r="E10">
        <v>1</v>
      </c>
      <c r="H10" t="s">
        <v>210</v>
      </c>
      <c r="I10" t="s">
        <v>555</v>
      </c>
      <c r="J10" t="s">
        <v>692</v>
      </c>
      <c r="K10" t="s">
        <v>21</v>
      </c>
      <c r="L10" t="s">
        <v>10</v>
      </c>
      <c r="M10" t="s">
        <v>214</v>
      </c>
    </row>
    <row r="11" spans="2:13">
      <c r="B11" t="s">
        <v>558</v>
      </c>
      <c r="C11" t="s">
        <v>557</v>
      </c>
      <c r="D11" t="s">
        <v>556</v>
      </c>
      <c r="E11">
        <v>1</v>
      </c>
      <c r="H11" t="s">
        <v>210</v>
      </c>
      <c r="I11" t="s">
        <v>558</v>
      </c>
      <c r="J11" t="s">
        <v>693</v>
      </c>
      <c r="K11" t="s">
        <v>21</v>
      </c>
      <c r="L11" t="s">
        <v>10</v>
      </c>
      <c r="M11" t="s">
        <v>214</v>
      </c>
    </row>
    <row r="12" spans="2:13">
      <c r="B12" t="s">
        <v>559</v>
      </c>
      <c r="C12" t="s">
        <v>560</v>
      </c>
      <c r="D12" t="s">
        <v>561</v>
      </c>
      <c r="E12">
        <v>1</v>
      </c>
      <c r="H12" t="s">
        <v>210</v>
      </c>
      <c r="I12" t="s">
        <v>559</v>
      </c>
      <c r="J12" t="s">
        <v>694</v>
      </c>
      <c r="K12" t="s">
        <v>21</v>
      </c>
      <c r="L12" t="s">
        <v>10</v>
      </c>
      <c r="M12" t="s">
        <v>214</v>
      </c>
    </row>
    <row r="13" spans="2:13">
      <c r="B13" t="s">
        <v>562</v>
      </c>
      <c r="C13" t="s">
        <v>561</v>
      </c>
      <c r="D13" t="s">
        <v>560</v>
      </c>
      <c r="E13">
        <v>1</v>
      </c>
      <c r="H13" t="s">
        <v>210</v>
      </c>
      <c r="I13" t="s">
        <v>562</v>
      </c>
      <c r="J13" t="s">
        <v>695</v>
      </c>
      <c r="K13" t="s">
        <v>21</v>
      </c>
      <c r="L13" t="s">
        <v>10</v>
      </c>
      <c r="M13" t="s">
        <v>214</v>
      </c>
    </row>
    <row r="14" spans="2:13">
      <c r="B14" t="s">
        <v>563</v>
      </c>
      <c r="C14" t="s">
        <v>564</v>
      </c>
      <c r="D14" t="s">
        <v>565</v>
      </c>
      <c r="E14">
        <v>1</v>
      </c>
      <c r="H14" t="s">
        <v>210</v>
      </c>
      <c r="I14" t="s">
        <v>563</v>
      </c>
      <c r="J14" t="s">
        <v>696</v>
      </c>
      <c r="K14" t="s">
        <v>21</v>
      </c>
      <c r="L14" t="s">
        <v>10</v>
      </c>
      <c r="M14" t="s">
        <v>214</v>
      </c>
    </row>
    <row r="15" spans="2:13">
      <c r="B15" t="s">
        <v>566</v>
      </c>
      <c r="C15" t="s">
        <v>565</v>
      </c>
      <c r="D15" t="s">
        <v>564</v>
      </c>
      <c r="E15">
        <v>1</v>
      </c>
      <c r="H15" t="s">
        <v>210</v>
      </c>
      <c r="I15" t="s">
        <v>566</v>
      </c>
      <c r="J15" t="s">
        <v>697</v>
      </c>
      <c r="K15" t="s">
        <v>21</v>
      </c>
      <c r="L15" t="s">
        <v>10</v>
      </c>
      <c r="M15" t="s">
        <v>214</v>
      </c>
    </row>
    <row r="16" spans="2:13">
      <c r="B16" t="s">
        <v>567</v>
      </c>
      <c r="C16" t="s">
        <v>568</v>
      </c>
      <c r="D16" t="s">
        <v>569</v>
      </c>
      <c r="E16">
        <v>1</v>
      </c>
      <c r="H16" t="s">
        <v>210</v>
      </c>
      <c r="I16" t="s">
        <v>567</v>
      </c>
      <c r="J16" t="s">
        <v>698</v>
      </c>
      <c r="K16" t="s">
        <v>21</v>
      </c>
      <c r="L16" t="s">
        <v>10</v>
      </c>
      <c r="M16" t="s">
        <v>214</v>
      </c>
    </row>
    <row r="17" spans="2:13">
      <c r="B17" t="s">
        <v>570</v>
      </c>
      <c r="C17" t="s">
        <v>569</v>
      </c>
      <c r="D17" t="s">
        <v>568</v>
      </c>
      <c r="E17">
        <v>1</v>
      </c>
      <c r="H17" t="s">
        <v>210</v>
      </c>
      <c r="I17" t="s">
        <v>570</v>
      </c>
      <c r="J17" t="s">
        <v>699</v>
      </c>
      <c r="K17" t="s">
        <v>21</v>
      </c>
      <c r="L17" t="s">
        <v>10</v>
      </c>
      <c r="M17" t="s">
        <v>214</v>
      </c>
    </row>
    <row r="18" spans="2:13">
      <c r="B18" t="s">
        <v>571</v>
      </c>
      <c r="C18" t="s">
        <v>572</v>
      </c>
      <c r="D18" t="s">
        <v>573</v>
      </c>
      <c r="E18">
        <v>1</v>
      </c>
      <c r="H18" t="s">
        <v>210</v>
      </c>
      <c r="I18" t="s">
        <v>571</v>
      </c>
      <c r="J18" t="s">
        <v>700</v>
      </c>
      <c r="K18" t="s">
        <v>21</v>
      </c>
      <c r="L18" t="s">
        <v>10</v>
      </c>
      <c r="M18" t="s">
        <v>214</v>
      </c>
    </row>
    <row r="19" spans="2:13">
      <c r="B19" t="s">
        <v>574</v>
      </c>
      <c r="C19" t="s">
        <v>573</v>
      </c>
      <c r="D19" t="s">
        <v>572</v>
      </c>
      <c r="E19">
        <v>1</v>
      </c>
      <c r="H19" t="s">
        <v>210</v>
      </c>
      <c r="I19" t="s">
        <v>574</v>
      </c>
      <c r="J19" t="s">
        <v>701</v>
      </c>
      <c r="K19" t="s">
        <v>21</v>
      </c>
      <c r="L19" t="s">
        <v>10</v>
      </c>
      <c r="M19" t="s">
        <v>214</v>
      </c>
    </row>
    <row r="20" spans="2:13">
      <c r="B20" t="s">
        <v>575</v>
      </c>
      <c r="C20" t="s">
        <v>576</v>
      </c>
      <c r="D20" t="s">
        <v>577</v>
      </c>
      <c r="E20">
        <v>1</v>
      </c>
      <c r="H20" t="s">
        <v>210</v>
      </c>
      <c r="I20" t="s">
        <v>575</v>
      </c>
      <c r="J20" t="s">
        <v>702</v>
      </c>
      <c r="K20" t="s">
        <v>21</v>
      </c>
      <c r="L20" t="s">
        <v>10</v>
      </c>
      <c r="M20" t="s">
        <v>214</v>
      </c>
    </row>
    <row r="21" spans="2:13">
      <c r="B21" t="s">
        <v>578</v>
      </c>
      <c r="C21" t="s">
        <v>577</v>
      </c>
      <c r="D21" t="s">
        <v>576</v>
      </c>
      <c r="E21">
        <v>1</v>
      </c>
      <c r="H21" t="s">
        <v>210</v>
      </c>
      <c r="I21" t="s">
        <v>578</v>
      </c>
      <c r="J21" t="s">
        <v>703</v>
      </c>
      <c r="K21" t="s">
        <v>21</v>
      </c>
      <c r="L21" t="s">
        <v>10</v>
      </c>
      <c r="M21" t="s">
        <v>214</v>
      </c>
    </row>
    <row r="22" spans="2:13">
      <c r="B22" t="s">
        <v>579</v>
      </c>
      <c r="C22" t="s">
        <v>580</v>
      </c>
      <c r="D22" t="s">
        <v>581</v>
      </c>
      <c r="E22">
        <v>1</v>
      </c>
      <c r="H22" t="s">
        <v>210</v>
      </c>
      <c r="I22" t="s">
        <v>579</v>
      </c>
      <c r="J22" t="s">
        <v>704</v>
      </c>
      <c r="K22" t="s">
        <v>21</v>
      </c>
      <c r="L22" t="s">
        <v>10</v>
      </c>
      <c r="M22" t="s">
        <v>214</v>
      </c>
    </row>
    <row r="23" spans="2:13">
      <c r="B23" t="s">
        <v>582</v>
      </c>
      <c r="C23" t="s">
        <v>581</v>
      </c>
      <c r="D23" t="s">
        <v>580</v>
      </c>
      <c r="E23">
        <v>1</v>
      </c>
      <c r="H23" t="s">
        <v>210</v>
      </c>
      <c r="I23" t="s">
        <v>582</v>
      </c>
      <c r="J23" t="s">
        <v>705</v>
      </c>
      <c r="K23" t="s">
        <v>21</v>
      </c>
      <c r="L23" t="s">
        <v>10</v>
      </c>
      <c r="M23" t="s">
        <v>214</v>
      </c>
    </row>
    <row r="24" spans="2:13">
      <c r="B24" t="s">
        <v>583</v>
      </c>
      <c r="C24" t="s">
        <v>584</v>
      </c>
      <c r="D24" t="s">
        <v>585</v>
      </c>
      <c r="E24">
        <v>1</v>
      </c>
      <c r="H24" t="s">
        <v>210</v>
      </c>
      <c r="I24" t="s">
        <v>583</v>
      </c>
      <c r="J24" t="s">
        <v>706</v>
      </c>
      <c r="K24" t="s">
        <v>21</v>
      </c>
      <c r="L24" t="s">
        <v>10</v>
      </c>
      <c r="M24" t="s">
        <v>214</v>
      </c>
    </row>
    <row r="25" spans="2:13">
      <c r="B25" t="s">
        <v>586</v>
      </c>
      <c r="C25" t="s">
        <v>585</v>
      </c>
      <c r="D25" t="s">
        <v>584</v>
      </c>
      <c r="E25">
        <v>1</v>
      </c>
      <c r="H25" t="s">
        <v>210</v>
      </c>
      <c r="I25" t="s">
        <v>586</v>
      </c>
      <c r="J25" t="s">
        <v>707</v>
      </c>
      <c r="K25" t="s">
        <v>21</v>
      </c>
      <c r="L25" t="s">
        <v>10</v>
      </c>
      <c r="M25" t="s">
        <v>214</v>
      </c>
    </row>
    <row r="26" spans="2:13">
      <c r="B26" t="s">
        <v>587</v>
      </c>
      <c r="C26" t="s">
        <v>588</v>
      </c>
      <c r="D26" t="s">
        <v>589</v>
      </c>
      <c r="E26">
        <v>1</v>
      </c>
      <c r="H26" t="s">
        <v>210</v>
      </c>
      <c r="I26" t="s">
        <v>587</v>
      </c>
      <c r="J26" t="s">
        <v>708</v>
      </c>
      <c r="K26" t="s">
        <v>21</v>
      </c>
      <c r="L26" t="s">
        <v>10</v>
      </c>
      <c r="M26" t="s">
        <v>214</v>
      </c>
    </row>
    <row r="27" spans="2:13">
      <c r="B27" t="s">
        <v>590</v>
      </c>
      <c r="C27" t="s">
        <v>589</v>
      </c>
      <c r="D27" t="s">
        <v>588</v>
      </c>
      <c r="E27">
        <v>1</v>
      </c>
      <c r="H27" t="s">
        <v>210</v>
      </c>
      <c r="I27" t="s">
        <v>590</v>
      </c>
      <c r="J27" t="s">
        <v>709</v>
      </c>
      <c r="K27" t="s">
        <v>21</v>
      </c>
      <c r="L27" t="s">
        <v>10</v>
      </c>
      <c r="M27" t="s">
        <v>214</v>
      </c>
    </row>
    <row r="28" spans="2:13">
      <c r="B28" t="s">
        <v>591</v>
      </c>
      <c r="C28" t="s">
        <v>592</v>
      </c>
      <c r="D28" t="s">
        <v>593</v>
      </c>
      <c r="E28">
        <v>1</v>
      </c>
      <c r="H28" t="s">
        <v>210</v>
      </c>
      <c r="I28" t="s">
        <v>591</v>
      </c>
      <c r="J28" t="s">
        <v>710</v>
      </c>
      <c r="K28" t="s">
        <v>21</v>
      </c>
      <c r="L28" t="s">
        <v>10</v>
      </c>
      <c r="M28" t="s">
        <v>214</v>
      </c>
    </row>
    <row r="29" spans="2:13">
      <c r="B29" t="s">
        <v>594</v>
      </c>
      <c r="C29" t="s">
        <v>593</v>
      </c>
      <c r="D29" t="s">
        <v>592</v>
      </c>
      <c r="E29">
        <v>1</v>
      </c>
      <c r="H29" t="s">
        <v>210</v>
      </c>
      <c r="I29" t="s">
        <v>594</v>
      </c>
      <c r="J29" t="s">
        <v>711</v>
      </c>
      <c r="K29" t="s">
        <v>21</v>
      </c>
      <c r="L29" t="s">
        <v>10</v>
      </c>
      <c r="M29" t="s">
        <v>214</v>
      </c>
    </row>
    <row r="30" spans="2:13">
      <c r="B30" t="s">
        <v>595</v>
      </c>
      <c r="C30" t="s">
        <v>596</v>
      </c>
      <c r="D30" t="s">
        <v>597</v>
      </c>
      <c r="E30">
        <v>1</v>
      </c>
      <c r="H30" t="s">
        <v>210</v>
      </c>
      <c r="I30" t="s">
        <v>595</v>
      </c>
      <c r="J30" t="s">
        <v>712</v>
      </c>
      <c r="K30" t="s">
        <v>21</v>
      </c>
      <c r="L30" t="s">
        <v>10</v>
      </c>
      <c r="M30" t="s">
        <v>214</v>
      </c>
    </row>
    <row r="31" spans="2:13">
      <c r="B31" t="s">
        <v>598</v>
      </c>
      <c r="C31" t="s">
        <v>597</v>
      </c>
      <c r="D31" t="s">
        <v>596</v>
      </c>
      <c r="E31">
        <v>1</v>
      </c>
      <c r="H31" t="s">
        <v>210</v>
      </c>
      <c r="I31" t="s">
        <v>598</v>
      </c>
      <c r="J31" t="s">
        <v>713</v>
      </c>
      <c r="K31" t="s">
        <v>21</v>
      </c>
      <c r="L31" t="s">
        <v>10</v>
      </c>
      <c r="M31" t="s">
        <v>214</v>
      </c>
    </row>
    <row r="32" spans="2:13">
      <c r="B32" t="s">
        <v>599</v>
      </c>
      <c r="C32" t="s">
        <v>597</v>
      </c>
      <c r="D32" t="s">
        <v>600</v>
      </c>
      <c r="E32">
        <v>1</v>
      </c>
      <c r="H32" t="s">
        <v>210</v>
      </c>
      <c r="I32" t="s">
        <v>599</v>
      </c>
      <c r="J32" t="s">
        <v>714</v>
      </c>
      <c r="K32" t="s">
        <v>21</v>
      </c>
      <c r="L32" t="s">
        <v>10</v>
      </c>
      <c r="M32" t="s">
        <v>214</v>
      </c>
    </row>
    <row r="33" spans="2:13">
      <c r="B33" t="s">
        <v>601</v>
      </c>
      <c r="C33" t="s">
        <v>600</v>
      </c>
      <c r="D33" t="s">
        <v>597</v>
      </c>
      <c r="E33">
        <v>1</v>
      </c>
      <c r="H33" t="s">
        <v>210</v>
      </c>
      <c r="I33" t="s">
        <v>601</v>
      </c>
      <c r="J33" t="s">
        <v>715</v>
      </c>
      <c r="K33" t="s">
        <v>21</v>
      </c>
      <c r="L33" t="s">
        <v>10</v>
      </c>
      <c r="M33" t="s">
        <v>214</v>
      </c>
    </row>
    <row r="34" spans="2:13">
      <c r="B34" t="s">
        <v>602</v>
      </c>
      <c r="C34" t="s">
        <v>603</v>
      </c>
      <c r="D34" t="s">
        <v>604</v>
      </c>
      <c r="E34">
        <v>1</v>
      </c>
      <c r="H34" t="s">
        <v>210</v>
      </c>
      <c r="I34" t="s">
        <v>602</v>
      </c>
      <c r="J34" t="s">
        <v>716</v>
      </c>
      <c r="K34" t="s">
        <v>21</v>
      </c>
      <c r="L34" t="s">
        <v>10</v>
      </c>
      <c r="M34" t="s">
        <v>214</v>
      </c>
    </row>
    <row r="35" spans="2:13">
      <c r="B35" t="s">
        <v>605</v>
      </c>
      <c r="C35" t="s">
        <v>604</v>
      </c>
      <c r="D35" t="s">
        <v>603</v>
      </c>
      <c r="E35">
        <v>1</v>
      </c>
      <c r="H35" t="s">
        <v>210</v>
      </c>
      <c r="I35" t="s">
        <v>605</v>
      </c>
      <c r="J35" t="s">
        <v>717</v>
      </c>
      <c r="K35" t="s">
        <v>21</v>
      </c>
      <c r="L35" t="s">
        <v>10</v>
      </c>
      <c r="M35" t="s">
        <v>214</v>
      </c>
    </row>
    <row r="36" spans="2:13">
      <c r="B36" t="s">
        <v>606</v>
      </c>
      <c r="C36" t="s">
        <v>280</v>
      </c>
      <c r="D36" t="s">
        <v>607</v>
      </c>
      <c r="E36">
        <v>1</v>
      </c>
      <c r="H36" t="s">
        <v>210</v>
      </c>
      <c r="I36" t="s">
        <v>606</v>
      </c>
      <c r="J36" t="s">
        <v>718</v>
      </c>
      <c r="K36" t="s">
        <v>21</v>
      </c>
      <c r="L36" t="s">
        <v>10</v>
      </c>
      <c r="M36" t="s">
        <v>214</v>
      </c>
    </row>
    <row r="37" spans="2:13">
      <c r="B37" t="s">
        <v>608</v>
      </c>
      <c r="C37" t="s">
        <v>607</v>
      </c>
      <c r="D37" t="s">
        <v>280</v>
      </c>
      <c r="E37">
        <v>1</v>
      </c>
      <c r="H37" t="s">
        <v>210</v>
      </c>
      <c r="I37" t="s">
        <v>608</v>
      </c>
      <c r="J37" t="s">
        <v>719</v>
      </c>
      <c r="K37" t="s">
        <v>21</v>
      </c>
      <c r="L37" t="s">
        <v>10</v>
      </c>
      <c r="M37" t="s">
        <v>214</v>
      </c>
    </row>
    <row r="38" spans="2:13">
      <c r="B38" t="s">
        <v>609</v>
      </c>
      <c r="C38" t="s">
        <v>610</v>
      </c>
      <c r="D38" t="s">
        <v>611</v>
      </c>
      <c r="E38">
        <v>1</v>
      </c>
      <c r="H38" t="s">
        <v>210</v>
      </c>
      <c r="I38" t="s">
        <v>609</v>
      </c>
      <c r="J38" t="s">
        <v>720</v>
      </c>
      <c r="K38" t="s">
        <v>21</v>
      </c>
      <c r="L38" t="s">
        <v>10</v>
      </c>
      <c r="M38" t="s">
        <v>214</v>
      </c>
    </row>
    <row r="39" spans="2:13">
      <c r="B39" t="s">
        <v>612</v>
      </c>
      <c r="C39" t="s">
        <v>611</v>
      </c>
      <c r="D39" t="s">
        <v>610</v>
      </c>
      <c r="E39">
        <v>1</v>
      </c>
      <c r="H39" t="s">
        <v>210</v>
      </c>
      <c r="I39" t="s">
        <v>612</v>
      </c>
      <c r="J39" t="s">
        <v>721</v>
      </c>
      <c r="K39" t="s">
        <v>21</v>
      </c>
      <c r="L39" t="s">
        <v>10</v>
      </c>
      <c r="M39" t="s">
        <v>214</v>
      </c>
    </row>
    <row r="40" spans="2:13">
      <c r="B40" t="s">
        <v>613</v>
      </c>
      <c r="C40" t="s">
        <v>614</v>
      </c>
      <c r="D40" t="s">
        <v>615</v>
      </c>
      <c r="E40">
        <v>1</v>
      </c>
      <c r="H40" t="s">
        <v>210</v>
      </c>
      <c r="I40" t="s">
        <v>613</v>
      </c>
      <c r="J40" t="s">
        <v>722</v>
      </c>
      <c r="K40" t="s">
        <v>21</v>
      </c>
      <c r="L40" t="s">
        <v>10</v>
      </c>
      <c r="M40" t="s">
        <v>214</v>
      </c>
    </row>
    <row r="41" spans="2:13">
      <c r="B41" t="s">
        <v>616</v>
      </c>
      <c r="C41" t="s">
        <v>615</v>
      </c>
      <c r="D41" t="s">
        <v>614</v>
      </c>
      <c r="E41">
        <v>1</v>
      </c>
      <c r="H41" t="s">
        <v>210</v>
      </c>
      <c r="I41" t="s">
        <v>616</v>
      </c>
      <c r="J41" t="s">
        <v>723</v>
      </c>
      <c r="K41" t="s">
        <v>21</v>
      </c>
      <c r="L41" t="s">
        <v>10</v>
      </c>
      <c r="M41" t="s">
        <v>214</v>
      </c>
    </row>
    <row r="42" spans="2:13">
      <c r="B42" t="s">
        <v>617</v>
      </c>
      <c r="C42" t="s">
        <v>615</v>
      </c>
      <c r="D42" t="s">
        <v>618</v>
      </c>
      <c r="E42">
        <v>1</v>
      </c>
      <c r="H42" t="s">
        <v>210</v>
      </c>
      <c r="I42" t="s">
        <v>617</v>
      </c>
      <c r="J42" t="s">
        <v>724</v>
      </c>
      <c r="K42" t="s">
        <v>21</v>
      </c>
      <c r="L42" t="s">
        <v>10</v>
      </c>
      <c r="M42" t="s">
        <v>214</v>
      </c>
    </row>
    <row r="43" spans="2:13">
      <c r="B43" t="s">
        <v>619</v>
      </c>
      <c r="C43" t="s">
        <v>618</v>
      </c>
      <c r="D43" t="s">
        <v>615</v>
      </c>
      <c r="E43">
        <v>1</v>
      </c>
      <c r="H43" t="s">
        <v>210</v>
      </c>
      <c r="I43" t="s">
        <v>619</v>
      </c>
      <c r="J43" t="s">
        <v>725</v>
      </c>
      <c r="K43" t="s">
        <v>21</v>
      </c>
      <c r="L43" t="s">
        <v>10</v>
      </c>
      <c r="M43" t="s">
        <v>214</v>
      </c>
    </row>
    <row r="44" spans="2:13">
      <c r="B44" t="s">
        <v>620</v>
      </c>
      <c r="C44" t="s">
        <v>621</v>
      </c>
      <c r="D44" t="s">
        <v>622</v>
      </c>
      <c r="E44">
        <v>1</v>
      </c>
      <c r="H44" t="s">
        <v>210</v>
      </c>
      <c r="I44" t="s">
        <v>620</v>
      </c>
      <c r="J44" t="s">
        <v>726</v>
      </c>
      <c r="K44" t="s">
        <v>21</v>
      </c>
      <c r="L44" t="s">
        <v>10</v>
      </c>
      <c r="M44" t="s">
        <v>214</v>
      </c>
    </row>
    <row r="45" spans="2:13">
      <c r="B45" t="s">
        <v>623</v>
      </c>
      <c r="C45" t="s">
        <v>622</v>
      </c>
      <c r="D45" t="s">
        <v>621</v>
      </c>
      <c r="E45">
        <v>1</v>
      </c>
      <c r="H45" t="s">
        <v>210</v>
      </c>
      <c r="I45" t="s">
        <v>623</v>
      </c>
      <c r="J45" t="s">
        <v>727</v>
      </c>
      <c r="K45" t="s">
        <v>21</v>
      </c>
      <c r="L45" t="s">
        <v>10</v>
      </c>
      <c r="M45" t="s">
        <v>214</v>
      </c>
    </row>
    <row r="46" spans="2:13">
      <c r="B46" t="s">
        <v>624</v>
      </c>
      <c r="C46" t="s">
        <v>625</v>
      </c>
      <c r="D46" t="s">
        <v>626</v>
      </c>
      <c r="E46">
        <v>1</v>
      </c>
      <c r="H46" t="s">
        <v>210</v>
      </c>
      <c r="I46" t="s">
        <v>624</v>
      </c>
      <c r="J46" t="s">
        <v>728</v>
      </c>
      <c r="K46" t="s">
        <v>21</v>
      </c>
      <c r="L46" t="s">
        <v>10</v>
      </c>
      <c r="M46" t="s">
        <v>214</v>
      </c>
    </row>
    <row r="47" spans="2:13">
      <c r="B47" t="s">
        <v>627</v>
      </c>
      <c r="C47" t="s">
        <v>626</v>
      </c>
      <c r="D47" t="s">
        <v>625</v>
      </c>
      <c r="E47">
        <v>1</v>
      </c>
      <c r="H47" t="s">
        <v>210</v>
      </c>
      <c r="I47" t="s">
        <v>627</v>
      </c>
      <c r="J47" t="s">
        <v>729</v>
      </c>
      <c r="K47" t="s">
        <v>21</v>
      </c>
      <c r="L47" t="s">
        <v>10</v>
      </c>
      <c r="M47" t="s">
        <v>214</v>
      </c>
    </row>
    <row r="48" spans="2:13">
      <c r="B48" t="s">
        <v>628</v>
      </c>
      <c r="C48" t="s">
        <v>629</v>
      </c>
      <c r="D48" t="s">
        <v>630</v>
      </c>
      <c r="E48">
        <v>1</v>
      </c>
      <c r="H48" t="s">
        <v>210</v>
      </c>
      <c r="I48" t="s">
        <v>628</v>
      </c>
      <c r="J48" t="s">
        <v>730</v>
      </c>
      <c r="K48" t="s">
        <v>21</v>
      </c>
      <c r="L48" t="s">
        <v>10</v>
      </c>
      <c r="M48" t="s">
        <v>214</v>
      </c>
    </row>
    <row r="49" spans="2:13">
      <c r="B49" t="s">
        <v>631</v>
      </c>
      <c r="C49" t="s">
        <v>630</v>
      </c>
      <c r="D49" t="s">
        <v>629</v>
      </c>
      <c r="E49">
        <v>1</v>
      </c>
      <c r="H49" t="s">
        <v>210</v>
      </c>
      <c r="I49" t="s">
        <v>631</v>
      </c>
      <c r="J49" t="s">
        <v>731</v>
      </c>
      <c r="K49" t="s">
        <v>21</v>
      </c>
      <c r="L49" t="s">
        <v>10</v>
      </c>
      <c r="M49" t="s">
        <v>214</v>
      </c>
    </row>
    <row r="50" spans="2:13">
      <c r="B50" t="s">
        <v>632</v>
      </c>
      <c r="C50" t="s">
        <v>633</v>
      </c>
      <c r="D50" t="s">
        <v>634</v>
      </c>
      <c r="E50">
        <v>1</v>
      </c>
      <c r="H50" t="s">
        <v>210</v>
      </c>
      <c r="I50" t="s">
        <v>632</v>
      </c>
      <c r="J50" t="s">
        <v>732</v>
      </c>
      <c r="K50" t="s">
        <v>21</v>
      </c>
      <c r="L50" t="s">
        <v>10</v>
      </c>
      <c r="M50" t="s">
        <v>214</v>
      </c>
    </row>
    <row r="51" spans="2:13">
      <c r="B51" t="s">
        <v>635</v>
      </c>
      <c r="C51" t="s">
        <v>634</v>
      </c>
      <c r="D51" t="s">
        <v>633</v>
      </c>
      <c r="E51">
        <v>1</v>
      </c>
      <c r="H51" t="s">
        <v>210</v>
      </c>
      <c r="I51" t="s">
        <v>635</v>
      </c>
      <c r="J51" t="s">
        <v>733</v>
      </c>
      <c r="K51" t="s">
        <v>21</v>
      </c>
      <c r="L51" t="s">
        <v>10</v>
      </c>
      <c r="M51" t="s">
        <v>214</v>
      </c>
    </row>
    <row r="52" spans="2:13">
      <c r="B52" t="s">
        <v>636</v>
      </c>
      <c r="C52" t="s">
        <v>637</v>
      </c>
      <c r="D52" t="s">
        <v>638</v>
      </c>
      <c r="E52">
        <v>1</v>
      </c>
      <c r="H52" t="s">
        <v>210</v>
      </c>
      <c r="I52" t="s">
        <v>636</v>
      </c>
      <c r="J52" t="s">
        <v>734</v>
      </c>
      <c r="K52" t="s">
        <v>21</v>
      </c>
      <c r="L52" t="s">
        <v>10</v>
      </c>
      <c r="M52" t="s">
        <v>214</v>
      </c>
    </row>
    <row r="53" spans="2:13">
      <c r="B53" t="s">
        <v>639</v>
      </c>
      <c r="C53" t="s">
        <v>638</v>
      </c>
      <c r="D53" t="s">
        <v>637</v>
      </c>
      <c r="E53">
        <v>1</v>
      </c>
      <c r="H53" t="s">
        <v>210</v>
      </c>
      <c r="I53" t="s">
        <v>639</v>
      </c>
      <c r="J53" t="s">
        <v>735</v>
      </c>
      <c r="K53" t="s">
        <v>21</v>
      </c>
      <c r="L53" t="s">
        <v>10</v>
      </c>
      <c r="M53" t="s">
        <v>214</v>
      </c>
    </row>
    <row r="54" spans="2:13">
      <c r="B54" t="s">
        <v>640</v>
      </c>
      <c r="C54" t="s">
        <v>641</v>
      </c>
      <c r="D54" t="s">
        <v>642</v>
      </c>
      <c r="E54">
        <v>1</v>
      </c>
      <c r="H54" t="s">
        <v>210</v>
      </c>
      <c r="I54" t="s">
        <v>640</v>
      </c>
      <c r="J54" t="s">
        <v>736</v>
      </c>
      <c r="K54" t="s">
        <v>21</v>
      </c>
      <c r="L54" t="s">
        <v>10</v>
      </c>
      <c r="M54" t="s">
        <v>214</v>
      </c>
    </row>
    <row r="55" spans="2:13">
      <c r="B55" t="s">
        <v>643</v>
      </c>
      <c r="C55" t="s">
        <v>642</v>
      </c>
      <c r="D55" t="s">
        <v>641</v>
      </c>
      <c r="E55">
        <v>1</v>
      </c>
      <c r="H55" t="s">
        <v>210</v>
      </c>
      <c r="I55" t="s">
        <v>643</v>
      </c>
      <c r="J55" t="s">
        <v>737</v>
      </c>
      <c r="K55" t="s">
        <v>21</v>
      </c>
      <c r="L55" t="s">
        <v>10</v>
      </c>
      <c r="M55" t="s">
        <v>214</v>
      </c>
    </row>
    <row r="56" spans="2:13">
      <c r="B56" t="s">
        <v>644</v>
      </c>
      <c r="C56" t="s">
        <v>645</v>
      </c>
      <c r="D56" t="s">
        <v>646</v>
      </c>
      <c r="E56">
        <v>1</v>
      </c>
      <c r="H56" t="s">
        <v>210</v>
      </c>
      <c r="I56" t="s">
        <v>644</v>
      </c>
      <c r="J56" t="s">
        <v>738</v>
      </c>
      <c r="K56" t="s">
        <v>21</v>
      </c>
      <c r="L56" t="s">
        <v>10</v>
      </c>
      <c r="M56" t="s">
        <v>214</v>
      </c>
    </row>
    <row r="57" spans="2:13">
      <c r="B57" t="s">
        <v>647</v>
      </c>
      <c r="C57" t="s">
        <v>646</v>
      </c>
      <c r="D57" t="s">
        <v>645</v>
      </c>
      <c r="E57">
        <v>1</v>
      </c>
      <c r="H57" t="s">
        <v>210</v>
      </c>
      <c r="I57" t="s">
        <v>647</v>
      </c>
      <c r="J57" t="s">
        <v>739</v>
      </c>
      <c r="K57" t="s">
        <v>21</v>
      </c>
      <c r="L57" t="s">
        <v>10</v>
      </c>
      <c r="M57" t="s">
        <v>214</v>
      </c>
    </row>
    <row r="58" spans="2:13">
      <c r="B58" t="s">
        <v>648</v>
      </c>
      <c r="C58" t="s">
        <v>649</v>
      </c>
      <c r="D58" t="s">
        <v>650</v>
      </c>
      <c r="E58">
        <v>1</v>
      </c>
      <c r="H58" t="s">
        <v>210</v>
      </c>
      <c r="I58" t="s">
        <v>648</v>
      </c>
      <c r="J58" t="s">
        <v>740</v>
      </c>
      <c r="K58" t="s">
        <v>21</v>
      </c>
      <c r="L58" t="s">
        <v>10</v>
      </c>
      <c r="M58" t="s">
        <v>214</v>
      </c>
    </row>
    <row r="59" spans="2:13">
      <c r="B59" t="s">
        <v>651</v>
      </c>
      <c r="C59" t="s">
        <v>650</v>
      </c>
      <c r="D59" t="s">
        <v>649</v>
      </c>
      <c r="E59">
        <v>1</v>
      </c>
      <c r="H59" t="s">
        <v>210</v>
      </c>
      <c r="I59" t="s">
        <v>651</v>
      </c>
      <c r="J59" t="s">
        <v>741</v>
      </c>
      <c r="K59" t="s">
        <v>21</v>
      </c>
      <c r="L59" t="s">
        <v>10</v>
      </c>
      <c r="M59" t="s">
        <v>214</v>
      </c>
    </row>
    <row r="60" spans="2:13">
      <c r="B60" t="s">
        <v>652</v>
      </c>
      <c r="C60" t="s">
        <v>653</v>
      </c>
      <c r="D60" t="s">
        <v>654</v>
      </c>
      <c r="E60">
        <v>1</v>
      </c>
      <c r="H60" t="s">
        <v>210</v>
      </c>
      <c r="I60" t="s">
        <v>652</v>
      </c>
      <c r="J60" t="s">
        <v>742</v>
      </c>
      <c r="K60" t="s">
        <v>21</v>
      </c>
      <c r="L60" t="s">
        <v>10</v>
      </c>
      <c r="M60" t="s">
        <v>214</v>
      </c>
    </row>
    <row r="61" spans="2:13">
      <c r="B61" t="s">
        <v>655</v>
      </c>
      <c r="C61" t="s">
        <v>654</v>
      </c>
      <c r="D61" t="s">
        <v>653</v>
      </c>
      <c r="E61">
        <v>1</v>
      </c>
      <c r="H61" t="s">
        <v>210</v>
      </c>
      <c r="I61" t="s">
        <v>655</v>
      </c>
      <c r="J61" t="s">
        <v>743</v>
      </c>
      <c r="K61" t="s">
        <v>21</v>
      </c>
      <c r="L61" t="s">
        <v>10</v>
      </c>
      <c r="M61" t="s">
        <v>214</v>
      </c>
    </row>
    <row r="62" spans="2:13">
      <c r="B62" t="s">
        <v>656</v>
      </c>
      <c r="C62" t="s">
        <v>657</v>
      </c>
      <c r="D62" t="s">
        <v>658</v>
      </c>
      <c r="E62">
        <v>1</v>
      </c>
      <c r="H62" t="s">
        <v>210</v>
      </c>
      <c r="I62" t="s">
        <v>656</v>
      </c>
      <c r="J62" t="s">
        <v>744</v>
      </c>
      <c r="K62" t="s">
        <v>21</v>
      </c>
      <c r="L62" t="s">
        <v>10</v>
      </c>
      <c r="M62" t="s">
        <v>214</v>
      </c>
    </row>
    <row r="63" spans="2:13">
      <c r="B63" t="s">
        <v>659</v>
      </c>
      <c r="C63" t="s">
        <v>658</v>
      </c>
      <c r="D63" t="s">
        <v>657</v>
      </c>
      <c r="E63">
        <v>1</v>
      </c>
      <c r="H63" t="s">
        <v>210</v>
      </c>
      <c r="I63" t="s">
        <v>659</v>
      </c>
      <c r="J63" t="s">
        <v>745</v>
      </c>
      <c r="K63" t="s">
        <v>21</v>
      </c>
      <c r="L63" t="s">
        <v>10</v>
      </c>
      <c r="M63" t="s">
        <v>214</v>
      </c>
    </row>
    <row r="64" spans="2:13">
      <c r="B64" t="s">
        <v>660</v>
      </c>
      <c r="C64" t="s">
        <v>661</v>
      </c>
      <c r="D64" t="s">
        <v>662</v>
      </c>
      <c r="E64">
        <v>1</v>
      </c>
      <c r="H64" t="s">
        <v>210</v>
      </c>
      <c r="I64" t="s">
        <v>660</v>
      </c>
      <c r="J64" t="s">
        <v>746</v>
      </c>
      <c r="K64" t="s">
        <v>21</v>
      </c>
      <c r="L64" t="s">
        <v>10</v>
      </c>
      <c r="M64" t="s">
        <v>214</v>
      </c>
    </row>
    <row r="65" spans="2:13">
      <c r="B65" t="s">
        <v>663</v>
      </c>
      <c r="C65" t="s">
        <v>662</v>
      </c>
      <c r="D65" t="s">
        <v>661</v>
      </c>
      <c r="E65">
        <v>1</v>
      </c>
      <c r="H65" t="s">
        <v>210</v>
      </c>
      <c r="I65" t="s">
        <v>663</v>
      </c>
      <c r="J65" t="s">
        <v>747</v>
      </c>
      <c r="K65" t="s">
        <v>21</v>
      </c>
      <c r="L65" t="s">
        <v>10</v>
      </c>
      <c r="M65" t="s">
        <v>214</v>
      </c>
    </row>
    <row r="66" spans="2:13">
      <c r="B66" t="s">
        <v>664</v>
      </c>
      <c r="C66" t="s">
        <v>665</v>
      </c>
      <c r="D66" t="s">
        <v>666</v>
      </c>
      <c r="E66">
        <v>1</v>
      </c>
      <c r="H66" t="s">
        <v>210</v>
      </c>
      <c r="I66" t="s">
        <v>664</v>
      </c>
      <c r="J66" t="s">
        <v>748</v>
      </c>
      <c r="K66" t="s">
        <v>21</v>
      </c>
      <c r="L66" t="s">
        <v>10</v>
      </c>
      <c r="M66" t="s">
        <v>214</v>
      </c>
    </row>
    <row r="67" spans="2:13">
      <c r="B67" t="s">
        <v>667</v>
      </c>
      <c r="C67" t="s">
        <v>666</v>
      </c>
      <c r="D67" t="s">
        <v>665</v>
      </c>
      <c r="E67">
        <v>1</v>
      </c>
      <c r="H67" t="s">
        <v>210</v>
      </c>
      <c r="I67" t="s">
        <v>667</v>
      </c>
      <c r="J67" t="s">
        <v>749</v>
      </c>
      <c r="K67" t="s">
        <v>21</v>
      </c>
      <c r="L67" t="s">
        <v>10</v>
      </c>
      <c r="M67" t="s">
        <v>214</v>
      </c>
    </row>
    <row r="68" spans="2:13">
      <c r="B68" t="s">
        <v>668</v>
      </c>
      <c r="C68" t="s">
        <v>669</v>
      </c>
      <c r="D68" t="s">
        <v>670</v>
      </c>
      <c r="E68">
        <v>1</v>
      </c>
      <c r="H68" t="s">
        <v>210</v>
      </c>
      <c r="I68" t="s">
        <v>668</v>
      </c>
      <c r="J68" t="s">
        <v>750</v>
      </c>
      <c r="K68" t="s">
        <v>21</v>
      </c>
      <c r="L68" t="s">
        <v>10</v>
      </c>
      <c r="M68" t="s">
        <v>214</v>
      </c>
    </row>
    <row r="69" spans="2:13">
      <c r="B69" t="s">
        <v>671</v>
      </c>
      <c r="C69" t="s">
        <v>670</v>
      </c>
      <c r="D69" t="s">
        <v>669</v>
      </c>
      <c r="E69">
        <v>1</v>
      </c>
      <c r="H69" t="s">
        <v>210</v>
      </c>
      <c r="I69" t="s">
        <v>671</v>
      </c>
      <c r="J69" t="s">
        <v>751</v>
      </c>
      <c r="K69" t="s">
        <v>21</v>
      </c>
      <c r="L69" t="s">
        <v>10</v>
      </c>
      <c r="M69" t="s">
        <v>214</v>
      </c>
    </row>
    <row r="70" spans="2:13">
      <c r="B70" t="s">
        <v>672</v>
      </c>
      <c r="C70" t="s">
        <v>673</v>
      </c>
      <c r="D70" t="s">
        <v>674</v>
      </c>
      <c r="E70">
        <v>1</v>
      </c>
      <c r="H70" t="s">
        <v>210</v>
      </c>
      <c r="I70" t="s">
        <v>672</v>
      </c>
      <c r="J70" t="s">
        <v>752</v>
      </c>
      <c r="K70" t="s">
        <v>21</v>
      </c>
      <c r="L70" t="s">
        <v>10</v>
      </c>
      <c r="M70" t="s">
        <v>214</v>
      </c>
    </row>
    <row r="71" spans="2:13">
      <c r="B71" t="s">
        <v>675</v>
      </c>
      <c r="C71" t="s">
        <v>674</v>
      </c>
      <c r="D71" t="s">
        <v>673</v>
      </c>
      <c r="E71">
        <v>1</v>
      </c>
      <c r="H71" t="s">
        <v>210</v>
      </c>
      <c r="I71" t="s">
        <v>675</v>
      </c>
      <c r="J71" t="s">
        <v>753</v>
      </c>
      <c r="K71" t="s">
        <v>21</v>
      </c>
      <c r="L71" t="s">
        <v>10</v>
      </c>
      <c r="M71" t="s">
        <v>214</v>
      </c>
    </row>
    <row r="72" spans="2:13">
      <c r="B72" t="s">
        <v>676</v>
      </c>
      <c r="C72" t="s">
        <v>677</v>
      </c>
      <c r="D72" t="s">
        <v>678</v>
      </c>
      <c r="E72">
        <v>1</v>
      </c>
      <c r="H72" t="s">
        <v>210</v>
      </c>
      <c r="I72" t="s">
        <v>676</v>
      </c>
      <c r="J72" t="s">
        <v>754</v>
      </c>
      <c r="K72" t="s">
        <v>21</v>
      </c>
      <c r="L72" t="s">
        <v>10</v>
      </c>
      <c r="M72" t="s">
        <v>214</v>
      </c>
    </row>
    <row r="73" spans="2:13">
      <c r="B73" t="s">
        <v>679</v>
      </c>
      <c r="C73" t="s">
        <v>678</v>
      </c>
      <c r="D73" t="s">
        <v>677</v>
      </c>
      <c r="E73">
        <v>1</v>
      </c>
      <c r="H73" t="s">
        <v>210</v>
      </c>
      <c r="I73" t="s">
        <v>679</v>
      </c>
      <c r="J73" t="s">
        <v>755</v>
      </c>
      <c r="K73" t="s">
        <v>21</v>
      </c>
      <c r="L73" t="s">
        <v>10</v>
      </c>
      <c r="M73" t="s">
        <v>214</v>
      </c>
    </row>
    <row r="74" spans="2:13">
      <c r="B74" t="s">
        <v>680</v>
      </c>
      <c r="C74" t="s">
        <v>681</v>
      </c>
      <c r="D74" t="s">
        <v>682</v>
      </c>
      <c r="E74">
        <v>1</v>
      </c>
      <c r="H74" t="s">
        <v>210</v>
      </c>
      <c r="I74" t="s">
        <v>680</v>
      </c>
      <c r="J74" t="s">
        <v>756</v>
      </c>
      <c r="K74" t="s">
        <v>21</v>
      </c>
      <c r="L74" t="s">
        <v>10</v>
      </c>
      <c r="M74" t="s">
        <v>214</v>
      </c>
    </row>
    <row r="75" spans="2:13">
      <c r="B75" t="s">
        <v>683</v>
      </c>
      <c r="C75" t="s">
        <v>682</v>
      </c>
      <c r="D75" t="s">
        <v>681</v>
      </c>
      <c r="E75">
        <v>1</v>
      </c>
      <c r="H75" t="s">
        <v>210</v>
      </c>
      <c r="I75" t="s">
        <v>683</v>
      </c>
      <c r="J75" t="s">
        <v>757</v>
      </c>
      <c r="K75" t="s">
        <v>21</v>
      </c>
      <c r="L75" t="s">
        <v>10</v>
      </c>
      <c r="M75" t="s">
        <v>214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2026-06-23T10:21:51Z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