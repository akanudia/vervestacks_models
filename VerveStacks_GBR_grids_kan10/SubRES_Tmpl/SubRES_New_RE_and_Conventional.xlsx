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GBR_grids_kan10\SubRES_Tmpl\"/>
    </mc:Choice>
  </mc:AlternateContent>
  <xr:revisionPtr revIDLastSave="0" documentId="8_{CE31002D-49A1-4AD0-980B-D128C001C111}" xr6:coauthVersionLast="47" xr6:coauthVersionMax="47" xr10:uidLastSave="{00000000-0000-0000-0000-000000000000}"/>
  <bookViews>
    <workbookView xWindow="-98" yWindow="-98" windowWidth="28996" windowHeight="17475" firstSheet="6" activeTab="6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  <sheet name="solar" sheetId="12" r:id="rId5"/>
    <sheet name="wind" sheetId="13" r:id="rId6"/>
    <sheet name="conventional" sheetId="14" r:id="rId7"/>
  </sheets>
  <externalReferences>
    <externalReference r:id="rId8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7" l="1"/>
  <c r="L27" i="7"/>
  <c r="J24" i="7"/>
  <c r="J26" i="7"/>
  <c r="J25" i="7"/>
  <c r="J23" i="7"/>
  <c r="J20" i="7"/>
  <c r="O26" i="7"/>
  <c r="J16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G8" i="10" l="1"/>
  <c r="J28" i="7" l="1"/>
  <c r="J27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25" i="7"/>
  <c r="O24" i="7"/>
  <c r="O19" i="7"/>
  <c r="O23" i="7"/>
  <c r="O21" i="7"/>
  <c r="O20" i="7"/>
  <c r="O18" i="7"/>
  <c r="O17" i="7"/>
  <c r="O22" i="7"/>
  <c r="J17" i="7"/>
  <c r="J15" i="7"/>
  <c r="J14" i="7"/>
  <c r="J13" i="7"/>
</calcChain>
</file>

<file path=xl/sharedStrings.xml><?xml version="1.0" encoding="utf-8"?>
<sst xmlns="http://schemas.openxmlformats.org/spreadsheetml/2006/main" count="2466" uniqueCount="633">
  <si>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</si>
  <si>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</si>
  <si>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</si>
  <si>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</si>
  <si>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</si>
  <si>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</si>
  <si>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</si>
  <si>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</si>
  <si>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</si>
  <si>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</si>
  <si>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</si>
  <si>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</si>
  <si>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</si>
  <si>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</si>
  <si>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</si>
  <si>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</si>
  <si>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</si>
  <si>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</si>
  <si>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</si>
  <si>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</si>
  <si>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</si>
  <si>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</si>
  <si>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</si>
  <si>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</si>
  <si>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</si>
  <si>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</si>
  <si>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</si>
  <si>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</si>
  <si>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</si>
  <si>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</si>
  <si>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</si>
  <si>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</si>
  <si>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</si>
  <si>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</si>
  <si>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</si>
  <si>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</si>
  <si>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</si>
  <si>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</si>
  <si>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</si>
  <si>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</si>
  <si>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</si>
  <si>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</si>
  <si>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</si>
  <si>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</si>
  <si>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</si>
  <si>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</si>
  <si>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</si>
  <si>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</si>
  <si>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</si>
  <si>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</si>
  <si>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</si>
  <si>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</si>
  <si>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</si>
  <si>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</si>
  <si>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</si>
  <si>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</si>
  <si>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</si>
  <si>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</si>
  <si>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</si>
  <si>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</si>
  <si>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</si>
  <si>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</si>
  <si>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</si>
  <si>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</si>
  <si>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</si>
  <si>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</si>
  <si>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</si>
  <si>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</si>
  <si>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</si>
  <si>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</si>
  <si>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</si>
  <si>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</si>
  <si>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</si>
  <si>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</si>
  <si>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</si>
  <si>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</si>
  <si>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</si>
  <si>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</si>
  <si>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</si>
  <si>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</si>
  <si>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</si>
  <si>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</si>
  <si>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</si>
  <si>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</si>
  <si>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</si>
  <si>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</si>
  <si>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</si>
  <si>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</si>
  <si>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</si>
  <si>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</si>
  <si>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</si>
  <si>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</si>
  <si>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</si>
  <si>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</si>
  <si>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</si>
  <si>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</si>
  <si>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</si>
  <si>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</si>
  <si>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</si>
  <si>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</si>
  <si>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</si>
  <si>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</si>
  <si>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</si>
  <si>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</si>
  <si>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</si>
  <si>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</si>
  <si>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</si>
  <si>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</si>
  <si>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</si>
  <si>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</si>
  <si>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</si>
  <si>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</si>
  <si>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</si>
  <si>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</si>
  <si>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</si>
  <si>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</si>
  <si>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</si>
  <si>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</si>
  <si>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</si>
  <si>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</si>
  <si>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</si>
  <si>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</si>
  <si>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</si>
  <si>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</si>
  <si>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</si>
  <si>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</si>
  <si>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</si>
  <si>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</si>
  <si>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</si>
  <si>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</si>
  <si>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</si>
  <si>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</si>
  <si>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</si>
  <si>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</si>
  <si>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</si>
  <si>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</si>
  <si>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</si>
  <si>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</si>
  <si>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</si>
  <si>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</si>
  <si>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</si>
  <si>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</si>
  <si>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</si>
  <si>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</si>
  <si>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</si>
  <si>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</si>
  <si>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</si>
  <si>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</si>
  <si>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</si>
  <si>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</si>
  <si>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</si>
  <si>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</si>
  <si>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</si>
  <si>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</si>
  <si>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</si>
  <si>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</si>
  <si>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</si>
  <si>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</si>
  <si>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</si>
  <si>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</si>
  <si>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</si>
  <si>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</si>
  <si>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</si>
  <si>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ELC_BatIn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</si>
  <si>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</si>
  <si>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</si>
  <si>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</si>
  <si>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</si>
  <si>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</si>
  <si>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</si>
  <si>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</si>
  <si>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</si>
  <si>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</si>
  <si>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e_spv_GBR_001</t>
  </si>
  <si>
    <t>solar resource in cluster 1</t>
  </si>
  <si>
    <t>annual</t>
  </si>
  <si>
    <t>no</t>
  </si>
  <si>
    <t>e_spv_GBR_002</t>
  </si>
  <si>
    <t>solar resource in cluster 2</t>
  </si>
  <si>
    <t>e_spv_GBR_003</t>
  </si>
  <si>
    <t>solar resource in cluster 3</t>
  </si>
  <si>
    <t>e_spv_GBR_004</t>
  </si>
  <si>
    <t>solar resource in cluster 4</t>
  </si>
  <si>
    <t>e_spv_GBR_005</t>
  </si>
  <si>
    <t>solar resource in cluster 5</t>
  </si>
  <si>
    <t>e_spv_GBR_006</t>
  </si>
  <si>
    <t>solar resource in cluster 6</t>
  </si>
  <si>
    <t>e_spv_GBR_007</t>
  </si>
  <si>
    <t>solar resource in cluster 7</t>
  </si>
  <si>
    <t>e_spv_GBR_008</t>
  </si>
  <si>
    <t>solar resource in cluster 8</t>
  </si>
  <si>
    <t>e_spv_GBR_009</t>
  </si>
  <si>
    <t>solar resource in cluster 9</t>
  </si>
  <si>
    <t>e_spv_GBR_010</t>
  </si>
  <si>
    <t>solar resource in cluster 10</t>
  </si>
  <si>
    <t>e_spv_GBR_011</t>
  </si>
  <si>
    <t>solar resource in cluster 11</t>
  </si>
  <si>
    <t>e_spv_GBR_012</t>
  </si>
  <si>
    <t>solar resource in cluster 12</t>
  </si>
  <si>
    <t>e_spv_GBR_013</t>
  </si>
  <si>
    <t>solar resource in cluster 13</t>
  </si>
  <si>
    <t>e_spv_GBR_014</t>
  </si>
  <si>
    <t>solar resource in cluster 14</t>
  </si>
  <si>
    <t>e_spv_GBR_015</t>
  </si>
  <si>
    <t>solar resource in cluster 15</t>
  </si>
  <si>
    <t>e_spv_GBR_016</t>
  </si>
  <si>
    <t>solar resource in cluster 16</t>
  </si>
  <si>
    <t>e_spv_GBR_017</t>
  </si>
  <si>
    <t>solar resource in cluster 17</t>
  </si>
  <si>
    <t>e_spv_GBR_018</t>
  </si>
  <si>
    <t>solar resource in cluster 18</t>
  </si>
  <si>
    <t>e_spv_GBR_019</t>
  </si>
  <si>
    <t>solar resource in cluster 19</t>
  </si>
  <si>
    <t>e_spv_GBR_020</t>
  </si>
  <si>
    <t>solar resource in cluster 20</t>
  </si>
  <si>
    <t>e_spv_GBR_021</t>
  </si>
  <si>
    <t>solar resource in cluster 21</t>
  </si>
  <si>
    <t>~fi_t</t>
  </si>
  <si>
    <t>comm-out</t>
  </si>
  <si>
    <t>cap_bnd</t>
  </si>
  <si>
    <t>af~fx</t>
  </si>
  <si>
    <t>elc_spv_GBR_001</t>
  </si>
  <si>
    <t>elc_spv_GBR_002</t>
  </si>
  <si>
    <t>elc_spv_GBR_003</t>
  </si>
  <si>
    <t>elc_spv_GBR_004</t>
  </si>
  <si>
    <t>elc_spv_GBR_005</t>
  </si>
  <si>
    <t>elc_spv_GBR_006</t>
  </si>
  <si>
    <t>elc_spv_GBR_007</t>
  </si>
  <si>
    <t>elc_spv_GBR_008</t>
  </si>
  <si>
    <t>elc_spv_GBR_009</t>
  </si>
  <si>
    <t>elc_spv_GBR_010</t>
  </si>
  <si>
    <t>elc_spv_GBR_011</t>
  </si>
  <si>
    <t>elc_spv_GBR_012</t>
  </si>
  <si>
    <t>elc_spv_GBR_013</t>
  </si>
  <si>
    <t>elc_spv_GBR_014</t>
  </si>
  <si>
    <t>elc_spv_GBR_015</t>
  </si>
  <si>
    <t>elc_spv_GBR_016</t>
  </si>
  <si>
    <t>elc_spv_GBR_017</t>
  </si>
  <si>
    <t>elc_spv_GBR_018</t>
  </si>
  <si>
    <t>elc_spv_GBR_019</t>
  </si>
  <si>
    <t>elc_spv_GBR_020</t>
  </si>
  <si>
    <t>elc_spv_GBR_021</t>
  </si>
  <si>
    <t>primarycg</t>
  </si>
  <si>
    <t>pre</t>
  </si>
  <si>
    <t>distr_solelc_spv_GBR_014</t>
  </si>
  <si>
    <t>connecting solar to buses in cluster 14</t>
  </si>
  <si>
    <t>NRGI</t>
  </si>
  <si>
    <t>daynite</t>
  </si>
  <si>
    <t>distr_solelc_spv_GBR_002</t>
  </si>
  <si>
    <t>connecting solar to buses in cluster 2</t>
  </si>
  <si>
    <t>distr_solelc_spv_GBR_004</t>
  </si>
  <si>
    <t>connecting solar to buses in cluster 4</t>
  </si>
  <si>
    <t>distr_solelc_spv_GBR_003</t>
  </si>
  <si>
    <t>connecting solar to buses in cluster 3</t>
  </si>
  <si>
    <t>distr_solelc_spv_GBR_009</t>
  </si>
  <si>
    <t>connecting solar to buses in cluster 9</t>
  </si>
  <si>
    <t>distr_solelc_spv_GBR_016</t>
  </si>
  <si>
    <t>connecting solar to buses in cluster 16</t>
  </si>
  <si>
    <t>distr_solelc_spv_GBR_008</t>
  </si>
  <si>
    <t>connecting solar to buses in cluster 8</t>
  </si>
  <si>
    <t>distr_solelc_spv_GBR_013</t>
  </si>
  <si>
    <t>connecting solar to buses in cluster 13</t>
  </si>
  <si>
    <t>distr_solelc_spv_GBR_020</t>
  </si>
  <si>
    <t>connecting solar to buses in cluster 20</t>
  </si>
  <si>
    <t>distr_solelc_spv_GBR_015</t>
  </si>
  <si>
    <t>connecting solar to buses in cluster 15</t>
  </si>
  <si>
    <t>distr_solelc_spv_GBR_012</t>
  </si>
  <si>
    <t>connecting solar to buses in cluster 12</t>
  </si>
  <si>
    <t>distr_solelc_spv_GBR_019</t>
  </si>
  <si>
    <t>connecting solar to buses in cluster 19</t>
  </si>
  <si>
    <t>distr_solelc_spv_GBR_007</t>
  </si>
  <si>
    <t>connecting solar to buses in cluster 7</t>
  </si>
  <si>
    <t>distr_solelc_spv_GBR_010</t>
  </si>
  <si>
    <t>connecting solar to buses in cluster 10</t>
  </si>
  <si>
    <t>distr_solelc_spv_GBR_005</t>
  </si>
  <si>
    <t>connecting solar to buses in cluster 5</t>
  </si>
  <si>
    <t>distr_solelc_spv_GBR_001</t>
  </si>
  <si>
    <t>connecting solar to buses in cluster 1</t>
  </si>
  <si>
    <t>distr_solelc_spv_GBR_017</t>
  </si>
  <si>
    <t>connecting solar to buses in cluster 17</t>
  </si>
  <si>
    <t>distr_solelc_spv_GBR_018</t>
  </si>
  <si>
    <t>connecting solar to buses in cluster 18</t>
  </si>
  <si>
    <t>distr_solelc_spv_GBR_006</t>
  </si>
  <si>
    <t>connecting solar to buses in cluster 6</t>
  </si>
  <si>
    <t>distr_solelc_spv_GBR_011</t>
  </si>
  <si>
    <t>connecting solar to buses in cluster 11</t>
  </si>
  <si>
    <t>distr_solelc_spv_GBR_021</t>
  </si>
  <si>
    <t>connecting solar to buses in cluster 21</t>
  </si>
  <si>
    <t>comm-in</t>
  </si>
  <si>
    <t>ncap_cost~USD21_alt</t>
  </si>
  <si>
    <t>e_w297840585_GBR,e_w1262971878_GBR</t>
  </si>
  <si>
    <t>e_w636630368_GBR,e_w1078532568_GBR,e_w109189896_GBR</t>
  </si>
  <si>
    <t>e_w1078532568_GBR,e_w375626500_GBR,e_w25422135-400_GBR</t>
  </si>
  <si>
    <t>e_w1078532568_GBR,e_w642490160_GBR</t>
  </si>
  <si>
    <t>e_w1274396508-400_GBR,e_w375626500_GBR</t>
  </si>
  <si>
    <t>e_w297840585_GBR</t>
  </si>
  <si>
    <t>e_w1274396508-400_GBR,e_w536905500_GBR,e_w375626500_GBR</t>
  </si>
  <si>
    <t>e_w568527671_GBR</t>
  </si>
  <si>
    <t>e_w137050527_GBR,e_w297840585_GBR</t>
  </si>
  <si>
    <t>e_w297840585_GBR,e_w568527671_GBR</t>
  </si>
  <si>
    <t>e_w137050527_GBR</t>
  </si>
  <si>
    <t>e_w636630368_GBR,e_w1274396508-400_GBR,e_w375626500_GBR</t>
  </si>
  <si>
    <t>e_w536905500_GBR,e_w297840585_GBR,e_w375626500_GBR,e_w642490160_GBR</t>
  </si>
  <si>
    <t>e_w1274396508-400_GBR</t>
  </si>
  <si>
    <t>e_w636630368_GBR,e_w109189896_GBR,e_w23281217_GBR,e_w25422135-400_GBR,e_r10695345_GBR</t>
  </si>
  <si>
    <t>e_w297840585_GBR,e_w642490160_GBR,e_w568527671_GBR</t>
  </si>
  <si>
    <t>e_w148382435_GBR,e_w297840585_GBR</t>
  </si>
  <si>
    <t>distr_wonelc_won_GBR_014</t>
  </si>
  <si>
    <t>connecting wind onshore to buses in cluster 14</t>
  </si>
  <si>
    <t>distr_wonelc_won_GBR_013</t>
  </si>
  <si>
    <t>connecting wind onshore to buses in cluster 13</t>
  </si>
  <si>
    <t>distr_wonelc_won_GBR_010</t>
  </si>
  <si>
    <t>connecting wind onshore to buses in cluster 10</t>
  </si>
  <si>
    <t>distr_wonelc_won_GBR_002</t>
  </si>
  <si>
    <t>connecting wind onshore to buses in cluster 2</t>
  </si>
  <si>
    <t>distr_wonelc_won_GBR_011</t>
  </si>
  <si>
    <t>connecting wind onshore to buses in cluster 11</t>
  </si>
  <si>
    <t>distr_wonelc_won_GBR_007</t>
  </si>
  <si>
    <t>connecting wind onshore to buses in cluster 7</t>
  </si>
  <si>
    <t>distr_wonelc_won_GBR_019</t>
  </si>
  <si>
    <t>connecting wind onshore to buses in cluster 19</t>
  </si>
  <si>
    <t>distr_wonelc_won_GBR_015</t>
  </si>
  <si>
    <t>connecting wind onshore to buses in cluster 15</t>
  </si>
  <si>
    <t>distr_wonelc_won_GBR_005</t>
  </si>
  <si>
    <t>connecting wind onshore to buses in cluster 5</t>
  </si>
  <si>
    <t>distr_wonelc_won_GBR_009</t>
  </si>
  <si>
    <t>connecting wind onshore to buses in cluster 9</t>
  </si>
  <si>
    <t>distr_wonelc_won_GBR_021</t>
  </si>
  <si>
    <t>connecting wind onshore to buses in cluster 21</t>
  </si>
  <si>
    <t>distr_wonelc_won_GBR_020</t>
  </si>
  <si>
    <t>connecting wind onshore to buses in cluster 20</t>
  </si>
  <si>
    <t>distr_wonelc_won_GBR_003</t>
  </si>
  <si>
    <t>connecting wind onshore to buses in cluster 3</t>
  </si>
  <si>
    <t>distr_wonelc_won_GBR_012</t>
  </si>
  <si>
    <t>connecting wind onshore to buses in cluster 12</t>
  </si>
  <si>
    <t>distr_wonelc_won_GBR_001</t>
  </si>
  <si>
    <t>connecting wind onshore to buses in cluster 1</t>
  </si>
  <si>
    <t>distr_wonelc_won_GBR_017</t>
  </si>
  <si>
    <t>connecting wind onshore to buses in cluster 17</t>
  </si>
  <si>
    <t>distr_wonelc_won_GBR_004</t>
  </si>
  <si>
    <t>connecting wind onshore to buses in cluster 4</t>
  </si>
  <si>
    <t>distr_wonelc_won_GBR_016</t>
  </si>
  <si>
    <t>connecting wind onshore to buses in cluster 16</t>
  </si>
  <si>
    <t>distr_wonelc_won_GBR_006</t>
  </si>
  <si>
    <t>connecting wind onshore to buses in cluster 6</t>
  </si>
  <si>
    <t>distr_wonelc_won_GBR_008</t>
  </si>
  <si>
    <t>connecting wind onshore to buses in cluster 8</t>
  </si>
  <si>
    <t>distr_wonelc_won_GBR_018</t>
  </si>
  <si>
    <t>connecting wind onshore to buses in cluster 18</t>
  </si>
  <si>
    <t>elc_won_GBR_014</t>
  </si>
  <si>
    <t>elc_won_GBR_013</t>
  </si>
  <si>
    <t>e_w297840585_GBR,e_w137050527_GBR</t>
  </si>
  <si>
    <t>elc_won_GBR_010</t>
  </si>
  <si>
    <t>e_w1262971878_GBR,e_w568527671_GBR</t>
  </si>
  <si>
    <t>elc_won_GBR_002</t>
  </si>
  <si>
    <t>elc_won_GBR_011</t>
  </si>
  <si>
    <t>elc_won_GBR_007</t>
  </si>
  <si>
    <t>elc_won_GBR_019</t>
  </si>
  <si>
    <t>elc_won_GBR_015</t>
  </si>
  <si>
    <t>e_w137050527_GBR,e_w297840585_GBR,e_w148382435_GBR</t>
  </si>
  <si>
    <t>elc_won_GBR_005</t>
  </si>
  <si>
    <t>e_w636630368_GBR,e_w23281217_GBR,e_w109189896_GBR,e_r10695345_GBR</t>
  </si>
  <si>
    <t>elc_won_GBR_009</t>
  </si>
  <si>
    <t>e_w1274396508-400_GBR,e_w636630368_GBR,e_w375626500_GBR</t>
  </si>
  <si>
    <t>elc_won_GBR_021</t>
  </si>
  <si>
    <t>e_w568527671_GBR,e_w642490160_GBR,e_w1078532568_GBR</t>
  </si>
  <si>
    <t>elc_won_GBR_020</t>
  </si>
  <si>
    <t>e_w297840585_GBR,e_w148382435_GBR,e_w642490160_GBR</t>
  </si>
  <si>
    <t>elc_won_GBR_003</t>
  </si>
  <si>
    <t>elc_won_GBR_012</t>
  </si>
  <si>
    <t>elc_won_GBR_001</t>
  </si>
  <si>
    <t>e_w375626500_GBR,e_w642490160_GBR</t>
  </si>
  <si>
    <t>elc_won_GBR_017</t>
  </si>
  <si>
    <t>elc_won_GBR_004</t>
  </si>
  <si>
    <t>e_w636630368_GBR,e_w1078532568_GBR,e_w642490160_GBR,e_w375626500_GBR,e_w25422135-400_GBR</t>
  </si>
  <si>
    <t>elc_won_GBR_016</t>
  </si>
  <si>
    <t>e_w297840585_GBR,e_w1262971878_GBR,e_w568527671_GBR</t>
  </si>
  <si>
    <t>elc_won_GBR_006</t>
  </si>
  <si>
    <t>e_w636630368_GBR,e_w109189896_GBR,e_w1078532568_GBR,e_w25422135-400_GBR,e_r10695345_GBR</t>
  </si>
  <si>
    <t>elc_won_GBR_008</t>
  </si>
  <si>
    <t>elc_won_GBR_018</t>
  </si>
  <si>
    <t>distr_wofelc_wof_GBR_018</t>
  </si>
  <si>
    <t>connecting wind offshore to buses in cluster 18</t>
  </si>
  <si>
    <t>distr_wofelc_wof_GBR_012</t>
  </si>
  <si>
    <t>connecting wind offshore to buses in cluster 12</t>
  </si>
  <si>
    <t>distr_wofelc_wof_GBR_008</t>
  </si>
  <si>
    <t>connecting wind offshore to buses in cluster 8</t>
  </si>
  <si>
    <t>distr_wofelc_wof_GBR_007</t>
  </si>
  <si>
    <t>connecting wind offshore to buses in cluster 7</t>
  </si>
  <si>
    <t>distr_wofelc_wof_GBR_032</t>
  </si>
  <si>
    <t>connecting wind offshore to buses in cluster 32</t>
  </si>
  <si>
    <t>distr_wofelc_wof_GBR_002</t>
  </si>
  <si>
    <t>connecting wind offshore to buses in cluster 2</t>
  </si>
  <si>
    <t>distr_wofelc_wof_GBR_033</t>
  </si>
  <si>
    <t>connecting wind offshore to buses in cluster 33</t>
  </si>
  <si>
    <t>distr_wofelc_wof_GBR_006</t>
  </si>
  <si>
    <t>connecting wind offshore to buses in cluster 6</t>
  </si>
  <si>
    <t>distr_wofelc_wof_GBR_023</t>
  </si>
  <si>
    <t>connecting wind offshore to buses in cluster 23</t>
  </si>
  <si>
    <t>distr_wofelc_wof_GBR_025</t>
  </si>
  <si>
    <t>connecting wind offshore to buses in cluster 25</t>
  </si>
  <si>
    <t>distr_wofelc_wof_GBR_034</t>
  </si>
  <si>
    <t>connecting wind offshore to buses in cluster 34</t>
  </si>
  <si>
    <t>distr_wofelc_wof_GBR_027</t>
  </si>
  <si>
    <t>connecting wind offshore to buses in cluster 27</t>
  </si>
  <si>
    <t>distr_wofelc_wof_GBR_016</t>
  </si>
  <si>
    <t>connecting wind offshore to buses in cluster 16</t>
  </si>
  <si>
    <t>distr_wofelc_wof_GBR_011</t>
  </si>
  <si>
    <t>connecting wind offshore to buses in cluster 11</t>
  </si>
  <si>
    <t>distr_wofelc_wof_GBR_022</t>
  </si>
  <si>
    <t>connecting wind offshore to buses in cluster 22</t>
  </si>
  <si>
    <t>distr_wofelc_wof_GBR_020</t>
  </si>
  <si>
    <t>connecting wind offshore to buses in cluster 20</t>
  </si>
  <si>
    <t>distr_wofelc_wof_GBR_024</t>
  </si>
  <si>
    <t>connecting wind offshore to buses in cluster 24</t>
  </si>
  <si>
    <t>distr_wofelc_wof_GBR_010</t>
  </si>
  <si>
    <t>connecting wind offshore to buses in cluster 10</t>
  </si>
  <si>
    <t>distr_wofelc_wof_GBR_015</t>
  </si>
  <si>
    <t>connecting wind offshore to buses in cluster 15</t>
  </si>
  <si>
    <t>distr_wofelc_wof_GBR_017</t>
  </si>
  <si>
    <t>connecting wind offshore to buses in cluster 17</t>
  </si>
  <si>
    <t>distr_wofelc_wof_GBR_019</t>
  </si>
  <si>
    <t>connecting wind offshore to buses in cluster 19</t>
  </si>
  <si>
    <t>distr_wofelc_wof_GBR_031</t>
  </si>
  <si>
    <t>connecting wind offshore to buses in cluster 31</t>
  </si>
  <si>
    <t>distr_wofelc_wof_GBR_009</t>
  </si>
  <si>
    <t>connecting wind offshore to buses in cluster 9</t>
  </si>
  <si>
    <t>distr_wofelc_wof_GBR_004</t>
  </si>
  <si>
    <t>connecting wind offshore to buses in cluster 4</t>
  </si>
  <si>
    <t>distr_wofelc_wof_GBR_003</t>
  </si>
  <si>
    <t>connecting wind offshore to buses in cluster 3</t>
  </si>
  <si>
    <t>distr_wofelc_wof_GBR_029</t>
  </si>
  <si>
    <t>connecting wind offshore to buses in cluster 29</t>
  </si>
  <si>
    <t>distr_wofelc_wof_GBR_005</t>
  </si>
  <si>
    <t>connecting wind offshore to buses in cluster 5</t>
  </si>
  <si>
    <t>distr_wofelc_wof_GBR_014</t>
  </si>
  <si>
    <t>connecting wind offshore to buses in cluster 14</t>
  </si>
  <si>
    <t>distr_wofelc_wof_GBR_030</t>
  </si>
  <si>
    <t>connecting wind offshore to buses in cluster 30</t>
  </si>
  <si>
    <t>distr_wofelc_wof_GBR_026</t>
  </si>
  <si>
    <t>connecting wind offshore to buses in cluster 26</t>
  </si>
  <si>
    <t>distr_wofelc_wof_GBR_013</t>
  </si>
  <si>
    <t>connecting wind offshore to buses in cluster 13</t>
  </si>
  <si>
    <t>distr_wofelc_wof_GBR_021</t>
  </si>
  <si>
    <t>connecting wind offshore to buses in cluster 21</t>
  </si>
  <si>
    <t>distr_wofelc_wof_GBR_028</t>
  </si>
  <si>
    <t>connecting wind offshore to buses in cluster 28</t>
  </si>
  <si>
    <t>distr_wofelc_wof_GBR_001</t>
  </si>
  <si>
    <t>connecting wind offshore to buses in cluster 1</t>
  </si>
  <si>
    <t>elc_wof_GBR_018</t>
  </si>
  <si>
    <t>elc_wof_GBR_012</t>
  </si>
  <si>
    <t>elc_wof_GBR_008</t>
  </si>
  <si>
    <t>elc_wof_GBR_007</t>
  </si>
  <si>
    <t>elc_wof_GBR_032</t>
  </si>
  <si>
    <t>e_w642490160_GBR,e_w568527671_GBR</t>
  </si>
  <si>
    <t>elc_wof_GBR_002</t>
  </si>
  <si>
    <t>e_w636630368_GBR,e_w23281217_GBR</t>
  </si>
  <si>
    <t>elc_wof_GBR_033</t>
  </si>
  <si>
    <t>elc_wof_GBR_006</t>
  </si>
  <si>
    <t>e_w1274396508-400_GBR,e_w636630368_GBR</t>
  </si>
  <si>
    <t>elc_wof_GBR_023</t>
  </si>
  <si>
    <t>elc_wof_GBR_025</t>
  </si>
  <si>
    <t>elc_wof_GBR_034</t>
  </si>
  <si>
    <t>elc_wof_GBR_027</t>
  </si>
  <si>
    <t>elc_wof_GBR_016</t>
  </si>
  <si>
    <t>elc_wof_GBR_011</t>
  </si>
  <si>
    <t>elc_wof_GBR_022</t>
  </si>
  <si>
    <t>elc_wof_GBR_020</t>
  </si>
  <si>
    <t>elc_wof_GBR_024</t>
  </si>
  <si>
    <t>elc_wof_GBR_010</t>
  </si>
  <si>
    <t>elc_wof_GBR_015</t>
  </si>
  <si>
    <t>elc_wof_GBR_017</t>
  </si>
  <si>
    <t>elc_wof_GBR_019</t>
  </si>
  <si>
    <t>elc_wof_GBR_031</t>
  </si>
  <si>
    <t>elc_wof_GBR_009</t>
  </si>
  <si>
    <t>elc_wof_GBR_004</t>
  </si>
  <si>
    <t>elc_wof_GBR_003</t>
  </si>
  <si>
    <t>e_w636630368_GBR</t>
  </si>
  <si>
    <t>elc_wof_GBR_029</t>
  </si>
  <si>
    <t>e_w642490160_GBR,e_w1078532568_GBR</t>
  </si>
  <si>
    <t>elc_wof_GBR_005</t>
  </si>
  <si>
    <t>e_w137050527_GBR,e_w1274396508-400_GBR,e_w148382435_GBR,e_w536905500_GBR,e_w297840585_GBR</t>
  </si>
  <si>
    <t>elc_wof_GBR_014</t>
  </si>
  <si>
    <t>elc_wof_GBR_030</t>
  </si>
  <si>
    <t>e_w642490160_GBR,e_w568527671_GBR,e_w1078532568_GBR</t>
  </si>
  <si>
    <t>elc_wof_GBR_026</t>
  </si>
  <si>
    <t>elc_wof_GBR_013</t>
  </si>
  <si>
    <t>e_w568527671_GBR,e_w642490160_GBR</t>
  </si>
  <si>
    <t>elc_wof_GBR_021</t>
  </si>
  <si>
    <t>elc_wof_GBR_028</t>
  </si>
  <si>
    <t>e_w1078532568_GBR,e_w25422135-400_GBR</t>
  </si>
  <si>
    <t>elc_wof_GBR_001</t>
  </si>
  <si>
    <t>e_r10695345_GBR,e_w25422135-400_GBR</t>
  </si>
  <si>
    <t>e_won_GBR_001</t>
  </si>
  <si>
    <t>wind resource in cluster 1</t>
  </si>
  <si>
    <t>e_won_GBR_002</t>
  </si>
  <si>
    <t>wind resource in cluster 2</t>
  </si>
  <si>
    <t>e_won_GBR_003</t>
  </si>
  <si>
    <t>wind resource in cluster 3</t>
  </si>
  <si>
    <t>e_won_GBR_004</t>
  </si>
  <si>
    <t>wind resource in cluster 4</t>
  </si>
  <si>
    <t>e_won_GBR_005</t>
  </si>
  <si>
    <t>wind resource in cluster 5</t>
  </si>
  <si>
    <t>e_won_GBR_006</t>
  </si>
  <si>
    <t>wind resource in cluster 6</t>
  </si>
  <si>
    <t>e_won_GBR_007</t>
  </si>
  <si>
    <t>wind resource in cluster 7</t>
  </si>
  <si>
    <t>e_won_GBR_008</t>
  </si>
  <si>
    <t>wind resource in cluster 8</t>
  </si>
  <si>
    <t>e_won_GBR_009</t>
  </si>
  <si>
    <t>wind resource in cluster 9</t>
  </si>
  <si>
    <t>e_won_GBR_010</t>
  </si>
  <si>
    <t>wind resource in cluster 10</t>
  </si>
  <si>
    <t>e_won_GBR_011</t>
  </si>
  <si>
    <t>wind resource in cluster 11</t>
  </si>
  <si>
    <t>e_won_GBR_012</t>
  </si>
  <si>
    <t>wind resource in cluster 12</t>
  </si>
  <si>
    <t>e_won_GBR_013</t>
  </si>
  <si>
    <t>wind resource in cluster 13</t>
  </si>
  <si>
    <t>e_won_GBR_014</t>
  </si>
  <si>
    <t>wind resource in cluster 14</t>
  </si>
  <si>
    <t>e_won_GBR_015</t>
  </si>
  <si>
    <t>wind resource in cluster 15</t>
  </si>
  <si>
    <t>e_won_GBR_016</t>
  </si>
  <si>
    <t>wind resource in cluster 16</t>
  </si>
  <si>
    <t>e_won_GBR_017</t>
  </si>
  <si>
    <t>wind resource in cluster 17</t>
  </si>
  <si>
    <t>e_won_GBR_018</t>
  </si>
  <si>
    <t>wind resource in cluster 18</t>
  </si>
  <si>
    <t>e_won_GBR_019</t>
  </si>
  <si>
    <t>wind resource in cluster 19</t>
  </si>
  <si>
    <t>e_won_GBR_020</t>
  </si>
  <si>
    <t>wind resource in cluster 20</t>
  </si>
  <si>
    <t>e_won_GBR_021</t>
  </si>
  <si>
    <t>wind resource in cluster 21</t>
  </si>
  <si>
    <t>e_wof_GBR_001</t>
  </si>
  <si>
    <t>wind offshore resource in cluster 1</t>
  </si>
  <si>
    <t>e_wof_GBR_002</t>
  </si>
  <si>
    <t>wind offshore resource in cluster 2</t>
  </si>
  <si>
    <t>e_wof_GBR_003</t>
  </si>
  <si>
    <t>wind offshore resource in cluster 3</t>
  </si>
  <si>
    <t>e_wof_GBR_004</t>
  </si>
  <si>
    <t>wind offshore resource in cluster 4</t>
  </si>
  <si>
    <t>e_wof_GBR_005</t>
  </si>
  <si>
    <t>wind offshore resource in cluster 5</t>
  </si>
  <si>
    <t>e_wof_GBR_006</t>
  </si>
  <si>
    <t>wind offshore resource in cluster 6</t>
  </si>
  <si>
    <t>e_wof_GBR_007</t>
  </si>
  <si>
    <t>wind offshore resource in cluster 7</t>
  </si>
  <si>
    <t>e_wof_GBR_008</t>
  </si>
  <si>
    <t>wind offshore resource in cluster 8</t>
  </si>
  <si>
    <t>e_wof_GBR_009</t>
  </si>
  <si>
    <t>wind offshore resource in cluster 9</t>
  </si>
  <si>
    <t>e_wof_GBR_010</t>
  </si>
  <si>
    <t>wind offshore resource in cluster 10</t>
  </si>
  <si>
    <t>e_wof_GBR_011</t>
  </si>
  <si>
    <t>wind offshore resource in cluster 11</t>
  </si>
  <si>
    <t>e_wof_GBR_012</t>
  </si>
  <si>
    <t>wind offshore resource in cluster 12</t>
  </si>
  <si>
    <t>e_wof_GBR_013</t>
  </si>
  <si>
    <t>wind offshore resource in cluster 13</t>
  </si>
  <si>
    <t>e_wof_GBR_014</t>
  </si>
  <si>
    <t>wind offshore resource in cluster 14</t>
  </si>
  <si>
    <t>e_wof_GBR_015</t>
  </si>
  <si>
    <t>wind offshore resource in cluster 15</t>
  </si>
  <si>
    <t>e_wof_GBR_016</t>
  </si>
  <si>
    <t>wind offshore resource in cluster 16</t>
  </si>
  <si>
    <t>e_wof_GBR_017</t>
  </si>
  <si>
    <t>wind offshore resource in cluster 17</t>
  </si>
  <si>
    <t>e_wof_GBR_018</t>
  </si>
  <si>
    <t>wind offshore resource in cluster 18</t>
  </si>
  <si>
    <t>e_wof_GBR_019</t>
  </si>
  <si>
    <t>wind offshore resource in cluster 19</t>
  </si>
  <si>
    <t>e_wof_GBR_020</t>
  </si>
  <si>
    <t>wind offshore resource in cluster 20</t>
  </si>
  <si>
    <t>e_wof_GBR_021</t>
  </si>
  <si>
    <t>wind offshore resource in cluster 21</t>
  </si>
  <si>
    <t>e_wof_GBR_022</t>
  </si>
  <si>
    <t>wind offshore resource in cluster 22</t>
  </si>
  <si>
    <t>e_wof_GBR_023</t>
  </si>
  <si>
    <t>wind offshore resource in cluster 23</t>
  </si>
  <si>
    <t>e_wof_GBR_024</t>
  </si>
  <si>
    <t>wind offshore resource in cluster 24</t>
  </si>
  <si>
    <t>e_wof_GBR_025</t>
  </si>
  <si>
    <t>wind offshore resource in cluster 25</t>
  </si>
  <si>
    <t>e_wof_GBR_026</t>
  </si>
  <si>
    <t>wind offshore resource in cluster 26</t>
  </si>
  <si>
    <t>e_wof_GBR_027</t>
  </si>
  <si>
    <t>wind offshore resource in cluster 27</t>
  </si>
  <si>
    <t>e_wof_GBR_028</t>
  </si>
  <si>
    <t>wind offshore resource in cluster 28</t>
  </si>
  <si>
    <t>e_wof_GBR_029</t>
  </si>
  <si>
    <t>wind offshore resource in cluster 29</t>
  </si>
  <si>
    <t>e_wof_GBR_030</t>
  </si>
  <si>
    <t>wind offshore resource in cluster 30</t>
  </si>
  <si>
    <t>e_wof_GBR_031</t>
  </si>
  <si>
    <t>wind offshore resource in cluster 31</t>
  </si>
  <si>
    <t>e_wof_GBR_032</t>
  </si>
  <si>
    <t>wind offshore resource in cluster 32</t>
  </si>
  <si>
    <t>e_wof_GBR_033</t>
  </si>
  <si>
    <t>wind offshore resource in cluster 33</t>
  </si>
  <si>
    <t>e_wof_GBR_034</t>
  </si>
  <si>
    <t>wind offshore resource in cluster 34</t>
  </si>
  <si>
    <t>en_gas_ccgt</t>
  </si>
  <si>
    <t>ncap_cost</t>
  </si>
  <si>
    <t>ncap_fom</t>
  </si>
  <si>
    <t>act_cost</t>
  </si>
  <si>
    <t>ncap_tlife</t>
  </si>
  <si>
    <t>ncap_iled</t>
  </si>
  <si>
    <t>en_gas_turbine</t>
  </si>
  <si>
    <t>en_gas_chp</t>
  </si>
  <si>
    <t>ELC,HET</t>
  </si>
  <si>
    <t>ncap_chpr</t>
  </si>
  <si>
    <t>en_gas_fuelcell</t>
  </si>
  <si>
    <t>en_gas_ccs</t>
  </si>
  <si>
    <t>ELC,CO2Cap</t>
  </si>
  <si>
    <t>en_coal_subcritical</t>
  </si>
  <si>
    <t>en_coal_supercritical</t>
  </si>
  <si>
    <t>en_coal_ultrasupercritical</t>
  </si>
  <si>
    <t>en_coal_igcc</t>
  </si>
  <si>
    <t>en_coal_ccs</t>
  </si>
  <si>
    <t>en_coal_igcc_ccs</t>
  </si>
  <si>
    <t>en_coal_oxyfuel_ccs</t>
  </si>
  <si>
    <t>en_nuclear</t>
  </si>
  <si>
    <t>en_nuclear_smr</t>
  </si>
  <si>
    <t>en_biomass</t>
  </si>
  <si>
    <t>ncap_af</t>
  </si>
  <si>
    <t>en_biomass_cofiring</t>
  </si>
  <si>
    <t>en_biomass_chp</t>
  </si>
  <si>
    <t>en_biomass_ccs</t>
  </si>
  <si>
    <t>en_geothermal</t>
  </si>
  <si>
    <t>yes</t>
  </si>
  <si>
    <t>CHP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</si>
</sst>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rgb="FF9C0006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C7CE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0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21" fillId="17" borderId="0" applyNumberFormat="0" applyBorder="0" applyAlignment="0" applyProtection="0"/>
  </cellStyleXfs>
  <cellXfs count="154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21" fillId="17" borderId="0" xfId="19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20">
    <cellStyle name="20% - Accent3 3 2" xfId="4" xr:uid="{ABC4988B-8BA7-47D0-A9D6-448C999748B6}"/>
    <cellStyle name="Bad" xfId="19" builtinId="27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iam_framework_Kapsarc/SubRes_Tmpl/SubRES_H2-Production.xlsm" TargetMode="External"/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11:V28"/>
  <sheetViews>
    <sheetView workbookViewId="0">
      <selection activeCell="V28" sqref="V28"/>
    </sheetView>
  </sheetViews>
  <sheetFormatPr defaultRowHeight="14.25"/>
  <cols>
    <col min="2" max="2" width="12.19921875" bestFit="1" customWidth="1"/>
    <col min="3" max="3" width="17.9296875" bestFit="1" customWidth="1"/>
    <col min="4" max="4" width="19.33203125" bestFit="1" customWidth="1"/>
    <col min="5" max="5" width="4.3984375" bestFit="1" customWidth="1"/>
    <col min="6" max="6" width="4.6640625" bestFit="1" customWidth="1"/>
    <col min="7" max="7" width="7.59765625" bestFit="1" customWidth="1"/>
    <col min="10" max="10" width="17.9296875" bestFit="1" customWidth="1"/>
    <col min="11" max="11" width="8.3984375" bestFit="1" customWidth="1"/>
    <col min="12" max="12" width="32.19921875" bestFit="1" customWidth="1"/>
    <col min="13" max="13" width="3.3984375" bestFit="1" customWidth="1"/>
    <col min="14" max="14" width="7.86328125" bestFit="1" customWidth="1"/>
    <col min="15" max="15" width="7.1328125" bestFit="1" customWidth="1"/>
    <col min="16" max="16" width="4.73046875" bestFit="1" customWidth="1"/>
    <col min="17" max="17" width="1.73046875" bestFit="1" customWidth="1"/>
    <col min="18" max="18" width="6.53125" bestFit="1" customWidth="1"/>
    <col min="19" max="19" width="3.265625" bestFit="1" customWidth="1"/>
    <col min="22" max="22" width="4.265625" bestFit="1" customWidth="1"/>
  </cols>
  <sheetData>
    <row r="11" spans="2:22" ht="17.25" thickBot="1">
      <c r="B11" s="143" t="s">
        <v>0</v>
      </c>
      <c r="L11" s="143" t="s">
        <v>102</v>
      </c>
      <c r="N11" s="1"/>
      <c r="O11" s="1"/>
      <c r="P11" s="1"/>
      <c r="Q11" s="1"/>
    </row>
    <row r="12" spans="2:22" ht="15" thickTop="1" thickBot="1">
      <c r="B12" s="2" t="s">
        <v>6</v>
      </c>
      <c r="C12" s="2" t="s">
        <v>1</v>
      </c>
      <c r="D12" s="2" t="s">
        <v>7</v>
      </c>
      <c r="E12" s="2" t="s">
        <v>9</v>
      </c>
      <c r="F12" s="2" t="s">
        <v>8</v>
      </c>
      <c r="G12" s="2" t="s">
        <v>11</v>
      </c>
      <c r="J12" s="2" t="s">
        <v>12</v>
      </c>
      <c r="K12" s="2" t="s">
        <v>2</v>
      </c>
      <c r="L12" s="2" t="s">
        <v>3</v>
      </c>
      <c r="M12" s="2" t="s">
        <v>4</v>
      </c>
      <c r="N12" s="2" t="s">
        <v>5</v>
      </c>
      <c r="O12" s="2" t="s">
        <v>30</v>
      </c>
      <c r="P12" s="2">
        <v>2022</v>
      </c>
      <c r="Q12" s="2">
        <v>0</v>
      </c>
      <c r="R12" s="2" t="s">
        <v>101</v>
      </c>
      <c r="S12" s="2" t="s">
        <v>105</v>
      </c>
    </row>
    <row r="13" spans="2:22">
      <c r="B13" s="1" t="s">
        <v>17</v>
      </c>
      <c r="C13" s="1" t="s">
        <v>13</v>
      </c>
      <c r="E13" s="1" t="s">
        <v>21</v>
      </c>
      <c r="F13" t="s">
        <v>10</v>
      </c>
      <c r="G13" t="s">
        <v>14</v>
      </c>
      <c r="J13" s="1" t="str">
        <f>C13</f>
        <v>ElcAgg_Solar</v>
      </c>
      <c r="L13" s="1" t="s">
        <v>15</v>
      </c>
      <c r="M13" s="1">
        <v>1</v>
      </c>
      <c r="N13" s="1">
        <v>8.76</v>
      </c>
      <c r="O13" s="1"/>
      <c r="P13" s="1"/>
      <c r="Q13" s="1"/>
    </row>
    <row r="14" spans="2:22">
      <c r="B14" s="1" t="s">
        <v>17</v>
      </c>
      <c r="C14" s="1" t="s">
        <v>16</v>
      </c>
      <c r="E14" s="1" t="s">
        <v>21</v>
      </c>
      <c r="F14" t="s">
        <v>10</v>
      </c>
      <c r="G14" t="s">
        <v>14</v>
      </c>
      <c r="H14" s="1"/>
      <c r="I14" s="1"/>
      <c r="J14" s="1" t="str">
        <f>C14</f>
        <v>ElcAgg_Wind</v>
      </c>
      <c r="L14" s="1" t="s">
        <v>15</v>
      </c>
      <c r="M14" s="1">
        <v>1</v>
      </c>
      <c r="N14" s="1">
        <v>8.76</v>
      </c>
      <c r="O14" s="1"/>
      <c r="P14" s="1"/>
      <c r="Q14" s="1"/>
    </row>
    <row r="15" spans="2:22">
      <c r="B15" t="s">
        <v>20</v>
      </c>
      <c r="C15" t="s">
        <v>104</v>
      </c>
      <c r="D15" s="1" t="s">
        <v>106</v>
      </c>
      <c r="E15" s="1" t="s">
        <v>21</v>
      </c>
      <c r="F15" t="s">
        <v>10</v>
      </c>
      <c r="G15" s="1"/>
      <c r="H15" s="1"/>
      <c r="I15" s="1"/>
      <c r="J15" s="1" t="str">
        <f>C15</f>
        <v>e_demand</v>
      </c>
      <c r="K15" s="1" t="s">
        <v>19</v>
      </c>
      <c r="L15" t="s">
        <v>22</v>
      </c>
      <c r="M15" s="1">
        <v>1</v>
      </c>
      <c r="N15" s="1">
        <v>8.76</v>
      </c>
      <c r="O15" s="1"/>
      <c r="P15" s="1"/>
      <c r="Q15" s="1"/>
      <c r="V15" t="s">
        <v>100</v>
      </c>
    </row>
    <row r="16" spans="2:22">
      <c r="B16" t="s">
        <v>20</v>
      </c>
      <c r="C16" t="s">
        <v>147</v>
      </c>
      <c r="D16" s="1" t="s">
        <v>148</v>
      </c>
      <c r="E16" s="1" t="s">
        <v>21</v>
      </c>
      <c r="F16" t="s">
        <v>10</v>
      </c>
      <c r="G16" s="1"/>
      <c r="H16" s="1"/>
      <c r="I16" s="1"/>
      <c r="J16" s="1" t="str">
        <f>C16</f>
        <v>h_demand</v>
      </c>
      <c r="K16" s="1" t="s">
        <v>35</v>
      </c>
      <c r="L16" t="s">
        <v>149</v>
      </c>
      <c r="M16" s="1">
        <v>1</v>
      </c>
      <c r="N16" s="1">
        <v>8.76</v>
      </c>
      <c r="O16" s="1"/>
      <c r="P16" s="1"/>
      <c r="Q16" s="1"/>
    </row>
    <row r="17" spans="2:22">
      <c r="B17" t="s">
        <v>29</v>
      </c>
      <c r="C17" t="s">
        <v>98</v>
      </c>
      <c r="D17" s="1"/>
      <c r="E17" s="1" t="s">
        <v>21</v>
      </c>
      <c r="F17" t="s">
        <v>10</v>
      </c>
      <c r="G17" t="s">
        <v>14</v>
      </c>
      <c r="H17" s="1"/>
      <c r="I17" s="1"/>
      <c r="J17" s="1" t="str">
        <f>C19</f>
        <v>fossil_supply</v>
      </c>
      <c r="K17" s="1"/>
      <c r="L17" s="1" t="s">
        <v>32</v>
      </c>
      <c r="M17" s="1"/>
      <c r="N17" s="1"/>
      <c r="O17" s="1">
        <f t="shared" ref="O17:O21" si="0">V17*3.6</f>
        <v>7.2</v>
      </c>
      <c r="P17" s="1"/>
      <c r="V17" s="1">
        <v>2</v>
      </c>
    </row>
    <row r="18" spans="2:22">
      <c r="B18" t="s">
        <v>97</v>
      </c>
      <c r="C18" t="s">
        <v>99</v>
      </c>
      <c r="D18" s="1"/>
      <c r="E18" s="1" t="s">
        <v>21</v>
      </c>
      <c r="F18" t="s">
        <v>10</v>
      </c>
      <c r="G18" t="s">
        <v>14</v>
      </c>
      <c r="H18" s="1"/>
      <c r="I18" s="1"/>
      <c r="K18" s="1"/>
      <c r="L18" s="1" t="s">
        <v>33</v>
      </c>
      <c r="M18" s="1"/>
      <c r="N18" s="1"/>
      <c r="O18" s="1">
        <f t="shared" si="0"/>
        <v>18</v>
      </c>
      <c r="P18" s="1"/>
      <c r="V18" s="1">
        <v>5</v>
      </c>
    </row>
    <row r="19" spans="2:22">
      <c r="B19" s="1" t="s">
        <v>29</v>
      </c>
      <c r="C19" s="1" t="s">
        <v>152</v>
      </c>
      <c r="D19" s="1" t="s">
        <v>107</v>
      </c>
      <c r="E19" s="1" t="s">
        <v>21</v>
      </c>
      <c r="F19" t="s">
        <v>10</v>
      </c>
      <c r="G19" s="1"/>
      <c r="H19" s="1"/>
      <c r="I19" s="1"/>
      <c r="K19" s="1"/>
      <c r="L19" s="1" t="s">
        <v>37</v>
      </c>
      <c r="M19" s="1"/>
      <c r="N19" s="1"/>
      <c r="O19" s="1">
        <f>V19*3.6</f>
        <v>36</v>
      </c>
      <c r="P19" s="1"/>
      <c r="V19">
        <v>10</v>
      </c>
    </row>
    <row r="20" spans="2:22">
      <c r="B20" s="1" t="s">
        <v>29</v>
      </c>
      <c r="C20" s="1" t="s">
        <v>154</v>
      </c>
      <c r="D20" s="1" t="s">
        <v>153</v>
      </c>
      <c r="E20" s="1" t="s">
        <v>21</v>
      </c>
      <c r="F20" t="s">
        <v>10</v>
      </c>
      <c r="G20" s="1"/>
      <c r="H20" s="1"/>
      <c r="I20" s="1"/>
      <c r="J20" s="1" t="str">
        <f>C20</f>
        <v>renewable</v>
      </c>
      <c r="K20" s="1"/>
      <c r="L20" s="1" t="s">
        <v>34</v>
      </c>
      <c r="M20" s="1"/>
      <c r="N20" s="1"/>
      <c r="O20" s="1">
        <f t="shared" si="0"/>
        <v>0.36000000000000004</v>
      </c>
      <c r="P20" s="1"/>
      <c r="V20">
        <v>0.1</v>
      </c>
    </row>
    <row r="21" spans="2:22">
      <c r="B21" s="1" t="s">
        <v>29</v>
      </c>
      <c r="C21" s="1" t="s">
        <v>155</v>
      </c>
      <c r="D21" s="1" t="s">
        <v>156</v>
      </c>
      <c r="E21" s="1" t="s">
        <v>21</v>
      </c>
      <c r="F21" t="s">
        <v>10</v>
      </c>
      <c r="G21" s="1"/>
      <c r="H21" s="1"/>
      <c r="I21" s="1"/>
      <c r="K21" s="1"/>
      <c r="L21" s="1" t="s">
        <v>28</v>
      </c>
      <c r="M21" s="1"/>
      <c r="N21" s="1"/>
      <c r="O21" s="1">
        <f t="shared" si="0"/>
        <v>0.36000000000000004</v>
      </c>
      <c r="P21" s="1"/>
      <c r="V21">
        <v>0.1</v>
      </c>
    </row>
    <row r="22" spans="2:22">
      <c r="B22" s="1" t="s">
        <v>29</v>
      </c>
      <c r="C22" s="1" t="s">
        <v>157</v>
      </c>
      <c r="D22" s="1" t="s">
        <v>160</v>
      </c>
      <c r="E22" s="1" t="s">
        <v>21</v>
      </c>
      <c r="F22" t="s">
        <v>10</v>
      </c>
      <c r="G22" s="1"/>
      <c r="H22" s="1"/>
      <c r="I22" s="1"/>
      <c r="L22" s="1" t="s">
        <v>31</v>
      </c>
      <c r="M22" s="1"/>
      <c r="N22" s="1"/>
      <c r="O22" s="1">
        <f>V22*3.6</f>
        <v>25.2</v>
      </c>
      <c r="P22" s="1"/>
      <c r="V22" s="1">
        <v>7</v>
      </c>
    </row>
    <row r="23" spans="2:22">
      <c r="B23" s="1" t="s">
        <v>29</v>
      </c>
      <c r="C23" t="s">
        <v>158</v>
      </c>
      <c r="D23" t="s">
        <v>161</v>
      </c>
      <c r="E23" s="1" t="s">
        <v>21</v>
      </c>
      <c r="F23" t="s">
        <v>10</v>
      </c>
      <c r="G23" s="1"/>
      <c r="H23" s="1"/>
      <c r="I23" s="1"/>
      <c r="J23" s="1" t="str">
        <f>C21</f>
        <v>nuclear_fuel</v>
      </c>
      <c r="K23" s="1"/>
      <c r="L23" s="1" t="s">
        <v>36</v>
      </c>
      <c r="M23" s="1"/>
      <c r="N23" s="1"/>
      <c r="O23" s="1">
        <f>V23*3.6</f>
        <v>0.36000000000000004</v>
      </c>
      <c r="P23" s="1"/>
      <c r="V23">
        <v>0.1</v>
      </c>
    </row>
    <row r="24" spans="2:22">
      <c r="B24" s="1" t="s">
        <v>29</v>
      </c>
      <c r="C24" t="s">
        <v>159</v>
      </c>
      <c r="D24" t="s">
        <v>162</v>
      </c>
      <c r="E24" s="1" t="s">
        <v>21</v>
      </c>
      <c r="F24" t="s">
        <v>10</v>
      </c>
      <c r="G24" s="1"/>
      <c r="H24" s="1"/>
      <c r="I24" s="1"/>
      <c r="J24" s="1" t="str">
        <f>C22</f>
        <v>solar_potential</v>
      </c>
      <c r="K24" s="1"/>
      <c r="L24" s="1" t="s">
        <v>27</v>
      </c>
      <c r="M24" s="1"/>
      <c r="N24" s="1"/>
      <c r="O24" s="1">
        <f>V24*3.6</f>
        <v>0.36000000000000004</v>
      </c>
      <c r="P24" s="1"/>
      <c r="V24">
        <v>0.1</v>
      </c>
    </row>
    <row r="25" spans="2:22">
      <c r="B25" s="1"/>
      <c r="C25" s="1"/>
      <c r="D25" s="1"/>
      <c r="E25" s="1"/>
      <c r="F25" s="1"/>
      <c r="G25" s="1"/>
      <c r="H25" s="1"/>
      <c r="I25" s="1"/>
      <c r="J25" s="1" t="str">
        <f>C23</f>
        <v>winon_potential</v>
      </c>
      <c r="K25" s="1"/>
      <c r="L25" s="1" t="s">
        <v>150</v>
      </c>
      <c r="M25" s="1"/>
      <c r="N25" s="1"/>
      <c r="O25" s="1">
        <f>V25*3.6</f>
        <v>0.36000000000000004</v>
      </c>
      <c r="P25" s="1"/>
      <c r="V25">
        <v>0.1</v>
      </c>
    </row>
    <row r="26" spans="2:22">
      <c r="B26" s="1"/>
      <c r="C26" s="1"/>
      <c r="D26" s="1"/>
      <c r="E26" s="1"/>
      <c r="F26" s="1"/>
      <c r="G26" s="1"/>
      <c r="H26" s="1"/>
      <c r="I26" s="1"/>
      <c r="J26" s="1" t="str">
        <f>C24</f>
        <v>winoff_potential</v>
      </c>
      <c r="K26" s="1"/>
      <c r="L26" s="1" t="s">
        <v>151</v>
      </c>
      <c r="M26" s="1"/>
      <c r="N26" s="1"/>
      <c r="O26" s="1">
        <f t="shared" ref="O26" si="1">V26*3.6</f>
        <v>0.36000000000000004</v>
      </c>
      <c r="P26" s="1"/>
      <c r="V26">
        <v>0.1</v>
      </c>
    </row>
    <row r="27" spans="2:22">
      <c r="J27" t="str">
        <f>C17</f>
        <v>Trd_electricity import</v>
      </c>
      <c r="L27" t="str">
        <f>$V$28</f>
        <v>ELC</v>
      </c>
      <c r="P27">
        <v>0</v>
      </c>
      <c r="Q27">
        <v>3</v>
      </c>
      <c r="R27">
        <v>1000</v>
      </c>
      <c r="S27">
        <v>50</v>
      </c>
    </row>
    <row r="28" spans="2:22">
      <c r="J28" t="str">
        <f>C18</f>
        <v>Trd_electricity export</v>
      </c>
      <c r="K28" t="str">
        <f>$V$28</f>
        <v>ELC</v>
      </c>
      <c r="P28">
        <v>0</v>
      </c>
      <c r="Q28">
        <v>3</v>
      </c>
      <c r="R28">
        <v>1000</v>
      </c>
      <c r="S28">
        <v>50</v>
      </c>
      <c r="V28" s="147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H23" sqref="H23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F8" sqref="F8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">
        <v>163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8" t="s">
        <v>109</v>
      </c>
      <c r="D1" s="148"/>
      <c r="E1" s="148"/>
      <c r="F1" s="149" t="s">
        <v>110</v>
      </c>
      <c r="G1" s="148"/>
      <c r="H1" s="150"/>
      <c r="I1" s="148" t="s">
        <v>111</v>
      </c>
      <c r="J1" s="148"/>
      <c r="K1" s="148"/>
      <c r="L1" s="148"/>
      <c r="M1" s="148"/>
      <c r="N1" s="148"/>
      <c r="O1" s="151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2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2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3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9DC94-36D8-4E86-B201-2D75671A8C54}">
  <dimension ref="B9:BD44"/>
  <sheetViews>
    <sheetView workbookViewId="0"/>
  </sheetViews>
  <sheetFormatPr defaultRowHeight="14.25"/>
  <sheetData>
    <row r="9" spans="2:56">
      <c r="B9" t="s">
        <v>164</v>
      </c>
      <c r="J9" t="s">
        <v>217</v>
      </c>
      <c r="O9" t="s">
        <v>164</v>
      </c>
      <c r="X9" t="s">
        <v>217</v>
      </c>
      <c r="AD9" t="s">
        <v>164</v>
      </c>
      <c r="AL9" t="s">
        <v>217</v>
      </c>
      <c r="AR9" t="s">
        <v>164</v>
      </c>
      <c r="AZ9" t="s">
        <v>217</v>
      </c>
    </row>
    <row r="10" spans="2:56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218</v>
      </c>
      <c r="L10" t="s">
        <v>219</v>
      </c>
      <c r="M10" t="s">
        <v>220</v>
      </c>
      <c r="O10" t="s">
        <v>165</v>
      </c>
      <c r="P10" t="s">
        <v>166</v>
      </c>
      <c r="Q10" t="s">
        <v>167</v>
      </c>
      <c r="R10" t="s">
        <v>168</v>
      </c>
      <c r="S10" t="s">
        <v>169</v>
      </c>
      <c r="T10" t="s">
        <v>242</v>
      </c>
      <c r="U10" t="s">
        <v>170</v>
      </c>
      <c r="V10" t="s">
        <v>171</v>
      </c>
      <c r="X10" t="s">
        <v>166</v>
      </c>
      <c r="Y10" t="s">
        <v>288</v>
      </c>
      <c r="Z10" t="s">
        <v>218</v>
      </c>
      <c r="AA10" t="s">
        <v>146</v>
      </c>
      <c r="AB10" t="s">
        <v>289</v>
      </c>
      <c r="AD10" t="s">
        <v>165</v>
      </c>
      <c r="AE10" t="s">
        <v>166</v>
      </c>
      <c r="AF10" t="s">
        <v>167</v>
      </c>
      <c r="AG10" t="s">
        <v>168</v>
      </c>
      <c r="AH10" t="s">
        <v>169</v>
      </c>
      <c r="AI10" t="s">
        <v>170</v>
      </c>
      <c r="AJ10" t="s">
        <v>171</v>
      </c>
      <c r="AL10" t="s">
        <v>166</v>
      </c>
      <c r="AM10" t="s">
        <v>288</v>
      </c>
      <c r="AN10" t="s">
        <v>218</v>
      </c>
      <c r="AO10" t="s">
        <v>146</v>
      </c>
      <c r="AP10" t="s">
        <v>289</v>
      </c>
      <c r="AR10" t="s">
        <v>165</v>
      </c>
      <c r="AS10" t="s">
        <v>166</v>
      </c>
      <c r="AT10" t="s">
        <v>167</v>
      </c>
      <c r="AU10" t="s">
        <v>168</v>
      </c>
      <c r="AV10" t="s">
        <v>169</v>
      </c>
      <c r="AW10" t="s">
        <v>170</v>
      </c>
      <c r="AX10" t="s">
        <v>171</v>
      </c>
      <c r="AZ10" t="s">
        <v>166</v>
      </c>
      <c r="BA10" t="s">
        <v>288</v>
      </c>
      <c r="BB10" t="s">
        <v>218</v>
      </c>
      <c r="BC10" t="s">
        <v>146</v>
      </c>
      <c r="BD10" t="s">
        <v>289</v>
      </c>
    </row>
    <row r="11" spans="2:56">
      <c r="B11" t="s">
        <v>172</v>
      </c>
      <c r="C11" t="s">
        <v>173</v>
      </c>
      <c r="D11" t="s">
        <v>174</v>
      </c>
      <c r="E11" t="s">
        <v>10</v>
      </c>
      <c r="F11" t="s">
        <v>21</v>
      </c>
      <c r="G11" t="s">
        <v>175</v>
      </c>
      <c r="H11" t="s">
        <v>176</v>
      </c>
      <c r="J11" t="s">
        <v>173</v>
      </c>
      <c r="K11" t="s">
        <v>221</v>
      </c>
      <c r="L11">
        <v>0.70571003857588532</v>
      </c>
      <c r="M11">
        <v>0.15076912733548509</v>
      </c>
      <c r="O11" t="s">
        <v>243</v>
      </c>
      <c r="P11" t="s">
        <v>244</v>
      </c>
      <c r="Q11" t="s">
        <v>245</v>
      </c>
      <c r="R11" t="s">
        <v>10</v>
      </c>
      <c r="S11" t="s">
        <v>21</v>
      </c>
      <c r="T11" t="s">
        <v>246</v>
      </c>
      <c r="U11" t="s">
        <v>247</v>
      </c>
      <c r="V11" t="s">
        <v>176</v>
      </c>
      <c r="X11" t="s">
        <v>244</v>
      </c>
      <c r="Y11" t="s">
        <v>234</v>
      </c>
      <c r="Z11" t="s">
        <v>290</v>
      </c>
      <c r="AA11">
        <v>0.99551073986131355</v>
      </c>
      <c r="AB11">
        <v>82.303102542584213</v>
      </c>
      <c r="AD11" t="s">
        <v>243</v>
      </c>
      <c r="AE11" t="s">
        <v>307</v>
      </c>
      <c r="AF11" t="s">
        <v>308</v>
      </c>
      <c r="AG11" t="s">
        <v>10</v>
      </c>
      <c r="AH11" t="s">
        <v>21</v>
      </c>
      <c r="AI11" t="s">
        <v>247</v>
      </c>
      <c r="AJ11" t="s">
        <v>176</v>
      </c>
      <c r="AL11" t="s">
        <v>307</v>
      </c>
      <c r="AM11" t="s">
        <v>349</v>
      </c>
      <c r="AN11" t="s">
        <v>300</v>
      </c>
      <c r="AO11">
        <v>0.99102145505694772</v>
      </c>
      <c r="AP11">
        <v>164.60665728929129</v>
      </c>
      <c r="AR11" t="s">
        <v>243</v>
      </c>
      <c r="AS11" t="s">
        <v>381</v>
      </c>
      <c r="AT11" t="s">
        <v>382</v>
      </c>
      <c r="AU11" t="s">
        <v>10</v>
      </c>
      <c r="AV11" t="s">
        <v>21</v>
      </c>
      <c r="AW11" t="s">
        <v>247</v>
      </c>
      <c r="AX11" t="s">
        <v>176</v>
      </c>
      <c r="AZ11" t="s">
        <v>381</v>
      </c>
      <c r="BA11" t="s">
        <v>449</v>
      </c>
      <c r="BB11" t="s">
        <v>298</v>
      </c>
      <c r="BC11">
        <v>0.96920091663803831</v>
      </c>
      <c r="BD11">
        <v>564.64986163596348</v>
      </c>
    </row>
    <row r="12" spans="2:56">
      <c r="B12" t="s">
        <v>172</v>
      </c>
      <c r="C12" t="s">
        <v>177</v>
      </c>
      <c r="D12" t="s">
        <v>178</v>
      </c>
      <c r="E12" t="s">
        <v>10</v>
      </c>
      <c r="F12" t="s">
        <v>21</v>
      </c>
      <c r="G12" t="s">
        <v>175</v>
      </c>
      <c r="H12" t="s">
        <v>176</v>
      </c>
      <c r="J12" t="s">
        <v>177</v>
      </c>
      <c r="K12" t="s">
        <v>222</v>
      </c>
      <c r="L12">
        <v>0.73749007933265232</v>
      </c>
      <c r="M12">
        <v>0.14473902616675069</v>
      </c>
      <c r="O12" t="s">
        <v>243</v>
      </c>
      <c r="P12" t="s">
        <v>248</v>
      </c>
      <c r="Q12" t="s">
        <v>249</v>
      </c>
      <c r="R12" t="s">
        <v>10</v>
      </c>
      <c r="S12" t="s">
        <v>21</v>
      </c>
      <c r="T12" t="s">
        <v>246</v>
      </c>
      <c r="U12" t="s">
        <v>247</v>
      </c>
      <c r="V12" t="s">
        <v>176</v>
      </c>
      <c r="X12" t="s">
        <v>248</v>
      </c>
      <c r="Y12" t="s">
        <v>222</v>
      </c>
      <c r="Z12" t="s">
        <v>291</v>
      </c>
      <c r="AA12">
        <v>0.99912250531124169</v>
      </c>
      <c r="AB12">
        <v>16.087402627235775</v>
      </c>
      <c r="AD12" t="s">
        <v>243</v>
      </c>
      <c r="AE12" t="s">
        <v>309</v>
      </c>
      <c r="AF12" t="s">
        <v>310</v>
      </c>
      <c r="AG12" t="s">
        <v>10</v>
      </c>
      <c r="AH12" t="s">
        <v>21</v>
      </c>
      <c r="AI12" t="s">
        <v>247</v>
      </c>
      <c r="AJ12" t="s">
        <v>176</v>
      </c>
      <c r="AL12" t="s">
        <v>309</v>
      </c>
      <c r="AM12" t="s">
        <v>350</v>
      </c>
      <c r="AN12" t="s">
        <v>351</v>
      </c>
      <c r="AO12">
        <v>0.98780337799760842</v>
      </c>
      <c r="AP12">
        <v>223.60473671051247</v>
      </c>
      <c r="AR12" t="s">
        <v>243</v>
      </c>
      <c r="AS12" t="s">
        <v>383</v>
      </c>
      <c r="AT12" t="s">
        <v>384</v>
      </c>
      <c r="AU12" t="s">
        <v>10</v>
      </c>
      <c r="AV12" t="s">
        <v>21</v>
      </c>
      <c r="AW12" t="s">
        <v>247</v>
      </c>
      <c r="AX12" t="s">
        <v>176</v>
      </c>
      <c r="AZ12" t="s">
        <v>383</v>
      </c>
      <c r="BA12" t="s">
        <v>450</v>
      </c>
      <c r="BB12" t="s">
        <v>290</v>
      </c>
      <c r="BC12">
        <v>0.99004087150646947</v>
      </c>
      <c r="BD12">
        <v>182.58402238139311</v>
      </c>
    </row>
    <row r="13" spans="2:56">
      <c r="B13" t="s">
        <v>172</v>
      </c>
      <c r="C13" t="s">
        <v>179</v>
      </c>
      <c r="D13" t="s">
        <v>180</v>
      </c>
      <c r="E13" t="s">
        <v>10</v>
      </c>
      <c r="F13" t="s">
        <v>21</v>
      </c>
      <c r="G13" t="s">
        <v>175</v>
      </c>
      <c r="H13" t="s">
        <v>176</v>
      </c>
      <c r="J13" t="s">
        <v>179</v>
      </c>
      <c r="K13" t="s">
        <v>223</v>
      </c>
      <c r="L13">
        <v>0.76339792860446809</v>
      </c>
      <c r="M13">
        <v>0.13917325343604939</v>
      </c>
      <c r="O13" t="s">
        <v>243</v>
      </c>
      <c r="P13" t="s">
        <v>250</v>
      </c>
      <c r="Q13" t="s">
        <v>251</v>
      </c>
      <c r="R13" t="s">
        <v>10</v>
      </c>
      <c r="S13" t="s">
        <v>21</v>
      </c>
      <c r="T13" t="s">
        <v>246</v>
      </c>
      <c r="U13" t="s">
        <v>247</v>
      </c>
      <c r="V13" t="s">
        <v>176</v>
      </c>
      <c r="X13" t="s">
        <v>250</v>
      </c>
      <c r="Y13" t="s">
        <v>224</v>
      </c>
      <c r="Z13" t="s">
        <v>292</v>
      </c>
      <c r="AA13">
        <v>0.99892654581492313</v>
      </c>
      <c r="AB13">
        <v>19.679993393076185</v>
      </c>
      <c r="AD13" t="s">
        <v>243</v>
      </c>
      <c r="AE13" t="s">
        <v>311</v>
      </c>
      <c r="AF13" t="s">
        <v>312</v>
      </c>
      <c r="AG13" t="s">
        <v>10</v>
      </c>
      <c r="AH13" t="s">
        <v>21</v>
      </c>
      <c r="AI13" t="s">
        <v>247</v>
      </c>
      <c r="AJ13" t="s">
        <v>176</v>
      </c>
      <c r="AL13" t="s">
        <v>311</v>
      </c>
      <c r="AM13" t="s">
        <v>352</v>
      </c>
      <c r="AN13" t="s">
        <v>353</v>
      </c>
      <c r="AO13">
        <v>0.99327661764434971</v>
      </c>
      <c r="AP13">
        <v>123.26200985358899</v>
      </c>
      <c r="AR13" t="s">
        <v>243</v>
      </c>
      <c r="AS13" t="s">
        <v>385</v>
      </c>
      <c r="AT13" t="s">
        <v>386</v>
      </c>
      <c r="AU13" t="s">
        <v>10</v>
      </c>
      <c r="AV13" t="s">
        <v>21</v>
      </c>
      <c r="AW13" t="s">
        <v>247</v>
      </c>
      <c r="AX13" t="s">
        <v>176</v>
      </c>
      <c r="AZ13" t="s">
        <v>385</v>
      </c>
      <c r="BA13" t="s">
        <v>451</v>
      </c>
      <c r="BB13" t="s">
        <v>303</v>
      </c>
      <c r="BC13">
        <v>0.97731570613907726</v>
      </c>
      <c r="BD13">
        <v>415.87872078358413</v>
      </c>
    </row>
    <row r="14" spans="2:56">
      <c r="B14" t="s">
        <v>172</v>
      </c>
      <c r="C14" t="s">
        <v>181</v>
      </c>
      <c r="D14" t="s">
        <v>182</v>
      </c>
      <c r="E14" t="s">
        <v>10</v>
      </c>
      <c r="F14" t="s">
        <v>21</v>
      </c>
      <c r="G14" t="s">
        <v>175</v>
      </c>
      <c r="H14" t="s">
        <v>176</v>
      </c>
      <c r="J14" t="s">
        <v>181</v>
      </c>
      <c r="K14" t="s">
        <v>224</v>
      </c>
      <c r="L14">
        <v>0.43273233197305672</v>
      </c>
      <c r="M14">
        <v>0.1397656436341142</v>
      </c>
      <c r="O14" t="s">
        <v>243</v>
      </c>
      <c r="P14" t="s">
        <v>252</v>
      </c>
      <c r="Q14" t="s">
        <v>253</v>
      </c>
      <c r="R14" t="s">
        <v>10</v>
      </c>
      <c r="S14" t="s">
        <v>21</v>
      </c>
      <c r="T14" t="s">
        <v>246</v>
      </c>
      <c r="U14" t="s">
        <v>247</v>
      </c>
      <c r="V14" t="s">
        <v>176</v>
      </c>
      <c r="X14" t="s">
        <v>252</v>
      </c>
      <c r="Y14" t="s">
        <v>223</v>
      </c>
      <c r="Z14" t="s">
        <v>293</v>
      </c>
      <c r="AA14">
        <v>0.9984630278586657</v>
      </c>
      <c r="AB14">
        <v>28.177822591129338</v>
      </c>
      <c r="AD14" t="s">
        <v>243</v>
      </c>
      <c r="AE14" t="s">
        <v>313</v>
      </c>
      <c r="AF14" t="s">
        <v>314</v>
      </c>
      <c r="AG14" t="s">
        <v>10</v>
      </c>
      <c r="AH14" t="s">
        <v>21</v>
      </c>
      <c r="AI14" t="s">
        <v>247</v>
      </c>
      <c r="AJ14" t="s">
        <v>176</v>
      </c>
      <c r="AL14" t="s">
        <v>313</v>
      </c>
      <c r="AM14" t="s">
        <v>354</v>
      </c>
      <c r="AN14" t="s">
        <v>296</v>
      </c>
      <c r="AO14">
        <v>0.99893403576364492</v>
      </c>
      <c r="AP14">
        <v>19.542677666509775</v>
      </c>
      <c r="AR14" t="s">
        <v>243</v>
      </c>
      <c r="AS14" t="s">
        <v>387</v>
      </c>
      <c r="AT14" t="s">
        <v>388</v>
      </c>
      <c r="AU14" t="s">
        <v>10</v>
      </c>
      <c r="AV14" t="s">
        <v>21</v>
      </c>
      <c r="AW14" t="s">
        <v>247</v>
      </c>
      <c r="AX14" t="s">
        <v>176</v>
      </c>
      <c r="AZ14" t="s">
        <v>387</v>
      </c>
      <c r="BA14" t="s">
        <v>452</v>
      </c>
      <c r="BB14" t="s">
        <v>303</v>
      </c>
      <c r="BC14">
        <v>0.98426933003570904</v>
      </c>
      <c r="BD14">
        <v>288.39561601200188</v>
      </c>
    </row>
    <row r="15" spans="2:56">
      <c r="B15" t="s">
        <v>172</v>
      </c>
      <c r="C15" t="s">
        <v>183</v>
      </c>
      <c r="D15" t="s">
        <v>184</v>
      </c>
      <c r="E15" t="s">
        <v>10</v>
      </c>
      <c r="F15" t="s">
        <v>21</v>
      </c>
      <c r="G15" t="s">
        <v>175</v>
      </c>
      <c r="H15" t="s">
        <v>176</v>
      </c>
      <c r="J15" t="s">
        <v>183</v>
      </c>
      <c r="K15" t="s">
        <v>225</v>
      </c>
      <c r="L15">
        <v>2.3250820607990099</v>
      </c>
      <c r="M15">
        <v>0.15305208043587709</v>
      </c>
      <c r="O15" t="s">
        <v>243</v>
      </c>
      <c r="P15" t="s">
        <v>254</v>
      </c>
      <c r="Q15" t="s">
        <v>255</v>
      </c>
      <c r="R15" t="s">
        <v>10</v>
      </c>
      <c r="S15" t="s">
        <v>21</v>
      </c>
      <c r="T15" t="s">
        <v>246</v>
      </c>
      <c r="U15" t="s">
        <v>247</v>
      </c>
      <c r="V15" t="s">
        <v>176</v>
      </c>
      <c r="X15" t="s">
        <v>254</v>
      </c>
      <c r="Y15" t="s">
        <v>229</v>
      </c>
      <c r="Z15" t="s">
        <v>294</v>
      </c>
      <c r="AA15">
        <v>0.99763452756129467</v>
      </c>
      <c r="AB15">
        <v>43.366994709596973</v>
      </c>
      <c r="AD15" t="s">
        <v>243</v>
      </c>
      <c r="AE15" t="s">
        <v>315</v>
      </c>
      <c r="AF15" t="s">
        <v>316</v>
      </c>
      <c r="AG15" t="s">
        <v>10</v>
      </c>
      <c r="AH15" t="s">
        <v>21</v>
      </c>
      <c r="AI15" t="s">
        <v>247</v>
      </c>
      <c r="AJ15" t="s">
        <v>176</v>
      </c>
      <c r="AL15" t="s">
        <v>315</v>
      </c>
      <c r="AM15" t="s">
        <v>355</v>
      </c>
      <c r="AN15" t="s">
        <v>297</v>
      </c>
      <c r="AO15">
        <v>0.98985996792823905</v>
      </c>
      <c r="AP15">
        <v>185.9005879822837</v>
      </c>
      <c r="AR15" t="s">
        <v>243</v>
      </c>
      <c r="AS15" t="s">
        <v>389</v>
      </c>
      <c r="AT15" t="s">
        <v>390</v>
      </c>
      <c r="AU15" t="s">
        <v>10</v>
      </c>
      <c r="AV15" t="s">
        <v>21</v>
      </c>
      <c r="AW15" t="s">
        <v>247</v>
      </c>
      <c r="AX15" t="s">
        <v>176</v>
      </c>
      <c r="AZ15" t="s">
        <v>389</v>
      </c>
      <c r="BA15" t="s">
        <v>453</v>
      </c>
      <c r="BB15" t="s">
        <v>454</v>
      </c>
      <c r="BC15">
        <v>0.992575268180234</v>
      </c>
      <c r="BD15">
        <v>136.12008336237702</v>
      </c>
    </row>
    <row r="16" spans="2:56">
      <c r="B16" t="s">
        <v>172</v>
      </c>
      <c r="C16" t="s">
        <v>185</v>
      </c>
      <c r="D16" t="s">
        <v>186</v>
      </c>
      <c r="E16" t="s">
        <v>10</v>
      </c>
      <c r="F16" t="s">
        <v>21</v>
      </c>
      <c r="G16" t="s">
        <v>175</v>
      </c>
      <c r="H16" t="s">
        <v>176</v>
      </c>
      <c r="J16" t="s">
        <v>185</v>
      </c>
      <c r="K16" t="s">
        <v>226</v>
      </c>
      <c r="L16">
        <v>3.1701363808040663</v>
      </c>
      <c r="M16">
        <v>0.1615939027297757</v>
      </c>
      <c r="O16" t="s">
        <v>243</v>
      </c>
      <c r="P16" t="s">
        <v>256</v>
      </c>
      <c r="Q16" t="s">
        <v>257</v>
      </c>
      <c r="R16" t="s">
        <v>10</v>
      </c>
      <c r="S16" t="s">
        <v>21</v>
      </c>
      <c r="T16" t="s">
        <v>246</v>
      </c>
      <c r="U16" t="s">
        <v>247</v>
      </c>
      <c r="V16" t="s">
        <v>176</v>
      </c>
      <c r="X16" t="s">
        <v>256</v>
      </c>
      <c r="Y16" t="s">
        <v>236</v>
      </c>
      <c r="Z16" t="s">
        <v>295</v>
      </c>
      <c r="AA16">
        <v>0.98366983912436434</v>
      </c>
      <c r="AB16">
        <v>299.38628271998641</v>
      </c>
      <c r="AD16" t="s">
        <v>243</v>
      </c>
      <c r="AE16" t="s">
        <v>317</v>
      </c>
      <c r="AF16" t="s">
        <v>318</v>
      </c>
      <c r="AG16" t="s">
        <v>10</v>
      </c>
      <c r="AH16" t="s">
        <v>21</v>
      </c>
      <c r="AI16" t="s">
        <v>247</v>
      </c>
      <c r="AJ16" t="s">
        <v>176</v>
      </c>
      <c r="AL16" t="s">
        <v>317</v>
      </c>
      <c r="AM16" t="s">
        <v>356</v>
      </c>
      <c r="AN16" t="s">
        <v>303</v>
      </c>
      <c r="AO16">
        <v>0.99773032414464768</v>
      </c>
      <c r="AP16">
        <v>41.610724014792495</v>
      </c>
      <c r="AR16" t="s">
        <v>243</v>
      </c>
      <c r="AS16" t="s">
        <v>391</v>
      </c>
      <c r="AT16" t="s">
        <v>392</v>
      </c>
      <c r="AU16" t="s">
        <v>10</v>
      </c>
      <c r="AV16" t="s">
        <v>21</v>
      </c>
      <c r="AW16" t="s">
        <v>247</v>
      </c>
      <c r="AX16" t="s">
        <v>176</v>
      </c>
      <c r="AZ16" t="s">
        <v>391</v>
      </c>
      <c r="BA16" t="s">
        <v>455</v>
      </c>
      <c r="BB16" t="s">
        <v>456</v>
      </c>
      <c r="BC16">
        <v>0.99502822680861835</v>
      </c>
      <c r="BD16">
        <v>91.149175175330726</v>
      </c>
    </row>
    <row r="17" spans="2:56">
      <c r="B17" t="s">
        <v>172</v>
      </c>
      <c r="C17" t="s">
        <v>187</v>
      </c>
      <c r="D17" t="s">
        <v>188</v>
      </c>
      <c r="E17" t="s">
        <v>10</v>
      </c>
      <c r="F17" t="s">
        <v>21</v>
      </c>
      <c r="G17" t="s">
        <v>175</v>
      </c>
      <c r="H17" t="s">
        <v>176</v>
      </c>
      <c r="J17" t="s">
        <v>187</v>
      </c>
      <c r="K17" t="s">
        <v>227</v>
      </c>
      <c r="L17">
        <v>2.8741375727168452</v>
      </c>
      <c r="M17">
        <v>0.1501526784903619</v>
      </c>
      <c r="O17" t="s">
        <v>243</v>
      </c>
      <c r="P17" t="s">
        <v>258</v>
      </c>
      <c r="Q17" t="s">
        <v>259</v>
      </c>
      <c r="R17" t="s">
        <v>10</v>
      </c>
      <c r="S17" t="s">
        <v>21</v>
      </c>
      <c r="T17" t="s">
        <v>246</v>
      </c>
      <c r="U17" t="s">
        <v>247</v>
      </c>
      <c r="V17" t="s">
        <v>176</v>
      </c>
      <c r="X17" t="s">
        <v>258</v>
      </c>
      <c r="Y17" t="s">
        <v>228</v>
      </c>
      <c r="Z17" t="s">
        <v>296</v>
      </c>
      <c r="AA17">
        <v>0.99898665727249136</v>
      </c>
      <c r="AB17">
        <v>18.577950004324432</v>
      </c>
      <c r="AD17" t="s">
        <v>243</v>
      </c>
      <c r="AE17" t="s">
        <v>319</v>
      </c>
      <c r="AF17" t="s">
        <v>320</v>
      </c>
      <c r="AG17" t="s">
        <v>10</v>
      </c>
      <c r="AH17" t="s">
        <v>21</v>
      </c>
      <c r="AI17" t="s">
        <v>247</v>
      </c>
      <c r="AJ17" t="s">
        <v>176</v>
      </c>
      <c r="AL17" t="s">
        <v>319</v>
      </c>
      <c r="AM17" t="s">
        <v>357</v>
      </c>
      <c r="AN17" t="s">
        <v>299</v>
      </c>
      <c r="AO17">
        <v>0.99646972537983036</v>
      </c>
      <c r="AP17">
        <v>64.721701369776625</v>
      </c>
      <c r="AR17" t="s">
        <v>243</v>
      </c>
      <c r="AS17" t="s">
        <v>393</v>
      </c>
      <c r="AT17" t="s">
        <v>394</v>
      </c>
      <c r="AU17" t="s">
        <v>10</v>
      </c>
      <c r="AV17" t="s">
        <v>21</v>
      </c>
      <c r="AW17" t="s">
        <v>247</v>
      </c>
      <c r="AX17" t="s">
        <v>176</v>
      </c>
      <c r="AZ17" t="s">
        <v>393</v>
      </c>
      <c r="BA17" t="s">
        <v>457</v>
      </c>
      <c r="BB17" t="s">
        <v>297</v>
      </c>
      <c r="BC17">
        <v>0.97888630460929793</v>
      </c>
      <c r="BD17">
        <v>387.08441549620437</v>
      </c>
    </row>
    <row r="18" spans="2:56">
      <c r="B18" t="s">
        <v>172</v>
      </c>
      <c r="C18" t="s">
        <v>189</v>
      </c>
      <c r="D18" t="s">
        <v>190</v>
      </c>
      <c r="E18" t="s">
        <v>10</v>
      </c>
      <c r="F18" t="s">
        <v>21</v>
      </c>
      <c r="G18" t="s">
        <v>175</v>
      </c>
      <c r="H18" t="s">
        <v>176</v>
      </c>
      <c r="J18" t="s">
        <v>189</v>
      </c>
      <c r="K18" t="s">
        <v>228</v>
      </c>
      <c r="L18">
        <v>4.4328633404686117</v>
      </c>
      <c r="M18">
        <v>0.1392579629248954</v>
      </c>
      <c r="O18" t="s">
        <v>243</v>
      </c>
      <c r="P18" t="s">
        <v>260</v>
      </c>
      <c r="Q18" t="s">
        <v>261</v>
      </c>
      <c r="R18" t="s">
        <v>10</v>
      </c>
      <c r="S18" t="s">
        <v>21</v>
      </c>
      <c r="T18" t="s">
        <v>246</v>
      </c>
      <c r="U18" t="s">
        <v>247</v>
      </c>
      <c r="V18" t="s">
        <v>176</v>
      </c>
      <c r="X18" t="s">
        <v>260</v>
      </c>
      <c r="Y18" t="s">
        <v>233</v>
      </c>
      <c r="Z18" t="s">
        <v>297</v>
      </c>
      <c r="AA18">
        <v>0.9921620111054853</v>
      </c>
      <c r="AB18">
        <v>143.69646306610218</v>
      </c>
      <c r="AD18" t="s">
        <v>243</v>
      </c>
      <c r="AE18" t="s">
        <v>321</v>
      </c>
      <c r="AF18" t="s">
        <v>322</v>
      </c>
      <c r="AG18" t="s">
        <v>10</v>
      </c>
      <c r="AH18" t="s">
        <v>21</v>
      </c>
      <c r="AI18" t="s">
        <v>247</v>
      </c>
      <c r="AJ18" t="s">
        <v>176</v>
      </c>
      <c r="AL18" t="s">
        <v>321</v>
      </c>
      <c r="AM18" t="s">
        <v>358</v>
      </c>
      <c r="AN18" t="s">
        <v>359</v>
      </c>
      <c r="AO18">
        <v>0.99429617225732358</v>
      </c>
      <c r="AP18">
        <v>104.57017528240107</v>
      </c>
      <c r="AR18" t="s">
        <v>243</v>
      </c>
      <c r="AS18" t="s">
        <v>395</v>
      </c>
      <c r="AT18" t="s">
        <v>396</v>
      </c>
      <c r="AU18" t="s">
        <v>10</v>
      </c>
      <c r="AV18" t="s">
        <v>21</v>
      </c>
      <c r="AW18" t="s">
        <v>247</v>
      </c>
      <c r="AX18" t="s">
        <v>176</v>
      </c>
      <c r="AZ18" t="s">
        <v>395</v>
      </c>
      <c r="BA18" t="s">
        <v>458</v>
      </c>
      <c r="BB18" t="s">
        <v>459</v>
      </c>
      <c r="BC18">
        <v>0.99570169328451785</v>
      </c>
      <c r="BD18">
        <v>78.80228978384001</v>
      </c>
    </row>
    <row r="19" spans="2:56">
      <c r="B19" t="s">
        <v>172</v>
      </c>
      <c r="C19" t="s">
        <v>191</v>
      </c>
      <c r="D19" t="s">
        <v>192</v>
      </c>
      <c r="E19" t="s">
        <v>10</v>
      </c>
      <c r="F19" t="s">
        <v>21</v>
      </c>
      <c r="G19" t="s">
        <v>175</v>
      </c>
      <c r="H19" t="s">
        <v>176</v>
      </c>
      <c r="J19" t="s">
        <v>191</v>
      </c>
      <c r="K19" t="s">
        <v>229</v>
      </c>
      <c r="L19">
        <v>2.5428587970963505</v>
      </c>
      <c r="M19">
        <v>0.1418854778937845</v>
      </c>
      <c r="O19" t="s">
        <v>243</v>
      </c>
      <c r="P19" t="s">
        <v>262</v>
      </c>
      <c r="Q19" t="s">
        <v>263</v>
      </c>
      <c r="R19" t="s">
        <v>10</v>
      </c>
      <c r="S19" t="s">
        <v>21</v>
      </c>
      <c r="T19" t="s">
        <v>246</v>
      </c>
      <c r="U19" t="s">
        <v>247</v>
      </c>
      <c r="V19" t="s">
        <v>176</v>
      </c>
      <c r="X19" t="s">
        <v>262</v>
      </c>
      <c r="Y19" t="s">
        <v>240</v>
      </c>
      <c r="Z19" t="s">
        <v>298</v>
      </c>
      <c r="AA19">
        <v>0.99427456799152292</v>
      </c>
      <c r="AB19">
        <v>104.9662534887472</v>
      </c>
      <c r="AD19" t="s">
        <v>243</v>
      </c>
      <c r="AE19" t="s">
        <v>323</v>
      </c>
      <c r="AF19" t="s">
        <v>324</v>
      </c>
      <c r="AG19" t="s">
        <v>10</v>
      </c>
      <c r="AH19" t="s">
        <v>21</v>
      </c>
      <c r="AI19" t="s">
        <v>247</v>
      </c>
      <c r="AJ19" t="s">
        <v>176</v>
      </c>
      <c r="AL19" t="s">
        <v>323</v>
      </c>
      <c r="AM19" t="s">
        <v>360</v>
      </c>
      <c r="AN19" t="s">
        <v>361</v>
      </c>
      <c r="AO19">
        <v>0.99845743456741132</v>
      </c>
      <c r="AP19">
        <v>28.280366264125743</v>
      </c>
      <c r="AR19" t="s">
        <v>243</v>
      </c>
      <c r="AS19" t="s">
        <v>397</v>
      </c>
      <c r="AT19" t="s">
        <v>398</v>
      </c>
      <c r="AU19" t="s">
        <v>10</v>
      </c>
      <c r="AV19" t="s">
        <v>21</v>
      </c>
      <c r="AW19" t="s">
        <v>247</v>
      </c>
      <c r="AX19" t="s">
        <v>176</v>
      </c>
      <c r="AZ19" t="s">
        <v>397</v>
      </c>
      <c r="BA19" t="s">
        <v>460</v>
      </c>
      <c r="BB19" t="s">
        <v>297</v>
      </c>
      <c r="BC19">
        <v>0.96921283174894457</v>
      </c>
      <c r="BD19">
        <v>564.43141793601615</v>
      </c>
    </row>
    <row r="20" spans="2:56">
      <c r="B20" t="s">
        <v>172</v>
      </c>
      <c r="C20" t="s">
        <v>193</v>
      </c>
      <c r="D20" t="s">
        <v>194</v>
      </c>
      <c r="E20" t="s">
        <v>10</v>
      </c>
      <c r="F20" t="s">
        <v>21</v>
      </c>
      <c r="G20" t="s">
        <v>175</v>
      </c>
      <c r="H20" t="s">
        <v>176</v>
      </c>
      <c r="J20" t="s">
        <v>193</v>
      </c>
      <c r="K20" t="s">
        <v>230</v>
      </c>
      <c r="L20">
        <v>5.1782585137099355</v>
      </c>
      <c r="M20">
        <v>0.13292781290589781</v>
      </c>
      <c r="O20" t="s">
        <v>243</v>
      </c>
      <c r="P20" t="s">
        <v>264</v>
      </c>
      <c r="Q20" t="s">
        <v>265</v>
      </c>
      <c r="R20" t="s">
        <v>10</v>
      </c>
      <c r="S20" t="s">
        <v>21</v>
      </c>
      <c r="T20" t="s">
        <v>246</v>
      </c>
      <c r="U20" t="s">
        <v>247</v>
      </c>
      <c r="V20" t="s">
        <v>176</v>
      </c>
      <c r="X20" t="s">
        <v>264</v>
      </c>
      <c r="Y20" t="s">
        <v>235</v>
      </c>
      <c r="Z20" t="s">
        <v>295</v>
      </c>
      <c r="AA20">
        <v>0.99194215581226264</v>
      </c>
      <c r="AB20">
        <v>147.72714344185096</v>
      </c>
      <c r="AD20" t="s">
        <v>243</v>
      </c>
      <c r="AE20" t="s">
        <v>325</v>
      </c>
      <c r="AF20" t="s">
        <v>326</v>
      </c>
      <c r="AG20" t="s">
        <v>10</v>
      </c>
      <c r="AH20" t="s">
        <v>21</v>
      </c>
      <c r="AI20" t="s">
        <v>247</v>
      </c>
      <c r="AJ20" t="s">
        <v>176</v>
      </c>
      <c r="AL20" t="s">
        <v>325</v>
      </c>
      <c r="AM20" t="s">
        <v>362</v>
      </c>
      <c r="AN20" t="s">
        <v>363</v>
      </c>
      <c r="AO20">
        <v>0.99883137892105356</v>
      </c>
      <c r="AP20">
        <v>21.424719780683844</v>
      </c>
      <c r="AR20" t="s">
        <v>243</v>
      </c>
      <c r="AS20" t="s">
        <v>399</v>
      </c>
      <c r="AT20" t="s">
        <v>400</v>
      </c>
      <c r="AU20" t="s">
        <v>10</v>
      </c>
      <c r="AV20" t="s">
        <v>21</v>
      </c>
      <c r="AW20" t="s">
        <v>247</v>
      </c>
      <c r="AX20" t="s">
        <v>176</v>
      </c>
      <c r="AZ20" t="s">
        <v>399</v>
      </c>
      <c r="BA20" t="s">
        <v>461</v>
      </c>
      <c r="BB20" t="s">
        <v>297</v>
      </c>
      <c r="BC20">
        <v>0.96731423589597088</v>
      </c>
      <c r="BD20">
        <v>599.23900857386684</v>
      </c>
    </row>
    <row r="21" spans="2:56">
      <c r="B21" t="s">
        <v>172</v>
      </c>
      <c r="C21" t="s">
        <v>195</v>
      </c>
      <c r="D21" t="s">
        <v>196</v>
      </c>
      <c r="E21" t="s">
        <v>10</v>
      </c>
      <c r="F21" t="s">
        <v>21</v>
      </c>
      <c r="G21" t="s">
        <v>175</v>
      </c>
      <c r="H21" t="s">
        <v>176</v>
      </c>
      <c r="J21" t="s">
        <v>195</v>
      </c>
      <c r="K21" t="s">
        <v>231</v>
      </c>
      <c r="L21">
        <v>2.342533385280118</v>
      </c>
      <c r="M21">
        <v>0.13525004772164451</v>
      </c>
      <c r="O21" t="s">
        <v>243</v>
      </c>
      <c r="P21" t="s">
        <v>266</v>
      </c>
      <c r="Q21" t="s">
        <v>267</v>
      </c>
      <c r="R21" t="s">
        <v>10</v>
      </c>
      <c r="S21" t="s">
        <v>21</v>
      </c>
      <c r="T21" t="s">
        <v>246</v>
      </c>
      <c r="U21" t="s">
        <v>247</v>
      </c>
      <c r="V21" t="s">
        <v>176</v>
      </c>
      <c r="X21" t="s">
        <v>266</v>
      </c>
      <c r="Y21" t="s">
        <v>232</v>
      </c>
      <c r="Z21" t="s">
        <v>299</v>
      </c>
      <c r="AA21">
        <v>0.99748996383407673</v>
      </c>
      <c r="AB21">
        <v>46.017329708594069</v>
      </c>
      <c r="AD21" t="s">
        <v>243</v>
      </c>
      <c r="AE21" t="s">
        <v>327</v>
      </c>
      <c r="AF21" t="s">
        <v>328</v>
      </c>
      <c r="AG21" t="s">
        <v>10</v>
      </c>
      <c r="AH21" t="s">
        <v>21</v>
      </c>
      <c r="AI21" t="s">
        <v>247</v>
      </c>
      <c r="AJ21" t="s">
        <v>176</v>
      </c>
      <c r="AL21" t="s">
        <v>327</v>
      </c>
      <c r="AM21" t="s">
        <v>364</v>
      </c>
      <c r="AN21" t="s">
        <v>365</v>
      </c>
      <c r="AO21">
        <v>0.99782589578241954</v>
      </c>
      <c r="AP21">
        <v>39.858577322307625</v>
      </c>
      <c r="AR21" t="s">
        <v>243</v>
      </c>
      <c r="AS21" t="s">
        <v>401</v>
      </c>
      <c r="AT21" t="s">
        <v>402</v>
      </c>
      <c r="AU21" t="s">
        <v>10</v>
      </c>
      <c r="AV21" t="s">
        <v>21</v>
      </c>
      <c r="AW21" t="s">
        <v>247</v>
      </c>
      <c r="AX21" t="s">
        <v>176</v>
      </c>
      <c r="AZ21" t="s">
        <v>401</v>
      </c>
      <c r="BA21" t="s">
        <v>462</v>
      </c>
      <c r="BB21" t="s">
        <v>297</v>
      </c>
      <c r="BC21">
        <v>0.98471229610085431</v>
      </c>
      <c r="BD21">
        <v>280.27457148433695</v>
      </c>
    </row>
    <row r="22" spans="2:56">
      <c r="B22" t="s">
        <v>172</v>
      </c>
      <c r="C22" t="s">
        <v>197</v>
      </c>
      <c r="D22" t="s">
        <v>198</v>
      </c>
      <c r="E22" t="s">
        <v>10</v>
      </c>
      <c r="F22" t="s">
        <v>21</v>
      </c>
      <c r="G22" t="s">
        <v>175</v>
      </c>
      <c r="H22" t="s">
        <v>176</v>
      </c>
      <c r="J22" t="s">
        <v>197</v>
      </c>
      <c r="K22" t="s">
        <v>232</v>
      </c>
      <c r="L22">
        <v>0.75625541276112063</v>
      </c>
      <c r="M22">
        <v>0.1399617248147203</v>
      </c>
      <c r="O22" t="s">
        <v>243</v>
      </c>
      <c r="P22" t="s">
        <v>268</v>
      </c>
      <c r="Q22" t="s">
        <v>269</v>
      </c>
      <c r="R22" t="s">
        <v>10</v>
      </c>
      <c r="S22" t="s">
        <v>21</v>
      </c>
      <c r="T22" t="s">
        <v>246</v>
      </c>
      <c r="U22" t="s">
        <v>247</v>
      </c>
      <c r="V22" t="s">
        <v>176</v>
      </c>
      <c r="X22" t="s">
        <v>268</v>
      </c>
      <c r="Y22" t="s">
        <v>239</v>
      </c>
      <c r="Z22" t="s">
        <v>300</v>
      </c>
      <c r="AA22">
        <v>0.98918097653648285</v>
      </c>
      <c r="AB22">
        <v>198.34876349781462</v>
      </c>
      <c r="AD22" t="s">
        <v>243</v>
      </c>
      <c r="AE22" t="s">
        <v>329</v>
      </c>
      <c r="AF22" t="s">
        <v>330</v>
      </c>
      <c r="AG22" t="s">
        <v>10</v>
      </c>
      <c r="AH22" t="s">
        <v>21</v>
      </c>
      <c r="AI22" t="s">
        <v>247</v>
      </c>
      <c r="AJ22" t="s">
        <v>176</v>
      </c>
      <c r="AL22" t="s">
        <v>329</v>
      </c>
      <c r="AM22" t="s">
        <v>366</v>
      </c>
      <c r="AN22" t="s">
        <v>367</v>
      </c>
      <c r="AO22">
        <v>0.99805818178671835</v>
      </c>
      <c r="AP22">
        <v>35.600000576830709</v>
      </c>
      <c r="AR22" t="s">
        <v>243</v>
      </c>
      <c r="AS22" t="s">
        <v>403</v>
      </c>
      <c r="AT22" t="s">
        <v>404</v>
      </c>
      <c r="AU22" t="s">
        <v>10</v>
      </c>
      <c r="AV22" t="s">
        <v>21</v>
      </c>
      <c r="AW22" t="s">
        <v>247</v>
      </c>
      <c r="AX22" t="s">
        <v>176</v>
      </c>
      <c r="AZ22" t="s">
        <v>403</v>
      </c>
      <c r="BA22" t="s">
        <v>463</v>
      </c>
      <c r="BB22" t="s">
        <v>297</v>
      </c>
      <c r="BC22">
        <v>0.97652915626122327</v>
      </c>
      <c r="BD22">
        <v>430.2988018775734</v>
      </c>
    </row>
    <row r="23" spans="2:56">
      <c r="B23" t="s">
        <v>172</v>
      </c>
      <c r="C23" t="s">
        <v>199</v>
      </c>
      <c r="D23" t="s">
        <v>200</v>
      </c>
      <c r="E23" t="s">
        <v>10</v>
      </c>
      <c r="F23" t="s">
        <v>21</v>
      </c>
      <c r="G23" t="s">
        <v>175</v>
      </c>
      <c r="H23" t="s">
        <v>176</v>
      </c>
      <c r="J23" t="s">
        <v>199</v>
      </c>
      <c r="K23" t="s">
        <v>233</v>
      </c>
      <c r="L23">
        <v>1.4476834200914499</v>
      </c>
      <c r="M23">
        <v>0.1349539495612799</v>
      </c>
      <c r="O23" t="s">
        <v>243</v>
      </c>
      <c r="P23" t="s">
        <v>270</v>
      </c>
      <c r="Q23" t="s">
        <v>271</v>
      </c>
      <c r="R23" t="s">
        <v>10</v>
      </c>
      <c r="S23" t="s">
        <v>21</v>
      </c>
      <c r="T23" t="s">
        <v>246</v>
      </c>
      <c r="U23" t="s">
        <v>247</v>
      </c>
      <c r="V23" t="s">
        <v>176</v>
      </c>
      <c r="X23" t="s">
        <v>270</v>
      </c>
      <c r="Y23" t="s">
        <v>227</v>
      </c>
      <c r="Z23" t="s">
        <v>301</v>
      </c>
      <c r="AA23">
        <v>0.99905872230530834</v>
      </c>
      <c r="AB23">
        <v>17.256757736013821</v>
      </c>
      <c r="AD23" t="s">
        <v>243</v>
      </c>
      <c r="AE23" t="s">
        <v>331</v>
      </c>
      <c r="AF23" t="s">
        <v>332</v>
      </c>
      <c r="AG23" t="s">
        <v>10</v>
      </c>
      <c r="AH23" t="s">
        <v>21</v>
      </c>
      <c r="AI23" t="s">
        <v>247</v>
      </c>
      <c r="AJ23" t="s">
        <v>176</v>
      </c>
      <c r="AL23" t="s">
        <v>331</v>
      </c>
      <c r="AM23" t="s">
        <v>368</v>
      </c>
      <c r="AN23" t="s">
        <v>294</v>
      </c>
      <c r="AO23">
        <v>0.99772980990230575</v>
      </c>
      <c r="AP23">
        <v>41.620151791061154</v>
      </c>
      <c r="AR23" t="s">
        <v>243</v>
      </c>
      <c r="AS23" t="s">
        <v>405</v>
      </c>
      <c r="AT23" t="s">
        <v>406</v>
      </c>
      <c r="AU23" t="s">
        <v>10</v>
      </c>
      <c r="AV23" t="s">
        <v>21</v>
      </c>
      <c r="AW23" t="s">
        <v>247</v>
      </c>
      <c r="AX23" t="s">
        <v>176</v>
      </c>
      <c r="AZ23" t="s">
        <v>405</v>
      </c>
      <c r="BA23" t="s">
        <v>464</v>
      </c>
      <c r="BB23" t="s">
        <v>298</v>
      </c>
      <c r="BC23">
        <v>0.93778886660683014</v>
      </c>
      <c r="BD23">
        <v>1140.5374455414481</v>
      </c>
    </row>
    <row r="24" spans="2:56">
      <c r="B24" t="s">
        <v>172</v>
      </c>
      <c r="C24" t="s">
        <v>201</v>
      </c>
      <c r="D24" t="s">
        <v>202</v>
      </c>
      <c r="E24" t="s">
        <v>10</v>
      </c>
      <c r="F24" t="s">
        <v>21</v>
      </c>
      <c r="G24" t="s">
        <v>175</v>
      </c>
      <c r="H24" t="s">
        <v>176</v>
      </c>
      <c r="J24" t="s">
        <v>201</v>
      </c>
      <c r="K24" t="s">
        <v>234</v>
      </c>
      <c r="L24">
        <v>1.5316527825345392</v>
      </c>
      <c r="M24">
        <v>0.12524372166006259</v>
      </c>
      <c r="O24" t="s">
        <v>243</v>
      </c>
      <c r="P24" t="s">
        <v>272</v>
      </c>
      <c r="Q24" t="s">
        <v>273</v>
      </c>
      <c r="R24" t="s">
        <v>10</v>
      </c>
      <c r="S24" t="s">
        <v>21</v>
      </c>
      <c r="T24" t="s">
        <v>246</v>
      </c>
      <c r="U24" t="s">
        <v>247</v>
      </c>
      <c r="V24" t="s">
        <v>176</v>
      </c>
      <c r="X24" t="s">
        <v>272</v>
      </c>
      <c r="Y24" t="s">
        <v>230</v>
      </c>
      <c r="Z24" t="s">
        <v>302</v>
      </c>
      <c r="AA24">
        <v>0.99801872743718156</v>
      </c>
      <c r="AB24">
        <v>36.32333031833867</v>
      </c>
      <c r="AD24" t="s">
        <v>243</v>
      </c>
      <c r="AE24" t="s">
        <v>333</v>
      </c>
      <c r="AF24" t="s">
        <v>334</v>
      </c>
      <c r="AG24" t="s">
        <v>10</v>
      </c>
      <c r="AH24" t="s">
        <v>21</v>
      </c>
      <c r="AI24" t="s">
        <v>247</v>
      </c>
      <c r="AJ24" t="s">
        <v>176</v>
      </c>
      <c r="AL24" t="s">
        <v>333</v>
      </c>
      <c r="AM24" t="s">
        <v>369</v>
      </c>
      <c r="AN24" t="s">
        <v>295</v>
      </c>
      <c r="AO24">
        <v>0.98745037014666581</v>
      </c>
      <c r="AP24">
        <v>230.0765473111276</v>
      </c>
      <c r="AR24" t="s">
        <v>243</v>
      </c>
      <c r="AS24" t="s">
        <v>407</v>
      </c>
      <c r="AT24" t="s">
        <v>408</v>
      </c>
      <c r="AU24" t="s">
        <v>10</v>
      </c>
      <c r="AV24" t="s">
        <v>21</v>
      </c>
      <c r="AW24" t="s">
        <v>247</v>
      </c>
      <c r="AX24" t="s">
        <v>176</v>
      </c>
      <c r="AZ24" t="s">
        <v>407</v>
      </c>
      <c r="BA24" t="s">
        <v>465</v>
      </c>
      <c r="BB24" t="s">
        <v>298</v>
      </c>
      <c r="BC24">
        <v>0.99155710419025755</v>
      </c>
      <c r="BD24">
        <v>154.78642317861073</v>
      </c>
    </row>
    <row r="25" spans="2:56">
      <c r="B25" t="s">
        <v>172</v>
      </c>
      <c r="C25" t="s">
        <v>203</v>
      </c>
      <c r="D25" t="s">
        <v>204</v>
      </c>
      <c r="E25" t="s">
        <v>10</v>
      </c>
      <c r="F25" t="s">
        <v>21</v>
      </c>
      <c r="G25" t="s">
        <v>175</v>
      </c>
      <c r="H25" t="s">
        <v>176</v>
      </c>
      <c r="J25" t="s">
        <v>203</v>
      </c>
      <c r="K25" t="s">
        <v>235</v>
      </c>
      <c r="L25">
        <v>0.19102969481403689</v>
      </c>
      <c r="M25">
        <v>0.123159470537215</v>
      </c>
      <c r="O25" t="s">
        <v>243</v>
      </c>
      <c r="P25" t="s">
        <v>274</v>
      </c>
      <c r="Q25" t="s">
        <v>275</v>
      </c>
      <c r="R25" t="s">
        <v>10</v>
      </c>
      <c r="S25" t="s">
        <v>21</v>
      </c>
      <c r="T25" t="s">
        <v>246</v>
      </c>
      <c r="U25" t="s">
        <v>247</v>
      </c>
      <c r="V25" t="s">
        <v>176</v>
      </c>
      <c r="X25" t="s">
        <v>274</v>
      </c>
      <c r="Y25" t="s">
        <v>225</v>
      </c>
      <c r="Z25" t="s">
        <v>303</v>
      </c>
      <c r="AA25">
        <v>0.99770041025535183</v>
      </c>
      <c r="AB25">
        <v>42.159145318550571</v>
      </c>
      <c r="AD25" t="s">
        <v>243</v>
      </c>
      <c r="AE25" t="s">
        <v>335</v>
      </c>
      <c r="AF25" t="s">
        <v>336</v>
      </c>
      <c r="AG25" t="s">
        <v>10</v>
      </c>
      <c r="AH25" t="s">
        <v>21</v>
      </c>
      <c r="AI25" t="s">
        <v>247</v>
      </c>
      <c r="AJ25" t="s">
        <v>176</v>
      </c>
      <c r="AL25" t="s">
        <v>335</v>
      </c>
      <c r="AM25" t="s">
        <v>370</v>
      </c>
      <c r="AN25" t="s">
        <v>371</v>
      </c>
      <c r="AO25">
        <v>0.9978838173682989</v>
      </c>
      <c r="AP25">
        <v>38.79668158118622</v>
      </c>
      <c r="AR25" t="s">
        <v>243</v>
      </c>
      <c r="AS25" t="s">
        <v>409</v>
      </c>
      <c r="AT25" t="s">
        <v>410</v>
      </c>
      <c r="AU25" t="s">
        <v>10</v>
      </c>
      <c r="AV25" t="s">
        <v>21</v>
      </c>
      <c r="AW25" t="s">
        <v>247</v>
      </c>
      <c r="AX25" t="s">
        <v>176</v>
      </c>
      <c r="AZ25" t="s">
        <v>409</v>
      </c>
      <c r="BA25" t="s">
        <v>466</v>
      </c>
      <c r="BB25" t="s">
        <v>353</v>
      </c>
      <c r="BC25">
        <v>0.98260708365098237</v>
      </c>
      <c r="BD25">
        <v>318.87013306532214</v>
      </c>
    </row>
    <row r="26" spans="2:56">
      <c r="B26" t="s">
        <v>172</v>
      </c>
      <c r="C26" t="s">
        <v>205</v>
      </c>
      <c r="D26" t="s">
        <v>206</v>
      </c>
      <c r="E26" t="s">
        <v>10</v>
      </c>
      <c r="F26" t="s">
        <v>21</v>
      </c>
      <c r="G26" t="s">
        <v>175</v>
      </c>
      <c r="H26" t="s">
        <v>176</v>
      </c>
      <c r="J26" t="s">
        <v>205</v>
      </c>
      <c r="K26" t="s">
        <v>236</v>
      </c>
      <c r="L26">
        <v>0.17522120081213086</v>
      </c>
      <c r="M26">
        <v>0.13559065231857709</v>
      </c>
      <c r="O26" t="s">
        <v>243</v>
      </c>
      <c r="P26" t="s">
        <v>276</v>
      </c>
      <c r="Q26" t="s">
        <v>277</v>
      </c>
      <c r="R26" t="s">
        <v>10</v>
      </c>
      <c r="S26" t="s">
        <v>21</v>
      </c>
      <c r="T26" t="s">
        <v>246</v>
      </c>
      <c r="U26" t="s">
        <v>247</v>
      </c>
      <c r="V26" t="s">
        <v>176</v>
      </c>
      <c r="X26" t="s">
        <v>276</v>
      </c>
      <c r="Y26" t="s">
        <v>221</v>
      </c>
      <c r="Z26" t="s">
        <v>304</v>
      </c>
      <c r="AA26">
        <v>0.99871196970636222</v>
      </c>
      <c r="AB26">
        <v>23.613888716692198</v>
      </c>
      <c r="AD26" t="s">
        <v>243</v>
      </c>
      <c r="AE26" t="s">
        <v>337</v>
      </c>
      <c r="AF26" t="s">
        <v>338</v>
      </c>
      <c r="AG26" t="s">
        <v>10</v>
      </c>
      <c r="AH26" t="s">
        <v>21</v>
      </c>
      <c r="AI26" t="s">
        <v>247</v>
      </c>
      <c r="AJ26" t="s">
        <v>176</v>
      </c>
      <c r="AL26" t="s">
        <v>337</v>
      </c>
      <c r="AM26" t="s">
        <v>372</v>
      </c>
      <c r="AN26" t="s">
        <v>295</v>
      </c>
      <c r="AO26">
        <v>0.99727591440401897</v>
      </c>
      <c r="AP26">
        <v>49.941569259652468</v>
      </c>
      <c r="AR26" t="s">
        <v>243</v>
      </c>
      <c r="AS26" t="s">
        <v>411</v>
      </c>
      <c r="AT26" t="s">
        <v>412</v>
      </c>
      <c r="AU26" t="s">
        <v>10</v>
      </c>
      <c r="AV26" t="s">
        <v>21</v>
      </c>
      <c r="AW26" t="s">
        <v>247</v>
      </c>
      <c r="AX26" t="s">
        <v>176</v>
      </c>
      <c r="AZ26" t="s">
        <v>411</v>
      </c>
      <c r="BA26" t="s">
        <v>467</v>
      </c>
      <c r="BB26" t="s">
        <v>295</v>
      </c>
      <c r="BC26">
        <v>0.97201505537091792</v>
      </c>
      <c r="BD26">
        <v>513.05731819983896</v>
      </c>
    </row>
    <row r="27" spans="2:56">
      <c r="B27" t="s">
        <v>172</v>
      </c>
      <c r="C27" t="s">
        <v>207</v>
      </c>
      <c r="D27" t="s">
        <v>208</v>
      </c>
      <c r="E27" t="s">
        <v>10</v>
      </c>
      <c r="F27" t="s">
        <v>21</v>
      </c>
      <c r="G27" t="s">
        <v>175</v>
      </c>
      <c r="H27" t="s">
        <v>176</v>
      </c>
      <c r="J27" t="s">
        <v>207</v>
      </c>
      <c r="K27" t="s">
        <v>237</v>
      </c>
      <c r="L27">
        <v>0.86568957974708738</v>
      </c>
      <c r="M27">
        <v>0.13310115017620761</v>
      </c>
      <c r="O27" t="s">
        <v>243</v>
      </c>
      <c r="P27" t="s">
        <v>278</v>
      </c>
      <c r="Q27" t="s">
        <v>279</v>
      </c>
      <c r="R27" t="s">
        <v>10</v>
      </c>
      <c r="S27" t="s">
        <v>21</v>
      </c>
      <c r="T27" t="s">
        <v>246</v>
      </c>
      <c r="U27" t="s">
        <v>247</v>
      </c>
      <c r="V27" t="s">
        <v>176</v>
      </c>
      <c r="X27" t="s">
        <v>278</v>
      </c>
      <c r="Y27" t="s">
        <v>237</v>
      </c>
      <c r="Z27" t="s">
        <v>295</v>
      </c>
      <c r="AA27">
        <v>0.98736679836778629</v>
      </c>
      <c r="AB27">
        <v>231.60869659058531</v>
      </c>
      <c r="AD27" t="s">
        <v>243</v>
      </c>
      <c r="AE27" t="s">
        <v>339</v>
      </c>
      <c r="AF27" t="s">
        <v>340</v>
      </c>
      <c r="AG27" t="s">
        <v>10</v>
      </c>
      <c r="AH27" t="s">
        <v>21</v>
      </c>
      <c r="AI27" t="s">
        <v>247</v>
      </c>
      <c r="AJ27" t="s">
        <v>176</v>
      </c>
      <c r="AL27" t="s">
        <v>339</v>
      </c>
      <c r="AM27" t="s">
        <v>373</v>
      </c>
      <c r="AN27" t="s">
        <v>374</v>
      </c>
      <c r="AO27">
        <v>0.99875924881085232</v>
      </c>
      <c r="AP27">
        <v>22.74710513437326</v>
      </c>
      <c r="AR27" t="s">
        <v>243</v>
      </c>
      <c r="AS27" t="s">
        <v>413</v>
      </c>
      <c r="AT27" t="s">
        <v>414</v>
      </c>
      <c r="AU27" t="s">
        <v>10</v>
      </c>
      <c r="AV27" t="s">
        <v>21</v>
      </c>
      <c r="AW27" t="s">
        <v>247</v>
      </c>
      <c r="AX27" t="s">
        <v>176</v>
      </c>
      <c r="AZ27" t="s">
        <v>413</v>
      </c>
      <c r="BA27" t="s">
        <v>468</v>
      </c>
      <c r="BB27" t="s">
        <v>297</v>
      </c>
      <c r="BC27">
        <v>0.9789057414074388</v>
      </c>
      <c r="BD27">
        <v>386.72807419695596</v>
      </c>
    </row>
    <row r="28" spans="2:56">
      <c r="B28" t="s">
        <v>172</v>
      </c>
      <c r="C28" t="s">
        <v>209</v>
      </c>
      <c r="D28" t="s">
        <v>210</v>
      </c>
      <c r="E28" t="s">
        <v>10</v>
      </c>
      <c r="F28" t="s">
        <v>21</v>
      </c>
      <c r="G28" t="s">
        <v>175</v>
      </c>
      <c r="H28" t="s">
        <v>176</v>
      </c>
      <c r="J28" t="s">
        <v>209</v>
      </c>
      <c r="K28" t="s">
        <v>238</v>
      </c>
      <c r="L28">
        <v>4.5278519199821998</v>
      </c>
      <c r="M28">
        <v>0.13584460721435179</v>
      </c>
      <c r="O28" t="s">
        <v>243</v>
      </c>
      <c r="P28" t="s">
        <v>280</v>
      </c>
      <c r="Q28" t="s">
        <v>281</v>
      </c>
      <c r="R28" t="s">
        <v>10</v>
      </c>
      <c r="S28" t="s">
        <v>21</v>
      </c>
      <c r="T28" t="s">
        <v>246</v>
      </c>
      <c r="U28" t="s">
        <v>247</v>
      </c>
      <c r="V28" t="s">
        <v>176</v>
      </c>
      <c r="X28" t="s">
        <v>280</v>
      </c>
      <c r="Y28" t="s">
        <v>238</v>
      </c>
      <c r="Z28" t="s">
        <v>300</v>
      </c>
      <c r="AA28">
        <v>0.9954926852371877</v>
      </c>
      <c r="AB28">
        <v>82.634103984892022</v>
      </c>
      <c r="AD28" t="s">
        <v>243</v>
      </c>
      <c r="AE28" t="s">
        <v>341</v>
      </c>
      <c r="AF28" t="s">
        <v>342</v>
      </c>
      <c r="AG28" t="s">
        <v>10</v>
      </c>
      <c r="AH28" t="s">
        <v>21</v>
      </c>
      <c r="AI28" t="s">
        <v>247</v>
      </c>
      <c r="AJ28" t="s">
        <v>176</v>
      </c>
      <c r="AL28" t="s">
        <v>341</v>
      </c>
      <c r="AM28" t="s">
        <v>375</v>
      </c>
      <c r="AN28" t="s">
        <v>376</v>
      </c>
      <c r="AO28">
        <v>0.99683412903334467</v>
      </c>
      <c r="AP28">
        <v>58.040967722015083</v>
      </c>
      <c r="AR28" t="s">
        <v>243</v>
      </c>
      <c r="AS28" t="s">
        <v>415</v>
      </c>
      <c r="AT28" t="s">
        <v>416</v>
      </c>
      <c r="AU28" t="s">
        <v>10</v>
      </c>
      <c r="AV28" t="s">
        <v>21</v>
      </c>
      <c r="AW28" t="s">
        <v>247</v>
      </c>
      <c r="AX28" t="s">
        <v>176</v>
      </c>
      <c r="AZ28" t="s">
        <v>415</v>
      </c>
      <c r="BA28" t="s">
        <v>469</v>
      </c>
      <c r="BB28" t="s">
        <v>298</v>
      </c>
      <c r="BC28">
        <v>0.98042290723232273</v>
      </c>
      <c r="BD28">
        <v>358.91336740741741</v>
      </c>
    </row>
    <row r="29" spans="2:56">
      <c r="B29" t="s">
        <v>172</v>
      </c>
      <c r="C29" t="s">
        <v>211</v>
      </c>
      <c r="D29" t="s">
        <v>212</v>
      </c>
      <c r="E29" t="s">
        <v>10</v>
      </c>
      <c r="F29" t="s">
        <v>21</v>
      </c>
      <c r="G29" t="s">
        <v>175</v>
      </c>
      <c r="H29" t="s">
        <v>176</v>
      </c>
      <c r="J29" t="s">
        <v>211</v>
      </c>
      <c r="K29" t="s">
        <v>239</v>
      </c>
      <c r="L29">
        <v>7.5231053520210649</v>
      </c>
      <c r="M29">
        <v>0.1273666984671136</v>
      </c>
      <c r="O29" t="s">
        <v>243</v>
      </c>
      <c r="P29" t="s">
        <v>282</v>
      </c>
      <c r="Q29" t="s">
        <v>283</v>
      </c>
      <c r="R29" t="s">
        <v>10</v>
      </c>
      <c r="S29" t="s">
        <v>21</v>
      </c>
      <c r="T29" t="s">
        <v>246</v>
      </c>
      <c r="U29" t="s">
        <v>247</v>
      </c>
      <c r="V29" t="s">
        <v>176</v>
      </c>
      <c r="X29" t="s">
        <v>282</v>
      </c>
      <c r="Y29" t="s">
        <v>226</v>
      </c>
      <c r="Z29" t="s">
        <v>303</v>
      </c>
      <c r="AA29">
        <v>0.9983765534725032</v>
      </c>
      <c r="AB29">
        <v>29.763186337441997</v>
      </c>
      <c r="AD29" t="s">
        <v>243</v>
      </c>
      <c r="AE29" t="s">
        <v>343</v>
      </c>
      <c r="AF29" t="s">
        <v>344</v>
      </c>
      <c r="AG29" t="s">
        <v>10</v>
      </c>
      <c r="AH29" t="s">
        <v>21</v>
      </c>
      <c r="AI29" t="s">
        <v>247</v>
      </c>
      <c r="AJ29" t="s">
        <v>176</v>
      </c>
      <c r="AL29" t="s">
        <v>343</v>
      </c>
      <c r="AM29" t="s">
        <v>377</v>
      </c>
      <c r="AN29" t="s">
        <v>378</v>
      </c>
      <c r="AO29">
        <v>0.99898539590446667</v>
      </c>
      <c r="AP29">
        <v>18.601075084778657</v>
      </c>
      <c r="AR29" t="s">
        <v>243</v>
      </c>
      <c r="AS29" t="s">
        <v>417</v>
      </c>
      <c r="AT29" t="s">
        <v>418</v>
      </c>
      <c r="AU29" t="s">
        <v>10</v>
      </c>
      <c r="AV29" t="s">
        <v>21</v>
      </c>
      <c r="AW29" t="s">
        <v>247</v>
      </c>
      <c r="AX29" t="s">
        <v>176</v>
      </c>
      <c r="AZ29" t="s">
        <v>417</v>
      </c>
      <c r="BA29" t="s">
        <v>470</v>
      </c>
      <c r="BB29" t="s">
        <v>376</v>
      </c>
      <c r="BC29">
        <v>0.99731674163341699</v>
      </c>
      <c r="BD29">
        <v>49.193070054021106</v>
      </c>
    </row>
    <row r="30" spans="2:56">
      <c r="B30" t="s">
        <v>172</v>
      </c>
      <c r="C30" t="s">
        <v>213</v>
      </c>
      <c r="D30" t="s">
        <v>214</v>
      </c>
      <c r="E30" t="s">
        <v>10</v>
      </c>
      <c r="F30" t="s">
        <v>21</v>
      </c>
      <c r="G30" t="s">
        <v>175</v>
      </c>
      <c r="H30" t="s">
        <v>176</v>
      </c>
      <c r="J30" t="s">
        <v>213</v>
      </c>
      <c r="K30" t="s">
        <v>240</v>
      </c>
      <c r="L30">
        <v>0.76413327309134738</v>
      </c>
      <c r="M30">
        <v>0.14006832775227021</v>
      </c>
      <c r="O30" t="s">
        <v>243</v>
      </c>
      <c r="P30" t="s">
        <v>284</v>
      </c>
      <c r="Q30" t="s">
        <v>285</v>
      </c>
      <c r="R30" t="s">
        <v>10</v>
      </c>
      <c r="S30" t="s">
        <v>21</v>
      </c>
      <c r="T30" t="s">
        <v>246</v>
      </c>
      <c r="U30" t="s">
        <v>247</v>
      </c>
      <c r="V30" t="s">
        <v>176</v>
      </c>
      <c r="X30" t="s">
        <v>284</v>
      </c>
      <c r="Y30" t="s">
        <v>231</v>
      </c>
      <c r="Z30" t="s">
        <v>305</v>
      </c>
      <c r="AA30">
        <v>0.99784167066985663</v>
      </c>
      <c r="AB30">
        <v>39.569371052628185</v>
      </c>
      <c r="AD30" t="s">
        <v>243</v>
      </c>
      <c r="AE30" t="s">
        <v>345</v>
      </c>
      <c r="AF30" t="s">
        <v>346</v>
      </c>
      <c r="AG30" t="s">
        <v>10</v>
      </c>
      <c r="AH30" t="s">
        <v>21</v>
      </c>
      <c r="AI30" t="s">
        <v>247</v>
      </c>
      <c r="AJ30" t="s">
        <v>176</v>
      </c>
      <c r="AL30" t="s">
        <v>345</v>
      </c>
      <c r="AM30" t="s">
        <v>379</v>
      </c>
      <c r="AN30" t="s">
        <v>303</v>
      </c>
      <c r="AO30">
        <v>0.99837805786975453</v>
      </c>
      <c r="AP30">
        <v>29.735605721167044</v>
      </c>
      <c r="AR30" t="s">
        <v>243</v>
      </c>
      <c r="AS30" t="s">
        <v>419</v>
      </c>
      <c r="AT30" t="s">
        <v>420</v>
      </c>
      <c r="AU30" t="s">
        <v>10</v>
      </c>
      <c r="AV30" t="s">
        <v>21</v>
      </c>
      <c r="AW30" t="s">
        <v>247</v>
      </c>
      <c r="AX30" t="s">
        <v>176</v>
      </c>
      <c r="AZ30" t="s">
        <v>419</v>
      </c>
      <c r="BA30" t="s">
        <v>471</v>
      </c>
      <c r="BB30" t="s">
        <v>300</v>
      </c>
      <c r="BC30">
        <v>0.94241817162668706</v>
      </c>
      <c r="BD30">
        <v>1055.6668535107381</v>
      </c>
    </row>
    <row r="31" spans="2:56">
      <c r="B31" t="s">
        <v>172</v>
      </c>
      <c r="C31" t="s">
        <v>215</v>
      </c>
      <c r="D31" t="s">
        <v>216</v>
      </c>
      <c r="E31" t="s">
        <v>10</v>
      </c>
      <c r="F31" t="s">
        <v>21</v>
      </c>
      <c r="G31" t="s">
        <v>175</v>
      </c>
      <c r="H31" t="s">
        <v>176</v>
      </c>
      <c r="J31" t="s">
        <v>215</v>
      </c>
      <c r="K31" t="s">
        <v>241</v>
      </c>
      <c r="L31">
        <v>3.2910515439464039</v>
      </c>
      <c r="M31">
        <v>0.1330954888931625</v>
      </c>
      <c r="O31" t="s">
        <v>243</v>
      </c>
      <c r="P31" t="s">
        <v>286</v>
      </c>
      <c r="Q31" t="s">
        <v>287</v>
      </c>
      <c r="R31" t="s">
        <v>10</v>
      </c>
      <c r="S31" t="s">
        <v>21</v>
      </c>
      <c r="T31" t="s">
        <v>246</v>
      </c>
      <c r="U31" t="s">
        <v>247</v>
      </c>
      <c r="V31" t="s">
        <v>176</v>
      </c>
      <c r="X31" t="s">
        <v>286</v>
      </c>
      <c r="Y31" t="s">
        <v>241</v>
      </c>
      <c r="Z31" t="s">
        <v>306</v>
      </c>
      <c r="AA31">
        <v>0.99774137501375304</v>
      </c>
      <c r="AB31">
        <v>41.408124747861258</v>
      </c>
      <c r="AD31" t="s">
        <v>243</v>
      </c>
      <c r="AE31" t="s">
        <v>347</v>
      </c>
      <c r="AF31" t="s">
        <v>348</v>
      </c>
      <c r="AG31" t="s">
        <v>10</v>
      </c>
      <c r="AH31" t="s">
        <v>21</v>
      </c>
      <c r="AI31" t="s">
        <v>247</v>
      </c>
      <c r="AJ31" t="s">
        <v>176</v>
      </c>
      <c r="AL31" t="s">
        <v>347</v>
      </c>
      <c r="AM31" t="s">
        <v>380</v>
      </c>
      <c r="AN31" t="s">
        <v>297</v>
      </c>
      <c r="AO31">
        <v>0.99900350466309695</v>
      </c>
      <c r="AP31">
        <v>18.26908117655681</v>
      </c>
      <c r="AR31" t="s">
        <v>243</v>
      </c>
      <c r="AS31" t="s">
        <v>421</v>
      </c>
      <c r="AT31" t="s">
        <v>422</v>
      </c>
      <c r="AU31" t="s">
        <v>10</v>
      </c>
      <c r="AV31" t="s">
        <v>21</v>
      </c>
      <c r="AW31" t="s">
        <v>247</v>
      </c>
      <c r="AX31" t="s">
        <v>176</v>
      </c>
      <c r="AZ31" t="s">
        <v>421</v>
      </c>
      <c r="BA31" t="s">
        <v>472</v>
      </c>
      <c r="BB31" t="s">
        <v>295</v>
      </c>
      <c r="BC31">
        <v>0.97882418664902682</v>
      </c>
      <c r="BD31">
        <v>388.22324476784212</v>
      </c>
    </row>
    <row r="32" spans="2:56">
      <c r="AR32" t="s">
        <v>243</v>
      </c>
      <c r="AS32" t="s">
        <v>423</v>
      </c>
      <c r="AT32" t="s">
        <v>424</v>
      </c>
      <c r="AU32" t="s">
        <v>10</v>
      </c>
      <c r="AV32" t="s">
        <v>21</v>
      </c>
      <c r="AW32" t="s">
        <v>247</v>
      </c>
      <c r="AX32" t="s">
        <v>176</v>
      </c>
      <c r="AZ32" t="s">
        <v>423</v>
      </c>
      <c r="BA32" t="s">
        <v>473</v>
      </c>
      <c r="BB32" t="s">
        <v>297</v>
      </c>
      <c r="BC32">
        <v>0.99096494738702623</v>
      </c>
      <c r="BD32">
        <v>165.64263123785253</v>
      </c>
    </row>
    <row r="33" spans="44:56">
      <c r="AR33" t="s">
        <v>243</v>
      </c>
      <c r="AS33" t="s">
        <v>425</v>
      </c>
      <c r="AT33" t="s">
        <v>426</v>
      </c>
      <c r="AU33" t="s">
        <v>10</v>
      </c>
      <c r="AV33" t="s">
        <v>21</v>
      </c>
      <c r="AW33" t="s">
        <v>247</v>
      </c>
      <c r="AX33" t="s">
        <v>176</v>
      </c>
      <c r="AZ33" t="s">
        <v>425</v>
      </c>
      <c r="BA33" t="s">
        <v>474</v>
      </c>
      <c r="BB33" t="s">
        <v>459</v>
      </c>
      <c r="BC33">
        <v>0.99041009752499176</v>
      </c>
      <c r="BD33">
        <v>175.81487870848468</v>
      </c>
    </row>
    <row r="34" spans="44:56">
      <c r="AR34" t="s">
        <v>243</v>
      </c>
      <c r="AS34" t="s">
        <v>427</v>
      </c>
      <c r="AT34" t="s">
        <v>428</v>
      </c>
      <c r="AU34" t="s">
        <v>10</v>
      </c>
      <c r="AV34" t="s">
        <v>21</v>
      </c>
      <c r="AW34" t="s">
        <v>247</v>
      </c>
      <c r="AX34" t="s">
        <v>176</v>
      </c>
      <c r="AZ34" t="s">
        <v>427</v>
      </c>
      <c r="BA34" t="s">
        <v>475</v>
      </c>
      <c r="BB34" t="s">
        <v>303</v>
      </c>
      <c r="BC34">
        <v>0.99376898630456478</v>
      </c>
      <c r="BD34">
        <v>114.23525108297801</v>
      </c>
    </row>
    <row r="35" spans="44:56">
      <c r="AR35" t="s">
        <v>243</v>
      </c>
      <c r="AS35" t="s">
        <v>429</v>
      </c>
      <c r="AT35" t="s">
        <v>430</v>
      </c>
      <c r="AU35" t="s">
        <v>10</v>
      </c>
      <c r="AV35" t="s">
        <v>21</v>
      </c>
      <c r="AW35" t="s">
        <v>247</v>
      </c>
      <c r="AX35" t="s">
        <v>176</v>
      </c>
      <c r="AZ35" t="s">
        <v>429</v>
      </c>
      <c r="BA35" t="s">
        <v>476</v>
      </c>
      <c r="BB35" t="s">
        <v>477</v>
      </c>
      <c r="BC35">
        <v>0.99527472814281137</v>
      </c>
      <c r="BD35">
        <v>86.629984048458113</v>
      </c>
    </row>
    <row r="36" spans="44:56">
      <c r="AR36" t="s">
        <v>243</v>
      </c>
      <c r="AS36" t="s">
        <v>431</v>
      </c>
      <c r="AT36" t="s">
        <v>432</v>
      </c>
      <c r="AU36" t="s">
        <v>10</v>
      </c>
      <c r="AV36" t="s">
        <v>21</v>
      </c>
      <c r="AW36" t="s">
        <v>247</v>
      </c>
      <c r="AX36" t="s">
        <v>176</v>
      </c>
      <c r="AZ36" t="s">
        <v>431</v>
      </c>
      <c r="BA36" t="s">
        <v>478</v>
      </c>
      <c r="BB36" t="s">
        <v>479</v>
      </c>
      <c r="BC36">
        <v>0.99559483757397482</v>
      </c>
      <c r="BD36">
        <v>80.761311143794899</v>
      </c>
    </row>
    <row r="37" spans="44:56">
      <c r="AR37" t="s">
        <v>243</v>
      </c>
      <c r="AS37" t="s">
        <v>433</v>
      </c>
      <c r="AT37" t="s">
        <v>434</v>
      </c>
      <c r="AU37" t="s">
        <v>10</v>
      </c>
      <c r="AV37" t="s">
        <v>21</v>
      </c>
      <c r="AW37" t="s">
        <v>247</v>
      </c>
      <c r="AX37" t="s">
        <v>176</v>
      </c>
      <c r="AZ37" t="s">
        <v>433</v>
      </c>
      <c r="BA37" t="s">
        <v>480</v>
      </c>
      <c r="BB37" t="s">
        <v>481</v>
      </c>
      <c r="BC37">
        <v>0.99588064424311062</v>
      </c>
      <c r="BD37">
        <v>75.521522209638391</v>
      </c>
    </row>
    <row r="38" spans="44:56">
      <c r="AR38" t="s">
        <v>243</v>
      </c>
      <c r="AS38" t="s">
        <v>435</v>
      </c>
      <c r="AT38" t="s">
        <v>436</v>
      </c>
      <c r="AU38" t="s">
        <v>10</v>
      </c>
      <c r="AV38" t="s">
        <v>21</v>
      </c>
      <c r="AW38" t="s">
        <v>247</v>
      </c>
      <c r="AX38" t="s">
        <v>176</v>
      </c>
      <c r="AZ38" t="s">
        <v>435</v>
      </c>
      <c r="BA38" t="s">
        <v>482</v>
      </c>
      <c r="BB38" t="s">
        <v>295</v>
      </c>
      <c r="BC38">
        <v>0.9964570686529316</v>
      </c>
      <c r="BD38">
        <v>64.953741362920624</v>
      </c>
    </row>
    <row r="39" spans="44:56">
      <c r="AR39" t="s">
        <v>243</v>
      </c>
      <c r="AS39" t="s">
        <v>437</v>
      </c>
      <c r="AT39" t="s">
        <v>438</v>
      </c>
      <c r="AU39" t="s">
        <v>10</v>
      </c>
      <c r="AV39" t="s">
        <v>21</v>
      </c>
      <c r="AW39" t="s">
        <v>247</v>
      </c>
      <c r="AX39" t="s">
        <v>176</v>
      </c>
      <c r="AZ39" t="s">
        <v>437</v>
      </c>
      <c r="BA39" t="s">
        <v>483</v>
      </c>
      <c r="BB39" t="s">
        <v>484</v>
      </c>
      <c r="BC39">
        <v>0.98639949743681254</v>
      </c>
      <c r="BD39">
        <v>249.3425469917691</v>
      </c>
    </row>
    <row r="40" spans="44:56">
      <c r="AR40" t="s">
        <v>243</v>
      </c>
      <c r="AS40" t="s">
        <v>439</v>
      </c>
      <c r="AT40" t="s">
        <v>440</v>
      </c>
      <c r="AU40" t="s">
        <v>10</v>
      </c>
      <c r="AV40" t="s">
        <v>21</v>
      </c>
      <c r="AW40" t="s">
        <v>247</v>
      </c>
      <c r="AX40" t="s">
        <v>176</v>
      </c>
      <c r="AZ40" t="s">
        <v>439</v>
      </c>
      <c r="BA40" t="s">
        <v>485</v>
      </c>
      <c r="BB40" t="s">
        <v>297</v>
      </c>
      <c r="BC40">
        <v>0.96925634503873159</v>
      </c>
      <c r="BD40">
        <v>563.63367428992012</v>
      </c>
    </row>
    <row r="41" spans="44:56">
      <c r="AR41" t="s">
        <v>243</v>
      </c>
      <c r="AS41" t="s">
        <v>441</v>
      </c>
      <c r="AT41" t="s">
        <v>442</v>
      </c>
      <c r="AU41" t="s">
        <v>10</v>
      </c>
      <c r="AV41" t="s">
        <v>21</v>
      </c>
      <c r="AW41" t="s">
        <v>247</v>
      </c>
      <c r="AX41" t="s">
        <v>176</v>
      </c>
      <c r="AZ41" t="s">
        <v>441</v>
      </c>
      <c r="BA41" t="s">
        <v>486</v>
      </c>
      <c r="BB41" t="s">
        <v>487</v>
      </c>
      <c r="BC41">
        <v>0.9978979227000998</v>
      </c>
      <c r="BD41">
        <v>38.53808383150421</v>
      </c>
    </row>
    <row r="42" spans="44:56">
      <c r="AR42" t="s">
        <v>243</v>
      </c>
      <c r="AS42" t="s">
        <v>443</v>
      </c>
      <c r="AT42" t="s">
        <v>444</v>
      </c>
      <c r="AU42" t="s">
        <v>10</v>
      </c>
      <c r="AV42" t="s">
        <v>21</v>
      </c>
      <c r="AW42" t="s">
        <v>247</v>
      </c>
      <c r="AX42" t="s">
        <v>176</v>
      </c>
      <c r="AZ42" t="s">
        <v>443</v>
      </c>
      <c r="BA42" t="s">
        <v>488</v>
      </c>
      <c r="BB42" t="s">
        <v>290</v>
      </c>
      <c r="BC42">
        <v>0.98397719647502369</v>
      </c>
      <c r="BD42">
        <v>293.75139795789926</v>
      </c>
    </row>
    <row r="43" spans="44:56">
      <c r="AR43" t="s">
        <v>243</v>
      </c>
      <c r="AS43" t="s">
        <v>445</v>
      </c>
      <c r="AT43" t="s">
        <v>446</v>
      </c>
      <c r="AU43" t="s">
        <v>10</v>
      </c>
      <c r="AV43" t="s">
        <v>21</v>
      </c>
      <c r="AW43" t="s">
        <v>247</v>
      </c>
      <c r="AX43" t="s">
        <v>176</v>
      </c>
      <c r="AZ43" t="s">
        <v>445</v>
      </c>
      <c r="BA43" t="s">
        <v>489</v>
      </c>
      <c r="BB43" t="s">
        <v>490</v>
      </c>
      <c r="BC43">
        <v>0.99084230938934226</v>
      </c>
      <c r="BD43">
        <v>167.89099452872443</v>
      </c>
    </row>
    <row r="44" spans="44:56">
      <c r="AR44" t="s">
        <v>243</v>
      </c>
      <c r="AS44" t="s">
        <v>447</v>
      </c>
      <c r="AT44" t="s">
        <v>448</v>
      </c>
      <c r="AU44" t="s">
        <v>10</v>
      </c>
      <c r="AV44" t="s">
        <v>21</v>
      </c>
      <c r="AW44" t="s">
        <v>247</v>
      </c>
      <c r="AX44" t="s">
        <v>176</v>
      </c>
      <c r="AZ44" t="s">
        <v>447</v>
      </c>
      <c r="BA44" t="s">
        <v>491</v>
      </c>
      <c r="BB44" t="s">
        <v>492</v>
      </c>
      <c r="BC44">
        <v>0.99586781526523005</v>
      </c>
      <c r="BD44">
        <v>75.756720137449378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E54BC-2864-469B-86B0-BD046F134B7E}">
  <dimension ref="B9:Z44"/>
  <sheetViews>
    <sheetView workbookViewId="0"/>
  </sheetViews>
  <sheetFormatPr defaultRowHeight="14.25"/>
  <sheetData>
    <row r="9" spans="2:26">
      <c r="B9" t="s">
        <v>164</v>
      </c>
      <c r="J9" t="s">
        <v>217</v>
      </c>
      <c r="O9" t="s">
        <v>164</v>
      </c>
      <c r="W9" t="s">
        <v>217</v>
      </c>
    </row>
    <row r="10" spans="2:26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218</v>
      </c>
      <c r="L10" t="s">
        <v>219</v>
      </c>
      <c r="M10" t="s">
        <v>220</v>
      </c>
      <c r="O10" t="s">
        <v>165</v>
      </c>
      <c r="P10" t="s">
        <v>166</v>
      </c>
      <c r="Q10" t="s">
        <v>167</v>
      </c>
      <c r="R10" t="s">
        <v>168</v>
      </c>
      <c r="S10" t="s">
        <v>169</v>
      </c>
      <c r="T10" t="s">
        <v>170</v>
      </c>
      <c r="U10" t="s">
        <v>171</v>
      </c>
      <c r="W10" t="s">
        <v>166</v>
      </c>
      <c r="X10" t="s">
        <v>218</v>
      </c>
      <c r="Y10" t="s">
        <v>219</v>
      </c>
      <c r="Z10" t="s">
        <v>220</v>
      </c>
    </row>
    <row r="11" spans="2:26">
      <c r="B11" t="s">
        <v>172</v>
      </c>
      <c r="C11" t="s">
        <v>493</v>
      </c>
      <c r="D11" t="s">
        <v>494</v>
      </c>
      <c r="E11" t="s">
        <v>10</v>
      </c>
      <c r="F11" t="s">
        <v>21</v>
      </c>
      <c r="G11" t="s">
        <v>175</v>
      </c>
      <c r="H11" t="s">
        <v>176</v>
      </c>
      <c r="J11" t="s">
        <v>493</v>
      </c>
      <c r="K11" t="s">
        <v>370</v>
      </c>
      <c r="L11">
        <v>21.399583348756885</v>
      </c>
      <c r="M11">
        <v>0.43680611125835239</v>
      </c>
      <c r="O11" t="s">
        <v>172</v>
      </c>
      <c r="P11" t="s">
        <v>535</v>
      </c>
      <c r="Q11" t="s">
        <v>536</v>
      </c>
      <c r="R11" t="s">
        <v>10</v>
      </c>
      <c r="S11" t="s">
        <v>21</v>
      </c>
      <c r="T11" t="s">
        <v>175</v>
      </c>
      <c r="U11" t="s">
        <v>176</v>
      </c>
      <c r="W11" t="s">
        <v>535</v>
      </c>
      <c r="X11" t="s">
        <v>491</v>
      </c>
      <c r="Y11">
        <v>1.4572499999999999</v>
      </c>
      <c r="Z11">
        <v>0.49840290457091979</v>
      </c>
    </row>
    <row r="12" spans="2:26">
      <c r="B12" t="s">
        <v>172</v>
      </c>
      <c r="C12" t="s">
        <v>495</v>
      </c>
      <c r="D12" t="s">
        <v>496</v>
      </c>
      <c r="E12" t="s">
        <v>10</v>
      </c>
      <c r="F12" t="s">
        <v>21</v>
      </c>
      <c r="G12" t="s">
        <v>175</v>
      </c>
      <c r="H12" t="s">
        <v>176</v>
      </c>
      <c r="J12" t="s">
        <v>495</v>
      </c>
      <c r="K12" t="s">
        <v>354</v>
      </c>
      <c r="L12">
        <v>9.1937278269053717</v>
      </c>
      <c r="M12">
        <v>0.46764156918704758</v>
      </c>
      <c r="O12" t="s">
        <v>172</v>
      </c>
      <c r="P12" t="s">
        <v>537</v>
      </c>
      <c r="Q12" t="s">
        <v>538</v>
      </c>
      <c r="R12" t="s">
        <v>10</v>
      </c>
      <c r="S12" t="s">
        <v>21</v>
      </c>
      <c r="T12" t="s">
        <v>175</v>
      </c>
      <c r="U12" t="s">
        <v>176</v>
      </c>
      <c r="W12" t="s">
        <v>537</v>
      </c>
      <c r="X12" t="s">
        <v>455</v>
      </c>
      <c r="Y12">
        <v>4.5019999999999998</v>
      </c>
      <c r="Z12">
        <v>0.54334300959716775</v>
      </c>
    </row>
    <row r="13" spans="2:26">
      <c r="B13" t="s">
        <v>172</v>
      </c>
      <c r="C13" t="s">
        <v>497</v>
      </c>
      <c r="D13" t="s">
        <v>498</v>
      </c>
      <c r="E13" t="s">
        <v>10</v>
      </c>
      <c r="F13" t="s">
        <v>21</v>
      </c>
      <c r="G13" t="s">
        <v>175</v>
      </c>
      <c r="H13" t="s">
        <v>176</v>
      </c>
      <c r="J13" t="s">
        <v>497</v>
      </c>
      <c r="K13" t="s">
        <v>368</v>
      </c>
      <c r="L13">
        <v>19.989649238118904</v>
      </c>
      <c r="M13">
        <v>0.39568322200140138</v>
      </c>
      <c r="O13" t="s">
        <v>172</v>
      </c>
      <c r="P13" t="s">
        <v>539</v>
      </c>
      <c r="Q13" t="s">
        <v>540</v>
      </c>
      <c r="R13" t="s">
        <v>10</v>
      </c>
      <c r="S13" t="s">
        <v>21</v>
      </c>
      <c r="T13" t="s">
        <v>175</v>
      </c>
      <c r="U13" t="s">
        <v>176</v>
      </c>
      <c r="W13" t="s">
        <v>539</v>
      </c>
      <c r="X13" t="s">
        <v>476</v>
      </c>
      <c r="Y13">
        <v>66.279750000000007</v>
      </c>
      <c r="Z13">
        <v>0.5420255860205202</v>
      </c>
    </row>
    <row r="14" spans="2:26">
      <c r="B14" t="s">
        <v>172</v>
      </c>
      <c r="C14" t="s">
        <v>499</v>
      </c>
      <c r="D14" t="s">
        <v>500</v>
      </c>
      <c r="E14" t="s">
        <v>10</v>
      </c>
      <c r="F14" t="s">
        <v>21</v>
      </c>
      <c r="G14" t="s">
        <v>175</v>
      </c>
      <c r="H14" t="s">
        <v>176</v>
      </c>
      <c r="J14" t="s">
        <v>499</v>
      </c>
      <c r="K14" t="s">
        <v>373</v>
      </c>
      <c r="L14">
        <v>4.3020383245962606</v>
      </c>
      <c r="M14">
        <v>0.45121377156941739</v>
      </c>
      <c r="O14" t="s">
        <v>172</v>
      </c>
      <c r="P14" t="s">
        <v>541</v>
      </c>
      <c r="Q14" t="s">
        <v>542</v>
      </c>
      <c r="R14" t="s">
        <v>10</v>
      </c>
      <c r="S14" t="s">
        <v>21</v>
      </c>
      <c r="T14" t="s">
        <v>175</v>
      </c>
      <c r="U14" t="s">
        <v>176</v>
      </c>
      <c r="W14" t="s">
        <v>541</v>
      </c>
      <c r="X14" t="s">
        <v>475</v>
      </c>
      <c r="Y14">
        <v>52.679250000000003</v>
      </c>
      <c r="Z14">
        <v>0.54219642046577521</v>
      </c>
    </row>
    <row r="15" spans="2:26">
      <c r="B15" t="s">
        <v>172</v>
      </c>
      <c r="C15" t="s">
        <v>501</v>
      </c>
      <c r="D15" t="s">
        <v>502</v>
      </c>
      <c r="E15" t="s">
        <v>10</v>
      </c>
      <c r="F15" t="s">
        <v>21</v>
      </c>
      <c r="G15" t="s">
        <v>175</v>
      </c>
      <c r="H15" t="s">
        <v>176</v>
      </c>
      <c r="J15" t="s">
        <v>501</v>
      </c>
      <c r="K15" t="s">
        <v>360</v>
      </c>
      <c r="L15">
        <v>1.9658239311284549</v>
      </c>
      <c r="M15">
        <v>0.51139286496015135</v>
      </c>
      <c r="O15" t="s">
        <v>172</v>
      </c>
      <c r="P15" t="s">
        <v>543</v>
      </c>
      <c r="Q15" t="s">
        <v>544</v>
      </c>
      <c r="R15" t="s">
        <v>10</v>
      </c>
      <c r="S15" t="s">
        <v>21</v>
      </c>
      <c r="T15" t="s">
        <v>175</v>
      </c>
      <c r="U15" t="s">
        <v>176</v>
      </c>
      <c r="W15" t="s">
        <v>543</v>
      </c>
      <c r="X15" t="s">
        <v>480</v>
      </c>
      <c r="Y15">
        <v>41.933500000000002</v>
      </c>
      <c r="Z15">
        <v>0.53920224406480999</v>
      </c>
    </row>
    <row r="16" spans="2:26">
      <c r="B16" t="s">
        <v>172</v>
      </c>
      <c r="C16" t="s">
        <v>503</v>
      </c>
      <c r="D16" t="s">
        <v>504</v>
      </c>
      <c r="E16" t="s">
        <v>10</v>
      </c>
      <c r="F16" t="s">
        <v>21</v>
      </c>
      <c r="G16" t="s">
        <v>175</v>
      </c>
      <c r="H16" t="s">
        <v>176</v>
      </c>
      <c r="J16" t="s">
        <v>503</v>
      </c>
      <c r="K16" t="s">
        <v>377</v>
      </c>
      <c r="L16">
        <v>3.1267829670644942</v>
      </c>
      <c r="M16">
        <v>0.43038508350866778</v>
      </c>
      <c r="O16" t="s">
        <v>172</v>
      </c>
      <c r="P16" t="s">
        <v>545</v>
      </c>
      <c r="Q16" t="s">
        <v>546</v>
      </c>
      <c r="R16" t="s">
        <v>10</v>
      </c>
      <c r="S16" t="s">
        <v>21</v>
      </c>
      <c r="T16" t="s">
        <v>175</v>
      </c>
      <c r="U16" t="s">
        <v>176</v>
      </c>
      <c r="W16" t="s">
        <v>545</v>
      </c>
      <c r="X16" t="s">
        <v>458</v>
      </c>
      <c r="Y16">
        <v>62.0535</v>
      </c>
      <c r="Z16">
        <v>0.53513542434222883</v>
      </c>
    </row>
    <row r="17" spans="2:26">
      <c r="B17" t="s">
        <v>172</v>
      </c>
      <c r="C17" t="s">
        <v>505</v>
      </c>
      <c r="D17" t="s">
        <v>506</v>
      </c>
      <c r="E17" t="s">
        <v>10</v>
      </c>
      <c r="F17" t="s">
        <v>21</v>
      </c>
      <c r="G17" t="s">
        <v>175</v>
      </c>
      <c r="H17" t="s">
        <v>176</v>
      </c>
      <c r="J17" t="s">
        <v>505</v>
      </c>
      <c r="K17" t="s">
        <v>356</v>
      </c>
      <c r="L17">
        <v>11.794650527599766</v>
      </c>
      <c r="M17">
        <v>0.49424116615034969</v>
      </c>
      <c r="O17" t="s">
        <v>172</v>
      </c>
      <c r="P17" t="s">
        <v>547</v>
      </c>
      <c r="Q17" t="s">
        <v>548</v>
      </c>
      <c r="R17" t="s">
        <v>10</v>
      </c>
      <c r="S17" t="s">
        <v>21</v>
      </c>
      <c r="T17" t="s">
        <v>175</v>
      </c>
      <c r="U17" t="s">
        <v>176</v>
      </c>
      <c r="W17" t="s">
        <v>547</v>
      </c>
      <c r="X17" t="s">
        <v>452</v>
      </c>
      <c r="Y17">
        <v>116.48625</v>
      </c>
      <c r="Z17">
        <v>0.5801897934200948</v>
      </c>
    </row>
    <row r="18" spans="2:26">
      <c r="B18" t="s">
        <v>172</v>
      </c>
      <c r="C18" t="s">
        <v>507</v>
      </c>
      <c r="D18" t="s">
        <v>508</v>
      </c>
      <c r="E18" t="s">
        <v>10</v>
      </c>
      <c r="F18" t="s">
        <v>21</v>
      </c>
      <c r="G18" t="s">
        <v>175</v>
      </c>
      <c r="H18" t="s">
        <v>176</v>
      </c>
      <c r="J18" t="s">
        <v>507</v>
      </c>
      <c r="K18" t="s">
        <v>379</v>
      </c>
      <c r="L18">
        <v>5.1165796137365636</v>
      </c>
      <c r="M18">
        <v>0.511388687793083</v>
      </c>
      <c r="O18" t="s">
        <v>172</v>
      </c>
      <c r="P18" t="s">
        <v>549</v>
      </c>
      <c r="Q18" t="s">
        <v>550</v>
      </c>
      <c r="R18" t="s">
        <v>10</v>
      </c>
      <c r="S18" t="s">
        <v>21</v>
      </c>
      <c r="T18" t="s">
        <v>175</v>
      </c>
      <c r="U18" t="s">
        <v>176</v>
      </c>
      <c r="W18" t="s">
        <v>549</v>
      </c>
      <c r="X18" t="s">
        <v>451</v>
      </c>
      <c r="Y18">
        <v>64.545749999999998</v>
      </c>
      <c r="Z18">
        <v>0.59184991090306549</v>
      </c>
    </row>
    <row r="19" spans="2:26">
      <c r="B19" t="s">
        <v>172</v>
      </c>
      <c r="C19" t="s">
        <v>509</v>
      </c>
      <c r="D19" t="s">
        <v>510</v>
      </c>
      <c r="E19" t="s">
        <v>10</v>
      </c>
      <c r="F19" t="s">
        <v>21</v>
      </c>
      <c r="G19" t="s">
        <v>175</v>
      </c>
      <c r="H19" t="s">
        <v>176</v>
      </c>
      <c r="J19" t="s">
        <v>509</v>
      </c>
      <c r="K19" t="s">
        <v>362</v>
      </c>
      <c r="L19">
        <v>16.551734006758473</v>
      </c>
      <c r="M19">
        <v>0.46190268471660939</v>
      </c>
      <c r="O19" t="s">
        <v>172</v>
      </c>
      <c r="P19" t="s">
        <v>551</v>
      </c>
      <c r="Q19" t="s">
        <v>552</v>
      </c>
      <c r="R19" t="s">
        <v>10</v>
      </c>
      <c r="S19" t="s">
        <v>21</v>
      </c>
      <c r="T19" t="s">
        <v>175</v>
      </c>
      <c r="U19" t="s">
        <v>176</v>
      </c>
      <c r="W19" t="s">
        <v>551</v>
      </c>
      <c r="X19" t="s">
        <v>474</v>
      </c>
      <c r="Y19">
        <v>75.108750000000001</v>
      </c>
      <c r="Z19">
        <v>0.57566958531411661</v>
      </c>
    </row>
    <row r="20" spans="2:26">
      <c r="B20" t="s">
        <v>172</v>
      </c>
      <c r="C20" t="s">
        <v>511</v>
      </c>
      <c r="D20" t="s">
        <v>512</v>
      </c>
      <c r="E20" t="s">
        <v>10</v>
      </c>
      <c r="F20" t="s">
        <v>21</v>
      </c>
      <c r="G20" t="s">
        <v>175</v>
      </c>
      <c r="H20" t="s">
        <v>176</v>
      </c>
      <c r="J20" t="s">
        <v>511</v>
      </c>
      <c r="K20" t="s">
        <v>352</v>
      </c>
      <c r="L20">
        <v>6.4387188617631219</v>
      </c>
      <c r="M20">
        <v>0.55238959107435204</v>
      </c>
      <c r="O20" t="s">
        <v>172</v>
      </c>
      <c r="P20" t="s">
        <v>553</v>
      </c>
      <c r="Q20" t="s">
        <v>554</v>
      </c>
      <c r="R20" t="s">
        <v>10</v>
      </c>
      <c r="S20" t="s">
        <v>21</v>
      </c>
      <c r="T20" t="s">
        <v>175</v>
      </c>
      <c r="U20" t="s">
        <v>176</v>
      </c>
      <c r="W20" t="s">
        <v>553</v>
      </c>
      <c r="X20" t="s">
        <v>469</v>
      </c>
      <c r="Y20">
        <v>86.993250000000003</v>
      </c>
      <c r="Z20">
        <v>0.62490623129496059</v>
      </c>
    </row>
    <row r="21" spans="2:26">
      <c r="B21" t="s">
        <v>172</v>
      </c>
      <c r="C21" t="s">
        <v>513</v>
      </c>
      <c r="D21" t="s">
        <v>514</v>
      </c>
      <c r="E21" t="s">
        <v>10</v>
      </c>
      <c r="F21" t="s">
        <v>21</v>
      </c>
      <c r="G21" t="s">
        <v>175</v>
      </c>
      <c r="H21" t="s">
        <v>176</v>
      </c>
      <c r="J21" t="s">
        <v>513</v>
      </c>
      <c r="K21" t="s">
        <v>355</v>
      </c>
      <c r="L21">
        <v>0.90066707673908608</v>
      </c>
      <c r="M21">
        <v>0.63498460026172376</v>
      </c>
      <c r="O21" t="s">
        <v>172</v>
      </c>
      <c r="P21" t="s">
        <v>555</v>
      </c>
      <c r="Q21" t="s">
        <v>556</v>
      </c>
      <c r="R21" t="s">
        <v>10</v>
      </c>
      <c r="S21" t="s">
        <v>21</v>
      </c>
      <c r="T21" t="s">
        <v>175</v>
      </c>
      <c r="U21" t="s">
        <v>176</v>
      </c>
      <c r="W21" t="s">
        <v>555</v>
      </c>
      <c r="X21" t="s">
        <v>465</v>
      </c>
      <c r="Y21">
        <v>46.916249999999998</v>
      </c>
      <c r="Z21">
        <v>0.5682718232280044</v>
      </c>
    </row>
    <row r="22" spans="2:26">
      <c r="B22" t="s">
        <v>172</v>
      </c>
      <c r="C22" t="s">
        <v>515</v>
      </c>
      <c r="D22" t="s">
        <v>516</v>
      </c>
      <c r="E22" t="s">
        <v>10</v>
      </c>
      <c r="F22" t="s">
        <v>21</v>
      </c>
      <c r="G22" t="s">
        <v>175</v>
      </c>
      <c r="H22" t="s">
        <v>176</v>
      </c>
      <c r="J22" t="s">
        <v>515</v>
      </c>
      <c r="K22" t="s">
        <v>369</v>
      </c>
      <c r="L22">
        <v>3.9389030102054172</v>
      </c>
      <c r="M22">
        <v>0.58430475871133403</v>
      </c>
      <c r="O22" t="s">
        <v>172</v>
      </c>
      <c r="P22" t="s">
        <v>557</v>
      </c>
      <c r="Q22" t="s">
        <v>558</v>
      </c>
      <c r="R22" t="s">
        <v>10</v>
      </c>
      <c r="S22" t="s">
        <v>21</v>
      </c>
      <c r="T22" t="s">
        <v>175</v>
      </c>
      <c r="U22" t="s">
        <v>176</v>
      </c>
      <c r="W22" t="s">
        <v>557</v>
      </c>
      <c r="X22" t="s">
        <v>450</v>
      </c>
      <c r="Y22">
        <v>44.330249999999999</v>
      </c>
      <c r="Z22">
        <v>0.51214771098360745</v>
      </c>
    </row>
    <row r="23" spans="2:26">
      <c r="B23" t="s">
        <v>172</v>
      </c>
      <c r="C23" t="s">
        <v>517</v>
      </c>
      <c r="D23" t="s">
        <v>518</v>
      </c>
      <c r="E23" t="s">
        <v>10</v>
      </c>
      <c r="F23" t="s">
        <v>21</v>
      </c>
      <c r="G23" t="s">
        <v>175</v>
      </c>
      <c r="H23" t="s">
        <v>176</v>
      </c>
      <c r="J23" t="s">
        <v>517</v>
      </c>
      <c r="K23" t="s">
        <v>350</v>
      </c>
      <c r="L23">
        <v>2.7493737137831373</v>
      </c>
      <c r="M23">
        <v>0.5833127852324812</v>
      </c>
      <c r="O23" t="s">
        <v>172</v>
      </c>
      <c r="P23" t="s">
        <v>559</v>
      </c>
      <c r="Q23" t="s">
        <v>560</v>
      </c>
      <c r="R23" t="s">
        <v>10</v>
      </c>
      <c r="S23" t="s">
        <v>21</v>
      </c>
      <c r="T23" t="s">
        <v>175</v>
      </c>
      <c r="U23" t="s">
        <v>176</v>
      </c>
      <c r="W23" t="s">
        <v>559</v>
      </c>
      <c r="X23" t="s">
        <v>486</v>
      </c>
      <c r="Y23">
        <v>5.8137499999999998</v>
      </c>
      <c r="Z23">
        <v>0.46785088601427688</v>
      </c>
    </row>
    <row r="24" spans="2:26">
      <c r="B24" t="s">
        <v>172</v>
      </c>
      <c r="C24" t="s">
        <v>519</v>
      </c>
      <c r="D24" t="s">
        <v>520</v>
      </c>
      <c r="E24" t="s">
        <v>10</v>
      </c>
      <c r="F24" t="s">
        <v>21</v>
      </c>
      <c r="G24" t="s">
        <v>175</v>
      </c>
      <c r="H24" t="s">
        <v>176</v>
      </c>
      <c r="J24" t="s">
        <v>519</v>
      </c>
      <c r="K24" t="s">
        <v>349</v>
      </c>
      <c r="L24">
        <v>31.309690061164826</v>
      </c>
      <c r="M24">
        <v>0.44742366905573039</v>
      </c>
      <c r="O24" t="s">
        <v>172</v>
      </c>
      <c r="P24" t="s">
        <v>561</v>
      </c>
      <c r="Q24" t="s">
        <v>562</v>
      </c>
      <c r="R24" t="s">
        <v>10</v>
      </c>
      <c r="S24" t="s">
        <v>21</v>
      </c>
      <c r="T24" t="s">
        <v>175</v>
      </c>
      <c r="U24" t="s">
        <v>176</v>
      </c>
      <c r="W24" t="s">
        <v>561</v>
      </c>
      <c r="X24" t="s">
        <v>482</v>
      </c>
      <c r="Y24">
        <v>0.28649999999999998</v>
      </c>
      <c r="Z24">
        <v>0.2490637871891104</v>
      </c>
    </row>
    <row r="25" spans="2:26">
      <c r="B25" t="s">
        <v>172</v>
      </c>
      <c r="C25" t="s">
        <v>521</v>
      </c>
      <c r="D25" t="s">
        <v>522</v>
      </c>
      <c r="E25" t="s">
        <v>10</v>
      </c>
      <c r="F25" t="s">
        <v>21</v>
      </c>
      <c r="G25" t="s">
        <v>175</v>
      </c>
      <c r="H25" t="s">
        <v>176</v>
      </c>
      <c r="J25" t="s">
        <v>521</v>
      </c>
      <c r="K25" t="s">
        <v>358</v>
      </c>
      <c r="L25">
        <v>7.2410193343179081</v>
      </c>
      <c r="M25">
        <v>0.57857172255490807</v>
      </c>
      <c r="O25" t="s">
        <v>172</v>
      </c>
      <c r="P25" t="s">
        <v>563</v>
      </c>
      <c r="Q25" t="s">
        <v>564</v>
      </c>
      <c r="R25" t="s">
        <v>10</v>
      </c>
      <c r="S25" t="s">
        <v>21</v>
      </c>
      <c r="T25" t="s">
        <v>175</v>
      </c>
      <c r="U25" t="s">
        <v>176</v>
      </c>
      <c r="W25" t="s">
        <v>563</v>
      </c>
      <c r="X25" t="s">
        <v>470</v>
      </c>
      <c r="Y25">
        <v>3.3562500000000002</v>
      </c>
      <c r="Z25">
        <v>0.3854587701529758</v>
      </c>
    </row>
    <row r="26" spans="2:26">
      <c r="B26" t="s">
        <v>172</v>
      </c>
      <c r="C26" t="s">
        <v>523</v>
      </c>
      <c r="D26" t="s">
        <v>524</v>
      </c>
      <c r="E26" t="s">
        <v>10</v>
      </c>
      <c r="F26" t="s">
        <v>21</v>
      </c>
      <c r="G26" t="s">
        <v>175</v>
      </c>
      <c r="H26" t="s">
        <v>176</v>
      </c>
      <c r="J26" t="s">
        <v>523</v>
      </c>
      <c r="K26" t="s">
        <v>375</v>
      </c>
      <c r="L26">
        <v>7.0119734962746385</v>
      </c>
      <c r="M26">
        <v>0.39462514195063969</v>
      </c>
      <c r="O26" t="s">
        <v>172</v>
      </c>
      <c r="P26" t="s">
        <v>565</v>
      </c>
      <c r="Q26" t="s">
        <v>566</v>
      </c>
      <c r="R26" t="s">
        <v>10</v>
      </c>
      <c r="S26" t="s">
        <v>21</v>
      </c>
      <c r="T26" t="s">
        <v>175</v>
      </c>
      <c r="U26" t="s">
        <v>176</v>
      </c>
      <c r="W26" t="s">
        <v>565</v>
      </c>
      <c r="X26" t="s">
        <v>464</v>
      </c>
      <c r="Y26">
        <v>14.58225</v>
      </c>
      <c r="Z26">
        <v>0.65361134346967309</v>
      </c>
    </row>
    <row r="27" spans="2:26">
      <c r="B27" t="s">
        <v>172</v>
      </c>
      <c r="C27" t="s">
        <v>525</v>
      </c>
      <c r="D27" t="s">
        <v>526</v>
      </c>
      <c r="E27" t="s">
        <v>10</v>
      </c>
      <c r="F27" t="s">
        <v>21</v>
      </c>
      <c r="G27" t="s">
        <v>175</v>
      </c>
      <c r="H27" t="s">
        <v>176</v>
      </c>
      <c r="J27" t="s">
        <v>525</v>
      </c>
      <c r="K27" t="s">
        <v>372</v>
      </c>
      <c r="L27">
        <v>14.766366589726868</v>
      </c>
      <c r="M27">
        <v>0.34301590083857741</v>
      </c>
      <c r="O27" t="s">
        <v>172</v>
      </c>
      <c r="P27" t="s">
        <v>567</v>
      </c>
      <c r="Q27" t="s">
        <v>568</v>
      </c>
      <c r="R27" t="s">
        <v>10</v>
      </c>
      <c r="S27" t="s">
        <v>21</v>
      </c>
      <c r="T27" t="s">
        <v>175</v>
      </c>
      <c r="U27" t="s">
        <v>176</v>
      </c>
      <c r="W27" t="s">
        <v>567</v>
      </c>
      <c r="X27" t="s">
        <v>471</v>
      </c>
      <c r="Y27">
        <v>84.296999999999997</v>
      </c>
      <c r="Z27">
        <v>0.66163504527204287</v>
      </c>
    </row>
    <row r="28" spans="2:26">
      <c r="B28" t="s">
        <v>172</v>
      </c>
      <c r="C28" t="s">
        <v>527</v>
      </c>
      <c r="D28" t="s">
        <v>528</v>
      </c>
      <c r="E28" t="s">
        <v>10</v>
      </c>
      <c r="F28" t="s">
        <v>21</v>
      </c>
      <c r="G28" t="s">
        <v>175</v>
      </c>
      <c r="H28" t="s">
        <v>176</v>
      </c>
      <c r="J28" t="s">
        <v>527</v>
      </c>
      <c r="K28" t="s">
        <v>380</v>
      </c>
      <c r="L28">
        <v>0.97891244065217997</v>
      </c>
      <c r="M28">
        <v>0.47385135590143229</v>
      </c>
      <c r="O28" t="s">
        <v>172</v>
      </c>
      <c r="P28" t="s">
        <v>569</v>
      </c>
      <c r="Q28" t="s">
        <v>570</v>
      </c>
      <c r="R28" t="s">
        <v>10</v>
      </c>
      <c r="S28" t="s">
        <v>21</v>
      </c>
      <c r="T28" t="s">
        <v>175</v>
      </c>
      <c r="U28" t="s">
        <v>176</v>
      </c>
      <c r="W28" t="s">
        <v>569</v>
      </c>
      <c r="X28" t="s">
        <v>449</v>
      </c>
      <c r="Y28">
        <v>41.697000000000003</v>
      </c>
      <c r="Z28">
        <v>0.63863326856177149</v>
      </c>
    </row>
    <row r="29" spans="2:26">
      <c r="B29" t="s">
        <v>172</v>
      </c>
      <c r="C29" t="s">
        <v>529</v>
      </c>
      <c r="D29" t="s">
        <v>530</v>
      </c>
      <c r="E29" t="s">
        <v>10</v>
      </c>
      <c r="F29" t="s">
        <v>21</v>
      </c>
      <c r="G29" t="s">
        <v>175</v>
      </c>
      <c r="H29" t="s">
        <v>176</v>
      </c>
      <c r="J29" t="s">
        <v>529</v>
      </c>
      <c r="K29" t="s">
        <v>357</v>
      </c>
      <c r="L29">
        <v>9.4365862951867765</v>
      </c>
      <c r="M29">
        <v>0.38200261063468699</v>
      </c>
      <c r="O29" t="s">
        <v>172</v>
      </c>
      <c r="P29" t="s">
        <v>571</v>
      </c>
      <c r="Q29" t="s">
        <v>572</v>
      </c>
      <c r="R29" t="s">
        <v>10</v>
      </c>
      <c r="S29" t="s">
        <v>21</v>
      </c>
      <c r="T29" t="s">
        <v>175</v>
      </c>
      <c r="U29" t="s">
        <v>176</v>
      </c>
      <c r="W29" t="s">
        <v>571</v>
      </c>
      <c r="X29" t="s">
        <v>472</v>
      </c>
      <c r="Y29">
        <v>71.0655</v>
      </c>
      <c r="Z29">
        <v>0.60862689195708919</v>
      </c>
    </row>
    <row r="30" spans="2:26">
      <c r="B30" t="s">
        <v>172</v>
      </c>
      <c r="C30" t="s">
        <v>531</v>
      </c>
      <c r="D30" t="s">
        <v>532</v>
      </c>
      <c r="E30" t="s">
        <v>10</v>
      </c>
      <c r="F30" t="s">
        <v>21</v>
      </c>
      <c r="G30" t="s">
        <v>175</v>
      </c>
      <c r="H30" t="s">
        <v>176</v>
      </c>
      <c r="J30" t="s">
        <v>531</v>
      </c>
      <c r="K30" t="s">
        <v>366</v>
      </c>
      <c r="L30">
        <v>17.563470485556486</v>
      </c>
      <c r="M30">
        <v>0.46009631713876259</v>
      </c>
      <c r="O30" t="s">
        <v>172</v>
      </c>
      <c r="P30" t="s">
        <v>573</v>
      </c>
      <c r="Q30" t="s">
        <v>574</v>
      </c>
      <c r="R30" t="s">
        <v>10</v>
      </c>
      <c r="S30" t="s">
        <v>21</v>
      </c>
      <c r="T30" t="s">
        <v>175</v>
      </c>
      <c r="U30" t="s">
        <v>176</v>
      </c>
      <c r="W30" t="s">
        <v>573</v>
      </c>
      <c r="X30" t="s">
        <v>467</v>
      </c>
      <c r="Y30">
        <v>39.66075</v>
      </c>
      <c r="Z30">
        <v>0.61703226718193338</v>
      </c>
    </row>
    <row r="31" spans="2:26">
      <c r="B31" t="s">
        <v>172</v>
      </c>
      <c r="C31" t="s">
        <v>533</v>
      </c>
      <c r="D31" t="s">
        <v>534</v>
      </c>
      <c r="E31" t="s">
        <v>10</v>
      </c>
      <c r="F31" t="s">
        <v>21</v>
      </c>
      <c r="G31" t="s">
        <v>175</v>
      </c>
      <c r="H31" t="s">
        <v>176</v>
      </c>
      <c r="J31" t="s">
        <v>533</v>
      </c>
      <c r="K31" t="s">
        <v>364</v>
      </c>
      <c r="L31">
        <v>1.7380844549911334</v>
      </c>
      <c r="M31">
        <v>0.5235216181123864</v>
      </c>
      <c r="O31" t="s">
        <v>172</v>
      </c>
      <c r="P31" t="s">
        <v>575</v>
      </c>
      <c r="Q31" t="s">
        <v>576</v>
      </c>
      <c r="R31" t="s">
        <v>10</v>
      </c>
      <c r="S31" t="s">
        <v>21</v>
      </c>
      <c r="T31" t="s">
        <v>175</v>
      </c>
      <c r="U31" t="s">
        <v>176</v>
      </c>
      <c r="W31" t="s">
        <v>575</v>
      </c>
      <c r="X31" t="s">
        <v>488</v>
      </c>
      <c r="Y31">
        <v>99.740750000000006</v>
      </c>
      <c r="Z31">
        <v>0.60949912269637885</v>
      </c>
    </row>
    <row r="32" spans="2:26">
      <c r="O32" t="s">
        <v>172</v>
      </c>
      <c r="P32" t="s">
        <v>577</v>
      </c>
      <c r="Q32" t="s">
        <v>578</v>
      </c>
      <c r="R32" t="s">
        <v>10</v>
      </c>
      <c r="S32" t="s">
        <v>21</v>
      </c>
      <c r="T32" t="s">
        <v>175</v>
      </c>
      <c r="U32" t="s">
        <v>176</v>
      </c>
      <c r="W32" t="s">
        <v>577</v>
      </c>
      <c r="X32" t="s">
        <v>466</v>
      </c>
      <c r="Y32">
        <v>84.713250000000002</v>
      </c>
      <c r="Z32">
        <v>0.59846303308469972</v>
      </c>
    </row>
    <row r="33" spans="15:26">
      <c r="O33" t="s">
        <v>172</v>
      </c>
      <c r="P33" t="s">
        <v>579</v>
      </c>
      <c r="Q33" t="s">
        <v>580</v>
      </c>
      <c r="R33" t="s">
        <v>10</v>
      </c>
      <c r="S33" t="s">
        <v>21</v>
      </c>
      <c r="T33" t="s">
        <v>175</v>
      </c>
      <c r="U33" t="s">
        <v>176</v>
      </c>
      <c r="W33" t="s">
        <v>579</v>
      </c>
      <c r="X33" t="s">
        <v>460</v>
      </c>
      <c r="Y33">
        <v>9.8707499999999992</v>
      </c>
      <c r="Z33">
        <v>0.57522303479977388</v>
      </c>
    </row>
    <row r="34" spans="15:26">
      <c r="O34" t="s">
        <v>172</v>
      </c>
      <c r="P34" t="s">
        <v>581</v>
      </c>
      <c r="Q34" t="s">
        <v>582</v>
      </c>
      <c r="R34" t="s">
        <v>10</v>
      </c>
      <c r="S34" t="s">
        <v>21</v>
      </c>
      <c r="T34" t="s">
        <v>175</v>
      </c>
      <c r="U34" t="s">
        <v>176</v>
      </c>
      <c r="W34" t="s">
        <v>581</v>
      </c>
      <c r="X34" t="s">
        <v>468</v>
      </c>
      <c r="Y34">
        <v>82.724249999999998</v>
      </c>
      <c r="Z34">
        <v>0.57817600571316952</v>
      </c>
    </row>
    <row r="35" spans="15:26">
      <c r="O35" t="s">
        <v>172</v>
      </c>
      <c r="P35" t="s">
        <v>583</v>
      </c>
      <c r="Q35" t="s">
        <v>584</v>
      </c>
      <c r="R35" t="s">
        <v>10</v>
      </c>
      <c r="S35" t="s">
        <v>21</v>
      </c>
      <c r="T35" t="s">
        <v>175</v>
      </c>
      <c r="U35" t="s">
        <v>176</v>
      </c>
      <c r="W35" t="s">
        <v>583</v>
      </c>
      <c r="X35" t="s">
        <v>461</v>
      </c>
      <c r="Y35">
        <v>103.515</v>
      </c>
      <c r="Z35">
        <v>0.55168474008055524</v>
      </c>
    </row>
    <row r="36" spans="15:26">
      <c r="O36" t="s">
        <v>172</v>
      </c>
      <c r="P36" t="s">
        <v>585</v>
      </c>
      <c r="Q36" t="s">
        <v>586</v>
      </c>
      <c r="R36" t="s">
        <v>10</v>
      </c>
      <c r="S36" t="s">
        <v>21</v>
      </c>
      <c r="T36" t="s">
        <v>175</v>
      </c>
      <c r="U36" t="s">
        <v>176</v>
      </c>
      <c r="W36" t="s">
        <v>585</v>
      </c>
      <c r="X36" t="s">
        <v>485</v>
      </c>
      <c r="Y36">
        <v>66.305999999999997</v>
      </c>
      <c r="Z36">
        <v>0.54209631496759325</v>
      </c>
    </row>
    <row r="37" spans="15:26">
      <c r="O37" t="s">
        <v>172</v>
      </c>
      <c r="P37" t="s">
        <v>587</v>
      </c>
      <c r="Q37" t="s">
        <v>588</v>
      </c>
      <c r="R37" t="s">
        <v>10</v>
      </c>
      <c r="S37" t="s">
        <v>21</v>
      </c>
      <c r="T37" t="s">
        <v>175</v>
      </c>
      <c r="U37" t="s">
        <v>176</v>
      </c>
      <c r="W37" t="s">
        <v>587</v>
      </c>
      <c r="X37" t="s">
        <v>463</v>
      </c>
      <c r="Y37">
        <v>107.66625000000001</v>
      </c>
      <c r="Z37">
        <v>0.55954692742670054</v>
      </c>
    </row>
    <row r="38" spans="15:26">
      <c r="O38" t="s">
        <v>172</v>
      </c>
      <c r="P38" t="s">
        <v>589</v>
      </c>
      <c r="Q38" t="s">
        <v>590</v>
      </c>
      <c r="R38" t="s">
        <v>10</v>
      </c>
      <c r="S38" t="s">
        <v>21</v>
      </c>
      <c r="T38" t="s">
        <v>175</v>
      </c>
      <c r="U38" t="s">
        <v>176</v>
      </c>
      <c r="W38" t="s">
        <v>589</v>
      </c>
      <c r="X38" t="s">
        <v>489</v>
      </c>
      <c r="Y38">
        <v>43.22925</v>
      </c>
      <c r="Z38">
        <v>0.56103649961713831</v>
      </c>
    </row>
    <row r="39" spans="15:26">
      <c r="O39" t="s">
        <v>172</v>
      </c>
      <c r="P39" t="s">
        <v>591</v>
      </c>
      <c r="Q39" t="s">
        <v>592</v>
      </c>
      <c r="R39" t="s">
        <v>10</v>
      </c>
      <c r="S39" t="s">
        <v>21</v>
      </c>
      <c r="T39" t="s">
        <v>175</v>
      </c>
      <c r="U39" t="s">
        <v>176</v>
      </c>
      <c r="W39" t="s">
        <v>591</v>
      </c>
      <c r="X39" t="s">
        <v>478</v>
      </c>
      <c r="Y39">
        <v>43.482999999999997</v>
      </c>
      <c r="Z39">
        <v>0.53345144555667567</v>
      </c>
    </row>
    <row r="40" spans="15:26">
      <c r="O40" t="s">
        <v>172</v>
      </c>
      <c r="P40" t="s">
        <v>593</v>
      </c>
      <c r="Q40" t="s">
        <v>594</v>
      </c>
      <c r="R40" t="s">
        <v>10</v>
      </c>
      <c r="S40" t="s">
        <v>21</v>
      </c>
      <c r="T40" t="s">
        <v>175</v>
      </c>
      <c r="U40" t="s">
        <v>176</v>
      </c>
      <c r="W40" t="s">
        <v>593</v>
      </c>
      <c r="X40" t="s">
        <v>483</v>
      </c>
      <c r="Y40">
        <v>111.13800000000001</v>
      </c>
      <c r="Z40">
        <v>0.58000094908505173</v>
      </c>
    </row>
    <row r="41" spans="15:26">
      <c r="O41" t="s">
        <v>172</v>
      </c>
      <c r="P41" t="s">
        <v>595</v>
      </c>
      <c r="Q41" t="s">
        <v>596</v>
      </c>
      <c r="R41" t="s">
        <v>10</v>
      </c>
      <c r="S41" t="s">
        <v>21</v>
      </c>
      <c r="T41" t="s">
        <v>175</v>
      </c>
      <c r="U41" t="s">
        <v>176</v>
      </c>
      <c r="W41" t="s">
        <v>595</v>
      </c>
      <c r="X41" t="s">
        <v>473</v>
      </c>
      <c r="Y41">
        <v>92.353250000000003</v>
      </c>
      <c r="Z41">
        <v>0.5678809662837967</v>
      </c>
    </row>
    <row r="42" spans="15:26">
      <c r="O42" t="s">
        <v>172</v>
      </c>
      <c r="P42" t="s">
        <v>597</v>
      </c>
      <c r="Q42" t="s">
        <v>598</v>
      </c>
      <c r="R42" t="s">
        <v>10</v>
      </c>
      <c r="S42" t="s">
        <v>21</v>
      </c>
      <c r="T42" t="s">
        <v>175</v>
      </c>
      <c r="U42" t="s">
        <v>176</v>
      </c>
      <c r="W42" t="s">
        <v>597</v>
      </c>
      <c r="X42" t="s">
        <v>453</v>
      </c>
      <c r="Y42">
        <v>89.172200000000004</v>
      </c>
      <c r="Z42">
        <v>0.55972160551740868</v>
      </c>
    </row>
    <row r="43" spans="15:26">
      <c r="O43" t="s">
        <v>172</v>
      </c>
      <c r="P43" t="s">
        <v>599</v>
      </c>
      <c r="Q43" t="s">
        <v>600</v>
      </c>
      <c r="R43" t="s">
        <v>10</v>
      </c>
      <c r="S43" t="s">
        <v>21</v>
      </c>
      <c r="T43" t="s">
        <v>175</v>
      </c>
      <c r="U43" t="s">
        <v>176</v>
      </c>
      <c r="W43" t="s">
        <v>599</v>
      </c>
      <c r="X43" t="s">
        <v>457</v>
      </c>
      <c r="Y43">
        <v>31.391999999999999</v>
      </c>
      <c r="Z43">
        <v>0.56070949156723104</v>
      </c>
    </row>
    <row r="44" spans="15:26">
      <c r="O44" t="s">
        <v>172</v>
      </c>
      <c r="P44" t="s">
        <v>601</v>
      </c>
      <c r="Q44" t="s">
        <v>602</v>
      </c>
      <c r="R44" t="s">
        <v>10</v>
      </c>
      <c r="S44" t="s">
        <v>21</v>
      </c>
      <c r="T44" t="s">
        <v>175</v>
      </c>
      <c r="U44" t="s">
        <v>176</v>
      </c>
      <c r="W44" t="s">
        <v>601</v>
      </c>
      <c r="X44" t="s">
        <v>462</v>
      </c>
      <c r="Y44">
        <v>112.2345</v>
      </c>
      <c r="Z44">
        <v>0.57022092205777497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B71F3-7D5E-48B5-AD60-30F5DFC029DD}">
  <dimension ref="B9:S128"/>
  <sheetViews>
    <sheetView tabSelected="1" workbookViewId="0"/>
  </sheetViews>
  <sheetFormatPr defaultRowHeight="14.25"/>
  <sheetData>
    <row r="9" spans="2:19">
      <c r="B9" t="s">
        <v>217</v>
      </c>
      <c r="M9" t="s">
        <v>164</v>
      </c>
    </row>
    <row r="10" spans="2:19">
      <c r="B10" t="s">
        <v>166</v>
      </c>
      <c r="C10" t="s">
        <v>288</v>
      </c>
      <c r="D10" t="s">
        <v>218</v>
      </c>
      <c r="E10">
        <v>2022</v>
      </c>
      <c r="F10">
        <v>2030</v>
      </c>
      <c r="G10">
        <v>2035</v>
      </c>
      <c r="H10">
        <v>2040</v>
      </c>
      <c r="I10">
        <v>2045</v>
      </c>
      <c r="J10">
        <v>2050</v>
      </c>
      <c r="K10" t="s">
        <v>54</v>
      </c>
      <c r="M10" t="s">
        <v>165</v>
      </c>
      <c r="N10" t="s">
        <v>166</v>
      </c>
      <c r="O10" t="s">
        <v>167</v>
      </c>
      <c r="P10" t="s">
        <v>168</v>
      </c>
      <c r="Q10" t="s">
        <v>169</v>
      </c>
      <c r="R10" t="s">
        <v>170</v>
      </c>
      <c r="S10" t="s">
        <v>171</v>
      </c>
    </row>
    <row r="11" spans="2:19">
      <c r="B11" t="s">
        <v>603</v>
      </c>
      <c r="C11" t="s">
        <v>33</v>
      </c>
      <c r="D11" t="s">
        <v>19</v>
      </c>
      <c r="E11">
        <v>1000</v>
      </c>
      <c r="F11">
        <v>1000</v>
      </c>
      <c r="J11">
        <v>1000</v>
      </c>
      <c r="K11" t="s">
        <v>604</v>
      </c>
      <c r="M11" t="s">
        <v>172</v>
      </c>
      <c r="N11" t="s">
        <v>603</v>
      </c>
      <c r="P11" t="s">
        <v>10</v>
      </c>
      <c r="Q11" t="s">
        <v>21</v>
      </c>
      <c r="R11" t="s">
        <v>247</v>
      </c>
      <c r="S11" t="s">
        <v>631</v>
      </c>
    </row>
    <row r="12" spans="2:19">
      <c r="B12" t="s">
        <v>603</v>
      </c>
      <c r="C12" t="s">
        <v>33</v>
      </c>
      <c r="D12" t="s">
        <v>19</v>
      </c>
      <c r="E12">
        <v>25</v>
      </c>
      <c r="F12">
        <v>25</v>
      </c>
      <c r="J12">
        <v>25</v>
      </c>
      <c r="K12" t="s">
        <v>605</v>
      </c>
      <c r="M12" t="s">
        <v>172</v>
      </c>
      <c r="N12" t="s">
        <v>609</v>
      </c>
      <c r="P12" t="s">
        <v>10</v>
      </c>
      <c r="Q12" t="s">
        <v>21</v>
      </c>
      <c r="R12" t="s">
        <v>247</v>
      </c>
      <c r="S12" t="s">
        <v>631</v>
      </c>
    </row>
    <row r="13" spans="2:19">
      <c r="B13" t="s">
        <v>603</v>
      </c>
      <c r="C13" t="s">
        <v>33</v>
      </c>
      <c r="D13" t="s">
        <v>19</v>
      </c>
      <c r="E13">
        <v>0.60299999999999998</v>
      </c>
      <c r="F13">
        <v>0.56699999999999995</v>
      </c>
      <c r="J13">
        <v>0.497</v>
      </c>
      <c r="K13" t="s">
        <v>606</v>
      </c>
      <c r="M13" t="s">
        <v>632</v>
      </c>
      <c r="N13" t="s">
        <v>610</v>
      </c>
      <c r="P13" t="s">
        <v>10</v>
      </c>
      <c r="Q13" t="s">
        <v>21</v>
      </c>
      <c r="R13" t="s">
        <v>247</v>
      </c>
      <c r="S13" t="s">
        <v>631</v>
      </c>
    </row>
    <row r="14" spans="2:19">
      <c r="B14" t="s">
        <v>603</v>
      </c>
      <c r="C14" t="s">
        <v>33</v>
      </c>
      <c r="D14" t="s">
        <v>19</v>
      </c>
      <c r="E14">
        <v>0.59</v>
      </c>
      <c r="F14">
        <v>0.6</v>
      </c>
      <c r="J14">
        <v>0.61</v>
      </c>
      <c r="K14" t="s">
        <v>146</v>
      </c>
      <c r="M14" t="s">
        <v>172</v>
      </c>
      <c r="N14" t="s">
        <v>613</v>
      </c>
      <c r="P14" t="s">
        <v>10</v>
      </c>
      <c r="Q14" t="s">
        <v>21</v>
      </c>
      <c r="R14" t="s">
        <v>247</v>
      </c>
      <c r="S14" t="s">
        <v>631</v>
      </c>
    </row>
    <row r="15" spans="2:19">
      <c r="B15" t="s">
        <v>603</v>
      </c>
      <c r="C15" t="s">
        <v>33</v>
      </c>
      <c r="D15" t="s">
        <v>19</v>
      </c>
      <c r="E15">
        <v>30</v>
      </c>
      <c r="F15">
        <v>30</v>
      </c>
      <c r="G15">
        <v>30</v>
      </c>
      <c r="H15">
        <v>30</v>
      </c>
      <c r="I15">
        <v>30</v>
      </c>
      <c r="J15">
        <v>30</v>
      </c>
      <c r="K15" t="s">
        <v>607</v>
      </c>
      <c r="M15" t="s">
        <v>172</v>
      </c>
      <c r="N15" t="s">
        <v>614</v>
      </c>
      <c r="P15" t="s">
        <v>10</v>
      </c>
      <c r="Q15" t="s">
        <v>21</v>
      </c>
      <c r="R15" t="s">
        <v>247</v>
      </c>
      <c r="S15" t="s">
        <v>631</v>
      </c>
    </row>
    <row r="16" spans="2:19">
      <c r="B16" t="s">
        <v>603</v>
      </c>
      <c r="C16" t="s">
        <v>33</v>
      </c>
      <c r="D16" t="s">
        <v>19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 t="s">
        <v>608</v>
      </c>
      <c r="M16" t="s">
        <v>172</v>
      </c>
      <c r="N16" t="s">
        <v>616</v>
      </c>
      <c r="P16" t="s">
        <v>10</v>
      </c>
      <c r="Q16" t="s">
        <v>21</v>
      </c>
      <c r="R16" t="s">
        <v>247</v>
      </c>
      <c r="S16" t="s">
        <v>631</v>
      </c>
    </row>
    <row r="17" spans="2:19">
      <c r="B17" t="s">
        <v>609</v>
      </c>
      <c r="C17" t="s">
        <v>33</v>
      </c>
      <c r="D17" t="s">
        <v>19</v>
      </c>
      <c r="E17">
        <v>500</v>
      </c>
      <c r="F17">
        <v>500</v>
      </c>
      <c r="J17">
        <v>500</v>
      </c>
      <c r="K17" t="s">
        <v>604</v>
      </c>
      <c r="M17" t="s">
        <v>172</v>
      </c>
      <c r="N17" t="s">
        <v>617</v>
      </c>
      <c r="P17" t="s">
        <v>10</v>
      </c>
      <c r="Q17" t="s">
        <v>21</v>
      </c>
      <c r="R17" t="s">
        <v>247</v>
      </c>
      <c r="S17" t="s">
        <v>631</v>
      </c>
    </row>
    <row r="18" spans="2:19">
      <c r="B18" t="s">
        <v>609</v>
      </c>
      <c r="C18" t="s">
        <v>33</v>
      </c>
      <c r="D18" t="s">
        <v>19</v>
      </c>
      <c r="E18">
        <v>20</v>
      </c>
      <c r="F18">
        <v>20</v>
      </c>
      <c r="J18">
        <v>20</v>
      </c>
      <c r="K18" t="s">
        <v>605</v>
      </c>
      <c r="M18" t="s">
        <v>172</v>
      </c>
      <c r="N18" t="s">
        <v>618</v>
      </c>
      <c r="P18" t="s">
        <v>10</v>
      </c>
      <c r="Q18" t="s">
        <v>21</v>
      </c>
      <c r="R18" t="s">
        <v>247</v>
      </c>
      <c r="S18" t="s">
        <v>631</v>
      </c>
    </row>
    <row r="19" spans="2:19">
      <c r="B19" t="s">
        <v>609</v>
      </c>
      <c r="C19" t="s">
        <v>33</v>
      </c>
      <c r="D19" t="s">
        <v>19</v>
      </c>
      <c r="E19">
        <v>1.9279999999999999</v>
      </c>
      <c r="F19">
        <v>1.9279999999999999</v>
      </c>
      <c r="J19">
        <v>1.9279999999999999</v>
      </c>
      <c r="K19" t="s">
        <v>606</v>
      </c>
      <c r="M19" t="s">
        <v>172</v>
      </c>
      <c r="N19" t="s">
        <v>619</v>
      </c>
      <c r="P19" t="s">
        <v>10</v>
      </c>
      <c r="Q19" t="s">
        <v>21</v>
      </c>
      <c r="R19" t="s">
        <v>247</v>
      </c>
      <c r="S19" t="s">
        <v>631</v>
      </c>
    </row>
    <row r="20" spans="2:19">
      <c r="B20" t="s">
        <v>609</v>
      </c>
      <c r="C20" t="s">
        <v>33</v>
      </c>
      <c r="D20" t="s">
        <v>19</v>
      </c>
      <c r="E20">
        <v>0.4</v>
      </c>
      <c r="F20">
        <v>0.41</v>
      </c>
      <c r="J20">
        <v>0.42</v>
      </c>
      <c r="K20" t="s">
        <v>146</v>
      </c>
      <c r="M20" t="s">
        <v>172</v>
      </c>
      <c r="N20" t="s">
        <v>620</v>
      </c>
      <c r="P20" t="s">
        <v>10</v>
      </c>
      <c r="Q20" t="s">
        <v>21</v>
      </c>
      <c r="R20" t="s">
        <v>247</v>
      </c>
      <c r="S20" t="s">
        <v>631</v>
      </c>
    </row>
    <row r="21" spans="2:19">
      <c r="B21" t="s">
        <v>609</v>
      </c>
      <c r="C21" t="s">
        <v>33</v>
      </c>
      <c r="D21" t="s">
        <v>19</v>
      </c>
      <c r="E21">
        <v>30</v>
      </c>
      <c r="F21">
        <v>30</v>
      </c>
      <c r="G21">
        <v>30</v>
      </c>
      <c r="H21">
        <v>30</v>
      </c>
      <c r="I21">
        <v>30</v>
      </c>
      <c r="J21">
        <v>30</v>
      </c>
      <c r="K21" t="s">
        <v>607</v>
      </c>
      <c r="M21" t="s">
        <v>172</v>
      </c>
      <c r="N21" t="s">
        <v>621</v>
      </c>
      <c r="P21" t="s">
        <v>10</v>
      </c>
      <c r="Q21" t="s">
        <v>21</v>
      </c>
      <c r="R21" t="s">
        <v>247</v>
      </c>
      <c r="S21" t="s">
        <v>631</v>
      </c>
    </row>
    <row r="22" spans="2:19">
      <c r="B22" t="s">
        <v>609</v>
      </c>
      <c r="C22" t="s">
        <v>33</v>
      </c>
      <c r="D22" t="s">
        <v>19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 t="s">
        <v>608</v>
      </c>
      <c r="M22" t="s">
        <v>172</v>
      </c>
      <c r="N22" t="s">
        <v>622</v>
      </c>
      <c r="P22" t="s">
        <v>10</v>
      </c>
      <c r="Q22" t="s">
        <v>21</v>
      </c>
      <c r="R22" t="s">
        <v>247</v>
      </c>
      <c r="S22" t="s">
        <v>631</v>
      </c>
    </row>
    <row r="23" spans="2:19">
      <c r="B23" t="s">
        <v>610</v>
      </c>
      <c r="C23" t="s">
        <v>33</v>
      </c>
      <c r="D23" t="s">
        <v>611</v>
      </c>
      <c r="E23">
        <v>1300</v>
      </c>
      <c r="F23">
        <v>1300</v>
      </c>
      <c r="J23">
        <v>1300</v>
      </c>
      <c r="K23" t="s">
        <v>604</v>
      </c>
      <c r="M23" t="s">
        <v>172</v>
      </c>
      <c r="N23" t="s">
        <v>623</v>
      </c>
      <c r="P23" t="s">
        <v>10</v>
      </c>
      <c r="Q23" t="s">
        <v>21</v>
      </c>
      <c r="R23" t="s">
        <v>247</v>
      </c>
      <c r="S23" t="s">
        <v>631</v>
      </c>
    </row>
    <row r="24" spans="2:19">
      <c r="B24" t="s">
        <v>610</v>
      </c>
      <c r="C24" t="s">
        <v>33</v>
      </c>
      <c r="D24" t="s">
        <v>611</v>
      </c>
      <c r="E24">
        <v>40</v>
      </c>
      <c r="F24">
        <v>40</v>
      </c>
      <c r="J24">
        <v>40</v>
      </c>
      <c r="K24" t="s">
        <v>605</v>
      </c>
      <c r="M24" t="s">
        <v>172</v>
      </c>
      <c r="N24" t="s">
        <v>624</v>
      </c>
      <c r="P24" t="s">
        <v>10</v>
      </c>
      <c r="Q24" t="s">
        <v>21</v>
      </c>
      <c r="R24" t="s">
        <v>247</v>
      </c>
      <c r="S24" t="s">
        <v>631</v>
      </c>
    </row>
    <row r="25" spans="2:19">
      <c r="B25" t="s">
        <v>610</v>
      </c>
      <c r="C25" t="s">
        <v>33</v>
      </c>
      <c r="D25" t="s">
        <v>611</v>
      </c>
      <c r="E25">
        <v>0.69399999999999995</v>
      </c>
      <c r="F25">
        <v>0.69399999999999995</v>
      </c>
      <c r="J25">
        <v>0.69399999999999995</v>
      </c>
      <c r="K25" t="s">
        <v>606</v>
      </c>
      <c r="M25" t="s">
        <v>172</v>
      </c>
      <c r="N25" t="s">
        <v>625</v>
      </c>
      <c r="P25" t="s">
        <v>10</v>
      </c>
      <c r="Q25" t="s">
        <v>21</v>
      </c>
      <c r="R25" t="s">
        <v>247</v>
      </c>
      <c r="S25" t="s">
        <v>631</v>
      </c>
    </row>
    <row r="26" spans="2:19">
      <c r="B26" t="s">
        <v>610</v>
      </c>
      <c r="C26" t="s">
        <v>33</v>
      </c>
      <c r="D26" t="s">
        <v>611</v>
      </c>
      <c r="E26">
        <v>0.53300000000000003</v>
      </c>
      <c r="F26">
        <v>0.54</v>
      </c>
      <c r="J26">
        <v>0.54600000000000004</v>
      </c>
      <c r="K26" t="s">
        <v>146</v>
      </c>
      <c r="M26" t="s">
        <v>172</v>
      </c>
      <c r="N26" t="s">
        <v>627</v>
      </c>
      <c r="P26" t="s">
        <v>10</v>
      </c>
      <c r="Q26" t="s">
        <v>21</v>
      </c>
      <c r="R26" t="s">
        <v>247</v>
      </c>
      <c r="S26" t="s">
        <v>631</v>
      </c>
    </row>
    <row r="27" spans="2:19">
      <c r="B27" t="s">
        <v>610</v>
      </c>
      <c r="C27" t="s">
        <v>33</v>
      </c>
      <c r="D27" t="s">
        <v>611</v>
      </c>
      <c r="E27">
        <v>25</v>
      </c>
      <c r="F27">
        <v>25</v>
      </c>
      <c r="G27">
        <v>25</v>
      </c>
      <c r="H27">
        <v>25</v>
      </c>
      <c r="I27">
        <v>25</v>
      </c>
      <c r="J27">
        <v>25</v>
      </c>
      <c r="K27" t="s">
        <v>607</v>
      </c>
      <c r="M27" t="s">
        <v>632</v>
      </c>
      <c r="N27" t="s">
        <v>628</v>
      </c>
      <c r="P27" t="s">
        <v>10</v>
      </c>
      <c r="Q27" t="s">
        <v>21</v>
      </c>
      <c r="R27" t="s">
        <v>247</v>
      </c>
      <c r="S27" t="s">
        <v>631</v>
      </c>
    </row>
    <row r="28" spans="2:19">
      <c r="B28" t="s">
        <v>610</v>
      </c>
      <c r="C28" t="s">
        <v>33</v>
      </c>
      <c r="D28" t="s">
        <v>611</v>
      </c>
      <c r="E28">
        <v>3</v>
      </c>
      <c r="F28">
        <v>3</v>
      </c>
      <c r="G28">
        <v>3</v>
      </c>
      <c r="H28">
        <v>3</v>
      </c>
      <c r="I28">
        <v>3</v>
      </c>
      <c r="J28">
        <v>3</v>
      </c>
      <c r="K28" t="s">
        <v>608</v>
      </c>
      <c r="M28" t="s">
        <v>172</v>
      </c>
      <c r="N28" t="s">
        <v>629</v>
      </c>
      <c r="P28" t="s">
        <v>10</v>
      </c>
      <c r="Q28" t="s">
        <v>21</v>
      </c>
      <c r="R28" t="s">
        <v>247</v>
      </c>
      <c r="S28" t="s">
        <v>631</v>
      </c>
    </row>
    <row r="29" spans="2:19">
      <c r="B29" t="s">
        <v>610</v>
      </c>
      <c r="C29" t="s">
        <v>33</v>
      </c>
      <c r="D29" t="s">
        <v>611</v>
      </c>
      <c r="E29">
        <v>0.8</v>
      </c>
      <c r="F29">
        <v>0.8</v>
      </c>
      <c r="G29">
        <v>0.8</v>
      </c>
      <c r="H29">
        <v>0.8</v>
      </c>
      <c r="I29">
        <v>0.8</v>
      </c>
      <c r="J29">
        <v>0.8</v>
      </c>
      <c r="K29" t="s">
        <v>612</v>
      </c>
      <c r="M29" t="s">
        <v>172</v>
      </c>
      <c r="N29" t="s">
        <v>630</v>
      </c>
      <c r="P29" t="s">
        <v>10</v>
      </c>
      <c r="Q29" t="s">
        <v>21</v>
      </c>
      <c r="R29" t="s">
        <v>247</v>
      </c>
      <c r="S29" t="s">
        <v>631</v>
      </c>
    </row>
    <row r="30" spans="2:19">
      <c r="B30" t="s">
        <v>613</v>
      </c>
      <c r="C30" t="s">
        <v>33</v>
      </c>
      <c r="D30" t="s">
        <v>19</v>
      </c>
      <c r="E30">
        <v>5000</v>
      </c>
      <c r="F30">
        <v>2500</v>
      </c>
      <c r="J30">
        <v>2500</v>
      </c>
      <c r="K30" t="s">
        <v>604</v>
      </c>
    </row>
    <row r="31" spans="2:19">
      <c r="B31" t="s">
        <v>613</v>
      </c>
      <c r="C31" t="s">
        <v>33</v>
      </c>
      <c r="D31" t="s">
        <v>19</v>
      </c>
      <c r="E31">
        <v>100</v>
      </c>
      <c r="F31">
        <v>50</v>
      </c>
      <c r="J31">
        <v>50</v>
      </c>
      <c r="K31" t="s">
        <v>605</v>
      </c>
    </row>
    <row r="32" spans="2:19">
      <c r="B32" t="s">
        <v>613</v>
      </c>
      <c r="C32" t="s">
        <v>33</v>
      </c>
      <c r="D32" t="s">
        <v>19</v>
      </c>
      <c r="E32">
        <v>0.83299999999999996</v>
      </c>
      <c r="F32">
        <v>0.83299999999999996</v>
      </c>
      <c r="J32">
        <v>0.83299999999999996</v>
      </c>
      <c r="K32" t="s">
        <v>606</v>
      </c>
    </row>
    <row r="33" spans="2:11">
      <c r="B33" t="s">
        <v>613</v>
      </c>
      <c r="C33" t="s">
        <v>33</v>
      </c>
      <c r="D33" t="s">
        <v>19</v>
      </c>
      <c r="E33">
        <v>0.46</v>
      </c>
      <c r="F33">
        <v>0.54</v>
      </c>
      <c r="J33">
        <v>0.6</v>
      </c>
      <c r="K33" t="s">
        <v>146</v>
      </c>
    </row>
    <row r="34" spans="2:11">
      <c r="B34" t="s">
        <v>613</v>
      </c>
      <c r="C34" t="s">
        <v>33</v>
      </c>
      <c r="D34" t="s">
        <v>19</v>
      </c>
      <c r="E34">
        <v>20</v>
      </c>
      <c r="F34">
        <v>20</v>
      </c>
      <c r="G34">
        <v>20</v>
      </c>
      <c r="H34">
        <v>20</v>
      </c>
      <c r="I34">
        <v>20</v>
      </c>
      <c r="J34">
        <v>20</v>
      </c>
      <c r="K34" t="s">
        <v>607</v>
      </c>
    </row>
    <row r="35" spans="2:11">
      <c r="B35" t="s">
        <v>613</v>
      </c>
      <c r="C35" t="s">
        <v>33</v>
      </c>
      <c r="D35" t="s">
        <v>19</v>
      </c>
      <c r="E35">
        <v>2</v>
      </c>
      <c r="F35">
        <v>2</v>
      </c>
      <c r="G35">
        <v>2</v>
      </c>
      <c r="H35">
        <v>2</v>
      </c>
      <c r="I35">
        <v>2</v>
      </c>
      <c r="J35">
        <v>2</v>
      </c>
      <c r="K35" t="s">
        <v>608</v>
      </c>
    </row>
    <row r="36" spans="2:11">
      <c r="B36" t="s">
        <v>614</v>
      </c>
      <c r="C36" t="s">
        <v>33</v>
      </c>
      <c r="D36" t="s">
        <v>615</v>
      </c>
      <c r="E36">
        <v>3100</v>
      </c>
      <c r="F36">
        <v>3100</v>
      </c>
      <c r="J36">
        <v>2500</v>
      </c>
      <c r="K36" t="s">
        <v>604</v>
      </c>
    </row>
    <row r="37" spans="2:11">
      <c r="B37" t="s">
        <v>614</v>
      </c>
      <c r="C37" t="s">
        <v>33</v>
      </c>
      <c r="D37" t="s">
        <v>615</v>
      </c>
      <c r="E37">
        <v>80</v>
      </c>
      <c r="F37">
        <v>75</v>
      </c>
      <c r="J37">
        <v>60</v>
      </c>
      <c r="K37" t="s">
        <v>605</v>
      </c>
    </row>
    <row r="38" spans="2:11">
      <c r="B38" t="s">
        <v>614</v>
      </c>
      <c r="C38" t="s">
        <v>33</v>
      </c>
      <c r="D38" t="s">
        <v>615</v>
      </c>
      <c r="E38">
        <v>1.35</v>
      </c>
      <c r="F38">
        <v>1.2</v>
      </c>
      <c r="J38">
        <v>0.98899999999999999</v>
      </c>
      <c r="K38" t="s">
        <v>606</v>
      </c>
    </row>
    <row r="39" spans="2:11">
      <c r="B39" t="s">
        <v>614</v>
      </c>
      <c r="C39" t="s">
        <v>33</v>
      </c>
      <c r="D39" t="s">
        <v>615</v>
      </c>
      <c r="E39">
        <v>0.51</v>
      </c>
      <c r="F39">
        <v>0.52</v>
      </c>
      <c r="J39">
        <v>0.52</v>
      </c>
      <c r="K39" t="s">
        <v>146</v>
      </c>
    </row>
    <row r="40" spans="2:11">
      <c r="B40" t="s">
        <v>614</v>
      </c>
      <c r="C40" t="s">
        <v>33</v>
      </c>
      <c r="D40" t="s">
        <v>615</v>
      </c>
      <c r="E40">
        <v>30</v>
      </c>
      <c r="F40">
        <v>30</v>
      </c>
      <c r="G40">
        <v>30</v>
      </c>
      <c r="H40">
        <v>30</v>
      </c>
      <c r="I40">
        <v>30</v>
      </c>
      <c r="J40">
        <v>30</v>
      </c>
      <c r="K40" t="s">
        <v>607</v>
      </c>
    </row>
    <row r="41" spans="2:11">
      <c r="B41" t="s">
        <v>614</v>
      </c>
      <c r="C41" t="s">
        <v>33</v>
      </c>
      <c r="D41" t="s">
        <v>615</v>
      </c>
      <c r="E41">
        <v>4</v>
      </c>
      <c r="F41">
        <v>4</v>
      </c>
      <c r="G41">
        <v>4</v>
      </c>
      <c r="H41">
        <v>4</v>
      </c>
      <c r="I41">
        <v>4</v>
      </c>
      <c r="J41">
        <v>4</v>
      </c>
      <c r="K41" t="s">
        <v>608</v>
      </c>
    </row>
    <row r="42" spans="2:11">
      <c r="B42" t="s">
        <v>616</v>
      </c>
      <c r="C42" t="s">
        <v>32</v>
      </c>
      <c r="D42" t="s">
        <v>19</v>
      </c>
      <c r="E42">
        <v>1700</v>
      </c>
      <c r="F42">
        <v>1700</v>
      </c>
      <c r="J42">
        <v>1700</v>
      </c>
      <c r="K42" t="s">
        <v>604</v>
      </c>
    </row>
    <row r="43" spans="2:11">
      <c r="B43" t="s">
        <v>616</v>
      </c>
      <c r="C43" t="s">
        <v>32</v>
      </c>
      <c r="D43" t="s">
        <v>19</v>
      </c>
      <c r="E43">
        <v>45</v>
      </c>
      <c r="F43">
        <v>45</v>
      </c>
      <c r="J43">
        <v>45</v>
      </c>
      <c r="K43" t="s">
        <v>605</v>
      </c>
    </row>
    <row r="44" spans="2:11">
      <c r="B44" t="s">
        <v>616</v>
      </c>
      <c r="C44" t="s">
        <v>32</v>
      </c>
      <c r="D44" t="s">
        <v>19</v>
      </c>
      <c r="E44">
        <v>2.3610000000000002</v>
      </c>
      <c r="F44">
        <v>2.3610000000000002</v>
      </c>
      <c r="J44">
        <v>2.3610000000000002</v>
      </c>
      <c r="K44" t="s">
        <v>606</v>
      </c>
    </row>
    <row r="45" spans="2:11">
      <c r="B45" t="s">
        <v>616</v>
      </c>
      <c r="C45" t="s">
        <v>32</v>
      </c>
      <c r="D45" t="s">
        <v>19</v>
      </c>
      <c r="E45">
        <v>0.39</v>
      </c>
      <c r="F45">
        <v>0.39</v>
      </c>
      <c r="J45">
        <v>0.39</v>
      </c>
      <c r="K45" t="s">
        <v>146</v>
      </c>
    </row>
    <row r="46" spans="2:11">
      <c r="B46" t="s">
        <v>616</v>
      </c>
      <c r="C46" t="s">
        <v>32</v>
      </c>
      <c r="D46" t="s">
        <v>19</v>
      </c>
      <c r="E46">
        <v>40</v>
      </c>
      <c r="F46">
        <v>40</v>
      </c>
      <c r="G46">
        <v>40</v>
      </c>
      <c r="H46">
        <v>40</v>
      </c>
      <c r="I46">
        <v>40</v>
      </c>
      <c r="J46">
        <v>40</v>
      </c>
      <c r="K46" t="s">
        <v>607</v>
      </c>
    </row>
    <row r="47" spans="2:11">
      <c r="B47" t="s">
        <v>616</v>
      </c>
      <c r="C47" t="s">
        <v>32</v>
      </c>
      <c r="D47" t="s">
        <v>19</v>
      </c>
      <c r="E47">
        <v>4</v>
      </c>
      <c r="F47">
        <v>4</v>
      </c>
      <c r="G47">
        <v>4</v>
      </c>
      <c r="H47">
        <v>4</v>
      </c>
      <c r="I47">
        <v>4</v>
      </c>
      <c r="J47">
        <v>4</v>
      </c>
      <c r="K47" t="s">
        <v>608</v>
      </c>
    </row>
    <row r="48" spans="2:11">
      <c r="B48" t="s">
        <v>617</v>
      </c>
      <c r="C48" t="s">
        <v>32</v>
      </c>
      <c r="D48" t="s">
        <v>19</v>
      </c>
      <c r="E48">
        <v>2000</v>
      </c>
      <c r="F48">
        <v>2000</v>
      </c>
      <c r="J48">
        <v>2000</v>
      </c>
      <c r="K48" t="s">
        <v>604</v>
      </c>
    </row>
    <row r="49" spans="2:11">
      <c r="B49" t="s">
        <v>617</v>
      </c>
      <c r="C49" t="s">
        <v>32</v>
      </c>
      <c r="D49" t="s">
        <v>19</v>
      </c>
      <c r="E49">
        <v>60</v>
      </c>
      <c r="F49">
        <v>60</v>
      </c>
      <c r="J49">
        <v>60</v>
      </c>
      <c r="K49" t="s">
        <v>605</v>
      </c>
    </row>
    <row r="50" spans="2:11">
      <c r="B50" t="s">
        <v>617</v>
      </c>
      <c r="C50" t="s">
        <v>32</v>
      </c>
      <c r="D50" t="s">
        <v>19</v>
      </c>
      <c r="E50">
        <v>2.5830000000000002</v>
      </c>
      <c r="F50">
        <v>2.4969999999999999</v>
      </c>
      <c r="J50">
        <v>2.3170000000000002</v>
      </c>
      <c r="K50" t="s">
        <v>606</v>
      </c>
    </row>
    <row r="51" spans="2:11">
      <c r="B51" t="s">
        <v>617</v>
      </c>
      <c r="C51" t="s">
        <v>32</v>
      </c>
      <c r="D51" t="s">
        <v>19</v>
      </c>
      <c r="E51">
        <v>0.43</v>
      </c>
      <c r="F51">
        <v>0.43</v>
      </c>
      <c r="J51">
        <v>0.43</v>
      </c>
      <c r="K51" t="s">
        <v>146</v>
      </c>
    </row>
    <row r="52" spans="2:11">
      <c r="B52" t="s">
        <v>617</v>
      </c>
      <c r="C52" t="s">
        <v>32</v>
      </c>
      <c r="D52" t="s">
        <v>19</v>
      </c>
      <c r="E52">
        <v>40</v>
      </c>
      <c r="F52">
        <v>40</v>
      </c>
      <c r="G52">
        <v>40</v>
      </c>
      <c r="H52">
        <v>40</v>
      </c>
      <c r="I52">
        <v>40</v>
      </c>
      <c r="J52">
        <v>40</v>
      </c>
      <c r="K52" t="s">
        <v>607</v>
      </c>
    </row>
    <row r="53" spans="2:11">
      <c r="B53" t="s">
        <v>617</v>
      </c>
      <c r="C53" t="s">
        <v>32</v>
      </c>
      <c r="D53" t="s">
        <v>19</v>
      </c>
      <c r="E53">
        <v>4</v>
      </c>
      <c r="F53">
        <v>4</v>
      </c>
      <c r="G53">
        <v>4</v>
      </c>
      <c r="H53">
        <v>4</v>
      </c>
      <c r="I53">
        <v>4</v>
      </c>
      <c r="J53">
        <v>4</v>
      </c>
      <c r="K53" t="s">
        <v>608</v>
      </c>
    </row>
    <row r="54" spans="2:11">
      <c r="B54" t="s">
        <v>618</v>
      </c>
      <c r="C54" t="s">
        <v>32</v>
      </c>
      <c r="D54" t="s">
        <v>19</v>
      </c>
      <c r="E54">
        <v>2200</v>
      </c>
      <c r="F54">
        <v>2200</v>
      </c>
      <c r="J54">
        <v>2200</v>
      </c>
      <c r="K54" t="s">
        <v>604</v>
      </c>
    </row>
    <row r="55" spans="2:11">
      <c r="B55" t="s">
        <v>618</v>
      </c>
      <c r="C55" t="s">
        <v>32</v>
      </c>
      <c r="D55" t="s">
        <v>19</v>
      </c>
      <c r="E55">
        <v>65</v>
      </c>
      <c r="F55">
        <v>65</v>
      </c>
      <c r="J55">
        <v>65</v>
      </c>
      <c r="K55" t="s">
        <v>605</v>
      </c>
    </row>
    <row r="56" spans="2:11">
      <c r="B56" t="s">
        <v>618</v>
      </c>
      <c r="C56" t="s">
        <v>32</v>
      </c>
      <c r="D56" t="s">
        <v>19</v>
      </c>
      <c r="E56">
        <v>2.6389999999999998</v>
      </c>
      <c r="F56">
        <v>2.6389999999999998</v>
      </c>
      <c r="J56">
        <v>2.6389999999999998</v>
      </c>
      <c r="K56" t="s">
        <v>606</v>
      </c>
    </row>
    <row r="57" spans="2:11">
      <c r="B57" t="s">
        <v>618</v>
      </c>
      <c r="C57" t="s">
        <v>32</v>
      </c>
      <c r="D57" t="s">
        <v>19</v>
      </c>
      <c r="E57">
        <v>0.45</v>
      </c>
      <c r="F57">
        <v>0.47</v>
      </c>
      <c r="J57">
        <v>0.47</v>
      </c>
      <c r="K57" t="s">
        <v>146</v>
      </c>
    </row>
    <row r="58" spans="2:11">
      <c r="B58" t="s">
        <v>618</v>
      </c>
      <c r="C58" t="s">
        <v>32</v>
      </c>
      <c r="D58" t="s">
        <v>19</v>
      </c>
      <c r="E58">
        <v>40</v>
      </c>
      <c r="F58">
        <v>40</v>
      </c>
      <c r="G58">
        <v>40</v>
      </c>
      <c r="H58">
        <v>40</v>
      </c>
      <c r="I58">
        <v>40</v>
      </c>
      <c r="J58">
        <v>40</v>
      </c>
      <c r="K58" t="s">
        <v>607</v>
      </c>
    </row>
    <row r="59" spans="2:11">
      <c r="B59" t="s">
        <v>618</v>
      </c>
      <c r="C59" t="s">
        <v>32</v>
      </c>
      <c r="D59" t="s">
        <v>19</v>
      </c>
      <c r="E59">
        <v>4</v>
      </c>
      <c r="F59">
        <v>4</v>
      </c>
      <c r="G59">
        <v>4</v>
      </c>
      <c r="H59">
        <v>4</v>
      </c>
      <c r="I59">
        <v>4</v>
      </c>
      <c r="J59">
        <v>4</v>
      </c>
      <c r="K59" t="s">
        <v>608</v>
      </c>
    </row>
    <row r="60" spans="2:11">
      <c r="B60" t="s">
        <v>619</v>
      </c>
      <c r="C60" t="s">
        <v>32</v>
      </c>
      <c r="D60" t="s">
        <v>19</v>
      </c>
      <c r="E60">
        <v>2500</v>
      </c>
      <c r="F60">
        <v>2350</v>
      </c>
      <c r="J60">
        <v>2300</v>
      </c>
      <c r="K60" t="s">
        <v>604</v>
      </c>
    </row>
    <row r="61" spans="2:11">
      <c r="B61" t="s">
        <v>619</v>
      </c>
      <c r="C61" t="s">
        <v>32</v>
      </c>
      <c r="D61" t="s">
        <v>19</v>
      </c>
      <c r="E61">
        <v>95</v>
      </c>
      <c r="F61">
        <v>85</v>
      </c>
      <c r="J61">
        <v>80</v>
      </c>
      <c r="K61" t="s">
        <v>605</v>
      </c>
    </row>
    <row r="62" spans="2:11">
      <c r="B62" t="s">
        <v>619</v>
      </c>
      <c r="C62" t="s">
        <v>32</v>
      </c>
      <c r="D62" t="s">
        <v>19</v>
      </c>
      <c r="E62">
        <v>0.44</v>
      </c>
      <c r="F62">
        <v>0.47</v>
      </c>
      <c r="J62">
        <v>0.49</v>
      </c>
      <c r="K62" t="s">
        <v>146</v>
      </c>
    </row>
    <row r="63" spans="2:11">
      <c r="B63" t="s">
        <v>619</v>
      </c>
      <c r="C63" t="s">
        <v>32</v>
      </c>
      <c r="D63" t="s">
        <v>19</v>
      </c>
      <c r="E63">
        <v>40</v>
      </c>
      <c r="F63">
        <v>40</v>
      </c>
      <c r="G63">
        <v>40</v>
      </c>
      <c r="H63">
        <v>40</v>
      </c>
      <c r="I63">
        <v>40</v>
      </c>
      <c r="J63">
        <v>40</v>
      </c>
      <c r="K63" t="s">
        <v>607</v>
      </c>
    </row>
    <row r="64" spans="2:11">
      <c r="B64" t="s">
        <v>619</v>
      </c>
      <c r="C64" t="s">
        <v>32</v>
      </c>
      <c r="D64" t="s">
        <v>19</v>
      </c>
      <c r="E64">
        <v>4</v>
      </c>
      <c r="F64">
        <v>4</v>
      </c>
      <c r="G64">
        <v>4</v>
      </c>
      <c r="H64">
        <v>4</v>
      </c>
      <c r="I64">
        <v>4</v>
      </c>
      <c r="J64">
        <v>4</v>
      </c>
      <c r="K64" t="s">
        <v>608</v>
      </c>
    </row>
    <row r="65" spans="2:11">
      <c r="B65" t="s">
        <v>620</v>
      </c>
      <c r="C65" t="s">
        <v>32</v>
      </c>
      <c r="D65" t="s">
        <v>615</v>
      </c>
      <c r="E65">
        <v>5500</v>
      </c>
      <c r="F65">
        <v>5500</v>
      </c>
      <c r="J65">
        <v>4500</v>
      </c>
      <c r="K65" t="s">
        <v>604</v>
      </c>
    </row>
    <row r="66" spans="2:11">
      <c r="B66" t="s">
        <v>620</v>
      </c>
      <c r="C66" t="s">
        <v>32</v>
      </c>
      <c r="D66" t="s">
        <v>615</v>
      </c>
      <c r="E66">
        <v>165</v>
      </c>
      <c r="F66">
        <v>165</v>
      </c>
      <c r="J66">
        <v>135</v>
      </c>
      <c r="K66" t="s">
        <v>605</v>
      </c>
    </row>
    <row r="67" spans="2:11">
      <c r="B67" t="s">
        <v>620</v>
      </c>
      <c r="C67" t="s">
        <v>32</v>
      </c>
      <c r="D67" t="s">
        <v>615</v>
      </c>
      <c r="E67">
        <v>4.4779999999999998</v>
      </c>
      <c r="F67">
        <v>4.1529999999999996</v>
      </c>
      <c r="J67">
        <v>3.7309999999999999</v>
      </c>
      <c r="K67" t="s">
        <v>606</v>
      </c>
    </row>
    <row r="68" spans="2:11">
      <c r="B68" t="s">
        <v>620</v>
      </c>
      <c r="C68" t="s">
        <v>32</v>
      </c>
      <c r="D68" t="s">
        <v>615</v>
      </c>
      <c r="E68">
        <v>0.36</v>
      </c>
      <c r="F68">
        <v>0.37</v>
      </c>
      <c r="J68">
        <v>0.37</v>
      </c>
      <c r="K68" t="s">
        <v>146</v>
      </c>
    </row>
    <row r="69" spans="2:11">
      <c r="B69" t="s">
        <v>620</v>
      </c>
      <c r="C69" t="s">
        <v>32</v>
      </c>
      <c r="D69" t="s">
        <v>615</v>
      </c>
      <c r="E69">
        <v>40</v>
      </c>
      <c r="F69">
        <v>40</v>
      </c>
      <c r="G69">
        <v>40</v>
      </c>
      <c r="H69">
        <v>40</v>
      </c>
      <c r="I69">
        <v>40</v>
      </c>
      <c r="J69">
        <v>40</v>
      </c>
      <c r="K69" t="s">
        <v>607</v>
      </c>
    </row>
    <row r="70" spans="2:11">
      <c r="B70" t="s">
        <v>620</v>
      </c>
      <c r="C70" t="s">
        <v>32</v>
      </c>
      <c r="D70" t="s">
        <v>615</v>
      </c>
      <c r="E70">
        <v>5</v>
      </c>
      <c r="F70">
        <v>5</v>
      </c>
      <c r="G70">
        <v>5</v>
      </c>
      <c r="H70">
        <v>5</v>
      </c>
      <c r="I70">
        <v>5</v>
      </c>
      <c r="J70">
        <v>5</v>
      </c>
      <c r="K70" t="s">
        <v>608</v>
      </c>
    </row>
    <row r="71" spans="2:11">
      <c r="B71" t="s">
        <v>621</v>
      </c>
      <c r="C71" t="s">
        <v>32</v>
      </c>
      <c r="D71" t="s">
        <v>615</v>
      </c>
      <c r="E71">
        <v>5850</v>
      </c>
      <c r="F71">
        <v>5700</v>
      </c>
      <c r="J71">
        <v>5150</v>
      </c>
      <c r="K71" t="s">
        <v>604</v>
      </c>
    </row>
    <row r="72" spans="2:11">
      <c r="B72" t="s">
        <v>621</v>
      </c>
      <c r="C72" t="s">
        <v>32</v>
      </c>
      <c r="D72" t="s">
        <v>615</v>
      </c>
      <c r="E72">
        <v>205</v>
      </c>
      <c r="F72">
        <v>200</v>
      </c>
      <c r="J72">
        <v>180</v>
      </c>
      <c r="K72" t="s">
        <v>605</v>
      </c>
    </row>
    <row r="73" spans="2:11">
      <c r="B73" t="s">
        <v>621</v>
      </c>
      <c r="C73" t="s">
        <v>32</v>
      </c>
      <c r="D73" t="s">
        <v>615</v>
      </c>
      <c r="E73">
        <v>4.5830000000000002</v>
      </c>
      <c r="F73">
        <v>4.5830000000000002</v>
      </c>
      <c r="J73">
        <v>4.5830000000000002</v>
      </c>
      <c r="K73" t="s">
        <v>606</v>
      </c>
    </row>
    <row r="74" spans="2:11">
      <c r="B74" t="s">
        <v>621</v>
      </c>
      <c r="C74" t="s">
        <v>32</v>
      </c>
      <c r="D74" t="s">
        <v>615</v>
      </c>
      <c r="E74">
        <v>0.35</v>
      </c>
      <c r="F74">
        <v>0.36</v>
      </c>
      <c r="J74">
        <v>0.39</v>
      </c>
      <c r="K74" t="s">
        <v>146</v>
      </c>
    </row>
    <row r="75" spans="2:11">
      <c r="B75" t="s">
        <v>621</v>
      </c>
      <c r="C75" t="s">
        <v>32</v>
      </c>
      <c r="D75" t="s">
        <v>615</v>
      </c>
      <c r="E75">
        <v>40</v>
      </c>
      <c r="F75">
        <v>40</v>
      </c>
      <c r="G75">
        <v>40</v>
      </c>
      <c r="H75">
        <v>40</v>
      </c>
      <c r="I75">
        <v>40</v>
      </c>
      <c r="J75">
        <v>40</v>
      </c>
      <c r="K75" t="s">
        <v>607</v>
      </c>
    </row>
    <row r="76" spans="2:11">
      <c r="B76" t="s">
        <v>621</v>
      </c>
      <c r="C76" t="s">
        <v>32</v>
      </c>
      <c r="D76" t="s">
        <v>615</v>
      </c>
      <c r="E76">
        <v>5</v>
      </c>
      <c r="F76">
        <v>5</v>
      </c>
      <c r="G76">
        <v>5</v>
      </c>
      <c r="H76">
        <v>5</v>
      </c>
      <c r="I76">
        <v>5</v>
      </c>
      <c r="J76">
        <v>5</v>
      </c>
      <c r="K76" t="s">
        <v>608</v>
      </c>
    </row>
    <row r="77" spans="2:11">
      <c r="B77" t="s">
        <v>622</v>
      </c>
      <c r="C77" t="s">
        <v>32</v>
      </c>
      <c r="D77" t="s">
        <v>615</v>
      </c>
      <c r="E77">
        <v>5700</v>
      </c>
      <c r="F77">
        <v>5700</v>
      </c>
      <c r="J77">
        <v>5150</v>
      </c>
      <c r="K77" t="s">
        <v>604</v>
      </c>
    </row>
    <row r="78" spans="2:11">
      <c r="B78" t="s">
        <v>622</v>
      </c>
      <c r="C78" t="s">
        <v>32</v>
      </c>
      <c r="D78" t="s">
        <v>615</v>
      </c>
      <c r="E78">
        <v>170</v>
      </c>
      <c r="F78">
        <v>170</v>
      </c>
      <c r="J78">
        <v>155</v>
      </c>
      <c r="K78" t="s">
        <v>605</v>
      </c>
    </row>
    <row r="79" spans="2:11">
      <c r="B79" t="s">
        <v>622</v>
      </c>
      <c r="C79" t="s">
        <v>32</v>
      </c>
      <c r="D79" t="s">
        <v>615</v>
      </c>
      <c r="E79">
        <v>4.306</v>
      </c>
      <c r="F79">
        <v>4.306</v>
      </c>
      <c r="J79">
        <v>4.306</v>
      </c>
      <c r="K79" t="s">
        <v>606</v>
      </c>
    </row>
    <row r="80" spans="2:11">
      <c r="B80" t="s">
        <v>622</v>
      </c>
      <c r="C80" t="s">
        <v>32</v>
      </c>
      <c r="D80" t="s">
        <v>615</v>
      </c>
      <c r="E80">
        <v>0.36</v>
      </c>
      <c r="F80">
        <v>0.37</v>
      </c>
      <c r="J80">
        <v>0.37</v>
      </c>
      <c r="K80" t="s">
        <v>146</v>
      </c>
    </row>
    <row r="81" spans="2:11">
      <c r="B81" t="s">
        <v>622</v>
      </c>
      <c r="C81" t="s">
        <v>32</v>
      </c>
      <c r="D81" t="s">
        <v>615</v>
      </c>
      <c r="E81">
        <v>40</v>
      </c>
      <c r="F81">
        <v>40</v>
      </c>
      <c r="G81">
        <v>40</v>
      </c>
      <c r="H81">
        <v>40</v>
      </c>
      <c r="I81">
        <v>40</v>
      </c>
      <c r="J81">
        <v>40</v>
      </c>
      <c r="K81" t="s">
        <v>607</v>
      </c>
    </row>
    <row r="82" spans="2:11">
      <c r="B82" t="s">
        <v>622</v>
      </c>
      <c r="C82" t="s">
        <v>32</v>
      </c>
      <c r="D82" t="s">
        <v>615</v>
      </c>
      <c r="E82">
        <v>5</v>
      </c>
      <c r="F82">
        <v>5</v>
      </c>
      <c r="G82">
        <v>5</v>
      </c>
      <c r="H82">
        <v>5</v>
      </c>
      <c r="I82">
        <v>5</v>
      </c>
      <c r="J82">
        <v>5</v>
      </c>
      <c r="K82" t="s">
        <v>608</v>
      </c>
    </row>
    <row r="83" spans="2:11">
      <c r="B83" t="s">
        <v>623</v>
      </c>
      <c r="C83" t="s">
        <v>36</v>
      </c>
      <c r="D83" t="s">
        <v>19</v>
      </c>
      <c r="E83">
        <v>6600</v>
      </c>
      <c r="F83">
        <v>5100</v>
      </c>
      <c r="J83">
        <v>4500</v>
      </c>
      <c r="K83" t="s">
        <v>604</v>
      </c>
    </row>
    <row r="84" spans="2:11">
      <c r="B84" t="s">
        <v>623</v>
      </c>
      <c r="C84" t="s">
        <v>36</v>
      </c>
      <c r="D84" t="s">
        <v>19</v>
      </c>
      <c r="E84">
        <v>160</v>
      </c>
      <c r="F84">
        <v>160</v>
      </c>
      <c r="J84">
        <v>160</v>
      </c>
      <c r="K84" t="s">
        <v>605</v>
      </c>
    </row>
    <row r="85" spans="2:11">
      <c r="B85" t="s">
        <v>623</v>
      </c>
      <c r="C85" t="s">
        <v>36</v>
      </c>
      <c r="D85" t="s">
        <v>19</v>
      </c>
      <c r="F85">
        <v>0.77800000000000002</v>
      </c>
      <c r="J85">
        <v>0.77800000000000002</v>
      </c>
      <c r="K85" t="s">
        <v>606</v>
      </c>
    </row>
    <row r="86" spans="2:11">
      <c r="B86" t="s">
        <v>623</v>
      </c>
      <c r="C86" t="s">
        <v>36</v>
      </c>
      <c r="D86" t="s">
        <v>19</v>
      </c>
      <c r="E86">
        <v>60</v>
      </c>
      <c r="F86">
        <v>60</v>
      </c>
      <c r="G86">
        <v>60</v>
      </c>
      <c r="H86">
        <v>60</v>
      </c>
      <c r="I86">
        <v>60</v>
      </c>
      <c r="J86">
        <v>60</v>
      </c>
      <c r="K86" t="s">
        <v>607</v>
      </c>
    </row>
    <row r="87" spans="2:11">
      <c r="B87" t="s">
        <v>623</v>
      </c>
      <c r="C87" t="s">
        <v>36</v>
      </c>
      <c r="D87" t="s">
        <v>19</v>
      </c>
      <c r="E87">
        <v>7</v>
      </c>
      <c r="F87">
        <v>7</v>
      </c>
      <c r="G87">
        <v>7</v>
      </c>
      <c r="H87">
        <v>7</v>
      </c>
      <c r="I87">
        <v>7</v>
      </c>
      <c r="J87">
        <v>7</v>
      </c>
      <c r="K87" t="s">
        <v>608</v>
      </c>
    </row>
    <row r="88" spans="2:11">
      <c r="B88" t="s">
        <v>624</v>
      </c>
      <c r="C88" t="s">
        <v>36</v>
      </c>
      <c r="D88" t="s">
        <v>19</v>
      </c>
      <c r="F88">
        <v>10253.1</v>
      </c>
      <c r="G88">
        <v>7863</v>
      </c>
      <c r="H88">
        <v>6373.8</v>
      </c>
      <c r="I88">
        <v>5480.2</v>
      </c>
      <c r="J88">
        <v>4884.6000000000004</v>
      </c>
      <c r="K88" t="s">
        <v>604</v>
      </c>
    </row>
    <row r="89" spans="2:11">
      <c r="B89" t="s">
        <v>624</v>
      </c>
      <c r="C89" t="s">
        <v>36</v>
      </c>
      <c r="D89" t="s">
        <v>19</v>
      </c>
      <c r="F89">
        <v>144.5</v>
      </c>
      <c r="G89">
        <v>136</v>
      </c>
      <c r="H89">
        <v>136</v>
      </c>
      <c r="I89">
        <v>136</v>
      </c>
      <c r="J89">
        <v>136</v>
      </c>
      <c r="K89" t="s">
        <v>605</v>
      </c>
    </row>
    <row r="90" spans="2:11">
      <c r="B90" t="s">
        <v>624</v>
      </c>
      <c r="C90" t="s">
        <v>36</v>
      </c>
      <c r="D90" t="s">
        <v>19</v>
      </c>
      <c r="F90">
        <v>0.72199999999999998</v>
      </c>
      <c r="G90">
        <v>0.72199999999999998</v>
      </c>
      <c r="H90">
        <v>0.72199999999999998</v>
      </c>
      <c r="I90">
        <v>0.72199999999999998</v>
      </c>
      <c r="J90">
        <v>0.72199999999999998</v>
      </c>
      <c r="K90" t="s">
        <v>606</v>
      </c>
    </row>
    <row r="91" spans="2:11">
      <c r="B91" t="s">
        <v>624</v>
      </c>
      <c r="C91" t="s">
        <v>36</v>
      </c>
      <c r="D91" t="s">
        <v>19</v>
      </c>
      <c r="E91">
        <v>40</v>
      </c>
      <c r="F91">
        <v>40</v>
      </c>
      <c r="G91">
        <v>40</v>
      </c>
      <c r="H91">
        <v>40</v>
      </c>
      <c r="I91">
        <v>40</v>
      </c>
      <c r="J91">
        <v>40</v>
      </c>
      <c r="K91" t="s">
        <v>607</v>
      </c>
    </row>
    <row r="92" spans="2:11">
      <c r="B92" t="s">
        <v>624</v>
      </c>
      <c r="C92" t="s">
        <v>36</v>
      </c>
      <c r="D92" t="s">
        <v>19</v>
      </c>
      <c r="E92">
        <v>3</v>
      </c>
      <c r="F92">
        <v>3</v>
      </c>
      <c r="G92">
        <v>3</v>
      </c>
      <c r="H92">
        <v>3</v>
      </c>
      <c r="I92">
        <v>3</v>
      </c>
      <c r="J92">
        <v>3</v>
      </c>
      <c r="K92" t="s">
        <v>608</v>
      </c>
    </row>
    <row r="93" spans="2:11">
      <c r="B93" t="s">
        <v>625</v>
      </c>
      <c r="C93" t="s">
        <v>31</v>
      </c>
      <c r="D93" t="s">
        <v>19</v>
      </c>
      <c r="E93">
        <v>2400</v>
      </c>
      <c r="F93">
        <v>2350</v>
      </c>
      <c r="J93">
        <v>2300</v>
      </c>
      <c r="K93" t="s">
        <v>604</v>
      </c>
    </row>
    <row r="94" spans="2:11">
      <c r="B94" t="s">
        <v>625</v>
      </c>
      <c r="C94" t="s">
        <v>31</v>
      </c>
      <c r="D94" t="s">
        <v>19</v>
      </c>
      <c r="E94">
        <v>85</v>
      </c>
      <c r="F94">
        <v>80</v>
      </c>
      <c r="J94">
        <v>80</v>
      </c>
      <c r="K94" t="s">
        <v>605</v>
      </c>
    </row>
    <row r="95" spans="2:11">
      <c r="B95" t="s">
        <v>625</v>
      </c>
      <c r="C95" t="s">
        <v>31</v>
      </c>
      <c r="D95" t="s">
        <v>19</v>
      </c>
      <c r="E95">
        <v>1.4570000000000001</v>
      </c>
      <c r="F95">
        <v>1.4570000000000001</v>
      </c>
      <c r="J95">
        <v>1.4570000000000001</v>
      </c>
      <c r="K95" t="s">
        <v>606</v>
      </c>
    </row>
    <row r="96" spans="2:11">
      <c r="B96" t="s">
        <v>625</v>
      </c>
      <c r="C96" t="s">
        <v>31</v>
      </c>
      <c r="D96" t="s">
        <v>19</v>
      </c>
      <c r="E96">
        <v>0.35</v>
      </c>
      <c r="F96">
        <v>0.35</v>
      </c>
      <c r="J96">
        <v>0.35</v>
      </c>
      <c r="K96" t="s">
        <v>146</v>
      </c>
    </row>
    <row r="97" spans="2:11">
      <c r="B97" t="s">
        <v>625</v>
      </c>
      <c r="C97" t="s">
        <v>31</v>
      </c>
      <c r="D97" t="s">
        <v>19</v>
      </c>
      <c r="E97">
        <v>0.6</v>
      </c>
      <c r="F97">
        <v>0.6</v>
      </c>
      <c r="J97">
        <v>0.6</v>
      </c>
      <c r="K97" t="s">
        <v>626</v>
      </c>
    </row>
    <row r="98" spans="2:11">
      <c r="B98" t="s">
        <v>625</v>
      </c>
      <c r="C98" t="s">
        <v>31</v>
      </c>
      <c r="D98" t="s">
        <v>19</v>
      </c>
      <c r="E98">
        <v>45</v>
      </c>
      <c r="F98">
        <v>45</v>
      </c>
      <c r="G98">
        <v>45</v>
      </c>
      <c r="H98">
        <v>45</v>
      </c>
      <c r="I98">
        <v>45</v>
      </c>
      <c r="J98">
        <v>45</v>
      </c>
      <c r="K98" t="s">
        <v>607</v>
      </c>
    </row>
    <row r="99" spans="2:11">
      <c r="B99" t="s">
        <v>625</v>
      </c>
      <c r="C99" t="s">
        <v>31</v>
      </c>
      <c r="D99" t="s">
        <v>19</v>
      </c>
      <c r="E99">
        <v>3</v>
      </c>
      <c r="F99">
        <v>3</v>
      </c>
      <c r="G99">
        <v>3</v>
      </c>
      <c r="H99">
        <v>3</v>
      </c>
      <c r="I99">
        <v>3</v>
      </c>
      <c r="J99">
        <v>3</v>
      </c>
      <c r="K99" t="s">
        <v>608</v>
      </c>
    </row>
    <row r="100" spans="2:11">
      <c r="B100" t="s">
        <v>627</v>
      </c>
      <c r="C100" t="s">
        <v>31</v>
      </c>
      <c r="D100" t="s">
        <v>19</v>
      </c>
      <c r="E100">
        <v>600</v>
      </c>
      <c r="F100">
        <v>575</v>
      </c>
      <c r="J100">
        <v>575</v>
      </c>
      <c r="K100" t="s">
        <v>604</v>
      </c>
    </row>
    <row r="101" spans="2:11">
      <c r="B101" t="s">
        <v>627</v>
      </c>
      <c r="C101" t="s">
        <v>31</v>
      </c>
      <c r="D101" t="s">
        <v>19</v>
      </c>
      <c r="E101">
        <v>25</v>
      </c>
      <c r="F101">
        <v>20</v>
      </c>
      <c r="J101">
        <v>20</v>
      </c>
      <c r="K101" t="s">
        <v>605</v>
      </c>
    </row>
    <row r="102" spans="2:11">
      <c r="B102" t="s">
        <v>627</v>
      </c>
      <c r="C102" t="s">
        <v>31</v>
      </c>
      <c r="D102" t="s">
        <v>19</v>
      </c>
      <c r="E102">
        <v>1.111</v>
      </c>
      <c r="F102">
        <v>1.111</v>
      </c>
      <c r="J102">
        <v>1.111</v>
      </c>
      <c r="K102" t="s">
        <v>606</v>
      </c>
    </row>
    <row r="103" spans="2:11">
      <c r="B103" t="s">
        <v>627</v>
      </c>
      <c r="C103" t="s">
        <v>31</v>
      </c>
      <c r="D103" t="s">
        <v>19</v>
      </c>
      <c r="E103">
        <v>0.37</v>
      </c>
      <c r="F103">
        <v>0.37</v>
      </c>
      <c r="J103">
        <v>0.37</v>
      </c>
      <c r="K103" t="s">
        <v>146</v>
      </c>
    </row>
    <row r="104" spans="2:11">
      <c r="B104" t="s">
        <v>627</v>
      </c>
      <c r="C104" t="s">
        <v>31</v>
      </c>
      <c r="D104" t="s">
        <v>19</v>
      </c>
      <c r="E104">
        <v>0.6</v>
      </c>
      <c r="F104">
        <v>0.6</v>
      </c>
      <c r="J104">
        <v>0.6</v>
      </c>
      <c r="K104" t="s">
        <v>626</v>
      </c>
    </row>
    <row r="105" spans="2:11">
      <c r="B105" t="s">
        <v>627</v>
      </c>
      <c r="C105" t="s">
        <v>31</v>
      </c>
      <c r="D105" t="s">
        <v>19</v>
      </c>
      <c r="E105">
        <v>40</v>
      </c>
      <c r="F105">
        <v>40</v>
      </c>
      <c r="G105">
        <v>40</v>
      </c>
      <c r="H105">
        <v>40</v>
      </c>
      <c r="I105">
        <v>40</v>
      </c>
      <c r="J105">
        <v>40</v>
      </c>
      <c r="K105" t="s">
        <v>607</v>
      </c>
    </row>
    <row r="106" spans="2:11">
      <c r="B106" t="s">
        <v>627</v>
      </c>
      <c r="C106" t="s">
        <v>31</v>
      </c>
      <c r="D106" t="s">
        <v>19</v>
      </c>
      <c r="E106">
        <v>2</v>
      </c>
      <c r="F106">
        <v>2</v>
      </c>
      <c r="G106">
        <v>2</v>
      </c>
      <c r="H106">
        <v>2</v>
      </c>
      <c r="I106">
        <v>2</v>
      </c>
      <c r="J106">
        <v>2</v>
      </c>
      <c r="K106" t="s">
        <v>608</v>
      </c>
    </row>
    <row r="107" spans="2:11">
      <c r="B107" t="s">
        <v>628</v>
      </c>
      <c r="C107" t="s">
        <v>31</v>
      </c>
      <c r="D107" t="s">
        <v>611</v>
      </c>
      <c r="E107">
        <v>3750</v>
      </c>
      <c r="F107">
        <v>3650</v>
      </c>
      <c r="J107">
        <v>3550</v>
      </c>
      <c r="K107" t="s">
        <v>604</v>
      </c>
    </row>
    <row r="108" spans="2:11">
      <c r="B108" t="s">
        <v>628</v>
      </c>
      <c r="C108" t="s">
        <v>31</v>
      </c>
      <c r="D108" t="s">
        <v>611</v>
      </c>
      <c r="E108">
        <v>140</v>
      </c>
      <c r="F108">
        <v>140</v>
      </c>
      <c r="J108">
        <v>130</v>
      </c>
      <c r="K108" t="s">
        <v>605</v>
      </c>
    </row>
    <row r="109" spans="2:11">
      <c r="B109" t="s">
        <v>628</v>
      </c>
      <c r="C109" t="s">
        <v>31</v>
      </c>
      <c r="D109" t="s">
        <v>611</v>
      </c>
      <c r="E109">
        <v>1.667</v>
      </c>
      <c r="F109">
        <v>1.667</v>
      </c>
      <c r="J109">
        <v>1.667</v>
      </c>
      <c r="K109" t="s">
        <v>606</v>
      </c>
    </row>
    <row r="110" spans="2:11">
      <c r="B110" t="s">
        <v>628</v>
      </c>
      <c r="C110" t="s">
        <v>31</v>
      </c>
      <c r="D110" t="s">
        <v>611</v>
      </c>
      <c r="E110">
        <v>0.38500000000000001</v>
      </c>
      <c r="F110">
        <v>0.38500000000000001</v>
      </c>
      <c r="J110">
        <v>0.38500000000000001</v>
      </c>
      <c r="K110" t="s">
        <v>146</v>
      </c>
    </row>
    <row r="111" spans="2:11">
      <c r="B111" t="s">
        <v>628</v>
      </c>
      <c r="C111" t="s">
        <v>31</v>
      </c>
      <c r="D111" t="s">
        <v>611</v>
      </c>
      <c r="E111">
        <v>0.7</v>
      </c>
      <c r="F111">
        <v>0.7</v>
      </c>
      <c r="J111">
        <v>0.7</v>
      </c>
      <c r="K111" t="s">
        <v>626</v>
      </c>
    </row>
    <row r="112" spans="2:11">
      <c r="B112" t="s">
        <v>628</v>
      </c>
      <c r="C112" t="s">
        <v>31</v>
      </c>
      <c r="D112" t="s">
        <v>611</v>
      </c>
      <c r="E112">
        <v>25</v>
      </c>
      <c r="F112">
        <v>25</v>
      </c>
      <c r="G112">
        <v>25</v>
      </c>
      <c r="H112">
        <v>25</v>
      </c>
      <c r="I112">
        <v>25</v>
      </c>
      <c r="J112">
        <v>25</v>
      </c>
      <c r="K112" t="s">
        <v>607</v>
      </c>
    </row>
    <row r="113" spans="2:11">
      <c r="B113" t="s">
        <v>628</v>
      </c>
      <c r="C113" t="s">
        <v>31</v>
      </c>
      <c r="D113" t="s">
        <v>611</v>
      </c>
      <c r="E113">
        <v>2</v>
      </c>
      <c r="F113">
        <v>2</v>
      </c>
      <c r="G113">
        <v>2</v>
      </c>
      <c r="H113">
        <v>2</v>
      </c>
      <c r="I113">
        <v>2</v>
      </c>
      <c r="J113">
        <v>2</v>
      </c>
      <c r="K113" t="s">
        <v>608</v>
      </c>
    </row>
    <row r="114" spans="2:11">
      <c r="B114" t="s">
        <v>628</v>
      </c>
      <c r="C114" t="s">
        <v>31</v>
      </c>
      <c r="D114" t="s">
        <v>611</v>
      </c>
      <c r="E114">
        <v>0.8</v>
      </c>
      <c r="F114">
        <v>0.8</v>
      </c>
      <c r="G114">
        <v>0.8</v>
      </c>
      <c r="H114">
        <v>0.8</v>
      </c>
      <c r="I114">
        <v>0.8</v>
      </c>
      <c r="J114">
        <v>0.8</v>
      </c>
      <c r="K114" t="s">
        <v>612</v>
      </c>
    </row>
    <row r="115" spans="2:11">
      <c r="B115" t="s">
        <v>629</v>
      </c>
      <c r="C115" t="s">
        <v>31</v>
      </c>
      <c r="D115" t="s">
        <v>615</v>
      </c>
      <c r="E115">
        <v>5750</v>
      </c>
      <c r="F115">
        <v>5700</v>
      </c>
      <c r="J115">
        <v>5100</v>
      </c>
      <c r="K115" t="s">
        <v>604</v>
      </c>
    </row>
    <row r="116" spans="2:11">
      <c r="B116" t="s">
        <v>629</v>
      </c>
      <c r="C116" t="s">
        <v>31</v>
      </c>
      <c r="D116" t="s">
        <v>615</v>
      </c>
      <c r="E116">
        <v>205</v>
      </c>
      <c r="F116">
        <v>200</v>
      </c>
      <c r="J116">
        <v>180</v>
      </c>
      <c r="K116" t="s">
        <v>605</v>
      </c>
    </row>
    <row r="117" spans="2:11">
      <c r="B117" t="s">
        <v>629</v>
      </c>
      <c r="C117" t="s">
        <v>31</v>
      </c>
      <c r="D117" t="s">
        <v>615</v>
      </c>
      <c r="E117">
        <v>2.3610000000000002</v>
      </c>
      <c r="F117">
        <v>2.3610000000000002</v>
      </c>
      <c r="J117">
        <v>2.3610000000000002</v>
      </c>
      <c r="K117" t="s">
        <v>606</v>
      </c>
    </row>
    <row r="118" spans="2:11">
      <c r="B118" t="s">
        <v>629</v>
      </c>
      <c r="C118" t="s">
        <v>31</v>
      </c>
      <c r="D118" t="s">
        <v>615</v>
      </c>
      <c r="E118">
        <v>0.3</v>
      </c>
      <c r="F118">
        <v>0.3</v>
      </c>
      <c r="J118">
        <v>0.3</v>
      </c>
      <c r="K118" t="s">
        <v>146</v>
      </c>
    </row>
    <row r="119" spans="2:11">
      <c r="B119" t="s">
        <v>629</v>
      </c>
      <c r="C119" t="s">
        <v>31</v>
      </c>
      <c r="D119" t="s">
        <v>615</v>
      </c>
      <c r="E119">
        <v>0.6</v>
      </c>
      <c r="F119">
        <v>0.6</v>
      </c>
      <c r="J119">
        <v>0.6</v>
      </c>
      <c r="K119" t="s">
        <v>626</v>
      </c>
    </row>
    <row r="120" spans="2:11">
      <c r="B120" t="s">
        <v>629</v>
      </c>
      <c r="C120" t="s">
        <v>31</v>
      </c>
      <c r="D120" t="s">
        <v>615</v>
      </c>
      <c r="E120">
        <v>30</v>
      </c>
      <c r="F120">
        <v>30</v>
      </c>
      <c r="G120">
        <v>30</v>
      </c>
      <c r="H120">
        <v>30</v>
      </c>
      <c r="I120">
        <v>30</v>
      </c>
      <c r="J120">
        <v>30</v>
      </c>
      <c r="K120" t="s">
        <v>607</v>
      </c>
    </row>
    <row r="121" spans="2:11">
      <c r="B121" t="s">
        <v>629</v>
      </c>
      <c r="C121" t="s">
        <v>31</v>
      </c>
      <c r="D121" t="s">
        <v>615</v>
      </c>
      <c r="E121">
        <v>3</v>
      </c>
      <c r="F121">
        <v>3</v>
      </c>
      <c r="G121">
        <v>3</v>
      </c>
      <c r="H121">
        <v>3</v>
      </c>
      <c r="I121">
        <v>3</v>
      </c>
      <c r="J121">
        <v>3</v>
      </c>
      <c r="K121" t="s">
        <v>608</v>
      </c>
    </row>
    <row r="122" spans="2:11">
      <c r="B122" t="s">
        <v>630</v>
      </c>
      <c r="C122" t="s">
        <v>34</v>
      </c>
      <c r="D122" t="s">
        <v>19</v>
      </c>
      <c r="E122">
        <v>2850</v>
      </c>
      <c r="F122">
        <v>2750</v>
      </c>
      <c r="J122">
        <v>2550</v>
      </c>
      <c r="K122" t="s">
        <v>604</v>
      </c>
    </row>
    <row r="123" spans="2:11">
      <c r="B123" t="s">
        <v>630</v>
      </c>
      <c r="C123" t="s">
        <v>34</v>
      </c>
      <c r="D123" t="s">
        <v>19</v>
      </c>
      <c r="E123">
        <v>55</v>
      </c>
      <c r="F123">
        <v>55</v>
      </c>
      <c r="J123">
        <v>50</v>
      </c>
      <c r="K123" t="s">
        <v>605</v>
      </c>
    </row>
    <row r="124" spans="2:11">
      <c r="B124" t="s">
        <v>630</v>
      </c>
      <c r="C124" t="s">
        <v>34</v>
      </c>
      <c r="D124" t="s">
        <v>19</v>
      </c>
      <c r="E124">
        <v>0</v>
      </c>
      <c r="F124">
        <v>0</v>
      </c>
      <c r="J124">
        <v>0</v>
      </c>
      <c r="K124" t="s">
        <v>606</v>
      </c>
    </row>
    <row r="125" spans="2:11">
      <c r="B125" t="s">
        <v>630</v>
      </c>
      <c r="C125" t="s">
        <v>34</v>
      </c>
      <c r="D125" t="s">
        <v>19</v>
      </c>
      <c r="E125">
        <v>0.1</v>
      </c>
      <c r="F125">
        <v>0.1</v>
      </c>
      <c r="J125">
        <v>0.1</v>
      </c>
      <c r="K125" t="s">
        <v>146</v>
      </c>
    </row>
    <row r="126" spans="2:11">
      <c r="B126" t="s">
        <v>630</v>
      </c>
      <c r="C126" t="s">
        <v>34</v>
      </c>
      <c r="D126" t="s">
        <v>19</v>
      </c>
      <c r="E126">
        <v>0.85</v>
      </c>
      <c r="F126">
        <v>0.85</v>
      </c>
      <c r="J126">
        <v>0.85</v>
      </c>
      <c r="K126" t="s">
        <v>626</v>
      </c>
    </row>
    <row r="127" spans="2:11">
      <c r="B127" t="s">
        <v>630</v>
      </c>
      <c r="C127" t="s">
        <v>34</v>
      </c>
      <c r="D127" t="s">
        <v>19</v>
      </c>
      <c r="E127">
        <v>30</v>
      </c>
      <c r="F127">
        <v>30</v>
      </c>
      <c r="G127">
        <v>30</v>
      </c>
      <c r="H127">
        <v>30</v>
      </c>
      <c r="I127">
        <v>30</v>
      </c>
      <c r="J127">
        <v>30</v>
      </c>
      <c r="K127" t="s">
        <v>607</v>
      </c>
    </row>
    <row r="128" spans="2:11">
      <c r="B128" t="s">
        <v>630</v>
      </c>
      <c r="C128" t="s">
        <v>34</v>
      </c>
      <c r="D128" t="s">
        <v>19</v>
      </c>
      <c r="E128">
        <v>4</v>
      </c>
      <c r="F128">
        <v>4</v>
      </c>
      <c r="G128">
        <v>4</v>
      </c>
      <c r="H128">
        <v>4</v>
      </c>
      <c r="I128">
        <v>4</v>
      </c>
      <c r="J128">
        <v>4</v>
      </c>
      <c r="K128" t="s">
        <v>608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misc</vt:lpstr>
      <vt:lpstr>ELC_Storage</vt:lpstr>
      <vt:lpstr>EV Battery</vt:lpstr>
      <vt:lpstr>H2 prod</vt:lpstr>
      <vt:lpstr>solar</vt:lpstr>
      <vt:lpstr>wind</vt:lpstr>
      <vt:lpstr>conventional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2026-07-09T08:17:09Z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