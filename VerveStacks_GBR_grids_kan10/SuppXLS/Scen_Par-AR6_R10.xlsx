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_grids_kan10\SuppXLS\"/>
    </mc:Choice>
  </mc:AlternateContent>
  <xr:revisionPtr revIDLastSave="0" documentId="13_ncr:1_{1522A562-3D55-43DA-B609-42C1B802CAC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O15" i="1"/>
  <c r="N15" i="1"/>
  <c r="M15" i="1"/>
  <c r="L15" i="1"/>
  <c r="K15" i="1"/>
  <c r="J15" i="1"/>
  <c r="I15" i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W23" i="1" l="1"/>
  <c r="T23" i="1"/>
  <c r="U23" i="1"/>
  <c r="V23" i="1"/>
  <c r="Z23" i="1"/>
  <c r="Y23" i="1"/>
  <c r="X2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J14" i="1" l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V19" i="1" s="1"/>
  <c r="I19" i="1"/>
  <c r="T19" i="1" s="1"/>
  <c r="O21" i="1"/>
  <c r="N18" i="1"/>
  <c r="Y18" i="1" s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U20" i="1" l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V22" i="1"/>
  <c r="X22" i="1"/>
  <c r="Y22" i="1"/>
  <c r="Z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<sst xmlns="http://schemas.openxmlformats.org/spreadsheetml/2006/main" count="1717" uniqueCount="126">
  <si>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</si>
  <si>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</si>
  <si>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</si>
  <si>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</si>
  <si>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</si>
  <si>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</si>
  <si>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</si>
  <si>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</si>
  <si>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</si>
  <si>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</si>
  <si>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</si>
  <si>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</si>
  <si>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</si>
  <si>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</si>
  <si>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</si>
  <si>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</si>
  <si>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</si>
  <si>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</si>
  <si>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</si>
  <si>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</si>
  <si>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</si>
  <si>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</si>
  <si>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</si>
  <si>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</si>
  <si>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</si>
  <si>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</si>
  <si>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</si>
  <si>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</si>
  <si>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</si>
  <si>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</si>
  <si>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</si>
  <si>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</si>
  <si>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</si>
  <si>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</si>
  <si>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</si>
  <si>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</si>
  <si>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</si>
  <si>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</si>
  <si>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</si>
  <si>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</si>
  <si>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</si>
  <si>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</si>
  <si>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</si>
  <si>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</si>
  <si>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</si>
  <si>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</si>
  <si>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</si>
  <si>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</si>
  <si>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</si>
  <si>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</si>
  <si>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</si>
  <si>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</si>
  <si>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</si>
  <si>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</si>
  <si>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</si>
  <si>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</si>
  <si>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</si>
  <si>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</si>
  <si>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</si>
  <si>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</si>
  <si>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</si>
  <si>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</si>
  <si>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</si>
  <si>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</si>
  <si>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</si>
  <si>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</si>
  <si>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</si>
  <si>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</si>
  <si>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</si>
  <si>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</si>
  <si>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</si>
  <si>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</si>
  <si>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</si>
  <si>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</si>
  <si>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</si>
  <si>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</si>
  <si>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</si>
  <si>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</si>
  <si>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</si>
  <si>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</si>
  <si>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</si>
  <si>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</si>
  <si>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</si>
  <si>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</si>
  <si>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</si>
  <si>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</si>
  <si>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</si>
  <si>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</si>
  <si>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</si>
  <si>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</si>
  <si>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</si>
  <si>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</si>
  <si>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</si>
  <si>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</si>
  <si>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</si>
  <si>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</si>
  <si>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</si>
  <si>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</si>
  <si>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</si>
  <si>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</si>
  <si>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</si>
  <si>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</si>
  <si>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</si>
  <si>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</si>
  <si>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</si>
  <si>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</si>
  <si>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</si>
  <si>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</si>
  <si>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</si>
  <si>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</si>
  <si>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</si>
  <si>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</si>
  <si>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</si>
  <si>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</si>
  <si>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</si>
  <si>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</si>
  <si>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</si>
  <si>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</si>
  <si>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</si>
  <si>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</si>
  <si>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</si>
  <si>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</si>
  <si>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</si>
  <si>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</si>
  <si>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GBR</t>
  </si>
  <si>
    <t>NBP gas hub, Drax biomass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</si>
</sst>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316.74999999999994</c:v>
                </c:pt>
                <c:pt idx="1">
                  <c:v>332.58749999999998</c:v>
                </c:pt>
                <c:pt idx="2">
                  <c:v>370.59749999999991</c:v>
                </c:pt>
                <c:pt idx="3">
                  <c:v>408.60749999999996</c:v>
                </c:pt>
                <c:pt idx="4">
                  <c:v>449.78499999999991</c:v>
                </c:pt>
                <c:pt idx="5">
                  <c:v>503.63249999999994</c:v>
                </c:pt>
                <c:pt idx="6">
                  <c:v>547.97749999999985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122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115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116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115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115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115</v>
      </c>
      <c r="E11" s="15">
        <v>200</v>
      </c>
      <c r="S11" s="22">
        <f>SUMIFS(iea_data!I3:I9999,iea_data!$B$3:$B$9999,Veda!$S$10)+T28-T29</f>
        <v>316.74999999999994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115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1.05</v>
      </c>
      <c r="K14" s="11">
        <f>SUMIFS(ar6_r10!$F$2:$F$999,ar6_r10!$A$2:$A$999,$H$14,ar6_r10!$C$2:$C$999,Veda!K$17,ar6_r10!$M$2:$M$999,Veda!$G14)</f>
        <v>1.17</v>
      </c>
      <c r="L14" s="11">
        <f>SUMIFS(ar6_r10!$F$2:$F$999,ar6_r10!$A$2:$A$999,$H$14,ar6_r10!$C$2:$C$999,Veda!L$17,ar6_r10!$M$2:$M$999,Veda!$G14)</f>
        <v>1.29</v>
      </c>
      <c r="M14" s="11">
        <f>SUMIFS(ar6_r10!$F$2:$F$999,ar6_r10!$A$2:$A$999,$H$14,ar6_r10!$C$2:$C$999,Veda!M$17,ar6_r10!$M$2:$M$999,Veda!$G14)</f>
        <v>1.42</v>
      </c>
      <c r="N14" s="11">
        <f>SUMIFS(ar6_r10!$F$2:$F$999,ar6_r10!$A$2:$A$999,$H$14,ar6_r10!$C$2:$C$999,Veda!N$17,ar6_r10!$M$2:$M$999,Veda!$G14)</f>
        <v>1.59</v>
      </c>
      <c r="O14" s="11">
        <f>SUMIFS(ar6_r10!$F$2:$F$999,ar6_r10!$A$2:$A$999,$H$14,ar6_r10!$C$2:$C$999,Veda!O$17,ar6_r10!$M$2:$M$999,Veda!$G14)</f>
        <v>1.73</v>
      </c>
      <c r="T14" s="8">
        <f>S11</f>
        <v>316.74999999999994</v>
      </c>
      <c r="U14" s="8">
        <f t="shared" ref="U14:Z14" si="4">$S$11*J14</f>
        <v>332.58749999999998</v>
      </c>
      <c r="V14" s="8">
        <f t="shared" si="4"/>
        <v>370.59749999999991</v>
      </c>
      <c r="W14" s="8">
        <f t="shared" si="4"/>
        <v>408.60749999999996</v>
      </c>
      <c r="X14" s="8">
        <f t="shared" si="4"/>
        <v>449.78499999999991</v>
      </c>
      <c r="Y14" s="8">
        <f t="shared" si="4"/>
        <v>503.63249999999994</v>
      </c>
      <c r="Z14" s="8">
        <f t="shared" si="4"/>
        <v>547.97749999999985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0.98</v>
      </c>
      <c r="K15" s="11">
        <f>SUMIFS(ar6_r10!$F$2:$F$999,ar6_r10!$A$2:$A$999,$H$14,ar6_r10!$C$2:$C$999,Veda!K$17,ar6_r10!$M$2:$M$999,Veda!$G15)</f>
        <v>0.96</v>
      </c>
      <c r="L15" s="11">
        <f>SUMIFS(ar6_r10!$F$2:$F$999,ar6_r10!$A$2:$A$999,$H$14,ar6_r10!$C$2:$C$999,Veda!L$17,ar6_r10!$M$2:$M$999,Veda!$G15)</f>
        <v>0.92</v>
      </c>
      <c r="M15" s="11">
        <f>SUMIFS(ar6_r10!$F$2:$F$999,ar6_r10!$A$2:$A$999,$H$14,ar6_r10!$C$2:$C$999,Veda!M$17,ar6_r10!$M$2:$M$999,Veda!$G15)</f>
        <v>0.84</v>
      </c>
      <c r="N15" s="11">
        <f>SUMIFS(ar6_r10!$F$2:$F$999,ar6_r10!$A$2:$A$999,$H$14,ar6_r10!$C$2:$C$999,Veda!N$17,ar6_r10!$M$2:$M$999,Veda!$G15)</f>
        <v>0.83</v>
      </c>
      <c r="O15" s="11">
        <f>SUMIFS(ar6_r10!$F$2:$F$999,ar6_r10!$A$2:$A$999,$H$14,ar6_r10!$C$2:$C$999,Veda!O$17,ar6_r10!$M$2:$M$999,Veda!$G15)</f>
        <v>0.8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0.37</v>
      </c>
      <c r="J19" s="11">
        <f>SUMIFS(ar6_r10!$F$2:$F$999,ar6_r10!$A$2:$A$999,$H$14,ar6_r10!$C$2:$C$999,Veda!J$17,ar6_r10!$M$2:$M$999,Veda!$G19)</f>
        <v>0.35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0.33</v>
      </c>
      <c r="M19" s="11">
        <f>SUMIFS(ar6_r10!$F$2:$F$999,ar6_r10!$A$2:$A$999,$H$14,ar6_r10!$C$2:$C$999,Veda!M$17,ar6_r10!$M$2:$M$999,Veda!$G19)</f>
        <v>0.3</v>
      </c>
      <c r="N19" s="11">
        <f>SUMIFS(ar6_r10!$F$2:$F$999,ar6_r10!$A$2:$A$999,$H$14,ar6_r10!$C$2:$C$999,Veda!N$17,ar6_r10!$M$2:$M$999,Veda!$G19)</f>
        <v>0.28999999999999998</v>
      </c>
      <c r="O19" s="11">
        <f>SUMIFS(ar6_r10!$F$2:$F$999,ar6_r10!$A$2:$A$999,$H$14,ar6_r10!$C$2:$C$999,Veda!O$17,ar6_r10!$M$2:$M$999,Veda!$G19)</f>
        <v>0.3</v>
      </c>
      <c r="S19" s="10" t="s">
        <v>19</v>
      </c>
      <c r="T19" s="6">
        <f t="shared" si="7"/>
        <v>117.19749999999998</v>
      </c>
      <c r="U19" s="6">
        <f t="shared" si="7"/>
        <v>116.40562499999999</v>
      </c>
      <c r="V19" s="6">
        <f t="shared" si="7"/>
        <v>126.00314999999998</v>
      </c>
      <c r="W19" s="6">
        <f t="shared" si="7"/>
        <v>134.840475</v>
      </c>
      <c r="X19" s="6">
        <f t="shared" si="7"/>
        <v>134.93549999999996</v>
      </c>
      <c r="Y19" s="6">
        <f t="shared" si="7"/>
        <v>146.05342499999998</v>
      </c>
      <c r="Z19" s="6">
        <f t="shared" si="7"/>
        <v>164.39324999999994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0.59</v>
      </c>
      <c r="J20" s="11">
        <f>SUMIFS(ar6_r10!$F$2:$F$999,ar6_r10!$A$2:$A$999,$H$14,ar6_r10!$C$2:$C$999,Veda!J$17,ar6_r10!$M$2:$M$999,Veda!$G20)</f>
        <v>0.59</v>
      </c>
      <c r="K20" s="11">
        <f>SUMIFS(ar6_r10!$F$2:$F$999,ar6_r10!$A$2:$A$999,$H$14,ar6_r10!$C$2:$C$999,Veda!K$17,ar6_r10!$M$2:$M$999,Veda!$G20)</f>
        <v>0.59</v>
      </c>
      <c r="L20" s="11">
        <f>SUMIFS(ar6_r10!$F$2:$F$999,ar6_r10!$A$2:$A$999,$H$14,ar6_r10!$C$2:$C$999,Veda!L$17,ar6_r10!$M$2:$M$999,Veda!$G20)</f>
        <v>0.57999999999999996</v>
      </c>
      <c r="M20" s="11">
        <f>SUMIFS(ar6_r10!$F$2:$F$999,ar6_r10!$A$2:$A$999,$H$14,ar6_r10!$C$2:$C$999,Veda!M$17,ar6_r10!$M$2:$M$999,Veda!$G20)</f>
        <v>0.57999999999999996</v>
      </c>
      <c r="N20" s="11">
        <f>SUMIFS(ar6_r10!$F$2:$F$999,ar6_r10!$A$2:$A$999,$H$14,ar6_r10!$C$2:$C$999,Veda!N$17,ar6_r10!$M$2:$M$999,Veda!$G20)</f>
        <v>0.56000000000000005</v>
      </c>
      <c r="O20" s="11">
        <f>SUMIFS(ar6_r10!$F$2:$F$999,ar6_r10!$A$2:$A$999,$H$14,ar6_r10!$C$2:$C$999,Veda!O$17,ar6_r10!$M$2:$M$999,Veda!$G20)</f>
        <v>0.54</v>
      </c>
      <c r="S20" s="10" t="s">
        <v>22</v>
      </c>
      <c r="T20" s="6">
        <f t="shared" si="7"/>
        <v>186.88249999999996</v>
      </c>
      <c r="U20" s="6">
        <f t="shared" si="7"/>
        <v>196.22662499999998</v>
      </c>
      <c r="V20" s="6">
        <f t="shared" si="7"/>
        <v>218.65252499999994</v>
      </c>
      <c r="W20" s="6">
        <f t="shared" si="7"/>
        <v>236.99234999999996</v>
      </c>
      <c r="X20" s="6">
        <f t="shared" si="7"/>
        <v>260.87529999999992</v>
      </c>
      <c r="Y20" s="6">
        <f t="shared" si="7"/>
        <v>282.0342</v>
      </c>
      <c r="Z20" s="6">
        <f t="shared" si="7"/>
        <v>295.90784999999994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0.03</v>
      </c>
      <c r="J21" s="11">
        <f>SUMIFS(ar6_r10!$F$2:$F$999,ar6_r10!$A$2:$A$999,$H$14,ar6_r10!$C$2:$C$999,Veda!J$17,ar6_r10!$M$2:$M$999,Veda!$G21)</f>
        <v>0.05</v>
      </c>
      <c r="K21" s="11">
        <f>SUMIFS(ar6_r10!$F$2:$F$999,ar6_r10!$A$2:$A$999,$H$14,ar6_r10!$C$2:$C$999,Veda!K$17,ar6_r10!$M$2:$M$999,Veda!$G21)</f>
        <v>0.04</v>
      </c>
      <c r="L21" s="11">
        <f>SUMIFS(ar6_r10!$F$2:$F$999,ar6_r10!$A$2:$A$999,$H$14,ar6_r10!$C$2:$C$999,Veda!L$17,ar6_r10!$M$2:$M$999,Veda!$G21)</f>
        <v>0.06</v>
      </c>
      <c r="M21" s="11">
        <f>SUMIFS(ar6_r10!$F$2:$F$999,ar6_r10!$A$2:$A$999,$H$14,ar6_r10!$C$2:$C$999,Veda!M$17,ar6_r10!$M$2:$M$999,Veda!$G21)</f>
        <v>7.0000000000000007E-2</v>
      </c>
      <c r="N21" s="11">
        <f>SUMIFS(ar6_r10!$F$2:$F$999,ar6_r10!$A$2:$A$999,$H$14,ar6_r10!$C$2:$C$999,Veda!N$17,ar6_r10!$M$2:$M$999,Veda!$G21)</f>
        <v>0.08</v>
      </c>
      <c r="O21" s="11">
        <f>SUMIFS(ar6_r10!$F$2:$F$999,ar6_r10!$A$2:$A$999,$H$14,ar6_r10!$C$2:$C$999,Veda!O$17,ar6_r10!$M$2:$M$999,Veda!$G21)</f>
        <v>0.08</v>
      </c>
      <c r="S21" s="10" t="s">
        <v>24</v>
      </c>
      <c r="T21" s="6">
        <f>I21*T$14</f>
        <v>9.5024999999999977</v>
      </c>
      <c r="U21" s="6">
        <f t="shared" ref="U21:Z21" si="8">T21</f>
        <v>9.5024999999999977</v>
      </c>
      <c r="V21" s="6">
        <f t="shared" si="8"/>
        <v>9.5024999999999977</v>
      </c>
      <c r="W21" s="6">
        <f t="shared" si="8"/>
        <v>9.5024999999999977</v>
      </c>
      <c r="X21" s="6">
        <f t="shared" si="8"/>
        <v>9.5024999999999977</v>
      </c>
      <c r="Y21" s="6">
        <f t="shared" si="8"/>
        <v>9.5024999999999977</v>
      </c>
      <c r="Z21" s="6">
        <f t="shared" si="8"/>
        <v>9.5024999999999977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3.1675000000000182</v>
      </c>
      <c r="U22" s="6">
        <f t="shared" si="9"/>
        <v>10.45274999999998</v>
      </c>
      <c r="V22" s="6">
        <f t="shared" si="9"/>
        <v>16.439324999999997</v>
      </c>
      <c r="W22" s="6">
        <f t="shared" si="9"/>
        <v>27.272175000000004</v>
      </c>
      <c r="X22" s="6">
        <f t="shared" si="9"/>
        <v>44.471700000000055</v>
      </c>
      <c r="Y22" s="6">
        <f t="shared" si="9"/>
        <v>66.042374999999936</v>
      </c>
      <c r="Z22" s="6">
        <f t="shared" si="9"/>
        <v>78.173899999999946</v>
      </c>
      <c r="AA22" t="s">
        <v>17</v>
      </c>
      <c r="AJ22" s="10">
        <f t="shared" si="5"/>
        <v>3</v>
      </c>
    </row>
    <row r="23" spans="1:36" x14ac:dyDescent="0.45">
      <c r="S23" s="23" t="s">
        <v>121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15.45</v>
      </c>
      <c r="S28" t="s">
        <v>31</v>
      </c>
      <c r="T28" s="3">
        <f>Q28</f>
        <v>15.45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-20.79</v>
      </c>
      <c r="S29" t="s">
        <v>34</v>
      </c>
      <c r="T29" s="3">
        <f>-1*Q29</f>
        <v>20.79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33.4</v>
      </c>
      <c r="J45">
        <f t="shared" si="13"/>
        <v>35.738</v>
      </c>
      <c r="K45">
        <f t="shared" si="13"/>
        <v>41.415999999999997</v>
      </c>
      <c r="L45">
        <f t="shared" si="13"/>
        <v>38.409999999999997</v>
      </c>
      <c r="M45">
        <f t="shared" si="13"/>
        <v>41.75</v>
      </c>
      <c r="N45">
        <f t="shared" si="13"/>
        <v>39.077999999999996</v>
      </c>
      <c r="O45">
        <f t="shared" si="13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15.2</v>
      </c>
      <c r="J46">
        <f t="shared" si="13"/>
        <v>15.504</v>
      </c>
      <c r="K46">
        <f t="shared" si="13"/>
        <v>16.111999999999998</v>
      </c>
      <c r="L46">
        <f t="shared" si="13"/>
        <v>16.263999999999999</v>
      </c>
      <c r="M46">
        <f t="shared" si="13"/>
        <v>16.416</v>
      </c>
      <c r="N46">
        <f t="shared" si="13"/>
        <v>16.72</v>
      </c>
      <c r="O46">
        <f t="shared" si="13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53</v>
      </c>
      <c r="J47">
        <f t="shared" si="13"/>
        <v>53.53</v>
      </c>
      <c r="K47">
        <f t="shared" si="13"/>
        <v>58.830000000000005</v>
      </c>
      <c r="L47">
        <f t="shared" si="13"/>
        <v>53.53</v>
      </c>
      <c r="M47">
        <f t="shared" si="13"/>
        <v>53.53</v>
      </c>
      <c r="N47">
        <f t="shared" si="13"/>
        <v>55.120000000000005</v>
      </c>
      <c r="O47">
        <f t="shared" si="13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30</v>
      </c>
      <c r="O48">
        <f>VLOOKUP($H$14,$AK$9:$AM$15,3,FALSE)*I48</f>
        <v>90</v>
      </c>
      <c r="R48">
        <f>HLOOKUP($G48&amp;"_"&amp;R$44,fuel_prices!$B$10:$I$11,2,FALSE)</f>
        <v>26</v>
      </c>
      <c r="S48">
        <f>HLOOKUP($G48&amp;"_"&amp;S$44,fuel_prices!$B$10:$I$11,2,FALSE)</f>
        <v>34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118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119</v>
      </c>
      <c r="C84" s="18">
        <v>1.4550000000000001</v>
      </c>
      <c r="D84" s="18">
        <v>1.881</v>
      </c>
      <c r="E84" s="18">
        <v>1.881</v>
      </c>
      <c r="F84" s="17" t="s">
        <v>120</v>
      </c>
    </row>
    <row r="85" spans="1:6" x14ac:dyDescent="0.45">
      <c r="A85" s="19" t="s">
        <v>31</v>
      </c>
      <c r="B85" s="19" t="s">
        <v>119</v>
      </c>
      <c r="C85" s="20">
        <v>1.8</v>
      </c>
      <c r="D85" s="20">
        <v>3.3</v>
      </c>
      <c r="E85" s="20">
        <v>3.3</v>
      </c>
      <c r="F85" s="19" t="s">
        <v>120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124</v>
      </c>
      <c r="B11">
        <v>27.4</v>
      </c>
      <c r="C11">
        <v>39.4</v>
      </c>
      <c r="D11">
        <v>13.7</v>
      </c>
      <c r="E11">
        <v>16.7</v>
      </c>
      <c r="F11">
        <v>48</v>
      </c>
      <c r="G11">
        <v>58</v>
      </c>
      <c r="H11">
        <v>26</v>
      </c>
      <c r="I11">
        <v>34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123</v>
      </c>
      <c r="K10" t="s">
        <v>117</v>
      </c>
    </row>
    <row r="11" spans="1:11" x14ac:dyDescent="0.45">
      <c r="A11" t="s">
        <v>124</v>
      </c>
      <c r="B11">
        <v>2000</v>
      </c>
      <c r="C11">
        <v>170.61</v>
      </c>
      <c r="D11">
        <v>206.68</v>
      </c>
      <c r="E11">
        <v>2.7</v>
      </c>
      <c r="F11">
        <v>0</v>
      </c>
      <c r="G11">
        <v>14.31</v>
      </c>
      <c r="H11">
        <v>-0.13</v>
      </c>
      <c r="I11">
        <v>374.38</v>
      </c>
      <c r="J11">
        <v>0</v>
      </c>
      <c r="K11">
        <v>28.364000000000001</v>
      </c>
    </row>
    <row r="12" spans="1:11" x14ac:dyDescent="0.45">
      <c r="A12" t="s">
        <v>124</v>
      </c>
      <c r="B12">
        <v>2001</v>
      </c>
      <c r="C12">
        <v>168.83</v>
      </c>
      <c r="D12">
        <v>212.56</v>
      </c>
      <c r="E12">
        <v>2.7</v>
      </c>
      <c r="F12">
        <v>0</v>
      </c>
      <c r="G12">
        <v>10.66</v>
      </c>
      <c r="H12">
        <v>-0.26</v>
      </c>
      <c r="I12">
        <v>382.37</v>
      </c>
      <c r="J12">
        <v>0</v>
      </c>
      <c r="K12">
        <v>26.457999999999998</v>
      </c>
    </row>
    <row r="13" spans="1:11" x14ac:dyDescent="0.45">
      <c r="A13" t="s">
        <v>124</v>
      </c>
      <c r="B13">
        <v>2002</v>
      </c>
      <c r="C13">
        <v>169.5</v>
      </c>
      <c r="D13">
        <v>212.3</v>
      </c>
      <c r="E13">
        <v>2.7</v>
      </c>
      <c r="F13">
        <v>0</v>
      </c>
      <c r="G13">
        <v>9.18</v>
      </c>
      <c r="H13">
        <v>-0.77</v>
      </c>
      <c r="I13">
        <v>384.6</v>
      </c>
      <c r="J13">
        <v>0</v>
      </c>
      <c r="K13">
        <v>24.24</v>
      </c>
    </row>
    <row r="14" spans="1:11" x14ac:dyDescent="0.45">
      <c r="A14" t="s">
        <v>124</v>
      </c>
      <c r="B14">
        <v>2003</v>
      </c>
      <c r="C14">
        <v>167.48</v>
      </c>
      <c r="D14">
        <v>218.73</v>
      </c>
      <c r="E14">
        <v>2.7</v>
      </c>
      <c r="F14">
        <v>0</v>
      </c>
      <c r="G14">
        <v>5.12</v>
      </c>
      <c r="H14">
        <v>-2.96</v>
      </c>
      <c r="I14">
        <v>395.46</v>
      </c>
      <c r="J14">
        <v>0</v>
      </c>
      <c r="K14">
        <v>21.053999999999998</v>
      </c>
    </row>
    <row r="15" spans="1:11" x14ac:dyDescent="0.45">
      <c r="A15" t="s">
        <v>124</v>
      </c>
      <c r="B15">
        <v>2004</v>
      </c>
      <c r="C15">
        <v>168.49</v>
      </c>
      <c r="D15">
        <v>223.42</v>
      </c>
      <c r="E15">
        <v>4.04</v>
      </c>
      <c r="F15">
        <v>0.02</v>
      </c>
      <c r="G15">
        <v>9.7799999999999994</v>
      </c>
      <c r="H15">
        <v>-2.29</v>
      </c>
      <c r="I15">
        <v>391.28</v>
      </c>
      <c r="J15">
        <v>0</v>
      </c>
      <c r="K15">
        <v>14.625999999999999</v>
      </c>
    </row>
    <row r="16" spans="1:11" x14ac:dyDescent="0.45">
      <c r="A16" t="s">
        <v>124</v>
      </c>
      <c r="B16">
        <v>2005</v>
      </c>
      <c r="C16">
        <v>168.44</v>
      </c>
      <c r="D16">
        <v>228.59</v>
      </c>
      <c r="E16">
        <v>4.04</v>
      </c>
      <c r="F16">
        <v>0.02</v>
      </c>
      <c r="G16">
        <v>11.16</v>
      </c>
      <c r="H16">
        <v>-2.84</v>
      </c>
      <c r="I16">
        <v>395.43</v>
      </c>
      <c r="J16">
        <v>0</v>
      </c>
      <c r="K16">
        <v>14.747</v>
      </c>
    </row>
    <row r="17" spans="1:11" x14ac:dyDescent="0.45">
      <c r="A17" t="s">
        <v>124</v>
      </c>
      <c r="B17">
        <v>2006</v>
      </c>
      <c r="C17">
        <v>167.75</v>
      </c>
      <c r="D17">
        <v>226.33</v>
      </c>
      <c r="E17">
        <v>3.98</v>
      </c>
      <c r="F17">
        <v>0.02</v>
      </c>
      <c r="G17">
        <v>10.28</v>
      </c>
      <c r="H17">
        <v>-2.76</v>
      </c>
      <c r="I17">
        <v>393.43</v>
      </c>
      <c r="J17">
        <v>0</v>
      </c>
      <c r="K17">
        <v>14.477</v>
      </c>
    </row>
    <row r="18" spans="1:11" x14ac:dyDescent="0.45">
      <c r="A18" t="s">
        <v>124</v>
      </c>
      <c r="B18">
        <v>2007</v>
      </c>
      <c r="C18">
        <v>166.07</v>
      </c>
      <c r="D18">
        <v>224.9</v>
      </c>
      <c r="E18">
        <v>3.94</v>
      </c>
      <c r="F18">
        <v>0.02</v>
      </c>
      <c r="G18">
        <v>8.61</v>
      </c>
      <c r="H18">
        <v>-3.4</v>
      </c>
      <c r="I18">
        <v>392.97</v>
      </c>
      <c r="J18">
        <v>0</v>
      </c>
      <c r="K18">
        <v>15.561</v>
      </c>
    </row>
    <row r="19" spans="1:11" x14ac:dyDescent="0.45">
      <c r="A19" t="s">
        <v>124</v>
      </c>
      <c r="B19">
        <v>2008</v>
      </c>
      <c r="C19">
        <v>164.47</v>
      </c>
      <c r="D19">
        <v>223.73</v>
      </c>
      <c r="E19">
        <v>3.92</v>
      </c>
      <c r="F19">
        <v>0.02</v>
      </c>
      <c r="G19">
        <v>12.29</v>
      </c>
      <c r="H19">
        <v>-1.27</v>
      </c>
      <c r="I19">
        <v>384.78</v>
      </c>
      <c r="J19">
        <v>0</v>
      </c>
      <c r="K19">
        <v>17.044</v>
      </c>
    </row>
    <row r="20" spans="1:11" x14ac:dyDescent="0.45">
      <c r="A20" t="s">
        <v>124</v>
      </c>
      <c r="B20">
        <v>2009</v>
      </c>
      <c r="C20">
        <v>151.13999999999999</v>
      </c>
      <c r="D20">
        <v>217.97</v>
      </c>
      <c r="E20">
        <v>4.0199999999999996</v>
      </c>
      <c r="F20">
        <v>0.02</v>
      </c>
      <c r="G20">
        <v>6.61</v>
      </c>
      <c r="H20">
        <v>-3.75</v>
      </c>
      <c r="I20">
        <v>373.13</v>
      </c>
      <c r="J20">
        <v>0</v>
      </c>
      <c r="K20">
        <v>14.03</v>
      </c>
    </row>
    <row r="21" spans="1:11" x14ac:dyDescent="0.45">
      <c r="A21" t="s">
        <v>124</v>
      </c>
      <c r="B21">
        <v>2010</v>
      </c>
      <c r="C21">
        <v>155.33000000000001</v>
      </c>
      <c r="D21">
        <v>219.23</v>
      </c>
      <c r="E21">
        <v>4.07</v>
      </c>
      <c r="F21">
        <v>0.02</v>
      </c>
      <c r="G21">
        <v>7.14</v>
      </c>
      <c r="H21">
        <v>-4.4800000000000004</v>
      </c>
      <c r="I21">
        <v>379.64</v>
      </c>
      <c r="J21">
        <v>0</v>
      </c>
      <c r="K21">
        <v>14.728</v>
      </c>
    </row>
    <row r="22" spans="1:11" x14ac:dyDescent="0.45">
      <c r="A22" t="s">
        <v>124</v>
      </c>
      <c r="B22">
        <v>2011</v>
      </c>
      <c r="C22">
        <v>153.38999999999999</v>
      </c>
      <c r="D22">
        <v>210.26</v>
      </c>
      <c r="E22">
        <v>4.21</v>
      </c>
      <c r="F22">
        <v>0.02</v>
      </c>
      <c r="G22">
        <v>8.69</v>
      </c>
      <c r="H22">
        <v>-2.4700000000000002</v>
      </c>
      <c r="I22">
        <v>365.05</v>
      </c>
      <c r="J22">
        <v>0</v>
      </c>
      <c r="K22">
        <v>14.026</v>
      </c>
    </row>
    <row r="23" spans="1:11" x14ac:dyDescent="0.45">
      <c r="A23" t="s">
        <v>124</v>
      </c>
      <c r="B23">
        <v>2012</v>
      </c>
      <c r="C23">
        <v>150.66</v>
      </c>
      <c r="D23">
        <v>214.37</v>
      </c>
      <c r="E23">
        <v>4.4800000000000004</v>
      </c>
      <c r="F23">
        <v>0.03</v>
      </c>
      <c r="G23">
        <v>13.77</v>
      </c>
      <c r="H23">
        <v>-1.91</v>
      </c>
      <c r="I23">
        <v>361.09</v>
      </c>
      <c r="J23">
        <v>0</v>
      </c>
      <c r="K23">
        <v>14.045</v>
      </c>
    </row>
    <row r="24" spans="1:11" x14ac:dyDescent="0.45">
      <c r="A24" t="s">
        <v>124</v>
      </c>
      <c r="B24">
        <v>2013</v>
      </c>
      <c r="C24">
        <v>148.07</v>
      </c>
      <c r="D24">
        <v>213.97</v>
      </c>
      <c r="E24">
        <v>4.3499999999999996</v>
      </c>
      <c r="F24">
        <v>0.03</v>
      </c>
      <c r="G24">
        <v>17.53</v>
      </c>
      <c r="H24">
        <v>-3.1</v>
      </c>
      <c r="I24">
        <v>355.29</v>
      </c>
      <c r="J24">
        <v>0</v>
      </c>
      <c r="K24">
        <v>13.866</v>
      </c>
    </row>
    <row r="25" spans="1:11" x14ac:dyDescent="0.45">
      <c r="A25" t="s">
        <v>124</v>
      </c>
      <c r="B25">
        <v>2014</v>
      </c>
      <c r="C25">
        <v>143.33000000000001</v>
      </c>
      <c r="D25">
        <v>204.32</v>
      </c>
      <c r="E25">
        <v>4.5</v>
      </c>
      <c r="F25">
        <v>7.0000000000000007E-2</v>
      </c>
      <c r="G25">
        <v>23.24</v>
      </c>
      <c r="H25">
        <v>-2.72</v>
      </c>
      <c r="I25">
        <v>334.83</v>
      </c>
      <c r="J25">
        <v>0</v>
      </c>
      <c r="K25">
        <v>13.43</v>
      </c>
    </row>
    <row r="26" spans="1:11" x14ac:dyDescent="0.45">
      <c r="A26" t="s">
        <v>124</v>
      </c>
      <c r="B26">
        <v>2015</v>
      </c>
      <c r="C26">
        <v>143.54</v>
      </c>
      <c r="D26">
        <v>205</v>
      </c>
      <c r="E26">
        <v>4.5199999999999996</v>
      </c>
      <c r="F26">
        <v>0.1</v>
      </c>
      <c r="G26">
        <v>22.96</v>
      </c>
      <c r="H26">
        <v>-1.86</v>
      </c>
      <c r="I26">
        <v>335.3</v>
      </c>
      <c r="J26">
        <v>0</v>
      </c>
      <c r="K26">
        <v>14.38</v>
      </c>
    </row>
    <row r="27" spans="1:11" x14ac:dyDescent="0.45">
      <c r="A27" t="s">
        <v>124</v>
      </c>
      <c r="B27">
        <v>2016</v>
      </c>
      <c r="C27">
        <v>138.74</v>
      </c>
      <c r="D27">
        <v>204.95</v>
      </c>
      <c r="E27">
        <v>4.6900000000000004</v>
      </c>
      <c r="F27">
        <v>0.13</v>
      </c>
      <c r="G27">
        <v>20.02</v>
      </c>
      <c r="H27">
        <v>-2.27</v>
      </c>
      <c r="I27">
        <v>334.29</v>
      </c>
      <c r="J27">
        <v>0</v>
      </c>
      <c r="K27">
        <v>14.413</v>
      </c>
    </row>
    <row r="28" spans="1:11" x14ac:dyDescent="0.45">
      <c r="A28" t="s">
        <v>124</v>
      </c>
      <c r="B28">
        <v>2017</v>
      </c>
      <c r="C28">
        <v>139.43</v>
      </c>
      <c r="D28">
        <v>201.42</v>
      </c>
      <c r="E28">
        <v>4.83</v>
      </c>
      <c r="F28">
        <v>0.18</v>
      </c>
      <c r="G28">
        <v>18.170000000000002</v>
      </c>
      <c r="H28">
        <v>-3.41</v>
      </c>
      <c r="I28">
        <v>334.56</v>
      </c>
      <c r="J28">
        <v>0</v>
      </c>
      <c r="K28">
        <v>14.779</v>
      </c>
    </row>
    <row r="29" spans="1:11" x14ac:dyDescent="0.45">
      <c r="A29" t="s">
        <v>124</v>
      </c>
      <c r="B29">
        <v>2018</v>
      </c>
      <c r="C29">
        <v>137.06</v>
      </c>
      <c r="D29">
        <v>201.42</v>
      </c>
      <c r="E29">
        <v>5.05</v>
      </c>
      <c r="F29">
        <v>0.61</v>
      </c>
      <c r="G29">
        <v>21.33</v>
      </c>
      <c r="H29">
        <v>-2.2200000000000002</v>
      </c>
      <c r="I29">
        <v>329.99</v>
      </c>
      <c r="J29">
        <v>0</v>
      </c>
      <c r="K29">
        <v>14.939</v>
      </c>
    </row>
    <row r="30" spans="1:11" x14ac:dyDescent="0.45">
      <c r="A30" t="s">
        <v>124</v>
      </c>
      <c r="B30">
        <v>2019</v>
      </c>
      <c r="C30">
        <v>136.38999999999999</v>
      </c>
      <c r="D30">
        <v>197.71</v>
      </c>
      <c r="E30">
        <v>5.29</v>
      </c>
      <c r="F30">
        <v>0.85</v>
      </c>
      <c r="G30">
        <v>24.56</v>
      </c>
      <c r="H30">
        <v>-3.39</v>
      </c>
      <c r="I30">
        <v>321.63</v>
      </c>
      <c r="J30">
        <v>0</v>
      </c>
      <c r="K30">
        <v>14.43</v>
      </c>
    </row>
    <row r="31" spans="1:11" x14ac:dyDescent="0.45">
      <c r="A31" t="s">
        <v>124</v>
      </c>
      <c r="B31">
        <v>2020</v>
      </c>
      <c r="C31">
        <v>127.84</v>
      </c>
      <c r="D31">
        <v>190.95</v>
      </c>
      <c r="E31">
        <v>4.8499999999999996</v>
      </c>
      <c r="F31">
        <v>1.1299999999999999</v>
      </c>
      <c r="G31">
        <v>22.39</v>
      </c>
      <c r="H31">
        <v>-4.4800000000000004</v>
      </c>
      <c r="I31">
        <v>308.93</v>
      </c>
      <c r="J31">
        <v>0</v>
      </c>
      <c r="K31">
        <v>14.536</v>
      </c>
    </row>
    <row r="32" spans="1:11" x14ac:dyDescent="0.45">
      <c r="A32" t="s">
        <v>124</v>
      </c>
      <c r="B32">
        <v>2021</v>
      </c>
      <c r="C32">
        <v>128.25</v>
      </c>
      <c r="D32">
        <v>190.44</v>
      </c>
      <c r="E32">
        <v>4.74</v>
      </c>
      <c r="F32">
        <v>2.36</v>
      </c>
      <c r="G32">
        <v>28.74</v>
      </c>
      <c r="H32">
        <v>-4.17</v>
      </c>
      <c r="I32">
        <v>305.92</v>
      </c>
      <c r="J32">
        <v>0</v>
      </c>
      <c r="K32">
        <v>14.542999999999999</v>
      </c>
    </row>
    <row r="33" spans="1:11" x14ac:dyDescent="0.45">
      <c r="A33" t="s">
        <v>124</v>
      </c>
      <c r="B33">
        <v>2022</v>
      </c>
      <c r="C33">
        <v>124.91</v>
      </c>
      <c r="D33">
        <v>179.25</v>
      </c>
      <c r="E33">
        <v>4.74</v>
      </c>
      <c r="F33">
        <v>3.7</v>
      </c>
      <c r="G33">
        <v>15.45</v>
      </c>
      <c r="H33">
        <v>-20.79</v>
      </c>
      <c r="I33">
        <v>322.08999999999997</v>
      </c>
      <c r="J33">
        <v>0</v>
      </c>
      <c r="K33">
        <v>14.189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113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26</v>
      </c>
    </row>
    <row r="12" spans="1:13" x14ac:dyDescent="0.45">
      <c r="A12" t="s">
        <v>0</v>
      </c>
      <c r="B12" t="s">
        <v>113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26</v>
      </c>
    </row>
    <row r="13" spans="1:13" x14ac:dyDescent="0.45">
      <c r="A13" t="s">
        <v>0</v>
      </c>
      <c r="B13" t="s">
        <v>113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26</v>
      </c>
    </row>
    <row r="14" spans="1:13" x14ac:dyDescent="0.45">
      <c r="A14" t="s">
        <v>0</v>
      </c>
      <c r="B14" t="s">
        <v>113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26</v>
      </c>
    </row>
    <row r="15" spans="1:13" x14ac:dyDescent="0.45">
      <c r="A15" t="s">
        <v>0</v>
      </c>
      <c r="B15" t="s">
        <v>113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26</v>
      </c>
    </row>
    <row r="16" spans="1:13" x14ac:dyDescent="0.45">
      <c r="A16" t="s">
        <v>0</v>
      </c>
      <c r="B16" t="s">
        <v>113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26</v>
      </c>
    </row>
    <row r="17" spans="1:13" x14ac:dyDescent="0.45">
      <c r="A17" t="s">
        <v>0</v>
      </c>
      <c r="B17" t="s">
        <v>113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26</v>
      </c>
    </row>
    <row r="18" spans="1:13" x14ac:dyDescent="0.45">
      <c r="A18" t="s">
        <v>2</v>
      </c>
      <c r="B18" t="s">
        <v>113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26</v>
      </c>
    </row>
    <row r="19" spans="1:13" x14ac:dyDescent="0.45">
      <c r="A19" t="s">
        <v>2</v>
      </c>
      <c r="B19" t="s">
        <v>113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26</v>
      </c>
    </row>
    <row r="20" spans="1:13" x14ac:dyDescent="0.45">
      <c r="A20" t="s">
        <v>2</v>
      </c>
      <c r="B20" t="s">
        <v>113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26</v>
      </c>
    </row>
    <row r="21" spans="1:13" x14ac:dyDescent="0.45">
      <c r="A21" t="s">
        <v>2</v>
      </c>
      <c r="B21" t="s">
        <v>113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26</v>
      </c>
    </row>
    <row r="22" spans="1:13" x14ac:dyDescent="0.45">
      <c r="A22" t="s">
        <v>2</v>
      </c>
      <c r="B22" t="s">
        <v>113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26</v>
      </c>
    </row>
    <row r="23" spans="1:13" x14ac:dyDescent="0.45">
      <c r="A23" t="s">
        <v>2</v>
      </c>
      <c r="B23" t="s">
        <v>113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26</v>
      </c>
    </row>
    <row r="24" spans="1:13" x14ac:dyDescent="0.45">
      <c r="A24" t="s">
        <v>2</v>
      </c>
      <c r="B24" t="s">
        <v>113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113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26</v>
      </c>
    </row>
    <row r="26" spans="1:13" x14ac:dyDescent="0.45">
      <c r="A26" t="s">
        <v>5</v>
      </c>
      <c r="B26" t="s">
        <v>113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26</v>
      </c>
    </row>
    <row r="27" spans="1:13" x14ac:dyDescent="0.45">
      <c r="A27" t="s">
        <v>5</v>
      </c>
      <c r="B27" t="s">
        <v>113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26</v>
      </c>
    </row>
    <row r="28" spans="1:13" x14ac:dyDescent="0.45">
      <c r="A28" t="s">
        <v>5</v>
      </c>
      <c r="B28" t="s">
        <v>113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26</v>
      </c>
    </row>
    <row r="29" spans="1:13" x14ac:dyDescent="0.45">
      <c r="A29" t="s">
        <v>5</v>
      </c>
      <c r="B29" t="s">
        <v>113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26</v>
      </c>
    </row>
    <row r="30" spans="1:13" x14ac:dyDescent="0.45">
      <c r="A30" t="s">
        <v>5</v>
      </c>
      <c r="B30" t="s">
        <v>113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26</v>
      </c>
    </row>
    <row r="31" spans="1:13" x14ac:dyDescent="0.45">
      <c r="A31" t="s">
        <v>5</v>
      </c>
      <c r="B31" t="s">
        <v>113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26</v>
      </c>
    </row>
    <row r="32" spans="1:13" x14ac:dyDescent="0.45">
      <c r="A32" t="s">
        <v>7</v>
      </c>
      <c r="B32" t="s">
        <v>113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26</v>
      </c>
    </row>
    <row r="33" spans="1:13" x14ac:dyDescent="0.45">
      <c r="A33" t="s">
        <v>7</v>
      </c>
      <c r="B33" t="s">
        <v>113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26</v>
      </c>
    </row>
    <row r="34" spans="1:13" x14ac:dyDescent="0.45">
      <c r="A34" t="s">
        <v>7</v>
      </c>
      <c r="B34" t="s">
        <v>113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26</v>
      </c>
    </row>
    <row r="35" spans="1:13" x14ac:dyDescent="0.45">
      <c r="A35" t="s">
        <v>7</v>
      </c>
      <c r="B35" t="s">
        <v>113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113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26</v>
      </c>
    </row>
    <row r="37" spans="1:13" x14ac:dyDescent="0.45">
      <c r="A37" t="s">
        <v>7</v>
      </c>
      <c r="B37" t="s">
        <v>113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113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113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26</v>
      </c>
    </row>
    <row r="40" spans="1:13" x14ac:dyDescent="0.45">
      <c r="A40" t="s">
        <v>9</v>
      </c>
      <c r="B40" t="s">
        <v>113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26</v>
      </c>
    </row>
    <row r="41" spans="1:13" x14ac:dyDescent="0.45">
      <c r="A41" t="s">
        <v>9</v>
      </c>
      <c r="B41" t="s">
        <v>113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26</v>
      </c>
    </row>
    <row r="42" spans="1:13" x14ac:dyDescent="0.45">
      <c r="A42" t="s">
        <v>9</v>
      </c>
      <c r="B42" t="s">
        <v>113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26</v>
      </c>
    </row>
    <row r="43" spans="1:13" x14ac:dyDescent="0.45">
      <c r="A43" t="s">
        <v>9</v>
      </c>
      <c r="B43" t="s">
        <v>113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26</v>
      </c>
    </row>
    <row r="44" spans="1:13" x14ac:dyDescent="0.45">
      <c r="A44" t="s">
        <v>9</v>
      </c>
      <c r="B44" t="s">
        <v>113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26</v>
      </c>
    </row>
    <row r="45" spans="1:13" x14ac:dyDescent="0.45">
      <c r="A45" t="s">
        <v>9</v>
      </c>
      <c r="B45" t="s">
        <v>113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26</v>
      </c>
    </row>
    <row r="46" spans="1:13" x14ac:dyDescent="0.45">
      <c r="A46" t="s">
        <v>0</v>
      </c>
      <c r="B46" t="s">
        <v>113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114</v>
      </c>
    </row>
    <row r="82" spans="1:13" x14ac:dyDescent="0.45">
      <c r="A82" t="s">
        <v>0</v>
      </c>
      <c r="B82" t="s">
        <v>113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114</v>
      </c>
    </row>
    <row r="83" spans="1:13" x14ac:dyDescent="0.45">
      <c r="A83" t="s">
        <v>0</v>
      </c>
      <c r="B83" t="s">
        <v>113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114</v>
      </c>
    </row>
    <row r="84" spans="1:13" x14ac:dyDescent="0.45">
      <c r="A84" t="s">
        <v>0</v>
      </c>
      <c r="B84" t="s">
        <v>113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114</v>
      </c>
    </row>
    <row r="85" spans="1:13" x14ac:dyDescent="0.45">
      <c r="A85" t="s">
        <v>0</v>
      </c>
      <c r="B85" t="s">
        <v>113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114</v>
      </c>
    </row>
    <row r="86" spans="1:13" x14ac:dyDescent="0.45">
      <c r="A86" t="s">
        <v>0</v>
      </c>
      <c r="B86" t="s">
        <v>113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114</v>
      </c>
    </row>
    <row r="87" spans="1:13" x14ac:dyDescent="0.45">
      <c r="A87" t="s">
        <v>0</v>
      </c>
      <c r="B87" t="s">
        <v>113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114</v>
      </c>
    </row>
    <row r="88" spans="1:13" x14ac:dyDescent="0.45">
      <c r="A88" t="s">
        <v>2</v>
      </c>
      <c r="B88" t="s">
        <v>113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114</v>
      </c>
    </row>
    <row r="89" spans="1:13" x14ac:dyDescent="0.45">
      <c r="A89" t="s">
        <v>2</v>
      </c>
      <c r="B89" t="s">
        <v>113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114</v>
      </c>
    </row>
    <row r="90" spans="1:13" x14ac:dyDescent="0.45">
      <c r="A90" t="s">
        <v>2</v>
      </c>
      <c r="B90" t="s">
        <v>113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114</v>
      </c>
    </row>
    <row r="91" spans="1:13" x14ac:dyDescent="0.45">
      <c r="A91" t="s">
        <v>2</v>
      </c>
      <c r="B91" t="s">
        <v>113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114</v>
      </c>
    </row>
    <row r="92" spans="1:13" x14ac:dyDescent="0.45">
      <c r="A92" t="s">
        <v>2</v>
      </c>
      <c r="B92" t="s">
        <v>113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114</v>
      </c>
    </row>
    <row r="93" spans="1:13" x14ac:dyDescent="0.45">
      <c r="A93" t="s">
        <v>2</v>
      </c>
      <c r="B93" t="s">
        <v>113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114</v>
      </c>
    </row>
    <row r="94" spans="1:13" x14ac:dyDescent="0.45">
      <c r="A94" t="s">
        <v>2</v>
      </c>
      <c r="B94" t="s">
        <v>113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114</v>
      </c>
    </row>
    <row r="95" spans="1:13" x14ac:dyDescent="0.45">
      <c r="A95" t="s">
        <v>5</v>
      </c>
      <c r="B95" t="s">
        <v>113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114</v>
      </c>
    </row>
    <row r="96" spans="1:13" x14ac:dyDescent="0.45">
      <c r="A96" t="s">
        <v>5</v>
      </c>
      <c r="B96" t="s">
        <v>113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114</v>
      </c>
    </row>
    <row r="97" spans="1:13" x14ac:dyDescent="0.45">
      <c r="A97" t="s">
        <v>5</v>
      </c>
      <c r="B97" t="s">
        <v>113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114</v>
      </c>
    </row>
    <row r="98" spans="1:13" x14ac:dyDescent="0.45">
      <c r="A98" t="s">
        <v>5</v>
      </c>
      <c r="B98" t="s">
        <v>113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114</v>
      </c>
    </row>
    <row r="99" spans="1:13" x14ac:dyDescent="0.45">
      <c r="A99" t="s">
        <v>5</v>
      </c>
      <c r="B99" t="s">
        <v>113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114</v>
      </c>
    </row>
    <row r="100" spans="1:13" x14ac:dyDescent="0.45">
      <c r="A100" t="s">
        <v>5</v>
      </c>
      <c r="B100" t="s">
        <v>113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114</v>
      </c>
    </row>
    <row r="101" spans="1:13" x14ac:dyDescent="0.45">
      <c r="A101" t="s">
        <v>5</v>
      </c>
      <c r="B101" t="s">
        <v>113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114</v>
      </c>
    </row>
    <row r="102" spans="1:13" x14ac:dyDescent="0.45">
      <c r="A102" t="s">
        <v>7</v>
      </c>
      <c r="B102" t="s">
        <v>113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114</v>
      </c>
    </row>
    <row r="103" spans="1:13" x14ac:dyDescent="0.45">
      <c r="A103" t="s">
        <v>7</v>
      </c>
      <c r="B103" t="s">
        <v>113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114</v>
      </c>
    </row>
    <row r="104" spans="1:13" x14ac:dyDescent="0.45">
      <c r="A104" t="s">
        <v>7</v>
      </c>
      <c r="B104" t="s">
        <v>113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114</v>
      </c>
    </row>
    <row r="105" spans="1:13" x14ac:dyDescent="0.45">
      <c r="A105" t="s">
        <v>7</v>
      </c>
      <c r="B105" t="s">
        <v>113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114</v>
      </c>
    </row>
    <row r="106" spans="1:13" x14ac:dyDescent="0.45">
      <c r="A106" t="s">
        <v>7</v>
      </c>
      <c r="B106" t="s">
        <v>113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114</v>
      </c>
    </row>
    <row r="107" spans="1:13" x14ac:dyDescent="0.45">
      <c r="A107" t="s">
        <v>7</v>
      </c>
      <c r="B107" t="s">
        <v>113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114</v>
      </c>
    </row>
    <row r="108" spans="1:13" x14ac:dyDescent="0.45">
      <c r="A108" t="s">
        <v>7</v>
      </c>
      <c r="B108" t="s">
        <v>113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114</v>
      </c>
    </row>
    <row r="109" spans="1:13" x14ac:dyDescent="0.45">
      <c r="A109" t="s">
        <v>9</v>
      </c>
      <c r="B109" t="s">
        <v>113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114</v>
      </c>
    </row>
    <row r="110" spans="1:13" x14ac:dyDescent="0.45">
      <c r="A110" t="s">
        <v>9</v>
      </c>
      <c r="B110" t="s">
        <v>113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114</v>
      </c>
    </row>
    <row r="111" spans="1:13" x14ac:dyDescent="0.45">
      <c r="A111" t="s">
        <v>9</v>
      </c>
      <c r="B111" t="s">
        <v>113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114</v>
      </c>
    </row>
    <row r="112" spans="1:13" x14ac:dyDescent="0.45">
      <c r="A112" t="s">
        <v>9</v>
      </c>
      <c r="B112" t="s">
        <v>113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114</v>
      </c>
    </row>
    <row r="113" spans="1:13" x14ac:dyDescent="0.45">
      <c r="A113" t="s">
        <v>9</v>
      </c>
      <c r="B113" t="s">
        <v>113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114</v>
      </c>
    </row>
    <row r="114" spans="1:13" x14ac:dyDescent="0.45">
      <c r="A114" t="s">
        <v>9</v>
      </c>
      <c r="B114" t="s">
        <v>113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114</v>
      </c>
    </row>
    <row r="115" spans="1:13" x14ac:dyDescent="0.45">
      <c r="A115" t="s">
        <v>9</v>
      </c>
      <c r="B115" t="s">
        <v>113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114</v>
      </c>
    </row>
    <row r="116" spans="1:13" x14ac:dyDescent="0.45">
      <c r="A116" t="s">
        <v>0</v>
      </c>
      <c r="B116" t="s">
        <v>113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113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113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15</v>
      </c>
    </row>
    <row r="119" spans="1:13" x14ac:dyDescent="0.45">
      <c r="A119" t="s">
        <v>0</v>
      </c>
      <c r="B119" t="s">
        <v>113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113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113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15</v>
      </c>
    </row>
    <row r="122" spans="1:13" x14ac:dyDescent="0.45">
      <c r="A122" t="s">
        <v>0</v>
      </c>
      <c r="B122" t="s">
        <v>113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113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113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113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15</v>
      </c>
    </row>
    <row r="126" spans="1:13" x14ac:dyDescent="0.45">
      <c r="A126" t="s">
        <v>2</v>
      </c>
      <c r="B126" t="s">
        <v>113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15</v>
      </c>
    </row>
    <row r="127" spans="1:13" x14ac:dyDescent="0.45">
      <c r="A127" t="s">
        <v>2</v>
      </c>
      <c r="B127" t="s">
        <v>113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113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113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15</v>
      </c>
    </row>
    <row r="130" spans="1:13" x14ac:dyDescent="0.45">
      <c r="A130" t="s">
        <v>5</v>
      </c>
      <c r="B130" t="s">
        <v>113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113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113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15</v>
      </c>
    </row>
    <row r="133" spans="1:13" x14ac:dyDescent="0.45">
      <c r="A133" t="s">
        <v>5</v>
      </c>
      <c r="B133" t="s">
        <v>113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15</v>
      </c>
    </row>
    <row r="134" spans="1:13" x14ac:dyDescent="0.45">
      <c r="A134" t="s">
        <v>5</v>
      </c>
      <c r="B134" t="s">
        <v>113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113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15</v>
      </c>
    </row>
    <row r="136" spans="1:13" x14ac:dyDescent="0.45">
      <c r="A136" t="s">
        <v>5</v>
      </c>
      <c r="B136" t="s">
        <v>113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113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113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113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15</v>
      </c>
    </row>
    <row r="140" spans="1:13" x14ac:dyDescent="0.45">
      <c r="A140" t="s">
        <v>7</v>
      </c>
      <c r="B140" t="s">
        <v>113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113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15</v>
      </c>
    </row>
    <row r="142" spans="1:13" x14ac:dyDescent="0.45">
      <c r="A142" t="s">
        <v>7</v>
      </c>
      <c r="B142" t="s">
        <v>113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113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15</v>
      </c>
    </row>
    <row r="144" spans="1:13" x14ac:dyDescent="0.45">
      <c r="A144" t="s">
        <v>9</v>
      </c>
      <c r="B144" t="s">
        <v>113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113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113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15</v>
      </c>
    </row>
    <row r="147" spans="1:13" x14ac:dyDescent="0.45">
      <c r="A147" t="s">
        <v>9</v>
      </c>
      <c r="B147" t="s">
        <v>113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15</v>
      </c>
    </row>
    <row r="148" spans="1:13" x14ac:dyDescent="0.45">
      <c r="A148" t="s">
        <v>9</v>
      </c>
      <c r="B148" t="s">
        <v>113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15</v>
      </c>
    </row>
    <row r="149" spans="1:13" x14ac:dyDescent="0.45">
      <c r="A149" t="s">
        <v>9</v>
      </c>
      <c r="B149" t="s">
        <v>113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15</v>
      </c>
    </row>
    <row r="150" spans="1:13" x14ac:dyDescent="0.45">
      <c r="A150" t="s">
        <v>9</v>
      </c>
      <c r="B150" t="s">
        <v>113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15</v>
      </c>
    </row>
    <row r="151" spans="1:13" x14ac:dyDescent="0.45">
      <c r="A151" t="s">
        <v>0</v>
      </c>
      <c r="B151" t="s">
        <v>113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18</v>
      </c>
    </row>
    <row r="152" spans="1:13" x14ac:dyDescent="0.45">
      <c r="A152" t="s">
        <v>0</v>
      </c>
      <c r="B152" t="s">
        <v>113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18</v>
      </c>
    </row>
    <row r="153" spans="1:13" x14ac:dyDescent="0.45">
      <c r="A153" t="s">
        <v>0</v>
      </c>
      <c r="B153" t="s">
        <v>113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18</v>
      </c>
    </row>
    <row r="154" spans="1:13" x14ac:dyDescent="0.45">
      <c r="A154" t="s">
        <v>0</v>
      </c>
      <c r="B154" t="s">
        <v>113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18</v>
      </c>
    </row>
    <row r="155" spans="1:13" x14ac:dyDescent="0.45">
      <c r="A155" t="s">
        <v>0</v>
      </c>
      <c r="B155" t="s">
        <v>113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18</v>
      </c>
    </row>
    <row r="156" spans="1:13" x14ac:dyDescent="0.45">
      <c r="A156" t="s">
        <v>0</v>
      </c>
      <c r="B156" t="s">
        <v>113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18</v>
      </c>
    </row>
    <row r="157" spans="1:13" x14ac:dyDescent="0.45">
      <c r="A157" t="s">
        <v>0</v>
      </c>
      <c r="B157" t="s">
        <v>113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18</v>
      </c>
    </row>
    <row r="158" spans="1:13" x14ac:dyDescent="0.45">
      <c r="A158" t="s">
        <v>2</v>
      </c>
      <c r="B158" t="s">
        <v>113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18</v>
      </c>
    </row>
    <row r="159" spans="1:13" x14ac:dyDescent="0.45">
      <c r="A159" t="s">
        <v>2</v>
      </c>
      <c r="B159" t="s">
        <v>113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18</v>
      </c>
    </row>
    <row r="160" spans="1:13" x14ac:dyDescent="0.45">
      <c r="A160" t="s">
        <v>2</v>
      </c>
      <c r="B160" t="s">
        <v>113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18</v>
      </c>
    </row>
    <row r="161" spans="1:13" x14ac:dyDescent="0.45">
      <c r="A161" t="s">
        <v>2</v>
      </c>
      <c r="B161" t="s">
        <v>113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18</v>
      </c>
    </row>
    <row r="162" spans="1:13" x14ac:dyDescent="0.45">
      <c r="A162" t="s">
        <v>2</v>
      </c>
      <c r="B162" t="s">
        <v>113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18</v>
      </c>
    </row>
    <row r="163" spans="1:13" x14ac:dyDescent="0.45">
      <c r="A163" t="s">
        <v>2</v>
      </c>
      <c r="B163" t="s">
        <v>113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18</v>
      </c>
    </row>
    <row r="164" spans="1:13" x14ac:dyDescent="0.45">
      <c r="A164" t="s">
        <v>2</v>
      </c>
      <c r="B164" t="s">
        <v>113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18</v>
      </c>
    </row>
    <row r="165" spans="1:13" x14ac:dyDescent="0.45">
      <c r="A165" t="s">
        <v>5</v>
      </c>
      <c r="B165" t="s">
        <v>113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18</v>
      </c>
    </row>
    <row r="166" spans="1:13" x14ac:dyDescent="0.45">
      <c r="A166" t="s">
        <v>5</v>
      </c>
      <c r="B166" t="s">
        <v>113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18</v>
      </c>
    </row>
    <row r="167" spans="1:13" x14ac:dyDescent="0.45">
      <c r="A167" t="s">
        <v>5</v>
      </c>
      <c r="B167" t="s">
        <v>113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18</v>
      </c>
    </row>
    <row r="168" spans="1:13" x14ac:dyDescent="0.45">
      <c r="A168" t="s">
        <v>5</v>
      </c>
      <c r="B168" t="s">
        <v>113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18</v>
      </c>
    </row>
    <row r="169" spans="1:13" x14ac:dyDescent="0.45">
      <c r="A169" t="s">
        <v>5</v>
      </c>
      <c r="B169" t="s">
        <v>113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18</v>
      </c>
    </row>
    <row r="170" spans="1:13" x14ac:dyDescent="0.45">
      <c r="A170" t="s">
        <v>5</v>
      </c>
      <c r="B170" t="s">
        <v>113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18</v>
      </c>
    </row>
    <row r="171" spans="1:13" x14ac:dyDescent="0.45">
      <c r="A171" t="s">
        <v>5</v>
      </c>
      <c r="B171" t="s">
        <v>113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18</v>
      </c>
    </row>
    <row r="172" spans="1:13" x14ac:dyDescent="0.45">
      <c r="A172" t="s">
        <v>7</v>
      </c>
      <c r="B172" t="s">
        <v>113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18</v>
      </c>
    </row>
    <row r="173" spans="1:13" x14ac:dyDescent="0.45">
      <c r="A173" t="s">
        <v>7</v>
      </c>
      <c r="B173" t="s">
        <v>113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18</v>
      </c>
    </row>
    <row r="174" spans="1:13" x14ac:dyDescent="0.45">
      <c r="A174" t="s">
        <v>7</v>
      </c>
      <c r="B174" t="s">
        <v>113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18</v>
      </c>
    </row>
    <row r="175" spans="1:13" x14ac:dyDescent="0.45">
      <c r="A175" t="s">
        <v>7</v>
      </c>
      <c r="B175" t="s">
        <v>113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18</v>
      </c>
    </row>
    <row r="176" spans="1:13" x14ac:dyDescent="0.45">
      <c r="A176" t="s">
        <v>7</v>
      </c>
      <c r="B176" t="s">
        <v>113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18</v>
      </c>
    </row>
    <row r="177" spans="1:13" x14ac:dyDescent="0.45">
      <c r="A177" t="s">
        <v>7</v>
      </c>
      <c r="B177" t="s">
        <v>113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18</v>
      </c>
    </row>
    <row r="178" spans="1:13" x14ac:dyDescent="0.45">
      <c r="A178" t="s">
        <v>7</v>
      </c>
      <c r="B178" t="s">
        <v>113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18</v>
      </c>
    </row>
    <row r="179" spans="1:13" x14ac:dyDescent="0.45">
      <c r="A179" t="s">
        <v>9</v>
      </c>
      <c r="B179" t="s">
        <v>113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113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18</v>
      </c>
    </row>
    <row r="181" spans="1:13" x14ac:dyDescent="0.45">
      <c r="A181" t="s">
        <v>9</v>
      </c>
      <c r="B181" t="s">
        <v>113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18</v>
      </c>
    </row>
    <row r="182" spans="1:13" x14ac:dyDescent="0.45">
      <c r="A182" t="s">
        <v>9</v>
      </c>
      <c r="B182" t="s">
        <v>113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113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113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18</v>
      </c>
    </row>
    <row r="185" spans="1:13" x14ac:dyDescent="0.45">
      <c r="A185" t="s">
        <v>9</v>
      </c>
      <c r="B185" t="s">
        <v>113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113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21</v>
      </c>
    </row>
    <row r="187" spans="1:13" x14ac:dyDescent="0.45">
      <c r="A187" t="s">
        <v>0</v>
      </c>
      <c r="B187" t="s">
        <v>113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21</v>
      </c>
    </row>
    <row r="188" spans="1:13" x14ac:dyDescent="0.45">
      <c r="A188" t="s">
        <v>0</v>
      </c>
      <c r="B188" t="s">
        <v>113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21</v>
      </c>
    </row>
    <row r="189" spans="1:13" x14ac:dyDescent="0.45">
      <c r="A189" t="s">
        <v>0</v>
      </c>
      <c r="B189" t="s">
        <v>113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21</v>
      </c>
    </row>
    <row r="190" spans="1:13" x14ac:dyDescent="0.45">
      <c r="A190" t="s">
        <v>0</v>
      </c>
      <c r="B190" t="s">
        <v>113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21</v>
      </c>
    </row>
    <row r="191" spans="1:13" x14ac:dyDescent="0.45">
      <c r="A191" t="s">
        <v>0</v>
      </c>
      <c r="B191" t="s">
        <v>113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21</v>
      </c>
    </row>
    <row r="192" spans="1:13" x14ac:dyDescent="0.45">
      <c r="A192" t="s">
        <v>0</v>
      </c>
      <c r="B192" t="s">
        <v>113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21</v>
      </c>
    </row>
    <row r="193" spans="1:13" x14ac:dyDescent="0.45">
      <c r="A193" t="s">
        <v>2</v>
      </c>
      <c r="B193" t="s">
        <v>113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21</v>
      </c>
    </row>
    <row r="194" spans="1:13" x14ac:dyDescent="0.45">
      <c r="A194" t="s">
        <v>2</v>
      </c>
      <c r="B194" t="s">
        <v>113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21</v>
      </c>
    </row>
    <row r="195" spans="1:13" x14ac:dyDescent="0.45">
      <c r="A195" t="s">
        <v>2</v>
      </c>
      <c r="B195" t="s">
        <v>113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21</v>
      </c>
    </row>
    <row r="196" spans="1:13" x14ac:dyDescent="0.45">
      <c r="A196" t="s">
        <v>2</v>
      </c>
      <c r="B196" t="s">
        <v>113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21</v>
      </c>
    </row>
    <row r="197" spans="1:13" x14ac:dyDescent="0.45">
      <c r="A197" t="s">
        <v>2</v>
      </c>
      <c r="B197" t="s">
        <v>113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21</v>
      </c>
    </row>
    <row r="198" spans="1:13" x14ac:dyDescent="0.45">
      <c r="A198" t="s">
        <v>2</v>
      </c>
      <c r="B198" t="s">
        <v>113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21</v>
      </c>
    </row>
    <row r="199" spans="1:13" x14ac:dyDescent="0.45">
      <c r="A199" t="s">
        <v>2</v>
      </c>
      <c r="B199" t="s">
        <v>113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21</v>
      </c>
    </row>
    <row r="200" spans="1:13" x14ac:dyDescent="0.45">
      <c r="A200" t="s">
        <v>5</v>
      </c>
      <c r="B200" t="s">
        <v>113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21</v>
      </c>
    </row>
    <row r="201" spans="1:13" x14ac:dyDescent="0.45">
      <c r="A201" t="s">
        <v>5</v>
      </c>
      <c r="B201" t="s">
        <v>113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21</v>
      </c>
    </row>
    <row r="202" spans="1:13" x14ac:dyDescent="0.45">
      <c r="A202" t="s">
        <v>5</v>
      </c>
      <c r="B202" t="s">
        <v>113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21</v>
      </c>
    </row>
    <row r="203" spans="1:13" x14ac:dyDescent="0.45">
      <c r="A203" t="s">
        <v>5</v>
      </c>
      <c r="B203" t="s">
        <v>113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21</v>
      </c>
    </row>
    <row r="204" spans="1:13" x14ac:dyDescent="0.45">
      <c r="A204" t="s">
        <v>5</v>
      </c>
      <c r="B204" t="s">
        <v>113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113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21</v>
      </c>
    </row>
    <row r="206" spans="1:13" x14ac:dyDescent="0.45">
      <c r="A206" t="s">
        <v>5</v>
      </c>
      <c r="B206" t="s">
        <v>113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21</v>
      </c>
    </row>
    <row r="207" spans="1:13" x14ac:dyDescent="0.45">
      <c r="A207" t="s">
        <v>7</v>
      </c>
      <c r="B207" t="s">
        <v>113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21</v>
      </c>
    </row>
    <row r="208" spans="1:13" x14ac:dyDescent="0.45">
      <c r="A208" t="s">
        <v>7</v>
      </c>
      <c r="B208" t="s">
        <v>113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21</v>
      </c>
    </row>
    <row r="209" spans="1:13" x14ac:dyDescent="0.45">
      <c r="A209" t="s">
        <v>7</v>
      </c>
      <c r="B209" t="s">
        <v>113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21</v>
      </c>
    </row>
    <row r="210" spans="1:13" x14ac:dyDescent="0.45">
      <c r="A210" t="s">
        <v>7</v>
      </c>
      <c r="B210" t="s">
        <v>113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21</v>
      </c>
    </row>
    <row r="211" spans="1:13" x14ac:dyDescent="0.45">
      <c r="A211" t="s">
        <v>7</v>
      </c>
      <c r="B211" t="s">
        <v>113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21</v>
      </c>
    </row>
    <row r="212" spans="1:13" x14ac:dyDescent="0.45">
      <c r="A212" t="s">
        <v>7</v>
      </c>
      <c r="B212" t="s">
        <v>113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21</v>
      </c>
    </row>
    <row r="213" spans="1:13" x14ac:dyDescent="0.45">
      <c r="A213" t="s">
        <v>7</v>
      </c>
      <c r="B213" t="s">
        <v>113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21</v>
      </c>
    </row>
    <row r="214" spans="1:13" x14ac:dyDescent="0.45">
      <c r="A214" t="s">
        <v>9</v>
      </c>
      <c r="B214" t="s">
        <v>113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21</v>
      </c>
    </row>
    <row r="215" spans="1:13" x14ac:dyDescent="0.45">
      <c r="A215" t="s">
        <v>9</v>
      </c>
      <c r="B215" t="s">
        <v>113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21</v>
      </c>
    </row>
    <row r="216" spans="1:13" x14ac:dyDescent="0.45">
      <c r="A216" t="s">
        <v>9</v>
      </c>
      <c r="B216" t="s">
        <v>113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21</v>
      </c>
    </row>
    <row r="217" spans="1:13" x14ac:dyDescent="0.45">
      <c r="A217" t="s">
        <v>9</v>
      </c>
      <c r="B217" t="s">
        <v>113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21</v>
      </c>
    </row>
    <row r="218" spans="1:13" x14ac:dyDescent="0.45">
      <c r="A218" t="s">
        <v>9</v>
      </c>
      <c r="B218" t="s">
        <v>113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21</v>
      </c>
    </row>
    <row r="219" spans="1:13" x14ac:dyDescent="0.45">
      <c r="A219" t="s">
        <v>9</v>
      </c>
      <c r="B219" t="s">
        <v>113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113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21</v>
      </c>
    </row>
    <row r="221" spans="1:13" x14ac:dyDescent="0.45">
      <c r="A221" t="s">
        <v>0</v>
      </c>
      <c r="B221" t="s">
        <v>113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23</v>
      </c>
    </row>
    <row r="222" spans="1:13" x14ac:dyDescent="0.45">
      <c r="A222" t="s">
        <v>0</v>
      </c>
      <c r="B222" t="s">
        <v>113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23</v>
      </c>
    </row>
    <row r="223" spans="1:13" x14ac:dyDescent="0.45">
      <c r="A223" t="s">
        <v>0</v>
      </c>
      <c r="B223" t="s">
        <v>113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23</v>
      </c>
    </row>
    <row r="224" spans="1:13" x14ac:dyDescent="0.45">
      <c r="A224" t="s">
        <v>0</v>
      </c>
      <c r="B224" t="s">
        <v>113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23</v>
      </c>
    </row>
    <row r="225" spans="1:13" x14ac:dyDescent="0.45">
      <c r="A225" t="s">
        <v>0</v>
      </c>
      <c r="B225" t="s">
        <v>113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23</v>
      </c>
    </row>
    <row r="226" spans="1:13" x14ac:dyDescent="0.45">
      <c r="A226" t="s">
        <v>0</v>
      </c>
      <c r="B226" t="s">
        <v>113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23</v>
      </c>
    </row>
    <row r="227" spans="1:13" x14ac:dyDescent="0.45">
      <c r="A227" t="s">
        <v>0</v>
      </c>
      <c r="B227" t="s">
        <v>113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23</v>
      </c>
    </row>
    <row r="228" spans="1:13" x14ac:dyDescent="0.45">
      <c r="A228" t="s">
        <v>2</v>
      </c>
      <c r="B228" t="s">
        <v>113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23</v>
      </c>
    </row>
    <row r="229" spans="1:13" x14ac:dyDescent="0.45">
      <c r="A229" t="s">
        <v>2</v>
      </c>
      <c r="B229" t="s">
        <v>113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23</v>
      </c>
    </row>
    <row r="230" spans="1:13" x14ac:dyDescent="0.45">
      <c r="A230" t="s">
        <v>2</v>
      </c>
      <c r="B230" t="s">
        <v>113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23</v>
      </c>
    </row>
    <row r="231" spans="1:13" x14ac:dyDescent="0.45">
      <c r="A231" t="s">
        <v>2</v>
      </c>
      <c r="B231" t="s">
        <v>113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23</v>
      </c>
    </row>
    <row r="232" spans="1:13" x14ac:dyDescent="0.45">
      <c r="A232" t="s">
        <v>2</v>
      </c>
      <c r="B232" t="s">
        <v>113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23</v>
      </c>
    </row>
    <row r="233" spans="1:13" x14ac:dyDescent="0.45">
      <c r="A233" t="s">
        <v>2</v>
      </c>
      <c r="B233" t="s">
        <v>113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23</v>
      </c>
    </row>
    <row r="234" spans="1:13" x14ac:dyDescent="0.45">
      <c r="A234" t="s">
        <v>2</v>
      </c>
      <c r="B234" t="s">
        <v>113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23</v>
      </c>
    </row>
    <row r="235" spans="1:13" x14ac:dyDescent="0.45">
      <c r="A235" t="s">
        <v>5</v>
      </c>
      <c r="B235" t="s">
        <v>113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23</v>
      </c>
    </row>
    <row r="236" spans="1:13" x14ac:dyDescent="0.45">
      <c r="A236" t="s">
        <v>5</v>
      </c>
      <c r="B236" t="s">
        <v>113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23</v>
      </c>
    </row>
    <row r="237" spans="1:13" x14ac:dyDescent="0.45">
      <c r="A237" t="s">
        <v>5</v>
      </c>
      <c r="B237" t="s">
        <v>113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23</v>
      </c>
    </row>
    <row r="238" spans="1:13" x14ac:dyDescent="0.45">
      <c r="A238" t="s">
        <v>5</v>
      </c>
      <c r="B238" t="s">
        <v>113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23</v>
      </c>
    </row>
    <row r="239" spans="1:13" x14ac:dyDescent="0.45">
      <c r="A239" t="s">
        <v>5</v>
      </c>
      <c r="B239" t="s">
        <v>113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23</v>
      </c>
    </row>
    <row r="240" spans="1:13" x14ac:dyDescent="0.45">
      <c r="A240" t="s">
        <v>5</v>
      </c>
      <c r="B240" t="s">
        <v>113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23</v>
      </c>
    </row>
    <row r="241" spans="1:13" x14ac:dyDescent="0.45">
      <c r="A241" t="s">
        <v>5</v>
      </c>
      <c r="B241" t="s">
        <v>113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23</v>
      </c>
    </row>
    <row r="242" spans="1:13" x14ac:dyDescent="0.45">
      <c r="A242" t="s">
        <v>7</v>
      </c>
      <c r="B242" t="s">
        <v>113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23</v>
      </c>
    </row>
    <row r="243" spans="1:13" x14ac:dyDescent="0.45">
      <c r="A243" t="s">
        <v>7</v>
      </c>
      <c r="B243" t="s">
        <v>113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23</v>
      </c>
    </row>
    <row r="244" spans="1:13" x14ac:dyDescent="0.45">
      <c r="A244" t="s">
        <v>7</v>
      </c>
      <c r="B244" t="s">
        <v>113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23</v>
      </c>
    </row>
    <row r="245" spans="1:13" x14ac:dyDescent="0.45">
      <c r="A245" t="s">
        <v>7</v>
      </c>
      <c r="B245" t="s">
        <v>113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23</v>
      </c>
    </row>
    <row r="246" spans="1:13" x14ac:dyDescent="0.45">
      <c r="A246" t="s">
        <v>7</v>
      </c>
      <c r="B246" t="s">
        <v>113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23</v>
      </c>
    </row>
    <row r="247" spans="1:13" x14ac:dyDescent="0.45">
      <c r="A247" t="s">
        <v>7</v>
      </c>
      <c r="B247" t="s">
        <v>113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23</v>
      </c>
    </row>
    <row r="248" spans="1:13" x14ac:dyDescent="0.45">
      <c r="A248" t="s">
        <v>7</v>
      </c>
      <c r="B248" t="s">
        <v>113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23</v>
      </c>
    </row>
    <row r="249" spans="1:13" x14ac:dyDescent="0.45">
      <c r="A249" t="s">
        <v>9</v>
      </c>
      <c r="B249" t="s">
        <v>113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23</v>
      </c>
    </row>
    <row r="250" spans="1:13" x14ac:dyDescent="0.45">
      <c r="A250" t="s">
        <v>9</v>
      </c>
      <c r="B250" t="s">
        <v>113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23</v>
      </c>
    </row>
    <row r="251" spans="1:13" x14ac:dyDescent="0.45">
      <c r="A251" t="s">
        <v>9</v>
      </c>
      <c r="B251" t="s">
        <v>113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23</v>
      </c>
    </row>
    <row r="252" spans="1:13" x14ac:dyDescent="0.45">
      <c r="A252" t="s">
        <v>9</v>
      </c>
      <c r="B252" t="s">
        <v>113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23</v>
      </c>
    </row>
    <row r="253" spans="1:13" x14ac:dyDescent="0.45">
      <c r="A253" t="s">
        <v>9</v>
      </c>
      <c r="B253" t="s">
        <v>113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23</v>
      </c>
    </row>
    <row r="254" spans="1:13" x14ac:dyDescent="0.45">
      <c r="A254" t="s">
        <v>9</v>
      </c>
      <c r="B254" t="s">
        <v>113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23</v>
      </c>
    </row>
    <row r="255" spans="1:13" x14ac:dyDescent="0.45">
      <c r="A255" t="s">
        <v>9</v>
      </c>
      <c r="B255" t="s">
        <v>113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113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113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69</v>
      </c>
    </row>
    <row r="258" spans="1:13" x14ac:dyDescent="0.45">
      <c r="A258" t="s">
        <v>0</v>
      </c>
      <c r="B258" t="s">
        <v>113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69</v>
      </c>
    </row>
    <row r="259" spans="1:13" x14ac:dyDescent="0.45">
      <c r="A259" t="s">
        <v>0</v>
      </c>
      <c r="B259" t="s">
        <v>113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69</v>
      </c>
    </row>
    <row r="260" spans="1:13" x14ac:dyDescent="0.45">
      <c r="A260" t="s">
        <v>0</v>
      </c>
      <c r="B260" t="s">
        <v>113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69</v>
      </c>
    </row>
    <row r="261" spans="1:13" x14ac:dyDescent="0.45">
      <c r="A261" t="s">
        <v>0</v>
      </c>
      <c r="B261" t="s">
        <v>113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69</v>
      </c>
    </row>
    <row r="262" spans="1:13" x14ac:dyDescent="0.45">
      <c r="A262" t="s">
        <v>0</v>
      </c>
      <c r="B262" t="s">
        <v>113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69</v>
      </c>
    </row>
    <row r="263" spans="1:13" x14ac:dyDescent="0.45">
      <c r="A263" t="s">
        <v>2</v>
      </c>
      <c r="B263" t="s">
        <v>113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113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69</v>
      </c>
    </row>
    <row r="265" spans="1:13" x14ac:dyDescent="0.45">
      <c r="A265" t="s">
        <v>2</v>
      </c>
      <c r="B265" t="s">
        <v>113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69</v>
      </c>
    </row>
    <row r="266" spans="1:13" x14ac:dyDescent="0.45">
      <c r="A266" t="s">
        <v>2</v>
      </c>
      <c r="B266" t="s">
        <v>113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69</v>
      </c>
    </row>
    <row r="267" spans="1:13" x14ac:dyDescent="0.45">
      <c r="A267" t="s">
        <v>2</v>
      </c>
      <c r="B267" t="s">
        <v>113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69</v>
      </c>
    </row>
    <row r="268" spans="1:13" x14ac:dyDescent="0.45">
      <c r="A268" t="s">
        <v>2</v>
      </c>
      <c r="B268" t="s">
        <v>113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69</v>
      </c>
    </row>
    <row r="269" spans="1:13" x14ac:dyDescent="0.45">
      <c r="A269" t="s">
        <v>2</v>
      </c>
      <c r="B269" t="s">
        <v>113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69</v>
      </c>
    </row>
    <row r="270" spans="1:13" x14ac:dyDescent="0.45">
      <c r="A270" t="s">
        <v>5</v>
      </c>
      <c r="B270" t="s">
        <v>113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113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69</v>
      </c>
    </row>
    <row r="272" spans="1:13" x14ac:dyDescent="0.45">
      <c r="A272" t="s">
        <v>5</v>
      </c>
      <c r="B272" t="s">
        <v>113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113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69</v>
      </c>
    </row>
    <row r="274" spans="1:13" x14ac:dyDescent="0.45">
      <c r="A274" t="s">
        <v>5</v>
      </c>
      <c r="B274" t="s">
        <v>113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69</v>
      </c>
    </row>
    <row r="275" spans="1:13" x14ac:dyDescent="0.45">
      <c r="A275" t="s">
        <v>5</v>
      </c>
      <c r="B275" t="s">
        <v>113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69</v>
      </c>
    </row>
    <row r="276" spans="1:13" x14ac:dyDescent="0.45">
      <c r="A276" t="s">
        <v>5</v>
      </c>
      <c r="B276" t="s">
        <v>113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69</v>
      </c>
    </row>
    <row r="277" spans="1:13" x14ac:dyDescent="0.45">
      <c r="A277" t="s">
        <v>7</v>
      </c>
      <c r="B277" t="s">
        <v>113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113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69</v>
      </c>
    </row>
    <row r="279" spans="1:13" x14ac:dyDescent="0.45">
      <c r="A279" t="s">
        <v>7</v>
      </c>
      <c r="B279" t="s">
        <v>113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69</v>
      </c>
    </row>
    <row r="280" spans="1:13" x14ac:dyDescent="0.45">
      <c r="A280" t="s">
        <v>7</v>
      </c>
      <c r="B280" t="s">
        <v>113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113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113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69</v>
      </c>
    </row>
    <row r="283" spans="1:13" x14ac:dyDescent="0.45">
      <c r="A283" t="s">
        <v>7</v>
      </c>
      <c r="B283" t="s">
        <v>113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69</v>
      </c>
    </row>
    <row r="284" spans="1:13" x14ac:dyDescent="0.45">
      <c r="A284" t="s">
        <v>9</v>
      </c>
      <c r="B284" t="s">
        <v>113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113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113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69</v>
      </c>
    </row>
    <row r="287" spans="1:13" x14ac:dyDescent="0.45">
      <c r="A287" t="s">
        <v>9</v>
      </c>
      <c r="B287" t="s">
        <v>113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69</v>
      </c>
    </row>
    <row r="288" spans="1:13" x14ac:dyDescent="0.45">
      <c r="A288" t="s">
        <v>9</v>
      </c>
      <c r="B288" t="s">
        <v>113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69</v>
      </c>
    </row>
    <row r="289" spans="1:13" x14ac:dyDescent="0.45">
      <c r="A289" t="s">
        <v>9</v>
      </c>
      <c r="B289" t="s">
        <v>113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69</v>
      </c>
    </row>
    <row r="290" spans="1:13" x14ac:dyDescent="0.45">
      <c r="A290" t="s">
        <v>9</v>
      </c>
      <c r="B290" t="s">
        <v>113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69</v>
      </c>
    </row>
    <row r="291" spans="1:13" x14ac:dyDescent="0.45">
      <c r="A291" t="s">
        <v>0</v>
      </c>
      <c r="B291" t="s">
        <v>113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113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70</v>
      </c>
    </row>
    <row r="293" spans="1:13" x14ac:dyDescent="0.45">
      <c r="A293" t="s">
        <v>0</v>
      </c>
      <c r="B293" t="s">
        <v>113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70</v>
      </c>
    </row>
    <row r="294" spans="1:13" x14ac:dyDescent="0.45">
      <c r="A294" t="s">
        <v>0</v>
      </c>
      <c r="B294" t="s">
        <v>113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70</v>
      </c>
    </row>
    <row r="295" spans="1:13" x14ac:dyDescent="0.45">
      <c r="A295" t="s">
        <v>0</v>
      </c>
      <c r="B295" t="s">
        <v>113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70</v>
      </c>
    </row>
    <row r="296" spans="1:13" x14ac:dyDescent="0.45">
      <c r="A296" t="s">
        <v>0</v>
      </c>
      <c r="B296" t="s">
        <v>113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70</v>
      </c>
    </row>
    <row r="297" spans="1:13" x14ac:dyDescent="0.45">
      <c r="A297" t="s">
        <v>0</v>
      </c>
      <c r="B297" t="s">
        <v>113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70</v>
      </c>
    </row>
    <row r="298" spans="1:13" x14ac:dyDescent="0.45">
      <c r="A298" t="s">
        <v>2</v>
      </c>
      <c r="B298" t="s">
        <v>113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113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70</v>
      </c>
    </row>
    <row r="300" spans="1:13" x14ac:dyDescent="0.45">
      <c r="A300" t="s">
        <v>2</v>
      </c>
      <c r="B300" t="s">
        <v>113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70</v>
      </c>
    </row>
    <row r="301" spans="1:13" x14ac:dyDescent="0.45">
      <c r="A301" t="s">
        <v>2</v>
      </c>
      <c r="B301" t="s">
        <v>113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70</v>
      </c>
    </row>
    <row r="302" spans="1:13" x14ac:dyDescent="0.45">
      <c r="A302" t="s">
        <v>2</v>
      </c>
      <c r="B302" t="s">
        <v>113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70</v>
      </c>
    </row>
    <row r="303" spans="1:13" x14ac:dyDescent="0.45">
      <c r="A303" t="s">
        <v>2</v>
      </c>
      <c r="B303" t="s">
        <v>113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70</v>
      </c>
    </row>
    <row r="304" spans="1:13" x14ac:dyDescent="0.45">
      <c r="A304" t="s">
        <v>2</v>
      </c>
      <c r="B304" t="s">
        <v>113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70</v>
      </c>
    </row>
    <row r="305" spans="1:13" x14ac:dyDescent="0.45">
      <c r="A305" t="s">
        <v>5</v>
      </c>
      <c r="B305" t="s">
        <v>113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113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70</v>
      </c>
    </row>
    <row r="307" spans="1:13" x14ac:dyDescent="0.45">
      <c r="A307" t="s">
        <v>5</v>
      </c>
      <c r="B307" t="s">
        <v>113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70</v>
      </c>
    </row>
    <row r="308" spans="1:13" x14ac:dyDescent="0.45">
      <c r="A308" t="s">
        <v>5</v>
      </c>
      <c r="B308" t="s">
        <v>113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70</v>
      </c>
    </row>
    <row r="309" spans="1:13" x14ac:dyDescent="0.45">
      <c r="A309" t="s">
        <v>5</v>
      </c>
      <c r="B309" t="s">
        <v>113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70</v>
      </c>
    </row>
    <row r="310" spans="1:13" x14ac:dyDescent="0.45">
      <c r="A310" t="s">
        <v>5</v>
      </c>
      <c r="B310" t="s">
        <v>113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70</v>
      </c>
    </row>
    <row r="311" spans="1:13" x14ac:dyDescent="0.45">
      <c r="A311" t="s">
        <v>5</v>
      </c>
      <c r="B311" t="s">
        <v>113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70</v>
      </c>
    </row>
    <row r="312" spans="1:13" x14ac:dyDescent="0.45">
      <c r="A312" t="s">
        <v>7</v>
      </c>
      <c r="B312" t="s">
        <v>113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113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70</v>
      </c>
    </row>
    <row r="314" spans="1:13" x14ac:dyDescent="0.45">
      <c r="A314" t="s">
        <v>7</v>
      </c>
      <c r="B314" t="s">
        <v>113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70</v>
      </c>
    </row>
    <row r="315" spans="1:13" x14ac:dyDescent="0.45">
      <c r="A315" t="s">
        <v>7</v>
      </c>
      <c r="B315" t="s">
        <v>113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70</v>
      </c>
    </row>
    <row r="316" spans="1:13" x14ac:dyDescent="0.45">
      <c r="A316" t="s">
        <v>7</v>
      </c>
      <c r="B316" t="s">
        <v>113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70</v>
      </c>
    </row>
    <row r="317" spans="1:13" x14ac:dyDescent="0.45">
      <c r="A317" t="s">
        <v>7</v>
      </c>
      <c r="B317" t="s">
        <v>113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70</v>
      </c>
    </row>
    <row r="318" spans="1:13" x14ac:dyDescent="0.45">
      <c r="A318" t="s">
        <v>7</v>
      </c>
      <c r="B318" t="s">
        <v>113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70</v>
      </c>
    </row>
    <row r="319" spans="1:13" x14ac:dyDescent="0.45">
      <c r="A319" t="s">
        <v>9</v>
      </c>
      <c r="B319" t="s">
        <v>113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113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113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70</v>
      </c>
    </row>
    <row r="322" spans="1:13" x14ac:dyDescent="0.45">
      <c r="A322" t="s">
        <v>9</v>
      </c>
      <c r="B322" t="s">
        <v>113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70</v>
      </c>
    </row>
    <row r="323" spans="1:13" x14ac:dyDescent="0.45">
      <c r="A323" t="s">
        <v>9</v>
      </c>
      <c r="B323" t="s">
        <v>113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70</v>
      </c>
    </row>
    <row r="324" spans="1:13" x14ac:dyDescent="0.45">
      <c r="A324" t="s">
        <v>9</v>
      </c>
      <c r="B324" t="s">
        <v>113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70</v>
      </c>
    </row>
    <row r="325" spans="1:13" x14ac:dyDescent="0.45">
      <c r="A325" t="s">
        <v>9</v>
      </c>
      <c r="B325" t="s">
        <v>113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113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113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71</v>
      </c>
    </row>
    <row r="328" spans="1:13" x14ac:dyDescent="0.45">
      <c r="A328" t="s">
        <v>0</v>
      </c>
      <c r="B328" t="s">
        <v>113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71</v>
      </c>
    </row>
    <row r="329" spans="1:13" x14ac:dyDescent="0.45">
      <c r="A329" t="s">
        <v>0</v>
      </c>
      <c r="B329" t="s">
        <v>113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113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71</v>
      </c>
    </row>
    <row r="331" spans="1:13" x14ac:dyDescent="0.45">
      <c r="A331" t="s">
        <v>0</v>
      </c>
      <c r="B331" t="s">
        <v>113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71</v>
      </c>
    </row>
    <row r="332" spans="1:13" x14ac:dyDescent="0.45">
      <c r="A332" t="s">
        <v>0</v>
      </c>
      <c r="B332" t="s">
        <v>113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71</v>
      </c>
    </row>
    <row r="333" spans="1:13" x14ac:dyDescent="0.45">
      <c r="A333" t="s">
        <v>2</v>
      </c>
      <c r="B333" t="s">
        <v>113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113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71</v>
      </c>
    </row>
    <row r="335" spans="1:13" x14ac:dyDescent="0.45">
      <c r="A335" t="s">
        <v>2</v>
      </c>
      <c r="B335" t="s">
        <v>113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71</v>
      </c>
    </row>
    <row r="336" spans="1:13" x14ac:dyDescent="0.45">
      <c r="A336" t="s">
        <v>2</v>
      </c>
      <c r="B336" t="s">
        <v>113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71</v>
      </c>
    </row>
    <row r="337" spans="1:13" x14ac:dyDescent="0.45">
      <c r="A337" t="s">
        <v>2</v>
      </c>
      <c r="B337" t="s">
        <v>113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71</v>
      </c>
    </row>
    <row r="338" spans="1:13" x14ac:dyDescent="0.45">
      <c r="A338" t="s">
        <v>2</v>
      </c>
      <c r="B338" t="s">
        <v>113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71</v>
      </c>
    </row>
    <row r="339" spans="1:13" x14ac:dyDescent="0.45">
      <c r="A339" t="s">
        <v>2</v>
      </c>
      <c r="B339" t="s">
        <v>113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71</v>
      </c>
    </row>
    <row r="340" spans="1:13" x14ac:dyDescent="0.45">
      <c r="A340" t="s">
        <v>5</v>
      </c>
      <c r="B340" t="s">
        <v>113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113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71</v>
      </c>
    </row>
    <row r="342" spans="1:13" x14ac:dyDescent="0.45">
      <c r="A342" t="s">
        <v>5</v>
      </c>
      <c r="B342" t="s">
        <v>113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71</v>
      </c>
    </row>
    <row r="343" spans="1:13" x14ac:dyDescent="0.45">
      <c r="A343" t="s">
        <v>5</v>
      </c>
      <c r="B343" t="s">
        <v>113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71</v>
      </c>
    </row>
    <row r="344" spans="1:13" x14ac:dyDescent="0.45">
      <c r="A344" t="s">
        <v>5</v>
      </c>
      <c r="B344" t="s">
        <v>113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71</v>
      </c>
    </row>
    <row r="345" spans="1:13" x14ac:dyDescent="0.45">
      <c r="A345" t="s">
        <v>5</v>
      </c>
      <c r="B345" t="s">
        <v>113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113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71</v>
      </c>
    </row>
    <row r="347" spans="1:13" x14ac:dyDescent="0.45">
      <c r="A347" t="s">
        <v>7</v>
      </c>
      <c r="B347" t="s">
        <v>113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113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71</v>
      </c>
    </row>
    <row r="349" spans="1:13" x14ac:dyDescent="0.45">
      <c r="A349" t="s">
        <v>7</v>
      </c>
      <c r="B349" t="s">
        <v>113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71</v>
      </c>
    </row>
    <row r="350" spans="1:13" x14ac:dyDescent="0.45">
      <c r="A350" t="s">
        <v>7</v>
      </c>
      <c r="B350" t="s">
        <v>113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71</v>
      </c>
    </row>
    <row r="351" spans="1:13" x14ac:dyDescent="0.45">
      <c r="A351" t="s">
        <v>7</v>
      </c>
      <c r="B351" t="s">
        <v>113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71</v>
      </c>
    </row>
    <row r="352" spans="1:13" x14ac:dyDescent="0.45">
      <c r="A352" t="s">
        <v>7</v>
      </c>
      <c r="B352" t="s">
        <v>113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71</v>
      </c>
    </row>
    <row r="353" spans="1:13" x14ac:dyDescent="0.45">
      <c r="A353" t="s">
        <v>7</v>
      </c>
      <c r="B353" t="s">
        <v>113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71</v>
      </c>
    </row>
    <row r="354" spans="1:13" x14ac:dyDescent="0.45">
      <c r="A354" t="s">
        <v>9</v>
      </c>
      <c r="B354" t="s">
        <v>113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113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71</v>
      </c>
    </row>
    <row r="356" spans="1:13" x14ac:dyDescent="0.45">
      <c r="A356" t="s">
        <v>9</v>
      </c>
      <c r="B356" t="s">
        <v>113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113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71</v>
      </c>
    </row>
    <row r="358" spans="1:13" x14ac:dyDescent="0.45">
      <c r="A358" t="s">
        <v>9</v>
      </c>
      <c r="B358" t="s">
        <v>113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113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71</v>
      </c>
    </row>
    <row r="360" spans="1:13" x14ac:dyDescent="0.45">
      <c r="A360" t="s">
        <v>9</v>
      </c>
      <c r="B360" t="s">
        <v>113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71</v>
      </c>
    </row>
    <row r="361" spans="1:13" x14ac:dyDescent="0.45">
      <c r="A361" t="s">
        <v>0</v>
      </c>
      <c r="B361" t="s">
        <v>113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113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113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113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72</v>
      </c>
    </row>
    <row r="365" spans="1:13" x14ac:dyDescent="0.45">
      <c r="A365" t="s">
        <v>0</v>
      </c>
      <c r="B365" t="s">
        <v>113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72</v>
      </c>
    </row>
    <row r="366" spans="1:13" x14ac:dyDescent="0.45">
      <c r="A366" t="s">
        <v>0</v>
      </c>
      <c r="B366" t="s">
        <v>113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72</v>
      </c>
    </row>
    <row r="367" spans="1:13" x14ac:dyDescent="0.45">
      <c r="A367" t="s">
        <v>0</v>
      </c>
      <c r="B367" t="s">
        <v>113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72</v>
      </c>
    </row>
    <row r="368" spans="1:13" x14ac:dyDescent="0.45">
      <c r="A368" t="s">
        <v>2</v>
      </c>
      <c r="B368" t="s">
        <v>113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113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113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113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72</v>
      </c>
    </row>
    <row r="372" spans="1:13" x14ac:dyDescent="0.45">
      <c r="A372" t="s">
        <v>2</v>
      </c>
      <c r="B372" t="s">
        <v>113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72</v>
      </c>
    </row>
    <row r="373" spans="1:13" x14ac:dyDescent="0.45">
      <c r="A373" t="s">
        <v>2</v>
      </c>
      <c r="B373" t="s">
        <v>113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72</v>
      </c>
    </row>
    <row r="374" spans="1:13" x14ac:dyDescent="0.45">
      <c r="A374" t="s">
        <v>2</v>
      </c>
      <c r="B374" t="s">
        <v>113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72</v>
      </c>
    </row>
    <row r="375" spans="1:13" x14ac:dyDescent="0.45">
      <c r="A375" t="s">
        <v>5</v>
      </c>
      <c r="B375" t="s">
        <v>113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113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72</v>
      </c>
    </row>
    <row r="377" spans="1:13" x14ac:dyDescent="0.45">
      <c r="A377" t="s">
        <v>5</v>
      </c>
      <c r="B377" t="s">
        <v>113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72</v>
      </c>
    </row>
    <row r="378" spans="1:13" x14ac:dyDescent="0.45">
      <c r="A378" t="s">
        <v>5</v>
      </c>
      <c r="B378" t="s">
        <v>113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72</v>
      </c>
    </row>
    <row r="379" spans="1:13" x14ac:dyDescent="0.45">
      <c r="A379" t="s">
        <v>5</v>
      </c>
      <c r="B379" t="s">
        <v>113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72</v>
      </c>
    </row>
    <row r="380" spans="1:13" x14ac:dyDescent="0.45">
      <c r="A380" t="s">
        <v>5</v>
      </c>
      <c r="B380" t="s">
        <v>113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72</v>
      </c>
    </row>
    <row r="381" spans="1:13" x14ac:dyDescent="0.45">
      <c r="A381" t="s">
        <v>5</v>
      </c>
      <c r="B381" t="s">
        <v>113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72</v>
      </c>
    </row>
    <row r="382" spans="1:13" x14ac:dyDescent="0.45">
      <c r="A382" t="s">
        <v>7</v>
      </c>
      <c r="B382" t="s">
        <v>113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113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72</v>
      </c>
    </row>
    <row r="384" spans="1:13" x14ac:dyDescent="0.45">
      <c r="A384" t="s">
        <v>7</v>
      </c>
      <c r="B384" t="s">
        <v>113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72</v>
      </c>
    </row>
    <row r="385" spans="1:13" x14ac:dyDescent="0.45">
      <c r="A385" t="s">
        <v>7</v>
      </c>
      <c r="B385" t="s">
        <v>113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72</v>
      </c>
    </row>
    <row r="386" spans="1:13" x14ac:dyDescent="0.45">
      <c r="A386" t="s">
        <v>7</v>
      </c>
      <c r="B386" t="s">
        <v>113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72</v>
      </c>
    </row>
    <row r="387" spans="1:13" x14ac:dyDescent="0.45">
      <c r="A387" t="s">
        <v>7</v>
      </c>
      <c r="B387" t="s">
        <v>113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72</v>
      </c>
    </row>
    <row r="388" spans="1:13" x14ac:dyDescent="0.45">
      <c r="A388" t="s">
        <v>7</v>
      </c>
      <c r="B388" t="s">
        <v>113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72</v>
      </c>
    </row>
    <row r="389" spans="1:13" x14ac:dyDescent="0.45">
      <c r="A389" t="s">
        <v>9</v>
      </c>
      <c r="B389" t="s">
        <v>113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113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72</v>
      </c>
    </row>
    <row r="391" spans="1:13" x14ac:dyDescent="0.45">
      <c r="A391" t="s">
        <v>9</v>
      </c>
      <c r="B391" t="s">
        <v>113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72</v>
      </c>
    </row>
    <row r="392" spans="1:13" x14ac:dyDescent="0.45">
      <c r="A392" t="s">
        <v>9</v>
      </c>
      <c r="B392" t="s">
        <v>113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72</v>
      </c>
    </row>
    <row r="393" spans="1:13" x14ac:dyDescent="0.45">
      <c r="A393" t="s">
        <v>9</v>
      </c>
      <c r="B393" t="s">
        <v>113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72</v>
      </c>
    </row>
    <row r="394" spans="1:13" x14ac:dyDescent="0.45">
      <c r="A394" t="s">
        <v>9</v>
      </c>
      <c r="B394" t="s">
        <v>113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72</v>
      </c>
    </row>
    <row r="395" spans="1:13" x14ac:dyDescent="0.45">
      <c r="A395" t="s">
        <v>9</v>
      </c>
      <c r="B395" t="s">
        <v>113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2026-07-09T08:17:48Z</dcterms:modified>
</cp:coreProperties>
</file>