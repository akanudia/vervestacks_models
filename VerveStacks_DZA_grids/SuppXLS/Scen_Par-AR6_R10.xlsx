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ZA_grids\SuppXLS\"/>
    </mc:Choice>
  </mc:AlternateContent>
  <xr:revisionPtr revIDLastSave="0" documentId="8_{0296179A-4D4D-488F-9C97-A2AD40FF897B}" xr6:coauthVersionLast="47" xr6:coauthVersionMax="47" xr10:uidLastSave="{00000000-0000-0000-0000-000000000000}"/>
  <bookViews>
    <workbookView xWindow="-98" yWindow="-98" windowWidth="28996" windowHeight="17475" firstSheet="8" activeTab="8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012" sheetId="7" r:id="rId6"/>
    <sheet name="ts_048" sheetId="8" r:id="rId7"/>
    <sheet name="ts_annual" sheetId="9" r:id="rId8"/>
    <sheet name="ts_12t" sheetId="10" r:id="rId9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0" l="1"/>
  <c r="AG9" i="10"/>
  <c r="AC9" i="10"/>
  <c r="A10" i="6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D77" i="1"/>
  <c r="D73" i="1"/>
  <c r="D72" i="1"/>
  <c r="E69" i="1"/>
  <c r="E74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D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D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70" i="1" l="1"/>
  <c r="E33" i="1"/>
  <c r="B28" i="1"/>
  <c r="B16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71" i="1"/>
  <c r="D16" i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B56" i="1"/>
  <c r="D46" i="1"/>
  <c r="B46" i="1" s="1"/>
  <c r="E67" i="1"/>
  <c r="D14" i="1"/>
  <c r="B14" i="1" s="1"/>
  <c r="B22" i="1"/>
  <c r="D56" i="1"/>
  <c r="B42" i="1"/>
  <c r="B37" i="1"/>
  <c r="D66" i="1"/>
  <c r="B66" i="1" s="1"/>
  <c r="D68" i="1"/>
  <c r="B32" i="1"/>
  <c r="E71" i="1"/>
  <c r="B71" i="1" s="1"/>
  <c r="D2" i="1"/>
  <c r="H48" i="1"/>
  <c r="H47" i="1"/>
  <c r="H46" i="1"/>
  <c r="H45" i="1"/>
  <c r="H24" i="6"/>
  <c r="H23" i="6"/>
  <c r="D5" i="1"/>
  <c r="H21" i="6" l="1"/>
  <c r="AJ25" i="1"/>
  <c r="D20" i="1"/>
  <c r="B20" i="1" s="1"/>
  <c r="AJ29" i="1"/>
  <c r="D24" i="1"/>
  <c r="B24" i="1" s="1"/>
  <c r="E72" i="1"/>
  <c r="B67" i="1"/>
  <c r="E38" i="1"/>
  <c r="B33" i="1"/>
  <c r="E75" i="1"/>
  <c r="E76" i="1"/>
  <c r="B76" i="1" s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E43" i="1" l="1"/>
  <c r="B38" i="1"/>
  <c r="B72" i="1"/>
  <c r="E77" i="1"/>
  <c r="B77" i="1" s="1"/>
  <c r="D29" i="1"/>
  <c r="B29" i="1" s="1"/>
  <c r="AJ34" i="1"/>
  <c r="D25" i="1"/>
  <c r="B25" i="1" s="1"/>
  <c r="AJ30" i="1"/>
  <c r="K40" i="1"/>
  <c r="K48" i="1" s="1"/>
  <c r="J37" i="1"/>
  <c r="J45" i="1" s="1"/>
  <c r="J40" i="1"/>
  <c r="J48" i="1" s="1"/>
  <c r="I47" i="1"/>
  <c r="L40" i="1"/>
  <c r="L48" i="1" s="1"/>
  <c r="M40" i="1"/>
  <c r="M48" i="1" s="1"/>
  <c r="N40" i="1"/>
  <c r="N48" i="1" s="1"/>
  <c r="M44" i="1"/>
  <c r="N44" i="1"/>
  <c r="O48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39" i="1" l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E73" i="1"/>
  <c r="B68" i="1"/>
  <c r="AJ64" i="1"/>
  <c r="D59" i="1"/>
  <c r="B59" i="1" s="1"/>
  <c r="AJ69" i="1" l="1"/>
  <c r="D64" i="1"/>
  <c r="B64" i="1" s="1"/>
  <c r="B73" i="1"/>
  <c r="E78" i="1"/>
  <c r="B78" i="1" s="1"/>
  <c r="AJ65" i="1"/>
  <c r="D60" i="1"/>
  <c r="B60" i="1" s="1"/>
  <c r="AJ70" i="1" l="1"/>
  <c r="D65" i="1"/>
  <c r="B65" i="1" s="1"/>
  <c r="AJ74" i="1"/>
  <c r="D74" i="1" s="1"/>
  <c r="B74" i="1" s="1"/>
  <c r="D69" i="1"/>
  <c r="B69" i="1" s="1"/>
  <c r="AJ75" i="1" l="1"/>
  <c r="D75" i="1" s="1"/>
  <c r="B75" i="1" s="1"/>
  <c r="D70" i="1"/>
  <c r="B70" i="1" s="1"/>
</calcChain>
</file>

<file path=xl/sharedStrings.xml><?xml version="1.0" encoding="utf-8"?>
<sst xmlns="http://schemas.openxmlformats.org/spreadsheetml/2006/main" count="30472" uniqueCount="388">
  <si>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</si>
  <si>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</si>
  <si>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</si>
  <si>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</si>
  <si>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</si>
  <si>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</si>
  <si>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</si>
  <si>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</si>
  <si>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</si>
  <si>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</si>
  <si>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</si>
  <si>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</si>
  <si>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</si>
  <si>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</si>
  <si>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</si>
  <si>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</si>
  <si>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</si>
  <si>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</si>
  <si>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</si>
  <si>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</si>
  <si>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</si>
  <si>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</si>
  <si>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</si>
  <si>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</si>
  <si>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</si>
  <si>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</si>
  <si>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</si>
  <si>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</si>
  <si>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</si>
  <si>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</si>
  <si>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</si>
  <si>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</si>
  <si>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</si>
  <si>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</si>
  <si>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</si>
  <si>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</si>
  <si>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</si>
  <si>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</si>
  <si>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</si>
  <si>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</si>
  <si>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</si>
  <si>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</si>
  <si>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</si>
  <si>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</si>
  <si>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</si>
  <si>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</si>
  <si>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</si>
  <si>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</si>
  <si>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</si>
  <si>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</si>
  <si>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</si>
  <si>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</si>
  <si>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</si>
  <si>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</si>
  <si>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</si>
  <si>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</si>
  <si>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</si>
  <si>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</si>
  <si>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</si>
  <si>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</si>
  <si>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</si>
  <si>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</si>
  <si>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</si>
  <si>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</si>
  <si>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</si>
  <si>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</si>
  <si>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</si>
  <si>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</si>
  <si>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</si>
  <si>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</si>
  <si>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</si>
  <si>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</si>
  <si>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</si>
  <si>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</si>
  <si>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</si>
  <si>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</si>
  <si>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</si>
  <si>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</si>
  <si>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</si>
  <si>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</si>
  <si>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</si>
  <si>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</si>
  <si>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</si>
  <si>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</si>
  <si>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~TFM_INS-TS: attribute=flo_cost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</si>
  <si>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</si>
  <si>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</si>
  <si>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</si>
  <si>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</si>
  <si>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</si>
  <si>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</si>
  <si>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</si>
  <si>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</si>
  <si>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</si>
  <si>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</si>
  <si>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</si>
  <si>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</si>
  <si>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</si>
  <si>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</si>
  <si>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</si>
  <si>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</si>
  <si>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</si>
  <si>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</si>
  <si>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</si>
  <si>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</si>
  <si>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</si>
  <si>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</si>
  <si>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</si>
  <si>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pset_co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</si>
  <si>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</si>
  <si>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</si>
  <si>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</si>
  <si>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</si>
  <si>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</si>
  <si>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</si>
  <si>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</si>
  <si>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</si>
  <si>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</si>
  <si>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</si>
  <si>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</si>
  <si>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</si>
  <si>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</si>
  <si>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</si>
  <si>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</si>
  <si>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</si>
  <si>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</si>
  <si>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</si>
  <si>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</si>
  <si>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</si>
  <si>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</si>
  <si>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</si>
  <si>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</si>
  <si>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</si>
  <si>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</si>
  <si>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</si>
  <si>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g64</t>
  </si>
  <si>
    <t>h48</t>
  </si>
  <si>
    <t>i24</t>
  </si>
  <si>
    <t>j12</t>
  </si>
  <si>
    <t>k12</t>
  </si>
  <si>
    <t>kAnn</t>
  </si>
  <si>
    <t>f96p50</t>
  </si>
  <si>
    <t>DZA</t>
  </si>
  <si>
    <t>R10AFRICA</t>
  </si>
  <si>
    <t>Gas exporter, limited biomass</t>
  </si>
  <si>
    <t>1,2,3,4,5,6,7,8,9,10,11,12,13,14,15,21,22,23,24,25</t>
  </si>
  <si>
    <t>~tfm_ins-ts</t>
  </si>
  <si>
    <t>lo</t>
  </si>
  <si>
    <t>cap_bnd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</si>
  <si>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</si>
  <si>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</si>
  <si>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</si>
  <si>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</si>
  <si>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</si>
  <si>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</si>
  <si>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</si>
  <si>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</si>
  <si>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</si>
  <si>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</si>
  <si>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</si>
  <si>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</si>
  <si>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</si>
  <si>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</si>
  <si>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com_fr</t>
  </si>
  <si>
    <t>elc_spv_001</t>
  </si>
  <si>
    <t>S01aH01</t>
  </si>
  <si>
    <t>IMPNRGZ</t>
  </si>
  <si>
    <t>S01aH02</t>
  </si>
  <si>
    <t>S01aH03</t>
  </si>
  <si>
    <t>S02aH01</t>
  </si>
  <si>
    <t>S02aH02</t>
  </si>
  <si>
    <t>S02aH03</t>
  </si>
  <si>
    <t>S03aH01</t>
  </si>
  <si>
    <t>S03aH02</t>
  </si>
  <si>
    <t>S03aH03</t>
  </si>
  <si>
    <t>S04aH01</t>
  </si>
  <si>
    <t>S04aH02</t>
  </si>
  <si>
    <t>S04aH03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</si>
  <si>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</si>
  <si>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</si>
  <si>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</si>
  <si>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</si>
  <si>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</si>
  <si>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</si>
  <si>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</si>
  <si>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</si>
  <si>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</si>
  <si>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</si>
  <si>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</si>
  <si>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</si>
  <si>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</si>
  <si>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</si>
  <si>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</si>
  <si>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</si>
  <si>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</si>
  <si>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</si>
  <si>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</si>
  <si>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</si>
  <si>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</si>
  <si>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</si>
  <si>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</si>
  <si>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</si>
  <si>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</si>
  <si>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</si>
  <si>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</si>
  <si>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</si>
  <si>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</si>
  <si>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elc_spv_031</t>
  </si>
  <si>
    <t>elc_spv_032</t>
  </si>
  <si>
    <t>elc_spv_033</t>
  </si>
  <si>
    <t>elc_spv_034</t>
  </si>
  <si>
    <t>elc_spv_035</t>
  </si>
  <si>
    <t>elc_spv_036</t>
  </si>
  <si>
    <t>elc_spv_037</t>
  </si>
  <si>
    <t>elc_spv_038</t>
  </si>
  <si>
    <t>elc_spv_039</t>
  </si>
  <si>
    <t>elc_spv_040</t>
  </si>
  <si>
    <t>elc_spv_041</t>
  </si>
  <si>
    <t>elc_spv_042</t>
  </si>
  <si>
    <t>elc_spv_043</t>
  </si>
  <si>
    <t>elc_spv_044</t>
  </si>
  <si>
    <t>elc_spv_045</t>
  </si>
  <si>
    <t>elc_spv_046</t>
  </si>
  <si>
    <t>elc_spv_047</t>
  </si>
  <si>
    <t>elc_spv_048</t>
  </si>
  <si>
    <t>elc_spv_049</t>
  </si>
  <si>
    <t>elc_spv_050</t>
  </si>
  <si>
    <t>elc_spv_051</t>
  </si>
  <si>
    <t>elc_spv_052</t>
  </si>
  <si>
    <t>elc_spv_053</t>
  </si>
  <si>
    <t>elc_spv_054</t>
  </si>
  <si>
    <t>elc_spv_055</t>
  </si>
  <si>
    <t>elc_spv_056</t>
  </si>
  <si>
    <t>elc_spv_057</t>
  </si>
  <si>
    <t>elc_spv_058</t>
  </si>
  <si>
    <t>elc_spv_059</t>
  </si>
  <si>
    <t>elc_spv_060</t>
  </si>
  <si>
    <t>elc_spv_061</t>
  </si>
  <si>
    <t>elc_spv_062</t>
  </si>
  <si>
    <t>elc_spv_063</t>
  </si>
  <si>
    <t>elc_spv_064</t>
  </si>
  <si>
    <t>elc_spv_065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</si>
  <si>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</si>
  <si>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</si>
  <si>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</si>
  <si>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</si>
  <si>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</si>
  <si>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</si>
  <si>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</si>
  <si>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</si>
  <si>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</si>
  <si>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</si>
  <si>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</si>
  <si>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</si>
  <si>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</si>
  <si>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</si>
  <si>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</si>
  <si>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</si>
  <si>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</si>
  <si>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</si>
  <si>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</si>
  <si>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</si>
  <si>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elc_won_021</t>
  </si>
  <si>
    <t>elc_won_022</t>
  </si>
  <si>
    <t>elc_won_023</t>
  </si>
  <si>
    <t>elc_won_024</t>
  </si>
  <si>
    <t>elc_won_025</t>
  </si>
  <si>
    <t>elc_won_026</t>
  </si>
  <si>
    <t>elc_won_027</t>
  </si>
  <si>
    <t>elc_won_028</t>
  </si>
  <si>
    <t>elc_won_029</t>
  </si>
  <si>
    <t>elc_won_030</t>
  </si>
  <si>
    <t>elc_won_031</t>
  </si>
  <si>
    <t>elc_won_032</t>
  </si>
  <si>
    <t>elc_won_033</t>
  </si>
  <si>
    <t>elc_won_034</t>
  </si>
  <si>
    <t>elc_won_035</t>
  </si>
  <si>
    <t>elc_won_036</t>
  </si>
  <si>
    <t>elc_won_037</t>
  </si>
  <si>
    <t>elc_won_038</t>
  </si>
  <si>
    <t>elc_won_039</t>
  </si>
  <si>
    <t>elc_won_040</t>
  </si>
  <si>
    <t>elc_won_041</t>
  </si>
  <si>
    <t>elc_won_042</t>
  </si>
  <si>
    <t>elc_won_043</t>
  </si>
  <si>
    <t>elc_won_044</t>
  </si>
  <si>
    <t>elc_won_045</t>
  </si>
  <si>
    <t>elc_won_046</t>
  </si>
  <si>
    <t>elc_won_047</t>
  </si>
  <si>
    <t>elc_won_048</t>
  </si>
  <si>
    <t>elc_won_049</t>
  </si>
  <si>
    <t>elc_won_050</t>
  </si>
  <si>
    <t>elc_won_051</t>
  </si>
  <si>
    <t>elc_won_052</t>
  </si>
  <si>
    <t>elc_won_053</t>
  </si>
  <si>
    <t>elc_won_054</t>
  </si>
  <si>
    <t>elc_won_055</t>
  </si>
  <si>
    <t>elc_won_056</t>
  </si>
  <si>
    <t>elc_won_057</t>
  </si>
  <si>
    <t>elc_won_058</t>
  </si>
  <si>
    <t>elc_won_059</t>
  </si>
  <si>
    <t>elc_won_060</t>
  </si>
  <si>
    <t>elc_won_061</t>
  </si>
  <si>
    <t>elc_won_062</t>
  </si>
  <si>
    <t>elc_won_063</t>
  </si>
  <si>
    <t>elc_won_064</t>
  </si>
  <si>
    <t>elc_won_065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</si>
  <si>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</si>
  <si>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</si>
  <si>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</si>
  <si>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</si>
  <si>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</si>
  <si>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</si>
  <si>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</si>
  <si>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</si>
  <si>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</si>
  <si>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</si>
  <si>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g_yrfr</t>
  </si>
  <si>
    <t>day_night</t>
  </si>
  <si>
    <t>D</t>
  </si>
  <si>
    <t>S03aH01,S04aH02,S02aH02,S03aH02,S01aH01,S04aH01,S01aH02,S02aH01</t>
  </si>
  <si>
    <t>N</t>
  </si>
  <si>
    <t>S03aH03,S02aH03,S04aH03,S01aH03</t>
  </si>
  <si>
    <t>com_pkflx</t>
  </si>
  <si>
    <t>ncap_afs</t>
  </si>
  <si>
    <t>pset_ci</t>
  </si>
  <si>
    <t>S01,S02,S03,S04,S05,S06,S07</t>
  </si>
  <si>
    <t>H04</t>
  </si>
  <si>
    <t>S05</t>
  </si>
  <si>
    <t>H05</t>
  </si>
  <si>
    <t>S06</t>
  </si>
  <si>
    <t>H06</t>
  </si>
  <si>
    <t>S07</t>
  </si>
  <si>
    <t>S01aH04</t>
  </si>
  <si>
    <t>S01aH05</t>
  </si>
  <si>
    <t>S01aH06</t>
  </si>
  <si>
    <t>S02aH04</t>
  </si>
  <si>
    <t>S02aH05</t>
  </si>
  <si>
    <t>S02aH06</t>
  </si>
  <si>
    <t>S03aH04</t>
  </si>
  <si>
    <t>S03aH05</t>
  </si>
  <si>
    <t>S03aH06</t>
  </si>
  <si>
    <t>S04aH04</t>
  </si>
  <si>
    <t>S04aH05</t>
  </si>
  <si>
    <t>S04aH06</t>
  </si>
  <si>
    <t>S05aH01</t>
  </si>
  <si>
    <t>S05aH02</t>
  </si>
  <si>
    <t>S05aH03</t>
  </si>
  <si>
    <t>S05aH04</t>
  </si>
  <si>
    <t>S05aH05</t>
  </si>
  <si>
    <t>S05aH06</t>
  </si>
  <si>
    <t>S06aH01</t>
  </si>
  <si>
    <t>S06aH02</t>
  </si>
  <si>
    <t>S06aH03</t>
  </si>
  <si>
    <t>S06aH04</t>
  </si>
  <si>
    <t>S06aH05</t>
  </si>
  <si>
    <t>S06aH06</t>
  </si>
  <si>
    <t>S07aH01</t>
  </si>
  <si>
    <t>S07aH02</t>
  </si>
  <si>
    <t>S07aH03</t>
  </si>
  <si>
    <t>S07aH04</t>
  </si>
  <si>
    <t>S07aH05</t>
  </si>
  <si>
    <t>S07aH06</t>
  </si>
  <si>
    <t>S03aH04,S02aH04,S01aH02,S04aH04,S01aH03,S05aH02,S05aH03,S03aH02,S05aH04,S06aH02,S06aH03,S04aH03,S07aH04,S04aH02,S06aH04,S02aH03,S07aH03,S02aH02,S01aH04,S07aH02,S03aH03</t>
  </si>
  <si>
    <t>S05aH01,S07aH06,S02aH06,S03aH05,S05aH05,S01aH05,S03aH06,S06aH05,S01aH06,S07aH01,S02aH01,S05aH06,S07aH05,S04aH05,S06aH01,S02aH05,S01aH01,S04aH01,S04aH06,S03aH01,S06aH06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</si>
  <si>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</si>
  <si>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</si>
  <si>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</si>
  <si>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</si>
  <si>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</si>
  <si>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</si>
  <si>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</si>
  <si>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</si>
  <si>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</si>
  <si>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</si>
  <si>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</si>
  <si>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</si>
  <si>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</si>
  <si>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</si>
  <si>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</si>
  <si>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</si>
  <si>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</si>
  <si>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</si>
  <si>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</si>
  <si>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</si>
  <si>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</si>
  <si>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FaP,SaP,FaD,WaD,SaD,WaP,RaP,RaD</t>
  </si>
  <si>
    <t>RaP,FaP,SaP,FaN,WaP,RaN,SaN,WaN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</si>
</sst>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88.660000000000011</c:v>
                </c:pt>
                <c:pt idx="1">
                  <c:v>112.59820000000002</c:v>
                </c:pt>
                <c:pt idx="2">
                  <c:v>148.94880000000001</c:v>
                </c:pt>
                <c:pt idx="3">
                  <c:v>200.3716</c:v>
                </c:pt>
                <c:pt idx="4">
                  <c:v>258.88720000000001</c:v>
                </c:pt>
                <c:pt idx="5">
                  <c:v>397.19680000000011</c:v>
                </c:pt>
                <c:pt idx="6">
                  <c:v>532.84660000000008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48.97</c:v>
                </c:pt>
                <c:pt idx="3">
                  <c:v>87.7</c:v>
                </c:pt>
                <c:pt idx="4">
                  <c:v>122.55</c:v>
                </c:pt>
                <c:pt idx="5">
                  <c:v>179.54</c:v>
                </c:pt>
                <c:pt idx="6">
                  <c:v>211.71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5"/>
  <sheetViews>
    <sheetView topLeftCell="X1" workbookViewId="0">
      <selection activeCell="AI17" sqref="AI17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8" x14ac:dyDescent="0.45">
      <c r="G1" s="18" t="s">
        <v>145</v>
      </c>
    </row>
    <row r="2" spans="1:38" x14ac:dyDescent="0.45">
      <c r="D2" s="1" t="str">
        <f>"~Inputcell: "&amp;_xlfn.TEXTJOIN(",",TRUE,G1:EE1)</f>
        <v>~Inputcell: 1,2,3,4,5,6,7,8,9,10,11,12,13,14,15,21,22,23,24,25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8" x14ac:dyDescent="0.45">
      <c r="D3" s="9">
        <v>3</v>
      </c>
    </row>
    <row r="5" spans="1:38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8" x14ac:dyDescent="0.45">
      <c r="B7" s="16" t="s">
        <v>119</v>
      </c>
    </row>
    <row r="8" spans="1:38" ht="14.65" thickBot="1" x14ac:dyDescent="0.5">
      <c r="A8" s="4" t="s">
        <v>124</v>
      </c>
      <c r="B8" s="4" t="s">
        <v>120</v>
      </c>
      <c r="C8" s="4" t="s">
        <v>121</v>
      </c>
      <c r="D8" s="4" t="s">
        <v>122</v>
      </c>
      <c r="E8" s="4" t="s">
        <v>123</v>
      </c>
    </row>
    <row r="9" spans="1:38" x14ac:dyDescent="0.4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107</v>
      </c>
      <c r="AI9" t="s">
        <v>140</v>
      </c>
      <c r="AJ9" s="10">
        <v>1</v>
      </c>
      <c r="AK9" t="s">
        <v>0</v>
      </c>
      <c r="AL9" t="s">
        <v>110</v>
      </c>
    </row>
    <row r="10" spans="1:38" x14ac:dyDescent="0.45">
      <c r="A10">
        <v>5</v>
      </c>
      <c r="B10" t="str">
        <f t="shared" ref="B10:B73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132</v>
      </c>
      <c r="AI10" t="s">
        <v>139</v>
      </c>
      <c r="AJ10" s="10">
        <v>1</v>
      </c>
      <c r="AK10" t="s">
        <v>2</v>
      </c>
      <c r="AL10" t="s">
        <v>112</v>
      </c>
    </row>
    <row r="11" spans="1:38" x14ac:dyDescent="0.45">
      <c r="A11">
        <v>5</v>
      </c>
      <c r="B11" t="str">
        <f t="shared" si="0"/>
        <v>c 2 deg (67%).kAnn</v>
      </c>
      <c r="C11">
        <f t="shared" ref="C11:C74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125</v>
      </c>
      <c r="AI11" t="s">
        <v>138</v>
      </c>
      <c r="AJ11" s="10">
        <v>1</v>
      </c>
      <c r="AK11" t="s">
        <v>5</v>
      </c>
      <c r="AL11" t="s">
        <v>114</v>
      </c>
    </row>
    <row r="12" spans="1:38" ht="14.65" customHeight="1" thickBot="1" x14ac:dyDescent="0.5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88.660000000000011</v>
      </c>
      <c r="T12" s="2" t="s">
        <v>57</v>
      </c>
      <c r="AG12">
        <v>4</v>
      </c>
      <c r="AH12" t="s">
        <v>126</v>
      </c>
      <c r="AI12" t="s">
        <v>137</v>
      </c>
      <c r="AJ12" s="10">
        <v>1</v>
      </c>
      <c r="AK12" t="s">
        <v>7</v>
      </c>
      <c r="AL12" t="s">
        <v>116</v>
      </c>
    </row>
    <row r="13" spans="1:38" ht="14.65" customHeight="1" thickTop="1" x14ac:dyDescent="0.4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127</v>
      </c>
      <c r="AI13" t="s">
        <v>136</v>
      </c>
      <c r="AJ13" s="10">
        <v>1</v>
      </c>
      <c r="AK13" t="s">
        <v>9</v>
      </c>
      <c r="AL13" t="s">
        <v>117</v>
      </c>
    </row>
    <row r="14" spans="1:38" x14ac:dyDescent="0.4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88.660000000000011</v>
      </c>
      <c r="U14" s="8">
        <f t="shared" ref="U14:Z14" si="3">$S$12*J15</f>
        <v>112.59820000000002</v>
      </c>
      <c r="V14" s="8">
        <f t="shared" si="3"/>
        <v>148.94880000000001</v>
      </c>
      <c r="W14" s="8">
        <f t="shared" si="3"/>
        <v>200.3716</v>
      </c>
      <c r="X14" s="8">
        <f t="shared" si="3"/>
        <v>258.88720000000001</v>
      </c>
      <c r="Y14" s="8">
        <f t="shared" si="3"/>
        <v>397.19680000000011</v>
      </c>
      <c r="Z14" s="8">
        <f t="shared" si="3"/>
        <v>532.84660000000008</v>
      </c>
      <c r="AG14">
        <v>6</v>
      </c>
      <c r="AH14" t="s">
        <v>128</v>
      </c>
      <c r="AI14" t="s">
        <v>135</v>
      </c>
      <c r="AJ14" s="10">
        <f>AJ9+1</f>
        <v>2</v>
      </c>
    </row>
    <row r="15" spans="1:38" x14ac:dyDescent="0.4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78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1.27</v>
      </c>
      <c r="K15" s="11">
        <f>SUMIFS(ar6_r10!$F$2:$F$999,ar6_r10!$A$2:$A$999,Veda!$E$5,ar6_r10!$C$2:$C$999,Veda!K$17,ar6_r10!$M$2:$M$999,Veda!$G15)</f>
        <v>1.68</v>
      </c>
      <c r="L15" s="11">
        <f>SUMIFS(ar6_r10!$F$2:$F$999,ar6_r10!$A$2:$A$999,Veda!$E$5,ar6_r10!$C$2:$C$999,Veda!L$17,ar6_r10!$M$2:$M$999,Veda!$G15)</f>
        <v>2.2599999999999998</v>
      </c>
      <c r="M15" s="11">
        <f>SUMIFS(ar6_r10!$F$2:$F$999,ar6_r10!$A$2:$A$999,Veda!$E$5,ar6_r10!$C$2:$C$999,Veda!M$17,ar6_r10!$M$2:$M$999,Veda!$G15)</f>
        <v>2.92</v>
      </c>
      <c r="N15" s="11">
        <f>SUMIFS(ar6_r10!$F$2:$F$999,ar6_r10!$A$2:$A$999,Veda!$E$5,ar6_r10!$C$2:$C$999,Veda!N$17,ar6_r10!$M$2:$M$999,Veda!$G15)</f>
        <v>4.4800000000000004</v>
      </c>
      <c r="O15" s="11">
        <f>SUMIFS(ar6_r10!$F$2:$F$999,ar6_r10!$A$2:$A$999,Veda!$E$5,ar6_r10!$C$2:$C$999,Veda!O$17,ar6_r10!$M$2:$M$999,Veda!$G15)</f>
        <v>6.01</v>
      </c>
      <c r="AG15">
        <v>7</v>
      </c>
      <c r="AH15" t="s">
        <v>129</v>
      </c>
      <c r="AI15" t="s">
        <v>141</v>
      </c>
      <c r="AJ15" s="10">
        <f t="shared" ref="AJ15:AJ78" si="5">AJ10+1</f>
        <v>2</v>
      </c>
    </row>
    <row r="16" spans="1:38" ht="17.649999999999999" customHeight="1" thickBot="1" x14ac:dyDescent="0.6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130</v>
      </c>
      <c r="AI16" t="s">
        <v>134</v>
      </c>
      <c r="AJ16" s="10">
        <f t="shared" si="5"/>
        <v>2</v>
      </c>
    </row>
    <row r="17" spans="1:36" ht="15" customHeight="1" thickTop="1" thickBot="1" x14ac:dyDescent="0.5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131</v>
      </c>
      <c r="AI17" t="s">
        <v>133</v>
      </c>
      <c r="AJ17" s="10">
        <f t="shared" si="5"/>
        <v>2</v>
      </c>
    </row>
    <row r="18" spans="1:36" x14ac:dyDescent="0.4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0.02</v>
      </c>
      <c r="N18" s="11">
        <f>SUMIFS(ar6_r10!$F$2:$F$999,ar6_r10!$A$2:$A$999,Veda!$E$5,ar6_r10!$C$2:$C$999,Veda!N$17,ar6_r10!$M$2:$M$999,Veda!$G18)</f>
        <v>0.02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2.0037159999999998</v>
      </c>
      <c r="X18" s="6">
        <f t="shared" si="7"/>
        <v>5.1777440000000006</v>
      </c>
      <c r="Y18" s="6">
        <f t="shared" si="7"/>
        <v>7.9439360000000026</v>
      </c>
      <c r="Z18" s="6">
        <f t="shared" si="7"/>
        <v>15.985398000000002</v>
      </c>
      <c r="AA18" t="s">
        <v>17</v>
      </c>
      <c r="AC18" s="2"/>
      <c r="AG18">
        <v>10</v>
      </c>
      <c r="AH18" t="s">
        <v>102</v>
      </c>
      <c r="AI18" t="s">
        <v>109</v>
      </c>
      <c r="AJ18" s="10">
        <f t="shared" si="5"/>
        <v>2</v>
      </c>
    </row>
    <row r="19" spans="1:36" x14ac:dyDescent="0.4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0.49</v>
      </c>
      <c r="J19" s="11">
        <f>SUMIFS(ar6_r10!$F$2:$F$999,ar6_r10!$A$2:$A$999,Veda!$E$5,ar6_r10!$C$2:$C$999,Veda!J$17,ar6_r10!$M$2:$M$999,Veda!$G19)</f>
        <v>0.45</v>
      </c>
      <c r="K19" s="11">
        <f>SUMIFS(ar6_r10!$F$2:$F$999,ar6_r10!$A$2:$A$999,Veda!$E$5,ar6_r10!$C$2:$C$999,Veda!K$17,ar6_r10!$M$2:$M$999,Veda!$G19)</f>
        <v>0.43</v>
      </c>
      <c r="L19" s="11">
        <f>SUMIFS(ar6_r10!$F$2:$F$999,ar6_r10!$A$2:$A$999,Veda!$E$5,ar6_r10!$C$2:$C$999,Veda!L$17,ar6_r10!$M$2:$M$999,Veda!$G19)</f>
        <v>0.42</v>
      </c>
      <c r="M19" s="11">
        <f>SUMIFS(ar6_r10!$F$2:$F$999,ar6_r10!$A$2:$A$999,Veda!$E$5,ar6_r10!$C$2:$C$999,Veda!M$17,ar6_r10!$M$2:$M$999,Veda!$G19)</f>
        <v>0.4</v>
      </c>
      <c r="N19" s="11">
        <f>SUMIFS(ar6_r10!$F$2:$F$999,ar6_r10!$A$2:$A$999,Veda!$E$5,ar6_r10!$C$2:$C$999,Veda!N$17,ar6_r10!$M$2:$M$999,Veda!$G19)</f>
        <v>0.41</v>
      </c>
      <c r="O19" s="11">
        <f>SUMIFS(ar6_r10!$F$2:$F$999,ar6_r10!$A$2:$A$999,Veda!$E$5,ar6_r10!$C$2:$C$999,Veda!O$17,ar6_r10!$M$2:$M$999,Veda!$G19)</f>
        <v>0.38</v>
      </c>
      <c r="S19" s="10" t="s">
        <v>19</v>
      </c>
      <c r="T19" s="6">
        <f t="shared" si="7"/>
        <v>43.443400000000004</v>
      </c>
      <c r="U19" s="6">
        <f t="shared" si="7"/>
        <v>50.669190000000008</v>
      </c>
      <c r="V19" s="6">
        <f t="shared" si="7"/>
        <v>64.047984</v>
      </c>
      <c r="W19" s="6">
        <f t="shared" si="7"/>
        <v>84.156071999999995</v>
      </c>
      <c r="X19" s="6">
        <f t="shared" si="7"/>
        <v>103.55488000000001</v>
      </c>
      <c r="Y19" s="6">
        <f t="shared" si="7"/>
        <v>162.85068800000005</v>
      </c>
      <c r="Z19" s="6">
        <f t="shared" si="7"/>
        <v>202.48170800000003</v>
      </c>
      <c r="AA19" t="s">
        <v>17</v>
      </c>
      <c r="AG19">
        <v>11</v>
      </c>
      <c r="AH19" t="s">
        <v>103</v>
      </c>
      <c r="AI19" t="s">
        <v>111</v>
      </c>
      <c r="AJ19" s="10">
        <f t="shared" si="5"/>
        <v>3</v>
      </c>
    </row>
    <row r="20" spans="1:36" x14ac:dyDescent="0.4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0.49</v>
      </c>
      <c r="J20" s="11">
        <f>SUMIFS(ar6_r10!$F$2:$F$999,ar6_r10!$A$2:$A$999,Veda!$E$5,ar6_r10!$C$2:$C$999,Veda!J$17,ar6_r10!$M$2:$M$999,Veda!$G20)</f>
        <v>0.52</v>
      </c>
      <c r="K20" s="11">
        <f>SUMIFS(ar6_r10!$F$2:$F$999,ar6_r10!$A$2:$A$999,Veda!$E$5,ar6_r10!$C$2:$C$999,Veda!K$17,ar6_r10!$M$2:$M$999,Veda!$G20)</f>
        <v>0.54</v>
      </c>
      <c r="L20" s="11">
        <f>SUMIFS(ar6_r10!$F$2:$F$999,ar6_r10!$A$2:$A$999,Veda!$E$5,ar6_r10!$C$2:$C$999,Veda!L$17,ar6_r10!$M$2:$M$999,Veda!$G20)</f>
        <v>0.51</v>
      </c>
      <c r="M20" s="11">
        <f>SUMIFS(ar6_r10!$F$2:$F$999,ar6_r10!$A$2:$A$999,Veda!$E$5,ar6_r10!$C$2:$C$999,Veda!M$17,ar6_r10!$M$2:$M$999,Veda!$G20)</f>
        <v>0.51</v>
      </c>
      <c r="N20" s="11">
        <f>SUMIFS(ar6_r10!$F$2:$F$999,ar6_r10!$A$2:$A$999,Veda!$E$5,ar6_r10!$C$2:$C$999,Veda!N$17,ar6_r10!$M$2:$M$999,Veda!$G20)</f>
        <v>0.48</v>
      </c>
      <c r="O20" s="11">
        <f>SUMIFS(ar6_r10!$F$2:$F$999,ar6_r10!$A$2:$A$999,Veda!$E$5,ar6_r10!$C$2:$C$999,Veda!O$17,ar6_r10!$M$2:$M$999,Veda!$G20)</f>
        <v>0.47</v>
      </c>
      <c r="S20" s="10" t="s">
        <v>22</v>
      </c>
      <c r="T20" s="6">
        <f t="shared" si="7"/>
        <v>43.443400000000004</v>
      </c>
      <c r="U20" s="6">
        <f t="shared" si="7"/>
        <v>58.551064000000011</v>
      </c>
      <c r="V20" s="6">
        <f t="shared" si="7"/>
        <v>80.432352000000009</v>
      </c>
      <c r="W20" s="6">
        <f t="shared" si="7"/>
        <v>102.189516</v>
      </c>
      <c r="X20" s="6">
        <f t="shared" si="7"/>
        <v>132.03247200000001</v>
      </c>
      <c r="Y20" s="6">
        <f t="shared" si="7"/>
        <v>190.65446400000005</v>
      </c>
      <c r="Z20" s="6">
        <f t="shared" si="7"/>
        <v>250.43790200000004</v>
      </c>
      <c r="AA20" t="s">
        <v>17</v>
      </c>
      <c r="AG20">
        <v>12</v>
      </c>
      <c r="AH20" t="s">
        <v>106</v>
      </c>
      <c r="AI20" t="s">
        <v>118</v>
      </c>
      <c r="AJ20" s="10">
        <f t="shared" si="5"/>
        <v>3</v>
      </c>
    </row>
    <row r="21" spans="1:36" x14ac:dyDescent="0.4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0.01</v>
      </c>
      <c r="J21" s="11">
        <f>SUMIFS(ar6_r10!$F$2:$F$999,ar6_r10!$A$2:$A$999,Veda!$E$5,ar6_r10!$C$2:$C$999,Veda!J$17,ar6_r10!$M$2:$M$999,Veda!$G21)</f>
        <v>0.01</v>
      </c>
      <c r="K21" s="11">
        <f>SUMIFS(ar6_r10!$F$2:$F$999,ar6_r10!$A$2:$A$999,Veda!$E$5,ar6_r10!$C$2:$C$999,Veda!K$17,ar6_r10!$M$2:$M$999,Veda!$G21)</f>
        <v>0.02</v>
      </c>
      <c r="L21" s="11">
        <f>SUMIFS(ar6_r10!$F$2:$F$999,ar6_r10!$A$2:$A$999,Veda!$E$5,ar6_r10!$C$2:$C$999,Veda!L$17,ar6_r10!$M$2:$M$999,Veda!$G21)</f>
        <v>0.02</v>
      </c>
      <c r="M21" s="11">
        <f>SUMIFS(ar6_r10!$F$2:$F$999,ar6_r10!$A$2:$A$999,Veda!$E$5,ar6_r10!$C$2:$C$999,Veda!M$17,ar6_r10!$M$2:$M$999,Veda!$G21)</f>
        <v>0.03</v>
      </c>
      <c r="N21" s="11">
        <f>SUMIFS(ar6_r10!$F$2:$F$999,ar6_r10!$A$2:$A$999,Veda!$E$5,ar6_r10!$C$2:$C$999,Veda!N$17,ar6_r10!$M$2:$M$999,Veda!$G21)</f>
        <v>0.05</v>
      </c>
      <c r="O21" s="11">
        <f>SUMIFS(ar6_r10!$F$2:$F$999,ar6_r10!$A$2:$A$999,Veda!$E$5,ar6_r10!$C$2:$C$999,Veda!O$17,ar6_r10!$M$2:$M$999,Veda!$G21)</f>
        <v>0.05</v>
      </c>
      <c r="S21" s="10" t="s">
        <v>24</v>
      </c>
      <c r="T21" s="6">
        <f>I21*T$14</f>
        <v>0.88660000000000017</v>
      </c>
      <c r="U21" s="6">
        <f t="shared" ref="U21:Z21" si="8">T21</f>
        <v>0.88660000000000017</v>
      </c>
      <c r="V21" s="6">
        <f t="shared" si="8"/>
        <v>0.88660000000000017</v>
      </c>
      <c r="W21" s="6">
        <f t="shared" si="8"/>
        <v>0.88660000000000017</v>
      </c>
      <c r="X21" s="6">
        <f t="shared" si="8"/>
        <v>0.88660000000000017</v>
      </c>
      <c r="Y21" s="6">
        <f t="shared" si="8"/>
        <v>0.88660000000000017</v>
      </c>
      <c r="Z21" s="6">
        <f t="shared" si="8"/>
        <v>0.88660000000000017</v>
      </c>
      <c r="AA21" t="s">
        <v>17</v>
      </c>
      <c r="AC21" s="2" t="s">
        <v>20</v>
      </c>
      <c r="AG21">
        <v>13</v>
      </c>
      <c r="AH21" t="s">
        <v>104</v>
      </c>
      <c r="AI21" t="s">
        <v>113</v>
      </c>
      <c r="AJ21" s="10">
        <f t="shared" si="5"/>
        <v>3</v>
      </c>
    </row>
    <row r="22" spans="1:36" x14ac:dyDescent="0.4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0.88660000000000139</v>
      </c>
      <c r="U22" s="6">
        <f t="shared" si="9"/>
        <v>2.4913460000000072</v>
      </c>
      <c r="V22" s="6">
        <f t="shared" si="9"/>
        <v>3.5818639999999959</v>
      </c>
      <c r="W22" s="6">
        <f t="shared" si="9"/>
        <v>13.139412000000021</v>
      </c>
      <c r="X22" s="6">
        <f t="shared" si="9"/>
        <v>22.41324800000001</v>
      </c>
      <c r="Y22" s="6">
        <f t="shared" si="9"/>
        <v>42.805048000000056</v>
      </c>
      <c r="Z22" s="6">
        <f t="shared" si="9"/>
        <v>79.040390000000059</v>
      </c>
      <c r="AA22" t="s">
        <v>17</v>
      </c>
      <c r="AG22">
        <v>14</v>
      </c>
      <c r="AH22" t="s">
        <v>105</v>
      </c>
      <c r="AI22" t="s">
        <v>115</v>
      </c>
      <c r="AJ22" s="10">
        <f t="shared" si="5"/>
        <v>3</v>
      </c>
    </row>
    <row r="23" spans="1:36" x14ac:dyDescent="0.4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J23" s="10">
        <f t="shared" si="5"/>
        <v>3</v>
      </c>
    </row>
    <row r="24" spans="1:36" ht="14.65" customHeight="1" x14ac:dyDescent="0.45">
      <c r="A24">
        <v>5</v>
      </c>
      <c r="B24" t="str">
        <f t="shared" si="0"/>
        <v>e 1.5 deg no OS.i24</v>
      </c>
      <c r="C24">
        <f t="shared" si="2"/>
        <v>16</v>
      </c>
      <c r="D24" t="str">
        <f t="shared" si="1"/>
        <v>ts_024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48.97</v>
      </c>
      <c r="L24" s="8">
        <f>SUMIFS(ar6_r10!$F$2:$F$999,ar6_r10!$A$2:$A$999,Veda!$E$5,ar6_r10!$C$2:$C$999,Veda!L$17,ar6_r10!$M$2:$M$999,Veda!$G24)</f>
        <v>87.7</v>
      </c>
      <c r="M24" s="8">
        <f>SUMIFS(ar6_r10!$F$2:$F$999,ar6_r10!$A$2:$A$999,Veda!$E$5,ar6_r10!$C$2:$C$999,Veda!M$17,ar6_r10!$M$2:$M$999,Veda!$G24)</f>
        <v>122.55</v>
      </c>
      <c r="N24" s="8">
        <f>SUMIFS(ar6_r10!$F$2:$F$999,ar6_r10!$A$2:$A$999,Veda!$E$5,ar6_r10!$C$2:$C$999,Veda!N$17,ar6_r10!$M$2:$M$999,Veda!$G24)</f>
        <v>179.54</v>
      </c>
      <c r="O24" s="8">
        <f>SUMIFS(ar6_r10!$F$2:$F$999,ar6_r10!$A$2:$A$999,Veda!$E$5,ar6_r10!$C$2:$C$999,Veda!O$17,ar6_r10!$M$2:$M$999,Veda!$G24)</f>
        <v>211.71</v>
      </c>
      <c r="S24" t="s">
        <v>28</v>
      </c>
      <c r="U24">
        <v>0</v>
      </c>
      <c r="V24" s="11">
        <f>K24/1000</f>
        <v>4.897E-2</v>
      </c>
      <c r="W24" s="11">
        <f>L24/1000</f>
        <v>8.77E-2</v>
      </c>
      <c r="X24" s="11">
        <f>M24/1000</f>
        <v>0.12254999999999999</v>
      </c>
      <c r="Y24" s="11">
        <f>N24/1000</f>
        <v>0.17954000000000001</v>
      </c>
      <c r="Z24" s="11">
        <f>O24/1000</f>
        <v>0.21171000000000001</v>
      </c>
      <c r="AA24" t="s">
        <v>29</v>
      </c>
      <c r="AJ24" s="10">
        <f t="shared" si="5"/>
        <v>4</v>
      </c>
    </row>
    <row r="25" spans="1:36" ht="14.65" customHeight="1" x14ac:dyDescent="0.45">
      <c r="A25">
        <v>5</v>
      </c>
      <c r="B25" t="str">
        <f t="shared" si="0"/>
        <v>d 1.5 deg OS.i24</v>
      </c>
      <c r="C25">
        <f t="shared" si="2"/>
        <v>17</v>
      </c>
      <c r="D25" t="str">
        <f t="shared" si="1"/>
        <v>ts_024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6">
      <c r="A26">
        <v>5</v>
      </c>
      <c r="B26" t="str">
        <f t="shared" si="0"/>
        <v>c 2 deg (67%).i24</v>
      </c>
      <c r="C26">
        <f t="shared" si="2"/>
        <v>18</v>
      </c>
      <c r="D26" t="str">
        <f t="shared" si="1"/>
        <v>ts_024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5">
      <c r="A27">
        <v>5</v>
      </c>
      <c r="B27" t="str">
        <f t="shared" si="0"/>
        <v>b 2 deg (50%).i24</v>
      </c>
      <c r="C27">
        <f t="shared" si="2"/>
        <v>19</v>
      </c>
      <c r="D27" t="str">
        <f t="shared" si="1"/>
        <v>ts_024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5">
      <c r="A28">
        <v>5</v>
      </c>
      <c r="B28" t="str">
        <f t="shared" si="0"/>
        <v>a 3 deg.i24</v>
      </c>
      <c r="C28">
        <f t="shared" si="2"/>
        <v>20</v>
      </c>
      <c r="D28" t="str">
        <f t="shared" si="1"/>
        <v>ts_024</v>
      </c>
      <c r="E28" t="str">
        <f t="shared" si="4"/>
        <v>C7</v>
      </c>
      <c r="Q28" s="3">
        <f>SUMIFS(iea_data!G3:G9999,iea_data!$B$3:$B$9999,Veda!$S$11)</f>
        <v>0.18</v>
      </c>
      <c r="S28" t="s">
        <v>32</v>
      </c>
      <c r="T28" s="3">
        <f>Q28</f>
        <v>0.18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5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-2.75</v>
      </c>
      <c r="S29" t="s">
        <v>35</v>
      </c>
      <c r="T29" s="3">
        <f>-1*Q29</f>
        <v>2.75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4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4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4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4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45">
      <c r="A34">
        <v>5</v>
      </c>
      <c r="B34" t="str">
        <f t="shared" si="0"/>
        <v>e 1.5 deg no OS.g64</v>
      </c>
      <c r="C34">
        <f t="shared" si="2"/>
        <v>26</v>
      </c>
      <c r="D34" t="str">
        <f t="shared" si="1"/>
        <v>ts_064</v>
      </c>
      <c r="E34" t="str">
        <f t="shared" si="4"/>
        <v>C1</v>
      </c>
      <c r="AJ34" s="10">
        <f t="shared" si="5"/>
        <v>6</v>
      </c>
    </row>
    <row r="35" spans="1:36" x14ac:dyDescent="0.45">
      <c r="A35">
        <v>5</v>
      </c>
      <c r="B35" t="str">
        <f t="shared" si="0"/>
        <v>d 1.5 deg OS.g64</v>
      </c>
      <c r="C35">
        <f t="shared" si="2"/>
        <v>27</v>
      </c>
      <c r="D35" t="str">
        <f t="shared" si="1"/>
        <v>ts_064</v>
      </c>
      <c r="E35" t="str">
        <f t="shared" si="4"/>
        <v>C2</v>
      </c>
      <c r="AJ35" s="10">
        <f t="shared" si="5"/>
        <v>6</v>
      </c>
    </row>
    <row r="36" spans="1:36" x14ac:dyDescent="0.45">
      <c r="A36">
        <v>5</v>
      </c>
      <c r="B36" t="str">
        <f t="shared" si="0"/>
        <v>c 2 deg (67%).g64</v>
      </c>
      <c r="C36">
        <f t="shared" si="2"/>
        <v>28</v>
      </c>
      <c r="D36" t="str">
        <f t="shared" si="1"/>
        <v>ts_064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45">
      <c r="A37">
        <v>5</v>
      </c>
      <c r="B37" t="str">
        <f t="shared" si="0"/>
        <v>b 2 deg (50%).g64</v>
      </c>
      <c r="C37">
        <f t="shared" si="2"/>
        <v>29</v>
      </c>
      <c r="D37" t="str">
        <f t="shared" si="1"/>
        <v>ts_064</v>
      </c>
      <c r="E37" t="str">
        <f t="shared" si="4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1.04</v>
      </c>
      <c r="K37" s="11">
        <f>SUMIFS(ar6_r10!$F$2:$F$999,ar6_r10!$A$2:$A$999,Veda!$G$36,ar6_r10!$C$2:$C$999,Veda!K$17,ar6_r10!$M$2:$M$999,Veda!$G37)</f>
        <v>1.37</v>
      </c>
      <c r="L37" s="11">
        <f>SUMIFS(ar6_r10!$F$2:$F$999,ar6_r10!$A$2:$A$999,Veda!$G$36,ar6_r10!$C$2:$C$999,Veda!L$17,ar6_r10!$M$2:$M$999,Veda!$G37)</f>
        <v>1.3</v>
      </c>
      <c r="M37" s="11">
        <f>SUMIFS(ar6_r10!$F$2:$F$999,ar6_r10!$A$2:$A$999,Veda!$G$36,ar6_r10!$C$2:$C$999,Veda!M$17,ar6_r10!$M$2:$M$999,Veda!$G37)</f>
        <v>1.55</v>
      </c>
      <c r="N37" s="11">
        <f>SUMIFS(ar6_r10!$F$2:$F$999,ar6_r10!$A$2:$A$999,Veda!$G$36,ar6_r10!$C$2:$C$999,Veda!N$17,ar6_r10!$M$2:$M$999,Veda!$G37)</f>
        <v>1.63</v>
      </c>
      <c r="O37" s="11">
        <f>SUMIFS(ar6_r10!$F$2:$F$999,ar6_r10!$A$2:$A$999,Veda!$G$36,ar6_r10!$C$2:$C$999,Veda!O$17,ar6_r10!$M$2:$M$999,Veda!$G37)</f>
        <v>1.71</v>
      </c>
      <c r="AJ37" s="10">
        <f t="shared" si="5"/>
        <v>6</v>
      </c>
    </row>
    <row r="38" spans="1:36" x14ac:dyDescent="0.45">
      <c r="A38">
        <v>5</v>
      </c>
      <c r="B38" t="str">
        <f t="shared" si="0"/>
        <v>a 3 deg.g64</v>
      </c>
      <c r="C38">
        <f t="shared" si="2"/>
        <v>30</v>
      </c>
      <c r="D38" t="str">
        <f t="shared" si="1"/>
        <v>ts_064</v>
      </c>
      <c r="E38" t="str">
        <f t="shared" si="4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1.08</v>
      </c>
      <c r="K38" s="11">
        <f>SUMIFS(ar6_r10!$F$2:$F$999,ar6_r10!$A$2:$A$999,Veda!$G$36,ar6_r10!$C$2:$C$999,Veda!K$17,ar6_r10!$M$2:$M$999,Veda!$G38)</f>
        <v>1.2</v>
      </c>
      <c r="L38" s="11">
        <f>SUMIFS(ar6_r10!$F$2:$F$999,ar6_r10!$A$2:$A$999,Veda!$G$36,ar6_r10!$C$2:$C$999,Veda!L$17,ar6_r10!$M$2:$M$999,Veda!$G38)</f>
        <v>1.34</v>
      </c>
      <c r="M38" s="11">
        <f>SUMIFS(ar6_r10!$F$2:$F$999,ar6_r10!$A$2:$A$999,Veda!$G$36,ar6_r10!$C$2:$C$999,Veda!M$17,ar6_r10!$M$2:$M$999,Veda!$G38)</f>
        <v>1.52</v>
      </c>
      <c r="N38" s="11">
        <f>SUMIFS(ar6_r10!$F$2:$F$999,ar6_r10!$A$2:$A$999,Veda!$G$36,ar6_r10!$C$2:$C$999,Veda!N$17,ar6_r10!$M$2:$M$999,Veda!$G38)</f>
        <v>1.46</v>
      </c>
      <c r="O38" s="11">
        <f>SUMIFS(ar6_r10!$F$2:$F$999,ar6_r10!$A$2:$A$999,Veda!$G$36,ar6_r10!$C$2:$C$999,Veda!O$17,ar6_r10!$M$2:$M$999,Veda!$G38)</f>
        <v>1.57</v>
      </c>
      <c r="AJ38" s="10">
        <f t="shared" si="5"/>
        <v>6</v>
      </c>
    </row>
    <row r="39" spans="1:36" x14ac:dyDescent="0.45">
      <c r="A39">
        <v>5</v>
      </c>
      <c r="B39" t="str">
        <f t="shared" si="0"/>
        <v>e 1.5 deg no OS.f96p50</v>
      </c>
      <c r="C39">
        <f t="shared" si="2"/>
        <v>31</v>
      </c>
      <c r="D39" t="str">
        <f t="shared" si="1"/>
        <v>ts_096P50</v>
      </c>
      <c r="E39" t="str">
        <f t="shared" si="4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1.1499999999999999</v>
      </c>
      <c r="K39" s="11">
        <f>SUMIFS(ar6_r10!$F$2:$F$999,ar6_r10!$A$2:$A$999,Veda!$G$36,ar6_r10!$C$2:$C$999,Veda!K$17,ar6_r10!$M$2:$M$999,Veda!$G39)</f>
        <v>1.6</v>
      </c>
      <c r="L39" s="11">
        <f>SUMIFS(ar6_r10!$F$2:$F$999,ar6_r10!$A$2:$A$999,Veda!$G$36,ar6_r10!$C$2:$C$999,Veda!L$17,ar6_r10!$M$2:$M$999,Veda!$G39)</f>
        <v>1.33</v>
      </c>
      <c r="M39" s="11">
        <f>SUMIFS(ar6_r10!$F$2:$F$999,ar6_r10!$A$2:$A$999,Veda!$G$36,ar6_r10!$C$2:$C$999,Veda!M$17,ar6_r10!$M$2:$M$999,Veda!$G39)</f>
        <v>1.47</v>
      </c>
      <c r="N39" s="11">
        <f>SUMIFS(ar6_r10!$F$2:$F$999,ar6_r10!$A$2:$A$999,Veda!$G$36,ar6_r10!$C$2:$C$999,Veda!N$17,ar6_r10!$M$2:$M$999,Veda!$G39)</f>
        <v>1.61</v>
      </c>
      <c r="O39" s="11">
        <f>SUMIFS(ar6_r10!$F$2:$F$999,ar6_r10!$A$2:$A$999,Veda!$G$36,ar6_r10!$C$2:$C$999,Veda!O$17,ar6_r10!$M$2:$M$999,Veda!$G39)</f>
        <v>1.77</v>
      </c>
      <c r="AJ39" s="10">
        <f t="shared" si="5"/>
        <v>7</v>
      </c>
    </row>
    <row r="40" spans="1:36" x14ac:dyDescent="0.45">
      <c r="A40">
        <v>5</v>
      </c>
      <c r="B40" t="str">
        <f t="shared" si="0"/>
        <v>d 1.5 deg OS.f96p50</v>
      </c>
      <c r="C40">
        <f t="shared" si="2"/>
        <v>32</v>
      </c>
      <c r="D40" t="str">
        <f t="shared" si="1"/>
        <v>ts_096P50</v>
      </c>
      <c r="E40" t="str">
        <f t="shared" si="4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0.84</v>
      </c>
      <c r="K40" s="11">
        <f>SUMIFS(ar6_r10!$F$2:$F$999,ar6_r10!$A$2:$A$999,Veda!$G$36,ar6_r10!$C$2:$C$999,Veda!K$17,ar6_r10!$M$2:$M$999,Veda!$G40)</f>
        <v>0.79</v>
      </c>
      <c r="L40" s="11">
        <f>SUMIFS(ar6_r10!$F$2:$F$999,ar6_r10!$A$2:$A$999,Veda!$G$36,ar6_r10!$C$2:$C$999,Veda!L$17,ar6_r10!$M$2:$M$999,Veda!$G40)</f>
        <v>0.82</v>
      </c>
      <c r="M40" s="11">
        <f>SUMIFS(ar6_r10!$F$2:$F$999,ar6_r10!$A$2:$A$999,Veda!$G$36,ar6_r10!$C$2:$C$999,Veda!M$17,ar6_r10!$M$2:$M$999,Veda!$G40)</f>
        <v>0.86</v>
      </c>
      <c r="N40" s="11">
        <f>SUMIFS(ar6_r10!$F$2:$F$999,ar6_r10!$A$2:$A$999,Veda!$G$36,ar6_r10!$C$2:$C$999,Veda!N$17,ar6_r10!$M$2:$M$999,Veda!$G40)</f>
        <v>0.88</v>
      </c>
      <c r="O40" s="11">
        <f>SUMIFS(ar6_r10!$F$2:$F$999,ar6_r10!$A$2:$A$999,Veda!$G$36,ar6_r10!$C$2:$C$999,Veda!O$17,ar6_r10!$M$2:$M$999,Veda!$G40)</f>
        <v>0.9</v>
      </c>
      <c r="AJ40" s="10">
        <f t="shared" si="5"/>
        <v>7</v>
      </c>
    </row>
    <row r="41" spans="1:36" x14ac:dyDescent="0.45">
      <c r="A41">
        <v>5</v>
      </c>
      <c r="B41" t="str">
        <f t="shared" si="0"/>
        <v>c 2 deg (67%).f96p50</v>
      </c>
      <c r="C41">
        <f t="shared" si="2"/>
        <v>33</v>
      </c>
      <c r="D41" t="str">
        <f t="shared" si="1"/>
        <v>ts_096P50</v>
      </c>
      <c r="E41" t="str">
        <f t="shared" si="4"/>
        <v>C3</v>
      </c>
      <c r="AJ41" s="10">
        <f t="shared" si="5"/>
        <v>7</v>
      </c>
    </row>
    <row r="42" spans="1:36" x14ac:dyDescent="0.45">
      <c r="A42">
        <v>5</v>
      </c>
      <c r="B42" t="str">
        <f t="shared" si="0"/>
        <v>b 2 deg (50%).f96p50</v>
      </c>
      <c r="C42">
        <f t="shared" si="2"/>
        <v>34</v>
      </c>
      <c r="D42" t="str">
        <f t="shared" si="1"/>
        <v>ts_096P50</v>
      </c>
      <c r="E42" t="str">
        <f t="shared" si="4"/>
        <v>C4</v>
      </c>
      <c r="AJ42" s="10">
        <f t="shared" si="5"/>
        <v>7</v>
      </c>
    </row>
    <row r="43" spans="1:36" x14ac:dyDescent="0.45">
      <c r="A43">
        <v>5</v>
      </c>
      <c r="B43" t="str">
        <f t="shared" si="0"/>
        <v>a 3 deg.f96p50</v>
      </c>
      <c r="C43">
        <f t="shared" si="2"/>
        <v>35</v>
      </c>
      <c r="D43" t="str">
        <f t="shared" si="1"/>
        <v>ts_096P50</v>
      </c>
      <c r="E43" t="str">
        <f t="shared" si="4"/>
        <v>C7</v>
      </c>
      <c r="G43" t="s">
        <v>84</v>
      </c>
      <c r="AJ43" s="10">
        <f t="shared" si="5"/>
        <v>7</v>
      </c>
    </row>
    <row r="44" spans="1:36" x14ac:dyDescent="0.45">
      <c r="A44">
        <v>5</v>
      </c>
      <c r="B44" t="str">
        <f t="shared" si="0"/>
        <v>e 1.5 deg no OS.f96p10</v>
      </c>
      <c r="C44">
        <f t="shared" si="2"/>
        <v>36</v>
      </c>
      <c r="D44" t="str">
        <f t="shared" si="1"/>
        <v>ts_096P10</v>
      </c>
      <c r="E44" t="str">
        <f t="shared" si="4"/>
        <v>C1</v>
      </c>
      <c r="G44" t="s">
        <v>13</v>
      </c>
      <c r="H44" t="s">
        <v>108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82</v>
      </c>
      <c r="S44" t="s">
        <v>83</v>
      </c>
      <c r="AJ44" s="10">
        <f t="shared" si="5"/>
        <v>8</v>
      </c>
    </row>
    <row r="45" spans="1:36" x14ac:dyDescent="0.45">
      <c r="A45">
        <v>5</v>
      </c>
      <c r="B45" t="str">
        <f t="shared" si="0"/>
        <v>d 1.5 deg OS.f96p10</v>
      </c>
      <c r="C45">
        <f t="shared" si="2"/>
        <v>37</v>
      </c>
      <c r="D45" t="str">
        <f t="shared" si="1"/>
        <v>ts_096P10</v>
      </c>
      <c r="E45" t="str">
        <f t="shared" si="4"/>
        <v>C2</v>
      </c>
      <c r="G45" t="s">
        <v>78</v>
      </c>
      <c r="H45" t="str">
        <f>G45</f>
        <v>Gas</v>
      </c>
      <c r="I45">
        <f t="shared" ref="I45:O48" si="12">AVERAGE($R45:$S45)*I37</f>
        <v>7.7</v>
      </c>
      <c r="J45">
        <f t="shared" si="12"/>
        <v>8.0080000000000009</v>
      </c>
      <c r="K45">
        <f t="shared" si="12"/>
        <v>10.549000000000001</v>
      </c>
      <c r="L45">
        <f t="shared" si="12"/>
        <v>10.01</v>
      </c>
      <c r="M45">
        <f t="shared" si="12"/>
        <v>11.935</v>
      </c>
      <c r="N45">
        <f t="shared" si="12"/>
        <v>12.551</v>
      </c>
      <c r="O45">
        <f t="shared" si="12"/>
        <v>13.167</v>
      </c>
      <c r="R45">
        <f>HLOOKUP($G45&amp;"_"&amp;R$44,fuel_prices!$B$10:$I$11,2,FALSE)</f>
        <v>5.0999999999999996</v>
      </c>
      <c r="S45">
        <f>HLOOKUP($G45&amp;"_"&amp;S$44,fuel_prices!$B$10:$I$11,2,FALSE)</f>
        <v>10.3</v>
      </c>
      <c r="AJ45" s="10">
        <f t="shared" si="5"/>
        <v>8</v>
      </c>
    </row>
    <row r="46" spans="1:36" x14ac:dyDescent="0.45">
      <c r="A46">
        <v>5</v>
      </c>
      <c r="B46" t="str">
        <f t="shared" si="0"/>
        <v>c 2 deg (67%).f96p10</v>
      </c>
      <c r="C46">
        <f t="shared" si="2"/>
        <v>38</v>
      </c>
      <c r="D46" t="str">
        <f t="shared" si="1"/>
        <v>ts_096P10</v>
      </c>
      <c r="E46" t="str">
        <f t="shared" si="4"/>
        <v>C3</v>
      </c>
      <c r="G46" t="s">
        <v>79</v>
      </c>
      <c r="H46" t="str">
        <f t="shared" ref="H46:H48" si="13">G46</f>
        <v>Coal</v>
      </c>
      <c r="I46">
        <f t="shared" si="12"/>
        <v>14.45</v>
      </c>
      <c r="J46">
        <f t="shared" si="12"/>
        <v>15.606</v>
      </c>
      <c r="K46">
        <f t="shared" si="12"/>
        <v>17.34</v>
      </c>
      <c r="L46">
        <f t="shared" si="12"/>
        <v>19.363</v>
      </c>
      <c r="M46">
        <f t="shared" si="12"/>
        <v>21.963999999999999</v>
      </c>
      <c r="N46">
        <f t="shared" si="12"/>
        <v>21.096999999999998</v>
      </c>
      <c r="O46">
        <f t="shared" si="12"/>
        <v>22.686499999999999</v>
      </c>
      <c r="R46">
        <f>HLOOKUP($G46&amp;"_"&amp;R$44,fuel_prices!$B$10:$I$11,2,FALSE)</f>
        <v>12.2</v>
      </c>
      <c r="S46">
        <f>HLOOKUP($G46&amp;"_"&amp;S$44,fuel_prices!$B$10:$I$11,2,FALSE)</f>
        <v>16.7</v>
      </c>
      <c r="AJ46" s="10">
        <f t="shared" si="5"/>
        <v>8</v>
      </c>
    </row>
    <row r="47" spans="1:36" x14ac:dyDescent="0.45">
      <c r="A47">
        <v>5</v>
      </c>
      <c r="B47" t="str">
        <f t="shared" si="0"/>
        <v>b 2 deg (50%).f96p10</v>
      </c>
      <c r="C47">
        <f t="shared" si="2"/>
        <v>39</v>
      </c>
      <c r="D47" t="str">
        <f t="shared" si="1"/>
        <v>ts_096P10</v>
      </c>
      <c r="E47" t="str">
        <f t="shared" si="4"/>
        <v>C4</v>
      </c>
      <c r="G47" t="s">
        <v>80</v>
      </c>
      <c r="H47" t="str">
        <f t="shared" si="13"/>
        <v>Oil</v>
      </c>
      <c r="I47">
        <f t="shared" si="12"/>
        <v>43</v>
      </c>
      <c r="J47">
        <f t="shared" si="12"/>
        <v>49.449999999999996</v>
      </c>
      <c r="K47">
        <f t="shared" si="12"/>
        <v>68.8</v>
      </c>
      <c r="L47">
        <f t="shared" si="12"/>
        <v>57.190000000000005</v>
      </c>
      <c r="M47">
        <f t="shared" si="12"/>
        <v>63.21</v>
      </c>
      <c r="N47">
        <f t="shared" si="12"/>
        <v>69.23</v>
      </c>
      <c r="O47">
        <f t="shared" si="12"/>
        <v>76.11</v>
      </c>
      <c r="R47">
        <f>HLOOKUP($G47&amp;"_"&amp;R$44,fuel_prices!$B$10:$I$11,2,FALSE)</f>
        <v>38</v>
      </c>
      <c r="S47">
        <f>HLOOKUP($G47&amp;"_"&amp;S$44,fuel_prices!$B$10:$I$11,2,FALSE)</f>
        <v>48</v>
      </c>
      <c r="AJ47" s="10">
        <f t="shared" si="5"/>
        <v>8</v>
      </c>
    </row>
    <row r="48" spans="1:36" x14ac:dyDescent="0.45">
      <c r="A48">
        <v>5</v>
      </c>
      <c r="B48" t="str">
        <f t="shared" si="0"/>
        <v>a 3 deg.f96p10</v>
      </c>
      <c r="C48">
        <f t="shared" si="2"/>
        <v>40</v>
      </c>
      <c r="D48" t="str">
        <f t="shared" si="1"/>
        <v>ts_096P10</v>
      </c>
      <c r="E48" t="str">
        <f t="shared" si="4"/>
        <v>C7</v>
      </c>
      <c r="G48" t="s">
        <v>81</v>
      </c>
      <c r="H48" t="str">
        <f t="shared" si="13"/>
        <v>Bioenergy</v>
      </c>
      <c r="I48">
        <f t="shared" si="12"/>
        <v>99</v>
      </c>
      <c r="J48">
        <f t="shared" si="12"/>
        <v>83.16</v>
      </c>
      <c r="K48">
        <f t="shared" si="12"/>
        <v>78.210000000000008</v>
      </c>
      <c r="L48">
        <f t="shared" si="12"/>
        <v>81.179999999999993</v>
      </c>
      <c r="M48">
        <f t="shared" si="12"/>
        <v>85.14</v>
      </c>
      <c r="N48">
        <f t="shared" si="12"/>
        <v>87.12</v>
      </c>
      <c r="O48">
        <f t="shared" si="12"/>
        <v>89.100000000000009</v>
      </c>
      <c r="R48">
        <f>HLOOKUP($G48&amp;"_"&amp;R$44,fuel_prices!$B$10:$I$11,2,FALSE)</f>
        <v>99</v>
      </c>
      <c r="S48">
        <f>HLOOKUP($G48&amp;"_"&amp;S$44,fuel_prices!$B$10:$I$11,2,FALSE)</f>
        <v>99</v>
      </c>
      <c r="AJ48" s="10">
        <f t="shared" si="5"/>
        <v>8</v>
      </c>
    </row>
    <row r="49" spans="1:36" x14ac:dyDescent="0.45">
      <c r="A49">
        <v>5</v>
      </c>
      <c r="B49" t="str">
        <f t="shared" si="0"/>
        <v>e 1.5 deg no OS.f96p90</v>
      </c>
      <c r="C49">
        <f t="shared" si="2"/>
        <v>41</v>
      </c>
      <c r="D49" t="str">
        <f t="shared" si="1"/>
        <v>ts_096P90</v>
      </c>
      <c r="E49" t="str">
        <f t="shared" si="4"/>
        <v>C1</v>
      </c>
      <c r="AJ49" s="10">
        <f t="shared" si="5"/>
        <v>9</v>
      </c>
    </row>
    <row r="50" spans="1:36" x14ac:dyDescent="0.45">
      <c r="A50">
        <v>5</v>
      </c>
      <c r="B50" t="str">
        <f t="shared" si="0"/>
        <v>d 1.5 deg OS.f96p90</v>
      </c>
      <c r="C50">
        <f t="shared" si="2"/>
        <v>42</v>
      </c>
      <c r="D50" t="str">
        <f t="shared" si="1"/>
        <v>ts_096P90</v>
      </c>
      <c r="E50" t="str">
        <f t="shared" si="4"/>
        <v>C2</v>
      </c>
      <c r="AJ50" s="10">
        <f t="shared" si="5"/>
        <v>9</v>
      </c>
    </row>
    <row r="51" spans="1:36" x14ac:dyDescent="0.45">
      <c r="A51">
        <v>5</v>
      </c>
      <c r="B51" t="str">
        <f t="shared" si="0"/>
        <v>c 2 deg (67%).f96p90</v>
      </c>
      <c r="C51">
        <f t="shared" si="2"/>
        <v>43</v>
      </c>
      <c r="D51" t="str">
        <f t="shared" si="1"/>
        <v>ts_096P90</v>
      </c>
      <c r="E51" t="str">
        <f t="shared" si="4"/>
        <v>C3</v>
      </c>
      <c r="AJ51" s="10">
        <f t="shared" si="5"/>
        <v>9</v>
      </c>
    </row>
    <row r="52" spans="1:36" x14ac:dyDescent="0.45">
      <c r="A52">
        <v>5</v>
      </c>
      <c r="B52" t="str">
        <f t="shared" si="0"/>
        <v>b 2 deg (50%).f96p90</v>
      </c>
      <c r="C52">
        <f t="shared" si="2"/>
        <v>44</v>
      </c>
      <c r="D52" t="str">
        <f t="shared" si="1"/>
        <v>ts_096P90</v>
      </c>
      <c r="E52" t="str">
        <f t="shared" si="4"/>
        <v>C4</v>
      </c>
      <c r="AJ52" s="10">
        <f t="shared" si="5"/>
        <v>9</v>
      </c>
    </row>
    <row r="53" spans="1:36" x14ac:dyDescent="0.45">
      <c r="A53">
        <v>5</v>
      </c>
      <c r="B53" t="str">
        <f t="shared" si="0"/>
        <v>a 3 deg.f96p90</v>
      </c>
      <c r="C53">
        <f t="shared" si="2"/>
        <v>45</v>
      </c>
      <c r="D53" t="str">
        <f t="shared" si="1"/>
        <v>ts_096P90</v>
      </c>
      <c r="E53" t="str">
        <f t="shared" si="4"/>
        <v>C7</v>
      </c>
      <c r="AJ53" s="10">
        <f t="shared" si="5"/>
        <v>9</v>
      </c>
    </row>
    <row r="54" spans="1:36" x14ac:dyDescent="0.45">
      <c r="A54">
        <v>5</v>
      </c>
      <c r="B54" t="str">
        <f t="shared" si="0"/>
        <v>e 1.5 deg no OS.e3d</v>
      </c>
      <c r="C54">
        <f t="shared" si="2"/>
        <v>46</v>
      </c>
      <c r="D54" t="str">
        <f t="shared" si="1"/>
        <v>s1p1v1_d</v>
      </c>
      <c r="E54" t="str">
        <f t="shared" si="4"/>
        <v>C1</v>
      </c>
      <c r="AJ54" s="10">
        <f t="shared" si="5"/>
        <v>10</v>
      </c>
    </row>
    <row r="55" spans="1:36" x14ac:dyDescent="0.45">
      <c r="A55">
        <v>5</v>
      </c>
      <c r="B55" t="str">
        <f t="shared" si="0"/>
        <v>d 1.5 deg OS.e3d</v>
      </c>
      <c r="C55">
        <f t="shared" si="2"/>
        <v>47</v>
      </c>
      <c r="D55" t="str">
        <f t="shared" si="1"/>
        <v>s1p1v1_d</v>
      </c>
      <c r="E55" t="str">
        <f t="shared" si="4"/>
        <v>C2</v>
      </c>
      <c r="AJ55" s="10">
        <f t="shared" si="5"/>
        <v>10</v>
      </c>
    </row>
    <row r="56" spans="1:36" x14ac:dyDescent="0.45">
      <c r="A56">
        <v>5</v>
      </c>
      <c r="B56" t="str">
        <f t="shared" si="0"/>
        <v>c 2 deg (67%).e3d</v>
      </c>
      <c r="C56">
        <f t="shared" si="2"/>
        <v>48</v>
      </c>
      <c r="D56" t="str">
        <f t="shared" si="1"/>
        <v>s1p1v1_d</v>
      </c>
      <c r="E56" t="str">
        <f t="shared" si="4"/>
        <v>C3</v>
      </c>
      <c r="AJ56" s="10">
        <f t="shared" si="5"/>
        <v>10</v>
      </c>
    </row>
    <row r="57" spans="1:36" x14ac:dyDescent="0.45">
      <c r="A57">
        <v>5</v>
      </c>
      <c r="B57" t="str">
        <f t="shared" si="0"/>
        <v>b 2 deg (50%).e3d</v>
      </c>
      <c r="C57">
        <f t="shared" si="2"/>
        <v>49</v>
      </c>
      <c r="D57" t="str">
        <f t="shared" si="1"/>
        <v>s1p1v1_d</v>
      </c>
      <c r="E57" t="str">
        <f t="shared" si="4"/>
        <v>C4</v>
      </c>
      <c r="AJ57" s="10">
        <f t="shared" si="5"/>
        <v>10</v>
      </c>
    </row>
    <row r="58" spans="1:36" x14ac:dyDescent="0.45">
      <c r="A58">
        <v>5</v>
      </c>
      <c r="B58" t="str">
        <f t="shared" si="0"/>
        <v>a 3 deg.e3d</v>
      </c>
      <c r="C58">
        <f t="shared" si="2"/>
        <v>50</v>
      </c>
      <c r="D58" t="str">
        <f t="shared" si="1"/>
        <v>s1p1v1_d</v>
      </c>
      <c r="E58" t="str">
        <f t="shared" si="4"/>
        <v>C7</v>
      </c>
      <c r="AJ58" s="10">
        <f t="shared" si="5"/>
        <v>10</v>
      </c>
    </row>
    <row r="59" spans="1:36" x14ac:dyDescent="0.4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s3p3v3_d</v>
      </c>
      <c r="E59" t="str">
        <f t="shared" si="4"/>
        <v>C1</v>
      </c>
      <c r="AJ59" s="10">
        <f t="shared" si="5"/>
        <v>11</v>
      </c>
    </row>
    <row r="60" spans="1:36" x14ac:dyDescent="0.4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s3p3v3_d</v>
      </c>
      <c r="E60" t="str">
        <f t="shared" si="4"/>
        <v>C2</v>
      </c>
      <c r="AJ60" s="10">
        <f t="shared" si="5"/>
        <v>11</v>
      </c>
    </row>
    <row r="61" spans="1:36" x14ac:dyDescent="0.4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s3p3v3_d</v>
      </c>
      <c r="E61" t="str">
        <f t="shared" si="4"/>
        <v>C3</v>
      </c>
      <c r="AJ61" s="10">
        <f t="shared" si="5"/>
        <v>11</v>
      </c>
    </row>
    <row r="62" spans="1:36" x14ac:dyDescent="0.4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s3p3v3_d</v>
      </c>
      <c r="E62" t="str">
        <f t="shared" si="4"/>
        <v>C4</v>
      </c>
      <c r="AJ62" s="10">
        <f t="shared" si="5"/>
        <v>11</v>
      </c>
    </row>
    <row r="63" spans="1:36" x14ac:dyDescent="0.4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s3p3v3_d</v>
      </c>
      <c r="E63" t="str">
        <f t="shared" si="4"/>
        <v>C7</v>
      </c>
      <c r="AJ63" s="10">
        <f t="shared" si="5"/>
        <v>11</v>
      </c>
    </row>
    <row r="64" spans="1:36" x14ac:dyDescent="0.4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7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4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4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4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4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45">
      <c r="A69">
        <v>5</v>
      </c>
      <c r="B69" t="str">
        <f t="shared" si="0"/>
        <v>e 1.5 deg no OS.b2w</v>
      </c>
      <c r="C69">
        <f t="shared" si="2"/>
        <v>61</v>
      </c>
      <c r="D69" t="str">
        <f t="shared" si="14"/>
        <v>s2_w</v>
      </c>
      <c r="E69" t="str">
        <f t="shared" si="4"/>
        <v>C1</v>
      </c>
      <c r="AJ69" s="10">
        <f t="shared" si="5"/>
        <v>13</v>
      </c>
    </row>
    <row r="70" spans="1:36" x14ac:dyDescent="0.45">
      <c r="A70">
        <v>5</v>
      </c>
      <c r="B70" t="str">
        <f t="shared" si="0"/>
        <v>d 1.5 deg OS.b2w</v>
      </c>
      <c r="C70">
        <f t="shared" si="2"/>
        <v>62</v>
      </c>
      <c r="D70" t="str">
        <f t="shared" si="14"/>
        <v>s2_w</v>
      </c>
      <c r="E70" t="str">
        <f t="shared" si="4"/>
        <v>C2</v>
      </c>
      <c r="AJ70" s="10">
        <f t="shared" si="5"/>
        <v>13</v>
      </c>
    </row>
    <row r="71" spans="1:36" x14ac:dyDescent="0.45">
      <c r="A71">
        <v>5</v>
      </c>
      <c r="B71" t="str">
        <f t="shared" si="0"/>
        <v>c 2 deg (67%).b2w</v>
      </c>
      <c r="C71">
        <f t="shared" si="2"/>
        <v>63</v>
      </c>
      <c r="D71" t="str">
        <f t="shared" si="14"/>
        <v>s2_w</v>
      </c>
      <c r="E71" t="str">
        <f t="shared" si="4"/>
        <v>C3</v>
      </c>
      <c r="AJ71" s="10">
        <f t="shared" si="5"/>
        <v>13</v>
      </c>
    </row>
    <row r="72" spans="1:36" x14ac:dyDescent="0.45">
      <c r="A72">
        <v>5</v>
      </c>
      <c r="B72" t="str">
        <f t="shared" si="0"/>
        <v>b 2 deg (50%).b2w</v>
      </c>
      <c r="C72">
        <f t="shared" si="2"/>
        <v>64</v>
      </c>
      <c r="D72" t="str">
        <f t="shared" si="14"/>
        <v>s2_w</v>
      </c>
      <c r="E72" t="str">
        <f t="shared" si="4"/>
        <v>C4</v>
      </c>
      <c r="AJ72" s="10">
        <f t="shared" si="5"/>
        <v>13</v>
      </c>
    </row>
    <row r="73" spans="1:36" x14ac:dyDescent="0.45">
      <c r="A73">
        <v>5</v>
      </c>
      <c r="B73" t="str">
        <f t="shared" si="0"/>
        <v>a 3 deg.b2w</v>
      </c>
      <c r="C73">
        <f t="shared" si="2"/>
        <v>65</v>
      </c>
      <c r="D73" t="str">
        <f t="shared" si="14"/>
        <v>s2_w</v>
      </c>
      <c r="E73" t="str">
        <f t="shared" si="4"/>
        <v>C7</v>
      </c>
      <c r="AJ73" s="10">
        <f t="shared" si="5"/>
        <v>13</v>
      </c>
    </row>
    <row r="74" spans="1:36" x14ac:dyDescent="0.45">
      <c r="A74">
        <v>5</v>
      </c>
      <c r="B74" t="str">
        <f t="shared" ref="B74:B78" si="15">VLOOKUP(E74,$AK$9:$AL$15,2,FALSE)&amp;"."&amp;VLOOKUP(D74,$AH$9:$AI$24,2,FALSE)</f>
        <v>e 1.5 deg no OS.a2w2d</v>
      </c>
      <c r="C74">
        <f t="shared" si="2"/>
        <v>66</v>
      </c>
      <c r="D74" t="str">
        <f t="shared" si="14"/>
        <v>s2_w_p2_d</v>
      </c>
      <c r="E74" t="str">
        <f t="shared" si="4"/>
        <v>C1</v>
      </c>
      <c r="AJ74" s="10">
        <f t="shared" si="5"/>
        <v>14</v>
      </c>
    </row>
    <row r="75" spans="1:36" x14ac:dyDescent="0.45">
      <c r="A75">
        <v>5</v>
      </c>
      <c r="B75" t="str">
        <f t="shared" si="15"/>
        <v>d 1.5 deg OS.a2w2d</v>
      </c>
      <c r="C75">
        <f t="shared" ref="C75:C78" si="16">C74+1</f>
        <v>67</v>
      </c>
      <c r="D75" t="str">
        <f t="shared" si="14"/>
        <v>s2_w_p2_d</v>
      </c>
      <c r="E75" t="str">
        <f t="shared" si="4"/>
        <v>C2</v>
      </c>
      <c r="AJ75" s="10">
        <f t="shared" si="5"/>
        <v>14</v>
      </c>
    </row>
    <row r="76" spans="1:36" x14ac:dyDescent="0.45">
      <c r="A76">
        <v>5</v>
      </c>
      <c r="B76" t="str">
        <f t="shared" si="15"/>
        <v>c 2 deg (67%).a2w2d</v>
      </c>
      <c r="C76">
        <f t="shared" si="16"/>
        <v>68</v>
      </c>
      <c r="D76" t="str">
        <f t="shared" si="14"/>
        <v>s2_w_p2_d</v>
      </c>
      <c r="E76" t="str">
        <f t="shared" si="4"/>
        <v>C3</v>
      </c>
      <c r="AJ76" s="10">
        <f t="shared" si="5"/>
        <v>14</v>
      </c>
    </row>
    <row r="77" spans="1:36" x14ac:dyDescent="0.45">
      <c r="A77">
        <v>5</v>
      </c>
      <c r="B77" t="str">
        <f t="shared" si="15"/>
        <v>b 2 deg (50%).a2w2d</v>
      </c>
      <c r="C77">
        <f t="shared" si="16"/>
        <v>69</v>
      </c>
      <c r="D77" t="str">
        <f t="shared" si="14"/>
        <v>s2_w_p2_d</v>
      </c>
      <c r="E77" t="str">
        <f t="shared" si="4"/>
        <v>C4</v>
      </c>
      <c r="AJ77" s="10">
        <f t="shared" si="5"/>
        <v>14</v>
      </c>
    </row>
    <row r="78" spans="1:36" x14ac:dyDescent="0.45">
      <c r="A78">
        <v>5</v>
      </c>
      <c r="B78" t="str">
        <f t="shared" si="15"/>
        <v>a 3 deg.a2w2d</v>
      </c>
      <c r="C78">
        <f t="shared" si="16"/>
        <v>70</v>
      </c>
      <c r="D78" t="str">
        <f t="shared" si="14"/>
        <v>s2_w_p2_d</v>
      </c>
      <c r="E78" t="str">
        <f t="shared" si="4"/>
        <v>C7</v>
      </c>
      <c r="AJ78" s="10">
        <f t="shared" si="5"/>
        <v>14</v>
      </c>
    </row>
    <row r="82" spans="1:6" x14ac:dyDescent="0.45">
      <c r="A82" t="s">
        <v>146</v>
      </c>
    </row>
    <row r="83" spans="1:6" x14ac:dyDescent="0.45">
      <c r="A83" t="s">
        <v>30</v>
      </c>
      <c r="B83" t="s">
        <v>31</v>
      </c>
      <c r="C83">
        <v>2024</v>
      </c>
      <c r="D83">
        <v>2030</v>
      </c>
      <c r="E83">
        <v>2040</v>
      </c>
      <c r="F83" t="s">
        <v>14</v>
      </c>
    </row>
    <row r="84" spans="1:6" x14ac:dyDescent="0.45">
      <c r="A84" t="s">
        <v>35</v>
      </c>
      <c r="B84" t="s">
        <v>147</v>
      </c>
      <c r="C84">
        <v>0</v>
      </c>
      <c r="D84">
        <v>1.25</v>
      </c>
      <c r="E84">
        <v>1.25</v>
      </c>
      <c r="F84" t="s">
        <v>148</v>
      </c>
    </row>
    <row r="85" spans="1:6" x14ac:dyDescent="0.45">
      <c r="A85" t="s">
        <v>32</v>
      </c>
      <c r="B85" t="s">
        <v>147</v>
      </c>
      <c r="C85">
        <v>0</v>
      </c>
      <c r="D85">
        <v>0</v>
      </c>
      <c r="E85">
        <v>0</v>
      </c>
      <c r="F85" t="s">
        <v>148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142</v>
      </c>
      <c r="B11">
        <v>5.0999999999999996</v>
      </c>
      <c r="C11">
        <v>10.3</v>
      </c>
      <c r="D11">
        <v>12.2</v>
      </c>
      <c r="E11">
        <v>16.7</v>
      </c>
      <c r="F11">
        <v>38</v>
      </c>
      <c r="G11">
        <v>48</v>
      </c>
      <c r="H11">
        <v>99</v>
      </c>
      <c r="I11">
        <v>99</v>
      </c>
      <c r="J11" t="s">
        <v>144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142</v>
      </c>
      <c r="B11">
        <v>2000</v>
      </c>
      <c r="C11">
        <v>13.44</v>
      </c>
      <c r="D11">
        <v>11.33</v>
      </c>
      <c r="E11">
        <v>0.27</v>
      </c>
      <c r="F11">
        <v>0</v>
      </c>
      <c r="G11">
        <v>0.22</v>
      </c>
      <c r="H11">
        <v>-0.32</v>
      </c>
      <c r="I11">
        <v>25.41</v>
      </c>
    </row>
    <row r="12" spans="1:9" x14ac:dyDescent="0.45">
      <c r="A12" t="s">
        <v>142</v>
      </c>
      <c r="B12">
        <v>2001</v>
      </c>
      <c r="C12">
        <v>14.02</v>
      </c>
      <c r="D12">
        <v>12.03</v>
      </c>
      <c r="E12">
        <v>0.28999999999999998</v>
      </c>
      <c r="F12">
        <v>0</v>
      </c>
      <c r="G12">
        <v>0.21</v>
      </c>
      <c r="H12">
        <v>-0.2</v>
      </c>
      <c r="I12">
        <v>26.62</v>
      </c>
    </row>
    <row r="13" spans="1:9" x14ac:dyDescent="0.45">
      <c r="A13" t="s">
        <v>142</v>
      </c>
      <c r="B13">
        <v>2002</v>
      </c>
      <c r="C13">
        <v>14.23</v>
      </c>
      <c r="D13">
        <v>12.82</v>
      </c>
      <c r="E13">
        <v>0.28999999999999998</v>
      </c>
      <c r="F13">
        <v>0</v>
      </c>
      <c r="G13">
        <v>0.24</v>
      </c>
      <c r="H13">
        <v>-0.26</v>
      </c>
      <c r="I13">
        <v>27.65</v>
      </c>
    </row>
    <row r="14" spans="1:9" x14ac:dyDescent="0.45">
      <c r="A14" t="s">
        <v>142</v>
      </c>
      <c r="B14">
        <v>2003</v>
      </c>
      <c r="C14">
        <v>14.64</v>
      </c>
      <c r="D14">
        <v>14.32</v>
      </c>
      <c r="E14">
        <v>0.32</v>
      </c>
      <c r="F14">
        <v>0</v>
      </c>
      <c r="G14">
        <v>0.22</v>
      </c>
      <c r="H14">
        <v>-0.21</v>
      </c>
      <c r="I14">
        <v>29.57</v>
      </c>
    </row>
    <row r="15" spans="1:9" x14ac:dyDescent="0.45">
      <c r="A15" t="s">
        <v>142</v>
      </c>
      <c r="B15">
        <v>2004</v>
      </c>
      <c r="C15">
        <v>15.68</v>
      </c>
      <c r="D15">
        <v>14.95</v>
      </c>
      <c r="E15">
        <v>0.35</v>
      </c>
      <c r="F15">
        <v>0</v>
      </c>
      <c r="G15">
        <v>0.21</v>
      </c>
      <c r="H15">
        <v>-0.2</v>
      </c>
      <c r="I15">
        <v>31.25</v>
      </c>
    </row>
    <row r="16" spans="1:9" x14ac:dyDescent="0.45">
      <c r="A16" t="s">
        <v>142</v>
      </c>
      <c r="B16">
        <v>2005</v>
      </c>
      <c r="C16">
        <v>16.03</v>
      </c>
      <c r="D16">
        <v>17.329999999999998</v>
      </c>
      <c r="E16">
        <v>0.36</v>
      </c>
      <c r="F16">
        <v>0</v>
      </c>
      <c r="G16">
        <v>0.36</v>
      </c>
      <c r="H16">
        <v>-0.27</v>
      </c>
      <c r="I16">
        <v>33.92</v>
      </c>
    </row>
    <row r="17" spans="1:9" x14ac:dyDescent="0.45">
      <c r="A17" t="s">
        <v>142</v>
      </c>
      <c r="B17">
        <v>2006</v>
      </c>
      <c r="C17">
        <v>18.45</v>
      </c>
      <c r="D17">
        <v>16.600000000000001</v>
      </c>
      <c r="E17">
        <v>0.44</v>
      </c>
      <c r="F17">
        <v>0</v>
      </c>
      <c r="G17">
        <v>0.38</v>
      </c>
      <c r="H17">
        <v>-0.3</v>
      </c>
      <c r="I17">
        <v>35.229999999999997</v>
      </c>
    </row>
    <row r="18" spans="1:9" x14ac:dyDescent="0.45">
      <c r="A18" t="s">
        <v>142</v>
      </c>
      <c r="B18">
        <v>2007</v>
      </c>
      <c r="C18">
        <v>19.48</v>
      </c>
      <c r="D18">
        <v>17.72</v>
      </c>
      <c r="E18">
        <v>0.4</v>
      </c>
      <c r="F18">
        <v>0</v>
      </c>
      <c r="G18">
        <v>0.28000000000000003</v>
      </c>
      <c r="H18">
        <v>-0.27</v>
      </c>
      <c r="I18">
        <v>37.200000000000003</v>
      </c>
    </row>
    <row r="19" spans="1:9" x14ac:dyDescent="0.45">
      <c r="A19" t="s">
        <v>142</v>
      </c>
      <c r="B19">
        <v>2008</v>
      </c>
      <c r="C19">
        <v>19.670000000000002</v>
      </c>
      <c r="D19">
        <v>19.920000000000002</v>
      </c>
      <c r="E19">
        <v>0.26</v>
      </c>
      <c r="F19">
        <v>0</v>
      </c>
      <c r="G19">
        <v>0.27</v>
      </c>
      <c r="H19">
        <v>-0.32</v>
      </c>
      <c r="I19">
        <v>40.24</v>
      </c>
    </row>
    <row r="20" spans="1:9" x14ac:dyDescent="0.45">
      <c r="A20" t="s">
        <v>142</v>
      </c>
      <c r="B20">
        <v>2009</v>
      </c>
      <c r="C20">
        <v>20.38</v>
      </c>
      <c r="D20">
        <v>12.68</v>
      </c>
      <c r="E20">
        <v>0.54</v>
      </c>
      <c r="F20">
        <v>0</v>
      </c>
      <c r="G20">
        <v>0.33</v>
      </c>
      <c r="H20">
        <v>-0.36</v>
      </c>
      <c r="I20">
        <v>38.5</v>
      </c>
    </row>
    <row r="21" spans="1:9" x14ac:dyDescent="0.45">
      <c r="A21" t="s">
        <v>142</v>
      </c>
      <c r="B21">
        <v>2010</v>
      </c>
      <c r="C21">
        <v>24.58</v>
      </c>
      <c r="D21">
        <v>14.97</v>
      </c>
      <c r="E21">
        <v>0.63</v>
      </c>
      <c r="F21">
        <v>0</v>
      </c>
      <c r="G21">
        <v>0.74</v>
      </c>
      <c r="H21">
        <v>-0.8</v>
      </c>
      <c r="I21">
        <v>45.73</v>
      </c>
    </row>
    <row r="22" spans="1:9" x14ac:dyDescent="0.45">
      <c r="A22" t="s">
        <v>142</v>
      </c>
      <c r="B22">
        <v>2011</v>
      </c>
      <c r="C22">
        <v>28.04</v>
      </c>
      <c r="D22">
        <v>16.420000000000002</v>
      </c>
      <c r="E22">
        <v>0.7</v>
      </c>
      <c r="F22">
        <v>0</v>
      </c>
      <c r="G22">
        <v>0.66</v>
      </c>
      <c r="H22">
        <v>-0.8</v>
      </c>
      <c r="I22">
        <v>51.22</v>
      </c>
    </row>
    <row r="23" spans="1:9" x14ac:dyDescent="0.45">
      <c r="A23" t="s">
        <v>142</v>
      </c>
      <c r="B23">
        <v>2012</v>
      </c>
      <c r="C23">
        <v>31.24</v>
      </c>
      <c r="D23">
        <v>18.72</v>
      </c>
      <c r="E23">
        <v>0.78</v>
      </c>
      <c r="F23">
        <v>0</v>
      </c>
      <c r="G23">
        <v>0.94</v>
      </c>
      <c r="H23">
        <v>-0.99</v>
      </c>
      <c r="I23">
        <v>57.4</v>
      </c>
    </row>
    <row r="24" spans="1:9" x14ac:dyDescent="0.45">
      <c r="A24" t="s">
        <v>142</v>
      </c>
      <c r="B24">
        <v>2013</v>
      </c>
      <c r="C24">
        <v>32.049999999999997</v>
      </c>
      <c r="D24">
        <v>20.54</v>
      </c>
      <c r="E24">
        <v>0.8</v>
      </c>
      <c r="F24">
        <v>0</v>
      </c>
      <c r="G24">
        <v>0.28999999999999998</v>
      </c>
      <c r="H24">
        <v>-0.38</v>
      </c>
      <c r="I24">
        <v>59.89</v>
      </c>
    </row>
    <row r="25" spans="1:9" x14ac:dyDescent="0.45">
      <c r="A25" t="s">
        <v>142</v>
      </c>
      <c r="B25">
        <v>2014</v>
      </c>
      <c r="C25">
        <v>34.11</v>
      </c>
      <c r="D25">
        <v>21.94</v>
      </c>
      <c r="E25">
        <v>0.87</v>
      </c>
      <c r="F25">
        <v>0</v>
      </c>
      <c r="G25">
        <v>0.69</v>
      </c>
      <c r="H25">
        <v>-0.88</v>
      </c>
      <c r="I25">
        <v>64.239999999999995</v>
      </c>
    </row>
    <row r="26" spans="1:9" x14ac:dyDescent="0.45">
      <c r="A26" t="s">
        <v>142</v>
      </c>
      <c r="B26">
        <v>2015</v>
      </c>
      <c r="C26">
        <v>35.86</v>
      </c>
      <c r="D26">
        <v>24.25</v>
      </c>
      <c r="E26">
        <v>0.97</v>
      </c>
      <c r="F26">
        <v>0</v>
      </c>
      <c r="G26">
        <v>0.61</v>
      </c>
      <c r="H26">
        <v>-0.64</v>
      </c>
      <c r="I26">
        <v>68.8</v>
      </c>
    </row>
    <row r="27" spans="1:9" x14ac:dyDescent="0.45">
      <c r="A27" t="s">
        <v>142</v>
      </c>
      <c r="B27">
        <v>2016</v>
      </c>
      <c r="C27">
        <v>36.86</v>
      </c>
      <c r="D27">
        <v>24.95</v>
      </c>
      <c r="E27">
        <v>1.01</v>
      </c>
      <c r="F27">
        <v>0</v>
      </c>
      <c r="G27">
        <v>0.26</v>
      </c>
      <c r="H27">
        <v>-0.51</v>
      </c>
      <c r="I27">
        <v>71</v>
      </c>
    </row>
    <row r="28" spans="1:9" x14ac:dyDescent="0.45">
      <c r="A28" t="s">
        <v>142</v>
      </c>
      <c r="B28">
        <v>2017</v>
      </c>
      <c r="C28">
        <v>39.31</v>
      </c>
      <c r="D28">
        <v>26.85</v>
      </c>
      <c r="E28">
        <v>1.07</v>
      </c>
      <c r="F28">
        <v>0</v>
      </c>
      <c r="G28">
        <v>0.54</v>
      </c>
      <c r="H28">
        <v>-0.88</v>
      </c>
      <c r="I28">
        <v>76.02</v>
      </c>
    </row>
    <row r="29" spans="1:9" x14ac:dyDescent="0.45">
      <c r="A29" t="s">
        <v>142</v>
      </c>
      <c r="B29">
        <v>2018</v>
      </c>
      <c r="C29">
        <v>38.909999999999997</v>
      </c>
      <c r="D29">
        <v>29.04</v>
      </c>
      <c r="E29">
        <v>1.17</v>
      </c>
      <c r="F29">
        <v>0</v>
      </c>
      <c r="G29">
        <v>0.51</v>
      </c>
      <c r="H29">
        <v>-0.6</v>
      </c>
      <c r="I29">
        <v>76.66</v>
      </c>
    </row>
    <row r="30" spans="1:9" x14ac:dyDescent="0.45">
      <c r="A30" t="s">
        <v>142</v>
      </c>
      <c r="B30">
        <v>2019</v>
      </c>
      <c r="C30">
        <v>40.950000000000003</v>
      </c>
      <c r="D30">
        <v>31.18</v>
      </c>
      <c r="E30">
        <v>1.24</v>
      </c>
      <c r="F30">
        <v>0</v>
      </c>
      <c r="G30">
        <v>0.53</v>
      </c>
      <c r="H30">
        <v>-0.67</v>
      </c>
      <c r="I30">
        <v>81.53</v>
      </c>
    </row>
    <row r="31" spans="1:9" x14ac:dyDescent="0.45">
      <c r="A31" t="s">
        <v>142</v>
      </c>
      <c r="B31">
        <v>2020</v>
      </c>
      <c r="C31">
        <v>40.56</v>
      </c>
      <c r="D31">
        <v>28.73</v>
      </c>
      <c r="E31">
        <v>1.55</v>
      </c>
      <c r="F31">
        <v>0</v>
      </c>
      <c r="G31">
        <v>0.51</v>
      </c>
      <c r="H31">
        <v>-0.56999999999999995</v>
      </c>
      <c r="I31">
        <v>79.16</v>
      </c>
    </row>
    <row r="32" spans="1:9" x14ac:dyDescent="0.45">
      <c r="A32" t="s">
        <v>142</v>
      </c>
      <c r="B32">
        <v>2021</v>
      </c>
      <c r="C32">
        <v>42.26</v>
      </c>
      <c r="D32">
        <v>31.29</v>
      </c>
      <c r="E32">
        <v>1.59</v>
      </c>
      <c r="F32">
        <v>0</v>
      </c>
      <c r="G32">
        <v>0.38</v>
      </c>
      <c r="H32">
        <v>-1.53</v>
      </c>
      <c r="I32">
        <v>85.39</v>
      </c>
    </row>
    <row r="33" spans="1:9" x14ac:dyDescent="0.45">
      <c r="A33" t="s">
        <v>142</v>
      </c>
      <c r="B33">
        <v>2022</v>
      </c>
      <c r="C33">
        <v>43.53</v>
      </c>
      <c r="D33">
        <v>33.17</v>
      </c>
      <c r="E33">
        <v>1.68</v>
      </c>
      <c r="F33">
        <v>0</v>
      </c>
      <c r="G33">
        <v>0.18</v>
      </c>
      <c r="H33">
        <v>-2.75</v>
      </c>
      <c r="I33">
        <v>91.23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143</v>
      </c>
      <c r="C11">
        <v>2020</v>
      </c>
      <c r="D11">
        <v>58</v>
      </c>
      <c r="E11">
        <v>4.4000000000000004</v>
      </c>
      <c r="F11">
        <v>0.43</v>
      </c>
      <c r="G11">
        <v>5.71</v>
      </c>
      <c r="H11">
        <v>0</v>
      </c>
      <c r="I11">
        <v>15.58</v>
      </c>
      <c r="J11">
        <v>0</v>
      </c>
      <c r="K11">
        <v>8.31</v>
      </c>
      <c r="L11" t="s">
        <v>1</v>
      </c>
      <c r="M11" t="s">
        <v>27</v>
      </c>
    </row>
    <row r="12" spans="1:13" x14ac:dyDescent="0.45">
      <c r="A12" t="s">
        <v>0</v>
      </c>
      <c r="B12" t="s">
        <v>143</v>
      </c>
      <c r="C12">
        <v>2025</v>
      </c>
      <c r="D12">
        <v>58</v>
      </c>
      <c r="E12">
        <v>132.94</v>
      </c>
      <c r="F12">
        <v>113.94</v>
      </c>
      <c r="G12">
        <v>135.33000000000001</v>
      </c>
      <c r="H12">
        <v>13.36</v>
      </c>
      <c r="I12">
        <v>626.48</v>
      </c>
      <c r="J12">
        <v>28.22</v>
      </c>
      <c r="K12">
        <v>179.27</v>
      </c>
      <c r="L12" t="s">
        <v>1</v>
      </c>
      <c r="M12" t="s">
        <v>27</v>
      </c>
    </row>
    <row r="13" spans="1:13" x14ac:dyDescent="0.45">
      <c r="A13" t="s">
        <v>0</v>
      </c>
      <c r="B13" t="s">
        <v>143</v>
      </c>
      <c r="C13">
        <v>2030</v>
      </c>
      <c r="D13">
        <v>58</v>
      </c>
      <c r="E13">
        <v>191.57</v>
      </c>
      <c r="F13">
        <v>180.17</v>
      </c>
      <c r="G13">
        <v>130.46</v>
      </c>
      <c r="H13">
        <v>3.02</v>
      </c>
      <c r="I13">
        <v>673.46</v>
      </c>
      <c r="J13">
        <v>89.49</v>
      </c>
      <c r="K13">
        <v>241.69</v>
      </c>
      <c r="L13" t="s">
        <v>1</v>
      </c>
      <c r="M13" t="s">
        <v>27</v>
      </c>
    </row>
    <row r="14" spans="1:13" x14ac:dyDescent="0.45">
      <c r="A14" t="s">
        <v>0</v>
      </c>
      <c r="B14" t="s">
        <v>143</v>
      </c>
      <c r="C14">
        <v>2035</v>
      </c>
      <c r="D14">
        <v>58</v>
      </c>
      <c r="E14">
        <v>278.86</v>
      </c>
      <c r="F14">
        <v>243.45</v>
      </c>
      <c r="G14">
        <v>167.16</v>
      </c>
      <c r="H14">
        <v>9.51</v>
      </c>
      <c r="I14">
        <v>859.53</v>
      </c>
      <c r="J14">
        <v>142.94999999999999</v>
      </c>
      <c r="K14">
        <v>358.71</v>
      </c>
      <c r="L14" t="s">
        <v>1</v>
      </c>
      <c r="M14" t="s">
        <v>27</v>
      </c>
    </row>
    <row r="15" spans="1:13" x14ac:dyDescent="0.45">
      <c r="A15" t="s">
        <v>0</v>
      </c>
      <c r="B15" t="s">
        <v>143</v>
      </c>
      <c r="C15">
        <v>2040</v>
      </c>
      <c r="D15">
        <v>58</v>
      </c>
      <c r="E15">
        <v>397.63</v>
      </c>
      <c r="F15">
        <v>326.01</v>
      </c>
      <c r="G15">
        <v>215.59</v>
      </c>
      <c r="H15">
        <v>115.55</v>
      </c>
      <c r="I15">
        <v>1097.01</v>
      </c>
      <c r="J15">
        <v>239.53</v>
      </c>
      <c r="K15">
        <v>539.74</v>
      </c>
      <c r="L15" t="s">
        <v>1</v>
      </c>
      <c r="M15" t="s">
        <v>27</v>
      </c>
    </row>
    <row r="16" spans="1:13" x14ac:dyDescent="0.45">
      <c r="A16" t="s">
        <v>0</v>
      </c>
      <c r="B16" t="s">
        <v>143</v>
      </c>
      <c r="C16">
        <v>2045</v>
      </c>
      <c r="D16">
        <v>58</v>
      </c>
      <c r="E16">
        <v>527.26</v>
      </c>
      <c r="F16">
        <v>415.81</v>
      </c>
      <c r="G16">
        <v>250.01</v>
      </c>
      <c r="H16">
        <v>193.42</v>
      </c>
      <c r="I16">
        <v>1269.8800000000001</v>
      </c>
      <c r="J16">
        <v>353.85</v>
      </c>
      <c r="K16">
        <v>714.5</v>
      </c>
      <c r="L16" t="s">
        <v>1</v>
      </c>
      <c r="M16" t="s">
        <v>27</v>
      </c>
    </row>
    <row r="17" spans="1:13" x14ac:dyDescent="0.45">
      <c r="A17" t="s">
        <v>0</v>
      </c>
      <c r="B17" t="s">
        <v>143</v>
      </c>
      <c r="C17">
        <v>2050</v>
      </c>
      <c r="D17">
        <v>58</v>
      </c>
      <c r="E17">
        <v>649.79</v>
      </c>
      <c r="F17">
        <v>605.23</v>
      </c>
      <c r="G17">
        <v>268.91000000000003</v>
      </c>
      <c r="H17">
        <v>209.76</v>
      </c>
      <c r="I17">
        <v>1271.76</v>
      </c>
      <c r="J17">
        <v>451.31</v>
      </c>
      <c r="K17">
        <v>863.42</v>
      </c>
      <c r="L17" t="s">
        <v>1</v>
      </c>
      <c r="M17" t="s">
        <v>27</v>
      </c>
    </row>
    <row r="18" spans="1:13" x14ac:dyDescent="0.45">
      <c r="A18" t="s">
        <v>2</v>
      </c>
      <c r="B18" t="s">
        <v>143</v>
      </c>
      <c r="C18">
        <v>2020</v>
      </c>
      <c r="D18">
        <v>76</v>
      </c>
      <c r="E18">
        <v>1.95</v>
      </c>
      <c r="F18">
        <v>0</v>
      </c>
      <c r="G18">
        <v>3.61</v>
      </c>
      <c r="H18">
        <v>0</v>
      </c>
      <c r="I18">
        <v>15.58</v>
      </c>
      <c r="J18">
        <v>0</v>
      </c>
      <c r="K18">
        <v>0.55000000000000004</v>
      </c>
      <c r="L18" t="s">
        <v>3</v>
      </c>
      <c r="M18" t="s">
        <v>27</v>
      </c>
    </row>
    <row r="19" spans="1:13" x14ac:dyDescent="0.45">
      <c r="A19" t="s">
        <v>2</v>
      </c>
      <c r="B19" t="s">
        <v>143</v>
      </c>
      <c r="C19">
        <v>2025</v>
      </c>
      <c r="D19">
        <v>65</v>
      </c>
      <c r="E19">
        <v>42.95</v>
      </c>
      <c r="F19">
        <v>32.69</v>
      </c>
      <c r="G19">
        <v>45.96</v>
      </c>
      <c r="H19">
        <v>0</v>
      </c>
      <c r="I19">
        <v>174.97</v>
      </c>
      <c r="J19">
        <v>5.54</v>
      </c>
      <c r="K19">
        <v>61.39</v>
      </c>
      <c r="L19" t="s">
        <v>3</v>
      </c>
      <c r="M19" t="s">
        <v>27</v>
      </c>
    </row>
    <row r="20" spans="1:13" x14ac:dyDescent="0.45">
      <c r="A20" t="s">
        <v>2</v>
      </c>
      <c r="B20" t="s">
        <v>143</v>
      </c>
      <c r="C20">
        <v>2030</v>
      </c>
      <c r="D20">
        <v>76</v>
      </c>
      <c r="E20">
        <v>55.8</v>
      </c>
      <c r="F20">
        <v>49.85</v>
      </c>
      <c r="G20">
        <v>54.52</v>
      </c>
      <c r="H20">
        <v>0</v>
      </c>
      <c r="I20">
        <v>221.93</v>
      </c>
      <c r="J20">
        <v>10.8</v>
      </c>
      <c r="K20">
        <v>78.77</v>
      </c>
      <c r="L20" t="s">
        <v>3</v>
      </c>
      <c r="M20" t="s">
        <v>27</v>
      </c>
    </row>
    <row r="21" spans="1:13" x14ac:dyDescent="0.45">
      <c r="A21" t="s">
        <v>2</v>
      </c>
      <c r="B21" t="s">
        <v>143</v>
      </c>
      <c r="C21">
        <v>2035</v>
      </c>
      <c r="D21">
        <v>65</v>
      </c>
      <c r="E21">
        <v>217.07</v>
      </c>
      <c r="F21">
        <v>152.99</v>
      </c>
      <c r="G21">
        <v>316.2</v>
      </c>
      <c r="H21">
        <v>29.98</v>
      </c>
      <c r="I21">
        <v>2037.12</v>
      </c>
      <c r="J21">
        <v>95.06</v>
      </c>
      <c r="K21">
        <v>208.88</v>
      </c>
      <c r="L21" t="s">
        <v>3</v>
      </c>
      <c r="M21" t="s">
        <v>27</v>
      </c>
    </row>
    <row r="22" spans="1:13" x14ac:dyDescent="0.45">
      <c r="A22" t="s">
        <v>2</v>
      </c>
      <c r="B22" t="s">
        <v>143</v>
      </c>
      <c r="C22">
        <v>2040</v>
      </c>
      <c r="D22">
        <v>76</v>
      </c>
      <c r="E22">
        <v>257.11</v>
      </c>
      <c r="F22">
        <v>191.71</v>
      </c>
      <c r="G22">
        <v>381.8</v>
      </c>
      <c r="H22">
        <v>0</v>
      </c>
      <c r="I22">
        <v>2600</v>
      </c>
      <c r="J22">
        <v>106.05</v>
      </c>
      <c r="K22">
        <v>261.57</v>
      </c>
      <c r="L22" t="s">
        <v>3</v>
      </c>
      <c r="M22" t="s">
        <v>27</v>
      </c>
    </row>
    <row r="23" spans="1:13" x14ac:dyDescent="0.45">
      <c r="A23" t="s">
        <v>2</v>
      </c>
      <c r="B23" t="s">
        <v>143</v>
      </c>
      <c r="C23">
        <v>2045</v>
      </c>
      <c r="D23">
        <v>65</v>
      </c>
      <c r="E23">
        <v>303.95999999999998</v>
      </c>
      <c r="F23">
        <v>257.82</v>
      </c>
      <c r="G23">
        <v>200.99</v>
      </c>
      <c r="H23">
        <v>103.1</v>
      </c>
      <c r="I23">
        <v>1213.1199999999999</v>
      </c>
      <c r="J23">
        <v>161.66999999999999</v>
      </c>
      <c r="K23">
        <v>360.63</v>
      </c>
      <c r="L23" t="s">
        <v>3</v>
      </c>
      <c r="M23" t="s">
        <v>27</v>
      </c>
    </row>
    <row r="24" spans="1:13" x14ac:dyDescent="0.45">
      <c r="A24" t="s">
        <v>2</v>
      </c>
      <c r="B24" t="s">
        <v>143</v>
      </c>
      <c r="C24">
        <v>2050</v>
      </c>
      <c r="D24">
        <v>76</v>
      </c>
      <c r="E24">
        <v>312.97000000000003</v>
      </c>
      <c r="F24">
        <v>285.06</v>
      </c>
      <c r="G24">
        <v>179.85</v>
      </c>
      <c r="H24">
        <v>0</v>
      </c>
      <c r="I24">
        <v>729.74</v>
      </c>
      <c r="J24">
        <v>180.84</v>
      </c>
      <c r="K24">
        <v>426.08</v>
      </c>
      <c r="L24" t="s">
        <v>3</v>
      </c>
      <c r="M24" t="s">
        <v>27</v>
      </c>
    </row>
    <row r="25" spans="1:13" x14ac:dyDescent="0.45">
      <c r="A25" t="s">
        <v>5</v>
      </c>
      <c r="B25" t="s">
        <v>143</v>
      </c>
      <c r="C25">
        <v>2020</v>
      </c>
      <c r="D25">
        <v>180</v>
      </c>
      <c r="E25">
        <v>7.42</v>
      </c>
      <c r="F25">
        <v>0.14000000000000001</v>
      </c>
      <c r="G25">
        <v>14.79</v>
      </c>
      <c r="H25">
        <v>0</v>
      </c>
      <c r="I25">
        <v>134.31</v>
      </c>
      <c r="J25">
        <v>0</v>
      </c>
      <c r="K25">
        <v>8.31</v>
      </c>
      <c r="L25" t="s">
        <v>6</v>
      </c>
      <c r="M25" t="s">
        <v>27</v>
      </c>
    </row>
    <row r="26" spans="1:13" x14ac:dyDescent="0.45">
      <c r="A26" t="s">
        <v>5</v>
      </c>
      <c r="B26" t="s">
        <v>143</v>
      </c>
      <c r="C26">
        <v>2025</v>
      </c>
      <c r="D26">
        <v>157</v>
      </c>
      <c r="E26">
        <v>34.700000000000003</v>
      </c>
      <c r="F26">
        <v>32.700000000000003</v>
      </c>
      <c r="G26">
        <v>30.36</v>
      </c>
      <c r="H26">
        <v>0</v>
      </c>
      <c r="I26">
        <v>134.68</v>
      </c>
      <c r="J26">
        <v>8.92</v>
      </c>
      <c r="K26">
        <v>45.73</v>
      </c>
      <c r="L26" t="s">
        <v>6</v>
      </c>
      <c r="M26" t="s">
        <v>27</v>
      </c>
    </row>
    <row r="27" spans="1:13" x14ac:dyDescent="0.45">
      <c r="A27" t="s">
        <v>5</v>
      </c>
      <c r="B27" t="s">
        <v>143</v>
      </c>
      <c r="C27">
        <v>2030</v>
      </c>
      <c r="D27">
        <v>180</v>
      </c>
      <c r="E27">
        <v>47.05</v>
      </c>
      <c r="F27">
        <v>48.97</v>
      </c>
      <c r="G27">
        <v>42.47</v>
      </c>
      <c r="H27">
        <v>-17.399999999999999</v>
      </c>
      <c r="I27">
        <v>216.75</v>
      </c>
      <c r="J27">
        <v>12.04</v>
      </c>
      <c r="K27">
        <v>63.91</v>
      </c>
      <c r="L27" t="s">
        <v>6</v>
      </c>
      <c r="M27" t="s">
        <v>27</v>
      </c>
    </row>
    <row r="28" spans="1:13" x14ac:dyDescent="0.45">
      <c r="A28" t="s">
        <v>5</v>
      </c>
      <c r="B28" t="s">
        <v>143</v>
      </c>
      <c r="C28">
        <v>2035</v>
      </c>
      <c r="D28">
        <v>157</v>
      </c>
      <c r="E28">
        <v>108.65</v>
      </c>
      <c r="F28">
        <v>87.7</v>
      </c>
      <c r="G28">
        <v>88.7</v>
      </c>
      <c r="H28">
        <v>14.74</v>
      </c>
      <c r="I28">
        <v>960.63</v>
      </c>
      <c r="J28">
        <v>63.8</v>
      </c>
      <c r="K28">
        <v>133.35</v>
      </c>
      <c r="L28" t="s">
        <v>6</v>
      </c>
      <c r="M28" t="s">
        <v>27</v>
      </c>
    </row>
    <row r="29" spans="1:13" x14ac:dyDescent="0.45">
      <c r="A29" t="s">
        <v>5</v>
      </c>
      <c r="B29" t="s">
        <v>143</v>
      </c>
      <c r="C29">
        <v>2040</v>
      </c>
      <c r="D29">
        <v>180</v>
      </c>
      <c r="E29">
        <v>150.09</v>
      </c>
      <c r="F29">
        <v>122.55</v>
      </c>
      <c r="G29">
        <v>109.7</v>
      </c>
      <c r="H29">
        <v>46.02</v>
      </c>
      <c r="I29">
        <v>1226.04</v>
      </c>
      <c r="J29">
        <v>91.4</v>
      </c>
      <c r="K29">
        <v>178.52</v>
      </c>
      <c r="L29" t="s">
        <v>6</v>
      </c>
      <c r="M29" t="s">
        <v>27</v>
      </c>
    </row>
    <row r="30" spans="1:13" x14ac:dyDescent="0.45">
      <c r="A30" t="s">
        <v>5</v>
      </c>
      <c r="B30" t="s">
        <v>143</v>
      </c>
      <c r="C30">
        <v>2045</v>
      </c>
      <c r="D30">
        <v>157</v>
      </c>
      <c r="E30">
        <v>196.36</v>
      </c>
      <c r="F30">
        <v>179.54</v>
      </c>
      <c r="G30">
        <v>143.16</v>
      </c>
      <c r="H30">
        <v>45.55</v>
      </c>
      <c r="I30">
        <v>1564.8</v>
      </c>
      <c r="J30">
        <v>117.95</v>
      </c>
      <c r="K30">
        <v>229.77</v>
      </c>
      <c r="L30" t="s">
        <v>6</v>
      </c>
      <c r="M30" t="s">
        <v>27</v>
      </c>
    </row>
    <row r="31" spans="1:13" x14ac:dyDescent="0.45">
      <c r="A31" t="s">
        <v>5</v>
      </c>
      <c r="B31" t="s">
        <v>143</v>
      </c>
      <c r="C31">
        <v>2050</v>
      </c>
      <c r="D31">
        <v>180</v>
      </c>
      <c r="E31">
        <v>243.05</v>
      </c>
      <c r="F31">
        <v>211.71</v>
      </c>
      <c r="G31">
        <v>126.45</v>
      </c>
      <c r="H31">
        <v>50.01</v>
      </c>
      <c r="I31">
        <v>712.07</v>
      </c>
      <c r="J31">
        <v>145.79</v>
      </c>
      <c r="K31">
        <v>304.91000000000003</v>
      </c>
      <c r="L31" t="s">
        <v>6</v>
      </c>
      <c r="M31" t="s">
        <v>27</v>
      </c>
    </row>
    <row r="32" spans="1:13" x14ac:dyDescent="0.45">
      <c r="A32" t="s">
        <v>7</v>
      </c>
      <c r="B32" t="s">
        <v>143</v>
      </c>
      <c r="C32">
        <v>2020</v>
      </c>
      <c r="D32">
        <v>69</v>
      </c>
      <c r="E32">
        <v>1.9</v>
      </c>
      <c r="F32">
        <v>0</v>
      </c>
      <c r="G32">
        <v>3.89</v>
      </c>
      <c r="H32">
        <v>0</v>
      </c>
      <c r="I32">
        <v>14.43</v>
      </c>
      <c r="J32">
        <v>0</v>
      </c>
      <c r="K32">
        <v>0</v>
      </c>
      <c r="L32" t="s">
        <v>8</v>
      </c>
      <c r="M32" t="s">
        <v>27</v>
      </c>
    </row>
    <row r="33" spans="1:13" x14ac:dyDescent="0.45">
      <c r="A33" t="s">
        <v>7</v>
      </c>
      <c r="B33" t="s">
        <v>143</v>
      </c>
      <c r="C33">
        <v>2025</v>
      </c>
      <c r="D33">
        <v>63</v>
      </c>
      <c r="E33">
        <v>14.95</v>
      </c>
      <c r="F33">
        <v>14.57</v>
      </c>
      <c r="G33">
        <v>12.73</v>
      </c>
      <c r="H33">
        <v>0</v>
      </c>
      <c r="I33">
        <v>48.97</v>
      </c>
      <c r="J33">
        <v>4.6100000000000003</v>
      </c>
      <c r="K33">
        <v>22.63</v>
      </c>
      <c r="L33" t="s">
        <v>8</v>
      </c>
      <c r="M33" t="s">
        <v>27</v>
      </c>
    </row>
    <row r="34" spans="1:13" x14ac:dyDescent="0.45">
      <c r="A34" t="s">
        <v>7</v>
      </c>
      <c r="B34" t="s">
        <v>143</v>
      </c>
      <c r="C34">
        <v>2030</v>
      </c>
      <c r="D34">
        <v>69</v>
      </c>
      <c r="E34">
        <v>20.25</v>
      </c>
      <c r="F34">
        <v>12.04</v>
      </c>
      <c r="G34">
        <v>23.83</v>
      </c>
      <c r="H34">
        <v>-12.67</v>
      </c>
      <c r="I34">
        <v>82.5</v>
      </c>
      <c r="J34">
        <v>0</v>
      </c>
      <c r="K34">
        <v>36.35</v>
      </c>
      <c r="L34" t="s">
        <v>8</v>
      </c>
      <c r="M34" t="s">
        <v>27</v>
      </c>
    </row>
    <row r="35" spans="1:13" x14ac:dyDescent="0.45">
      <c r="A35" t="s">
        <v>7</v>
      </c>
      <c r="B35" t="s">
        <v>143</v>
      </c>
      <c r="C35">
        <v>2035</v>
      </c>
      <c r="D35">
        <v>63</v>
      </c>
      <c r="E35">
        <v>63.5</v>
      </c>
      <c r="F35">
        <v>55.56</v>
      </c>
      <c r="G35">
        <v>30.26</v>
      </c>
      <c r="H35">
        <v>22.96</v>
      </c>
      <c r="I35">
        <v>148.63999999999999</v>
      </c>
      <c r="J35">
        <v>41.37</v>
      </c>
      <c r="K35">
        <v>83.87</v>
      </c>
      <c r="L35" t="s">
        <v>8</v>
      </c>
      <c r="M35" t="s">
        <v>27</v>
      </c>
    </row>
    <row r="36" spans="1:13" x14ac:dyDescent="0.45">
      <c r="A36" t="s">
        <v>7</v>
      </c>
      <c r="B36" t="s">
        <v>143</v>
      </c>
      <c r="C36">
        <v>2040</v>
      </c>
      <c r="D36">
        <v>69</v>
      </c>
      <c r="E36">
        <v>89.03</v>
      </c>
      <c r="F36">
        <v>76.61</v>
      </c>
      <c r="G36">
        <v>45.3</v>
      </c>
      <c r="H36">
        <v>31.83</v>
      </c>
      <c r="I36">
        <v>281.18</v>
      </c>
      <c r="J36">
        <v>56.75</v>
      </c>
      <c r="K36">
        <v>115.41</v>
      </c>
      <c r="L36" t="s">
        <v>8</v>
      </c>
      <c r="M36" t="s">
        <v>27</v>
      </c>
    </row>
    <row r="37" spans="1:13" x14ac:dyDescent="0.45">
      <c r="A37" t="s">
        <v>7</v>
      </c>
      <c r="B37" t="s">
        <v>143</v>
      </c>
      <c r="C37">
        <v>2045</v>
      </c>
      <c r="D37">
        <v>63</v>
      </c>
      <c r="E37">
        <v>116.52</v>
      </c>
      <c r="F37">
        <v>96.24</v>
      </c>
      <c r="G37">
        <v>62.73</v>
      </c>
      <c r="H37">
        <v>42.44</v>
      </c>
      <c r="I37">
        <v>317.56</v>
      </c>
      <c r="J37">
        <v>72.08</v>
      </c>
      <c r="K37">
        <v>152.12</v>
      </c>
      <c r="L37" t="s">
        <v>8</v>
      </c>
      <c r="M37" t="s">
        <v>27</v>
      </c>
    </row>
    <row r="38" spans="1:13" x14ac:dyDescent="0.45">
      <c r="A38" t="s">
        <v>7</v>
      </c>
      <c r="B38" t="s">
        <v>143</v>
      </c>
      <c r="C38">
        <v>2050</v>
      </c>
      <c r="D38">
        <v>69</v>
      </c>
      <c r="E38">
        <v>135.74</v>
      </c>
      <c r="F38">
        <v>112.53</v>
      </c>
      <c r="G38">
        <v>68.22</v>
      </c>
      <c r="H38">
        <v>54.16</v>
      </c>
      <c r="I38">
        <v>374.88</v>
      </c>
      <c r="J38">
        <v>90.42</v>
      </c>
      <c r="K38">
        <v>161.76</v>
      </c>
      <c r="L38" t="s">
        <v>8</v>
      </c>
      <c r="M38" t="s">
        <v>27</v>
      </c>
    </row>
    <row r="39" spans="1:13" x14ac:dyDescent="0.45">
      <c r="A39" t="s">
        <v>9</v>
      </c>
      <c r="B39" t="s">
        <v>143</v>
      </c>
      <c r="C39">
        <v>2020</v>
      </c>
      <c r="D39">
        <v>57</v>
      </c>
      <c r="E39">
        <v>2.2200000000000002</v>
      </c>
      <c r="F39">
        <v>0</v>
      </c>
      <c r="G39">
        <v>4.43</v>
      </c>
      <c r="H39">
        <v>-0.02</v>
      </c>
      <c r="I39">
        <v>15.43</v>
      </c>
      <c r="J39">
        <v>0</v>
      </c>
      <c r="K39">
        <v>0.55000000000000004</v>
      </c>
      <c r="L39" t="s">
        <v>10</v>
      </c>
      <c r="M39" t="s">
        <v>27</v>
      </c>
    </row>
    <row r="40" spans="1:13" x14ac:dyDescent="0.45">
      <c r="A40" t="s">
        <v>9</v>
      </c>
      <c r="B40" t="s">
        <v>143</v>
      </c>
      <c r="C40">
        <v>2025</v>
      </c>
      <c r="D40">
        <v>52</v>
      </c>
      <c r="E40">
        <v>2.36</v>
      </c>
      <c r="F40">
        <v>0</v>
      </c>
      <c r="G40">
        <v>4.53</v>
      </c>
      <c r="H40">
        <v>0</v>
      </c>
      <c r="I40">
        <v>16.079999999999998</v>
      </c>
      <c r="J40">
        <v>0</v>
      </c>
      <c r="K40">
        <v>1.94</v>
      </c>
      <c r="L40" t="s">
        <v>10</v>
      </c>
      <c r="M40" t="s">
        <v>27</v>
      </c>
    </row>
    <row r="41" spans="1:13" x14ac:dyDescent="0.45">
      <c r="A41" t="s">
        <v>9</v>
      </c>
      <c r="B41" t="s">
        <v>143</v>
      </c>
      <c r="C41">
        <v>2030</v>
      </c>
      <c r="D41">
        <v>57</v>
      </c>
      <c r="E41">
        <v>1.1499999999999999</v>
      </c>
      <c r="F41">
        <v>0</v>
      </c>
      <c r="G41">
        <v>5.2</v>
      </c>
      <c r="H41">
        <v>-15.25</v>
      </c>
      <c r="I41">
        <v>13.77</v>
      </c>
      <c r="J41">
        <v>0</v>
      </c>
      <c r="K41">
        <v>1.25</v>
      </c>
      <c r="L41" t="s">
        <v>10</v>
      </c>
      <c r="M41" t="s">
        <v>27</v>
      </c>
    </row>
    <row r="42" spans="1:13" x14ac:dyDescent="0.45">
      <c r="A42" t="s">
        <v>9</v>
      </c>
      <c r="B42" t="s">
        <v>143</v>
      </c>
      <c r="C42">
        <v>2035</v>
      </c>
      <c r="D42">
        <v>52</v>
      </c>
      <c r="E42">
        <v>2.31</v>
      </c>
      <c r="F42">
        <v>0</v>
      </c>
      <c r="G42">
        <v>3.78</v>
      </c>
      <c r="H42">
        <v>0</v>
      </c>
      <c r="I42">
        <v>13.18</v>
      </c>
      <c r="J42">
        <v>0</v>
      </c>
      <c r="K42">
        <v>1.99</v>
      </c>
      <c r="L42" t="s">
        <v>10</v>
      </c>
      <c r="M42" t="s">
        <v>27</v>
      </c>
    </row>
    <row r="43" spans="1:13" x14ac:dyDescent="0.45">
      <c r="A43" t="s">
        <v>9</v>
      </c>
      <c r="B43" t="s">
        <v>143</v>
      </c>
      <c r="C43">
        <v>2040</v>
      </c>
      <c r="D43">
        <v>57</v>
      </c>
      <c r="E43">
        <v>2.2999999999999998</v>
      </c>
      <c r="F43">
        <v>0</v>
      </c>
      <c r="G43">
        <v>3.67</v>
      </c>
      <c r="H43">
        <v>-7.0000000000000007E-2</v>
      </c>
      <c r="I43">
        <v>12.65</v>
      </c>
      <c r="J43">
        <v>0</v>
      </c>
      <c r="K43">
        <v>2.46</v>
      </c>
      <c r="L43" t="s">
        <v>10</v>
      </c>
      <c r="M43" t="s">
        <v>27</v>
      </c>
    </row>
    <row r="44" spans="1:13" x14ac:dyDescent="0.45">
      <c r="A44" t="s">
        <v>9</v>
      </c>
      <c r="B44" t="s">
        <v>143</v>
      </c>
      <c r="C44">
        <v>2045</v>
      </c>
      <c r="D44">
        <v>52</v>
      </c>
      <c r="E44">
        <v>2.81</v>
      </c>
      <c r="F44">
        <v>0.4</v>
      </c>
      <c r="G44">
        <v>3.9</v>
      </c>
      <c r="H44">
        <v>0</v>
      </c>
      <c r="I44">
        <v>12.18</v>
      </c>
      <c r="J44">
        <v>0</v>
      </c>
      <c r="K44">
        <v>3.1</v>
      </c>
      <c r="L44" t="s">
        <v>10</v>
      </c>
      <c r="M44" t="s">
        <v>27</v>
      </c>
    </row>
    <row r="45" spans="1:13" x14ac:dyDescent="0.45">
      <c r="A45" t="s">
        <v>9</v>
      </c>
      <c r="B45" t="s">
        <v>143</v>
      </c>
      <c r="C45">
        <v>2050</v>
      </c>
      <c r="D45">
        <v>57</v>
      </c>
      <c r="E45">
        <v>2.84</v>
      </c>
      <c r="F45">
        <v>0</v>
      </c>
      <c r="G45">
        <v>4.0999999999999996</v>
      </c>
      <c r="H45">
        <v>-0.03</v>
      </c>
      <c r="I45">
        <v>12.76</v>
      </c>
      <c r="J45">
        <v>0</v>
      </c>
      <c r="K45">
        <v>3.68</v>
      </c>
      <c r="L45" t="s">
        <v>10</v>
      </c>
      <c r="M45" t="s">
        <v>27</v>
      </c>
    </row>
    <row r="46" spans="1:13" x14ac:dyDescent="0.45">
      <c r="A46" t="s">
        <v>0</v>
      </c>
      <c r="B46" t="s">
        <v>143</v>
      </c>
      <c r="C46">
        <v>2020</v>
      </c>
      <c r="D46">
        <v>62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143</v>
      </c>
      <c r="C47">
        <v>2025</v>
      </c>
      <c r="D47">
        <v>62</v>
      </c>
      <c r="E47">
        <v>1.35</v>
      </c>
      <c r="F47">
        <v>1.32</v>
      </c>
      <c r="G47">
        <v>0.28000000000000003</v>
      </c>
      <c r="H47">
        <v>0.84</v>
      </c>
      <c r="I47">
        <v>2.73</v>
      </c>
      <c r="J47">
        <v>1.18</v>
      </c>
      <c r="K47">
        <v>1.5</v>
      </c>
      <c r="L47" t="s">
        <v>1</v>
      </c>
      <c r="M47" t="s">
        <v>11</v>
      </c>
    </row>
    <row r="48" spans="1:13" x14ac:dyDescent="0.45">
      <c r="A48" t="s">
        <v>0</v>
      </c>
      <c r="B48" t="s">
        <v>143</v>
      </c>
      <c r="C48">
        <v>2030</v>
      </c>
      <c r="D48">
        <v>62</v>
      </c>
      <c r="E48">
        <v>1.98</v>
      </c>
      <c r="F48">
        <v>1.99</v>
      </c>
      <c r="G48">
        <v>0.56999999999999995</v>
      </c>
      <c r="H48">
        <v>0.83</v>
      </c>
      <c r="I48">
        <v>3.46</v>
      </c>
      <c r="J48">
        <v>1.61</v>
      </c>
      <c r="K48">
        <v>2.38</v>
      </c>
      <c r="L48" t="s">
        <v>1</v>
      </c>
      <c r="M48" t="s">
        <v>11</v>
      </c>
    </row>
    <row r="49" spans="1:13" x14ac:dyDescent="0.45">
      <c r="A49" t="s">
        <v>0</v>
      </c>
      <c r="B49" t="s">
        <v>143</v>
      </c>
      <c r="C49">
        <v>2035</v>
      </c>
      <c r="D49">
        <v>62</v>
      </c>
      <c r="E49">
        <v>3</v>
      </c>
      <c r="F49">
        <v>3.2</v>
      </c>
      <c r="G49">
        <v>0.99</v>
      </c>
      <c r="H49">
        <v>0.99</v>
      </c>
      <c r="I49">
        <v>4.9400000000000004</v>
      </c>
      <c r="J49">
        <v>2.4</v>
      </c>
      <c r="K49">
        <v>3.74</v>
      </c>
      <c r="L49" t="s">
        <v>1</v>
      </c>
      <c r="M49" t="s">
        <v>11</v>
      </c>
    </row>
    <row r="50" spans="1:13" x14ac:dyDescent="0.45">
      <c r="A50" t="s">
        <v>0</v>
      </c>
      <c r="B50" t="s">
        <v>143</v>
      </c>
      <c r="C50">
        <v>2040</v>
      </c>
      <c r="D50">
        <v>62</v>
      </c>
      <c r="E50">
        <v>4.45</v>
      </c>
      <c r="F50">
        <v>4.5599999999999996</v>
      </c>
      <c r="G50">
        <v>1.66</v>
      </c>
      <c r="H50">
        <v>1.35</v>
      </c>
      <c r="I50">
        <v>8.23</v>
      </c>
      <c r="J50">
        <v>3.29</v>
      </c>
      <c r="K50">
        <v>5.7</v>
      </c>
      <c r="L50" t="s">
        <v>1</v>
      </c>
      <c r="M50" t="s">
        <v>11</v>
      </c>
    </row>
    <row r="51" spans="1:13" x14ac:dyDescent="0.45">
      <c r="A51" t="s">
        <v>0</v>
      </c>
      <c r="B51" t="s">
        <v>143</v>
      </c>
      <c r="C51">
        <v>2045</v>
      </c>
      <c r="D51">
        <v>62</v>
      </c>
      <c r="E51">
        <v>6.47</v>
      </c>
      <c r="F51">
        <v>6.53</v>
      </c>
      <c r="G51">
        <v>2.66</v>
      </c>
      <c r="H51">
        <v>1.82</v>
      </c>
      <c r="I51">
        <v>12.68</v>
      </c>
      <c r="J51">
        <v>4.76</v>
      </c>
      <c r="K51">
        <v>8.67</v>
      </c>
      <c r="L51" t="s">
        <v>1</v>
      </c>
      <c r="M51" t="s">
        <v>11</v>
      </c>
    </row>
    <row r="52" spans="1:13" x14ac:dyDescent="0.45">
      <c r="A52" t="s">
        <v>0</v>
      </c>
      <c r="B52" t="s">
        <v>143</v>
      </c>
      <c r="C52">
        <v>2050</v>
      </c>
      <c r="D52">
        <v>62</v>
      </c>
      <c r="E52">
        <v>8.86</v>
      </c>
      <c r="F52">
        <v>8.2899999999999991</v>
      </c>
      <c r="G52">
        <v>3.89</v>
      </c>
      <c r="H52">
        <v>2.4300000000000002</v>
      </c>
      <c r="I52">
        <v>18.18</v>
      </c>
      <c r="J52">
        <v>6.3</v>
      </c>
      <c r="K52">
        <v>12.13</v>
      </c>
      <c r="L52" t="s">
        <v>1</v>
      </c>
      <c r="M52" t="s">
        <v>11</v>
      </c>
    </row>
    <row r="53" spans="1:13" x14ac:dyDescent="0.45">
      <c r="A53" t="s">
        <v>2</v>
      </c>
      <c r="B53" t="s">
        <v>143</v>
      </c>
      <c r="C53">
        <v>2020</v>
      </c>
      <c r="D53">
        <v>90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143</v>
      </c>
      <c r="C54">
        <v>2025</v>
      </c>
      <c r="D54">
        <v>79</v>
      </c>
      <c r="E54">
        <v>1.38</v>
      </c>
      <c r="F54">
        <v>1.3</v>
      </c>
      <c r="G54">
        <v>0.19</v>
      </c>
      <c r="H54">
        <v>1.1000000000000001</v>
      </c>
      <c r="I54">
        <v>1.71</v>
      </c>
      <c r="J54">
        <v>1.22</v>
      </c>
      <c r="K54">
        <v>1.55</v>
      </c>
      <c r="L54" t="s">
        <v>3</v>
      </c>
      <c r="M54" t="s">
        <v>11</v>
      </c>
    </row>
    <row r="55" spans="1:13" x14ac:dyDescent="0.45">
      <c r="A55" t="s">
        <v>2</v>
      </c>
      <c r="B55" t="s">
        <v>143</v>
      </c>
      <c r="C55">
        <v>2030</v>
      </c>
      <c r="D55">
        <v>90</v>
      </c>
      <c r="E55">
        <v>1.96</v>
      </c>
      <c r="F55">
        <v>1.78</v>
      </c>
      <c r="G55">
        <v>0.44</v>
      </c>
      <c r="H55">
        <v>1.21</v>
      </c>
      <c r="I55">
        <v>2.81</v>
      </c>
      <c r="J55">
        <v>1.62</v>
      </c>
      <c r="K55">
        <v>2.42</v>
      </c>
      <c r="L55" t="s">
        <v>3</v>
      </c>
      <c r="M55" t="s">
        <v>11</v>
      </c>
    </row>
    <row r="56" spans="1:13" x14ac:dyDescent="0.45">
      <c r="A56" t="s">
        <v>2</v>
      </c>
      <c r="B56" t="s">
        <v>143</v>
      </c>
      <c r="C56">
        <v>2035</v>
      </c>
      <c r="D56">
        <v>79</v>
      </c>
      <c r="E56">
        <v>2.78</v>
      </c>
      <c r="F56">
        <v>2.4700000000000002</v>
      </c>
      <c r="G56">
        <v>0.82</v>
      </c>
      <c r="H56">
        <v>1.33</v>
      </c>
      <c r="I56">
        <v>4.38</v>
      </c>
      <c r="J56">
        <v>2.16</v>
      </c>
      <c r="K56">
        <v>3.53</v>
      </c>
      <c r="L56" t="s">
        <v>3</v>
      </c>
      <c r="M56" t="s">
        <v>11</v>
      </c>
    </row>
    <row r="57" spans="1:13" x14ac:dyDescent="0.45">
      <c r="A57" t="s">
        <v>2</v>
      </c>
      <c r="B57" t="s">
        <v>143</v>
      </c>
      <c r="C57">
        <v>2040</v>
      </c>
      <c r="D57">
        <v>90</v>
      </c>
      <c r="E57">
        <v>3.97</v>
      </c>
      <c r="F57">
        <v>3.46</v>
      </c>
      <c r="G57">
        <v>1.37</v>
      </c>
      <c r="H57">
        <v>1.54</v>
      </c>
      <c r="I57">
        <v>6.38</v>
      </c>
      <c r="J57">
        <v>3.05</v>
      </c>
      <c r="K57">
        <v>5.44</v>
      </c>
      <c r="L57" t="s">
        <v>3</v>
      </c>
      <c r="M57" t="s">
        <v>11</v>
      </c>
    </row>
    <row r="58" spans="1:13" x14ac:dyDescent="0.45">
      <c r="A58" t="s">
        <v>2</v>
      </c>
      <c r="B58" t="s">
        <v>143</v>
      </c>
      <c r="C58">
        <v>2045</v>
      </c>
      <c r="D58">
        <v>79</v>
      </c>
      <c r="E58">
        <v>5.97</v>
      </c>
      <c r="F58">
        <v>4.96</v>
      </c>
      <c r="G58">
        <v>2.42</v>
      </c>
      <c r="H58">
        <v>2.0699999999999998</v>
      </c>
      <c r="I58">
        <v>10.039999999999999</v>
      </c>
      <c r="J58">
        <v>4.13</v>
      </c>
      <c r="K58">
        <v>8.59</v>
      </c>
      <c r="L58" t="s">
        <v>3</v>
      </c>
      <c r="M58" t="s">
        <v>11</v>
      </c>
    </row>
    <row r="59" spans="1:13" x14ac:dyDescent="0.45">
      <c r="A59" t="s">
        <v>2</v>
      </c>
      <c r="B59" t="s">
        <v>143</v>
      </c>
      <c r="C59">
        <v>2050</v>
      </c>
      <c r="D59">
        <v>90</v>
      </c>
      <c r="E59">
        <v>8.2100000000000009</v>
      </c>
      <c r="F59">
        <v>6.61</v>
      </c>
      <c r="G59">
        <v>3.57</v>
      </c>
      <c r="H59">
        <v>2.62</v>
      </c>
      <c r="I59">
        <v>15.13</v>
      </c>
      <c r="J59">
        <v>5.72</v>
      </c>
      <c r="K59">
        <v>12.01</v>
      </c>
      <c r="L59" t="s">
        <v>3</v>
      </c>
      <c r="M59" t="s">
        <v>11</v>
      </c>
    </row>
    <row r="60" spans="1:13" x14ac:dyDescent="0.45">
      <c r="A60" t="s">
        <v>5</v>
      </c>
      <c r="B60" t="s">
        <v>143</v>
      </c>
      <c r="C60">
        <v>2020</v>
      </c>
      <c r="D60">
        <v>221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143</v>
      </c>
      <c r="C61">
        <v>2025</v>
      </c>
      <c r="D61">
        <v>198</v>
      </c>
      <c r="E61">
        <v>1.33</v>
      </c>
      <c r="F61">
        <v>1.27</v>
      </c>
      <c r="G61">
        <v>0.23</v>
      </c>
      <c r="H61">
        <v>0.85</v>
      </c>
      <c r="I61">
        <v>3.03</v>
      </c>
      <c r="J61">
        <v>1.2</v>
      </c>
      <c r="K61">
        <v>1.53</v>
      </c>
      <c r="L61" t="s">
        <v>6</v>
      </c>
      <c r="M61" t="s">
        <v>11</v>
      </c>
    </row>
    <row r="62" spans="1:13" x14ac:dyDescent="0.45">
      <c r="A62" t="s">
        <v>5</v>
      </c>
      <c r="B62" t="s">
        <v>143</v>
      </c>
      <c r="C62">
        <v>2030</v>
      </c>
      <c r="D62">
        <v>221</v>
      </c>
      <c r="E62">
        <v>1.81</v>
      </c>
      <c r="F62">
        <v>1.68</v>
      </c>
      <c r="G62">
        <v>0.52</v>
      </c>
      <c r="H62">
        <v>0.84</v>
      </c>
      <c r="I62">
        <v>4.38</v>
      </c>
      <c r="J62">
        <v>1.55</v>
      </c>
      <c r="K62">
        <v>2.42</v>
      </c>
      <c r="L62" t="s">
        <v>6</v>
      </c>
      <c r="M62" t="s">
        <v>11</v>
      </c>
    </row>
    <row r="63" spans="1:13" x14ac:dyDescent="0.45">
      <c r="A63" t="s">
        <v>5</v>
      </c>
      <c r="B63" t="s">
        <v>143</v>
      </c>
      <c r="C63">
        <v>2035</v>
      </c>
      <c r="D63">
        <v>198</v>
      </c>
      <c r="E63">
        <v>2.56</v>
      </c>
      <c r="F63">
        <v>2.2599999999999998</v>
      </c>
      <c r="G63">
        <v>0.92</v>
      </c>
      <c r="H63">
        <v>1.07</v>
      </c>
      <c r="I63">
        <v>5.6</v>
      </c>
      <c r="J63">
        <v>1.8</v>
      </c>
      <c r="K63">
        <v>3.46</v>
      </c>
      <c r="L63" t="s">
        <v>6</v>
      </c>
      <c r="M63" t="s">
        <v>11</v>
      </c>
    </row>
    <row r="64" spans="1:13" x14ac:dyDescent="0.45">
      <c r="A64" t="s">
        <v>5</v>
      </c>
      <c r="B64" t="s">
        <v>143</v>
      </c>
      <c r="C64">
        <v>2040</v>
      </c>
      <c r="D64">
        <v>221</v>
      </c>
      <c r="E64">
        <v>3.46</v>
      </c>
      <c r="F64">
        <v>2.92</v>
      </c>
      <c r="G64">
        <v>1.4</v>
      </c>
      <c r="H64">
        <v>1.4</v>
      </c>
      <c r="I64">
        <v>6.62</v>
      </c>
      <c r="J64">
        <v>2.4</v>
      </c>
      <c r="K64">
        <v>4.99</v>
      </c>
      <c r="L64" t="s">
        <v>6</v>
      </c>
      <c r="M64" t="s">
        <v>11</v>
      </c>
    </row>
    <row r="65" spans="1:13" x14ac:dyDescent="0.45">
      <c r="A65" t="s">
        <v>5</v>
      </c>
      <c r="B65" t="s">
        <v>143</v>
      </c>
      <c r="C65">
        <v>2045</v>
      </c>
      <c r="D65">
        <v>198</v>
      </c>
      <c r="E65">
        <v>5.0199999999999996</v>
      </c>
      <c r="F65">
        <v>4.4800000000000004</v>
      </c>
      <c r="G65">
        <v>2.2000000000000002</v>
      </c>
      <c r="H65">
        <v>1.74</v>
      </c>
      <c r="I65">
        <v>9.85</v>
      </c>
      <c r="J65">
        <v>2.88</v>
      </c>
      <c r="K65">
        <v>7.22</v>
      </c>
      <c r="L65" t="s">
        <v>6</v>
      </c>
      <c r="M65" t="s">
        <v>11</v>
      </c>
    </row>
    <row r="66" spans="1:13" x14ac:dyDescent="0.45">
      <c r="A66" t="s">
        <v>5</v>
      </c>
      <c r="B66" t="s">
        <v>143</v>
      </c>
      <c r="C66">
        <v>2050</v>
      </c>
      <c r="D66">
        <v>221</v>
      </c>
      <c r="E66">
        <v>6.66</v>
      </c>
      <c r="F66">
        <v>6.01</v>
      </c>
      <c r="G66">
        <v>3.09</v>
      </c>
      <c r="H66">
        <v>2.17</v>
      </c>
      <c r="I66">
        <v>13.48</v>
      </c>
      <c r="J66">
        <v>4.18</v>
      </c>
      <c r="K66">
        <v>9.92</v>
      </c>
      <c r="L66" t="s">
        <v>6</v>
      </c>
      <c r="M66" t="s">
        <v>11</v>
      </c>
    </row>
    <row r="67" spans="1:13" x14ac:dyDescent="0.45">
      <c r="A67" t="s">
        <v>7</v>
      </c>
      <c r="B67" t="s">
        <v>143</v>
      </c>
      <c r="C67">
        <v>2020</v>
      </c>
      <c r="D67">
        <v>79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143</v>
      </c>
      <c r="C68">
        <v>2025</v>
      </c>
      <c r="D68">
        <v>73</v>
      </c>
      <c r="E68">
        <v>1.23</v>
      </c>
      <c r="F68">
        <v>1.26</v>
      </c>
      <c r="G68">
        <v>0.1</v>
      </c>
      <c r="H68">
        <v>0.96</v>
      </c>
      <c r="I68">
        <v>1.4</v>
      </c>
      <c r="J68">
        <v>1.2</v>
      </c>
      <c r="K68">
        <v>1.28</v>
      </c>
      <c r="L68" t="s">
        <v>8</v>
      </c>
      <c r="M68" t="s">
        <v>11</v>
      </c>
    </row>
    <row r="69" spans="1:13" x14ac:dyDescent="0.45">
      <c r="A69" t="s">
        <v>7</v>
      </c>
      <c r="B69" t="s">
        <v>143</v>
      </c>
      <c r="C69">
        <v>2030</v>
      </c>
      <c r="D69">
        <v>79</v>
      </c>
      <c r="E69">
        <v>1.44</v>
      </c>
      <c r="F69">
        <v>1.51</v>
      </c>
      <c r="G69">
        <v>0.23</v>
      </c>
      <c r="H69">
        <v>0.84</v>
      </c>
      <c r="I69">
        <v>1.72</v>
      </c>
      <c r="J69">
        <v>1.22</v>
      </c>
      <c r="K69">
        <v>1.61</v>
      </c>
      <c r="L69" t="s">
        <v>8</v>
      </c>
      <c r="M69" t="s">
        <v>11</v>
      </c>
    </row>
    <row r="70" spans="1:13" x14ac:dyDescent="0.45">
      <c r="A70" t="s">
        <v>7</v>
      </c>
      <c r="B70" t="s">
        <v>143</v>
      </c>
      <c r="C70">
        <v>2035</v>
      </c>
      <c r="D70">
        <v>73</v>
      </c>
      <c r="E70">
        <v>1.76</v>
      </c>
      <c r="F70">
        <v>1.82</v>
      </c>
      <c r="G70">
        <v>0.34</v>
      </c>
      <c r="H70">
        <v>0.93</v>
      </c>
      <c r="I70">
        <v>2.21</v>
      </c>
      <c r="J70">
        <v>1.33</v>
      </c>
      <c r="K70">
        <v>2.04</v>
      </c>
      <c r="L70" t="s">
        <v>8</v>
      </c>
      <c r="M70" t="s">
        <v>11</v>
      </c>
    </row>
    <row r="71" spans="1:13" x14ac:dyDescent="0.45">
      <c r="A71" t="s">
        <v>7</v>
      </c>
      <c r="B71" t="s">
        <v>143</v>
      </c>
      <c r="C71">
        <v>2040</v>
      </c>
      <c r="D71">
        <v>79</v>
      </c>
      <c r="E71">
        <v>2.17</v>
      </c>
      <c r="F71">
        <v>2.19</v>
      </c>
      <c r="G71">
        <v>0.48</v>
      </c>
      <c r="H71">
        <v>1.1499999999999999</v>
      </c>
      <c r="I71">
        <v>2.89</v>
      </c>
      <c r="J71">
        <v>1.63</v>
      </c>
      <c r="K71">
        <v>2.66</v>
      </c>
      <c r="L71" t="s">
        <v>8</v>
      </c>
      <c r="M71" t="s">
        <v>11</v>
      </c>
    </row>
    <row r="72" spans="1:13" x14ac:dyDescent="0.45">
      <c r="A72" t="s">
        <v>7</v>
      </c>
      <c r="B72" t="s">
        <v>143</v>
      </c>
      <c r="C72">
        <v>2045</v>
      </c>
      <c r="D72">
        <v>73</v>
      </c>
      <c r="E72">
        <v>2.84</v>
      </c>
      <c r="F72">
        <v>2.59</v>
      </c>
      <c r="G72">
        <v>0.87</v>
      </c>
      <c r="H72">
        <v>1.33</v>
      </c>
      <c r="I72">
        <v>4.1399999999999997</v>
      </c>
      <c r="J72">
        <v>2</v>
      </c>
      <c r="K72">
        <v>3.81</v>
      </c>
      <c r="L72" t="s">
        <v>8</v>
      </c>
      <c r="M72" t="s">
        <v>11</v>
      </c>
    </row>
    <row r="73" spans="1:13" x14ac:dyDescent="0.45">
      <c r="A73" t="s">
        <v>7</v>
      </c>
      <c r="B73" t="s">
        <v>143</v>
      </c>
      <c r="C73">
        <v>2050</v>
      </c>
      <c r="D73">
        <v>79</v>
      </c>
      <c r="E73">
        <v>3.71</v>
      </c>
      <c r="F73">
        <v>3.32</v>
      </c>
      <c r="G73">
        <v>1.24</v>
      </c>
      <c r="H73">
        <v>1.88</v>
      </c>
      <c r="I73">
        <v>5.64</v>
      </c>
      <c r="J73">
        <v>2.58</v>
      </c>
      <c r="K73">
        <v>5.09</v>
      </c>
      <c r="L73" t="s">
        <v>8</v>
      </c>
      <c r="M73" t="s">
        <v>11</v>
      </c>
    </row>
    <row r="74" spans="1:13" x14ac:dyDescent="0.45">
      <c r="A74" t="s">
        <v>9</v>
      </c>
      <c r="B74" t="s">
        <v>143</v>
      </c>
      <c r="C74">
        <v>2020</v>
      </c>
      <c r="D74">
        <v>59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143</v>
      </c>
      <c r="C75">
        <v>2025</v>
      </c>
      <c r="D75">
        <v>54</v>
      </c>
      <c r="E75">
        <v>1.44</v>
      </c>
      <c r="F75">
        <v>1.41</v>
      </c>
      <c r="G75">
        <v>0.19</v>
      </c>
      <c r="H75">
        <v>0.98</v>
      </c>
      <c r="I75">
        <v>1.71</v>
      </c>
      <c r="J75">
        <v>1.28</v>
      </c>
      <c r="K75">
        <v>1.61</v>
      </c>
      <c r="L75" t="s">
        <v>10</v>
      </c>
      <c r="M75" t="s">
        <v>11</v>
      </c>
    </row>
    <row r="76" spans="1:13" x14ac:dyDescent="0.45">
      <c r="A76" t="s">
        <v>9</v>
      </c>
      <c r="B76" t="s">
        <v>143</v>
      </c>
      <c r="C76">
        <v>2030</v>
      </c>
      <c r="D76">
        <v>59</v>
      </c>
      <c r="E76">
        <v>2.0299999999999998</v>
      </c>
      <c r="F76">
        <v>1.8</v>
      </c>
      <c r="G76">
        <v>0.47</v>
      </c>
      <c r="H76">
        <v>1.02</v>
      </c>
      <c r="I76">
        <v>2.81</v>
      </c>
      <c r="J76">
        <v>1.64</v>
      </c>
      <c r="K76">
        <v>2.4700000000000002</v>
      </c>
      <c r="L76" t="s">
        <v>10</v>
      </c>
      <c r="M76" t="s">
        <v>11</v>
      </c>
    </row>
    <row r="77" spans="1:13" x14ac:dyDescent="0.45">
      <c r="A77" t="s">
        <v>9</v>
      </c>
      <c r="B77" t="s">
        <v>143</v>
      </c>
      <c r="C77">
        <v>2035</v>
      </c>
      <c r="D77">
        <v>54</v>
      </c>
      <c r="E77">
        <v>2.83</v>
      </c>
      <c r="F77">
        <v>2.75</v>
      </c>
      <c r="G77">
        <v>0.81</v>
      </c>
      <c r="H77">
        <v>1.06</v>
      </c>
      <c r="I77">
        <v>4.41</v>
      </c>
      <c r="J77">
        <v>2.13</v>
      </c>
      <c r="K77">
        <v>3.4</v>
      </c>
      <c r="L77" t="s">
        <v>10</v>
      </c>
      <c r="M77" t="s">
        <v>11</v>
      </c>
    </row>
    <row r="78" spans="1:13" x14ac:dyDescent="0.45">
      <c r="A78" t="s">
        <v>9</v>
      </c>
      <c r="B78" t="s">
        <v>143</v>
      </c>
      <c r="C78">
        <v>2040</v>
      </c>
      <c r="D78">
        <v>59</v>
      </c>
      <c r="E78">
        <v>3.65</v>
      </c>
      <c r="F78">
        <v>3.36</v>
      </c>
      <c r="G78">
        <v>1.26</v>
      </c>
      <c r="H78">
        <v>1.1100000000000001</v>
      </c>
      <c r="I78">
        <v>6.51</v>
      </c>
      <c r="J78">
        <v>2.59</v>
      </c>
      <c r="K78">
        <v>4.49</v>
      </c>
      <c r="L78" t="s">
        <v>10</v>
      </c>
      <c r="M78" t="s">
        <v>11</v>
      </c>
    </row>
    <row r="79" spans="1:13" x14ac:dyDescent="0.45">
      <c r="A79" t="s">
        <v>9</v>
      </c>
      <c r="B79" t="s">
        <v>143</v>
      </c>
      <c r="C79">
        <v>2045</v>
      </c>
      <c r="D79">
        <v>54</v>
      </c>
      <c r="E79">
        <v>4.95</v>
      </c>
      <c r="F79">
        <v>5.12</v>
      </c>
      <c r="G79">
        <v>1.81</v>
      </c>
      <c r="H79">
        <v>1.17</v>
      </c>
      <c r="I79">
        <v>9.23</v>
      </c>
      <c r="J79">
        <v>3.58</v>
      </c>
      <c r="K79">
        <v>5.89</v>
      </c>
      <c r="L79" t="s">
        <v>10</v>
      </c>
      <c r="M79" t="s">
        <v>11</v>
      </c>
    </row>
    <row r="80" spans="1:13" x14ac:dyDescent="0.45">
      <c r="A80" t="s">
        <v>9</v>
      </c>
      <c r="B80" t="s">
        <v>143</v>
      </c>
      <c r="C80">
        <v>2050</v>
      </c>
      <c r="D80">
        <v>59</v>
      </c>
      <c r="E80">
        <v>6.18</v>
      </c>
      <c r="F80">
        <v>5.69</v>
      </c>
      <c r="G80">
        <v>2.5499999999999998</v>
      </c>
      <c r="H80">
        <v>1.25</v>
      </c>
      <c r="I80">
        <v>12.97</v>
      </c>
      <c r="J80">
        <v>4.2300000000000004</v>
      </c>
      <c r="K80">
        <v>7.5</v>
      </c>
      <c r="L80" t="s">
        <v>10</v>
      </c>
      <c r="M80" t="s">
        <v>11</v>
      </c>
    </row>
    <row r="81" spans="1:13" x14ac:dyDescent="0.45">
      <c r="A81" t="s">
        <v>0</v>
      </c>
      <c r="B81" t="s">
        <v>143</v>
      </c>
      <c r="C81">
        <v>2020</v>
      </c>
      <c r="D81">
        <v>62</v>
      </c>
      <c r="E81">
        <v>0.01</v>
      </c>
      <c r="F81">
        <v>0</v>
      </c>
      <c r="G81">
        <v>0.01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143</v>
      </c>
      <c r="C82">
        <v>2025</v>
      </c>
      <c r="D82">
        <v>62</v>
      </c>
      <c r="E82">
        <v>0.01</v>
      </c>
      <c r="F82">
        <v>0.01</v>
      </c>
      <c r="G82">
        <v>0.01</v>
      </c>
      <c r="H82">
        <v>0</v>
      </c>
      <c r="I82">
        <v>0.02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143</v>
      </c>
      <c r="C83">
        <v>2030</v>
      </c>
      <c r="D83">
        <v>62</v>
      </c>
      <c r="E83">
        <v>0.01</v>
      </c>
      <c r="F83">
        <v>0.01</v>
      </c>
      <c r="G83">
        <v>0.01</v>
      </c>
      <c r="H83">
        <v>0</v>
      </c>
      <c r="I83">
        <v>7.0000000000000007E-2</v>
      </c>
      <c r="J83">
        <v>0</v>
      </c>
      <c r="K83">
        <v>0.01</v>
      </c>
      <c r="L83" t="s">
        <v>1</v>
      </c>
      <c r="M83" t="s">
        <v>15</v>
      </c>
    </row>
    <row r="84" spans="1:13" x14ac:dyDescent="0.45">
      <c r="A84" t="s">
        <v>0</v>
      </c>
      <c r="B84" t="s">
        <v>143</v>
      </c>
      <c r="C84">
        <v>2035</v>
      </c>
      <c r="D84">
        <v>62</v>
      </c>
      <c r="E84">
        <v>0.02</v>
      </c>
      <c r="F84">
        <v>0.01</v>
      </c>
      <c r="G84">
        <v>0.03</v>
      </c>
      <c r="H84">
        <v>0</v>
      </c>
      <c r="I84">
        <v>0.15</v>
      </c>
      <c r="J84">
        <v>0.01</v>
      </c>
      <c r="K84">
        <v>0.02</v>
      </c>
      <c r="L84" t="s">
        <v>1</v>
      </c>
      <c r="M84" t="s">
        <v>15</v>
      </c>
    </row>
    <row r="85" spans="1:13" x14ac:dyDescent="0.45">
      <c r="A85" t="s">
        <v>0</v>
      </c>
      <c r="B85" t="s">
        <v>143</v>
      </c>
      <c r="C85">
        <v>2040</v>
      </c>
      <c r="D85">
        <v>62</v>
      </c>
      <c r="E85">
        <v>0.04</v>
      </c>
      <c r="F85">
        <v>0.03</v>
      </c>
      <c r="G85">
        <v>0.03</v>
      </c>
      <c r="H85">
        <v>0</v>
      </c>
      <c r="I85">
        <v>0.15</v>
      </c>
      <c r="J85">
        <v>0.02</v>
      </c>
      <c r="K85">
        <v>0.04</v>
      </c>
      <c r="L85" t="s">
        <v>1</v>
      </c>
      <c r="M85" t="s">
        <v>15</v>
      </c>
    </row>
    <row r="86" spans="1:13" x14ac:dyDescent="0.45">
      <c r="A86" t="s">
        <v>0</v>
      </c>
      <c r="B86" t="s">
        <v>143</v>
      </c>
      <c r="C86">
        <v>2045</v>
      </c>
      <c r="D86">
        <v>62</v>
      </c>
      <c r="E86">
        <v>0.05</v>
      </c>
      <c r="F86">
        <v>0.04</v>
      </c>
      <c r="G86">
        <v>0.03</v>
      </c>
      <c r="H86">
        <v>0</v>
      </c>
      <c r="I86">
        <v>0.16</v>
      </c>
      <c r="J86">
        <v>0.03</v>
      </c>
      <c r="K86">
        <v>0.06</v>
      </c>
      <c r="L86" t="s">
        <v>1</v>
      </c>
      <c r="M86" t="s">
        <v>15</v>
      </c>
    </row>
    <row r="87" spans="1:13" x14ac:dyDescent="0.45">
      <c r="A87" t="s">
        <v>0</v>
      </c>
      <c r="B87" t="s">
        <v>143</v>
      </c>
      <c r="C87">
        <v>2050</v>
      </c>
      <c r="D87">
        <v>62</v>
      </c>
      <c r="E87">
        <v>0.06</v>
      </c>
      <c r="F87">
        <v>0.06</v>
      </c>
      <c r="G87">
        <v>0.03</v>
      </c>
      <c r="H87">
        <v>0</v>
      </c>
      <c r="I87">
        <v>0.15</v>
      </c>
      <c r="J87">
        <v>0.04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143</v>
      </c>
      <c r="C88">
        <v>2020</v>
      </c>
      <c r="D88">
        <v>90</v>
      </c>
      <c r="E88">
        <v>0.01</v>
      </c>
      <c r="F88">
        <v>0</v>
      </c>
      <c r="G88">
        <v>0.01</v>
      </c>
      <c r="H88">
        <v>0</v>
      </c>
      <c r="I88">
        <v>0.01</v>
      </c>
      <c r="J88">
        <v>0</v>
      </c>
      <c r="K88">
        <v>0.01</v>
      </c>
      <c r="L88" t="s">
        <v>3</v>
      </c>
      <c r="M88" t="s">
        <v>15</v>
      </c>
    </row>
    <row r="89" spans="1:13" x14ac:dyDescent="0.45">
      <c r="A89" t="s">
        <v>2</v>
      </c>
      <c r="B89" t="s">
        <v>143</v>
      </c>
      <c r="C89">
        <v>2025</v>
      </c>
      <c r="D89">
        <v>79</v>
      </c>
      <c r="E89">
        <v>0</v>
      </c>
      <c r="F89">
        <v>0</v>
      </c>
      <c r="G89">
        <v>0</v>
      </c>
      <c r="H89">
        <v>0</v>
      </c>
      <c r="I89">
        <v>0.01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143</v>
      </c>
      <c r="C90">
        <v>2030</v>
      </c>
      <c r="D90">
        <v>90</v>
      </c>
      <c r="E90">
        <v>0.01</v>
      </c>
      <c r="F90">
        <v>0</v>
      </c>
      <c r="G90">
        <v>0.01</v>
      </c>
      <c r="H90">
        <v>0</v>
      </c>
      <c r="I90">
        <v>0.02</v>
      </c>
      <c r="J90">
        <v>0</v>
      </c>
      <c r="K90">
        <v>0.01</v>
      </c>
      <c r="L90" t="s">
        <v>3</v>
      </c>
      <c r="M90" t="s">
        <v>15</v>
      </c>
    </row>
    <row r="91" spans="1:13" x14ac:dyDescent="0.45">
      <c r="A91" t="s">
        <v>2</v>
      </c>
      <c r="B91" t="s">
        <v>143</v>
      </c>
      <c r="C91">
        <v>2035</v>
      </c>
      <c r="D91">
        <v>79</v>
      </c>
      <c r="E91">
        <v>0.01</v>
      </c>
      <c r="F91">
        <v>0.01</v>
      </c>
      <c r="G91">
        <v>0.02</v>
      </c>
      <c r="H91">
        <v>0</v>
      </c>
      <c r="I91">
        <v>0.09</v>
      </c>
      <c r="J91">
        <v>0</v>
      </c>
      <c r="K91">
        <v>0.02</v>
      </c>
      <c r="L91" t="s">
        <v>3</v>
      </c>
      <c r="M91" t="s">
        <v>15</v>
      </c>
    </row>
    <row r="92" spans="1:13" x14ac:dyDescent="0.45">
      <c r="A92" t="s">
        <v>2</v>
      </c>
      <c r="B92" t="s">
        <v>143</v>
      </c>
      <c r="C92">
        <v>2040</v>
      </c>
      <c r="D92">
        <v>90</v>
      </c>
      <c r="E92">
        <v>0.03</v>
      </c>
      <c r="F92">
        <v>0.03</v>
      </c>
      <c r="G92">
        <v>0.03</v>
      </c>
      <c r="H92">
        <v>0</v>
      </c>
      <c r="I92">
        <v>0.11</v>
      </c>
      <c r="J92">
        <v>0.02</v>
      </c>
      <c r="K92">
        <v>0.04</v>
      </c>
      <c r="L92" t="s">
        <v>3</v>
      </c>
      <c r="M92" t="s">
        <v>15</v>
      </c>
    </row>
    <row r="93" spans="1:13" x14ac:dyDescent="0.45">
      <c r="A93" t="s">
        <v>2</v>
      </c>
      <c r="B93" t="s">
        <v>143</v>
      </c>
      <c r="C93">
        <v>2045</v>
      </c>
      <c r="D93">
        <v>79</v>
      </c>
      <c r="E93">
        <v>0.04</v>
      </c>
      <c r="F93">
        <v>0.04</v>
      </c>
      <c r="G93">
        <v>0.03</v>
      </c>
      <c r="H93">
        <v>0</v>
      </c>
      <c r="I93">
        <v>0.11</v>
      </c>
      <c r="J93">
        <v>0.02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143</v>
      </c>
      <c r="C94">
        <v>2050</v>
      </c>
      <c r="D94">
        <v>90</v>
      </c>
      <c r="E94">
        <v>0.06</v>
      </c>
      <c r="F94">
        <v>0.06</v>
      </c>
      <c r="G94">
        <v>0.03</v>
      </c>
      <c r="H94">
        <v>0</v>
      </c>
      <c r="I94">
        <v>0.12</v>
      </c>
      <c r="J94">
        <v>0.04</v>
      </c>
      <c r="K94">
        <v>0.08</v>
      </c>
      <c r="L94" t="s">
        <v>3</v>
      </c>
      <c r="M94" t="s">
        <v>15</v>
      </c>
    </row>
    <row r="95" spans="1:13" x14ac:dyDescent="0.45">
      <c r="A95" t="s">
        <v>5</v>
      </c>
      <c r="B95" t="s">
        <v>143</v>
      </c>
      <c r="C95">
        <v>2020</v>
      </c>
      <c r="D95">
        <v>219</v>
      </c>
      <c r="E95">
        <v>0.01</v>
      </c>
      <c r="F95">
        <v>0</v>
      </c>
      <c r="G95">
        <v>0.01</v>
      </c>
      <c r="H95">
        <v>0</v>
      </c>
      <c r="I95">
        <v>0.03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143</v>
      </c>
      <c r="C96">
        <v>2025</v>
      </c>
      <c r="D96">
        <v>196</v>
      </c>
      <c r="E96">
        <v>0</v>
      </c>
      <c r="F96">
        <v>0</v>
      </c>
      <c r="G96">
        <v>0.01</v>
      </c>
      <c r="H96">
        <v>0</v>
      </c>
      <c r="I96">
        <v>0.02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143</v>
      </c>
      <c r="C97">
        <v>2030</v>
      </c>
      <c r="D97">
        <v>219</v>
      </c>
      <c r="E97">
        <v>0.01</v>
      </c>
      <c r="F97">
        <v>0</v>
      </c>
      <c r="G97">
        <v>0.01</v>
      </c>
      <c r="H97">
        <v>0</v>
      </c>
      <c r="I97">
        <v>0.05</v>
      </c>
      <c r="J97">
        <v>0</v>
      </c>
      <c r="K97">
        <v>0.01</v>
      </c>
      <c r="L97" t="s">
        <v>6</v>
      </c>
      <c r="M97" t="s">
        <v>15</v>
      </c>
    </row>
    <row r="98" spans="1:13" x14ac:dyDescent="0.45">
      <c r="A98" t="s">
        <v>5</v>
      </c>
      <c r="B98" t="s">
        <v>143</v>
      </c>
      <c r="C98">
        <v>2035</v>
      </c>
      <c r="D98">
        <v>196</v>
      </c>
      <c r="E98">
        <v>0.01</v>
      </c>
      <c r="F98">
        <v>0.01</v>
      </c>
      <c r="G98">
        <v>0.01</v>
      </c>
      <c r="H98">
        <v>0</v>
      </c>
      <c r="I98">
        <v>0.09</v>
      </c>
      <c r="J98">
        <v>0</v>
      </c>
      <c r="K98">
        <v>0.02</v>
      </c>
      <c r="L98" t="s">
        <v>6</v>
      </c>
      <c r="M98" t="s">
        <v>15</v>
      </c>
    </row>
    <row r="99" spans="1:13" x14ac:dyDescent="0.45">
      <c r="A99" t="s">
        <v>5</v>
      </c>
      <c r="B99" t="s">
        <v>143</v>
      </c>
      <c r="C99">
        <v>2040</v>
      </c>
      <c r="D99">
        <v>219</v>
      </c>
      <c r="E99">
        <v>0.02</v>
      </c>
      <c r="F99">
        <v>0.02</v>
      </c>
      <c r="G99">
        <v>0.02</v>
      </c>
      <c r="H99">
        <v>0</v>
      </c>
      <c r="I99">
        <v>0.11</v>
      </c>
      <c r="J99">
        <v>0.01</v>
      </c>
      <c r="K99">
        <v>0.03</v>
      </c>
      <c r="L99" t="s">
        <v>6</v>
      </c>
      <c r="M99" t="s">
        <v>15</v>
      </c>
    </row>
    <row r="100" spans="1:13" x14ac:dyDescent="0.45">
      <c r="A100" t="s">
        <v>5</v>
      </c>
      <c r="B100" t="s">
        <v>143</v>
      </c>
      <c r="C100">
        <v>2045</v>
      </c>
      <c r="D100">
        <v>196</v>
      </c>
      <c r="E100">
        <v>0.03</v>
      </c>
      <c r="F100">
        <v>0.02</v>
      </c>
      <c r="G100">
        <v>0.02</v>
      </c>
      <c r="H100">
        <v>0</v>
      </c>
      <c r="I100">
        <v>0.09</v>
      </c>
      <c r="J100">
        <v>0.01</v>
      </c>
      <c r="K100">
        <v>0.03</v>
      </c>
      <c r="L100" t="s">
        <v>6</v>
      </c>
      <c r="M100" t="s">
        <v>15</v>
      </c>
    </row>
    <row r="101" spans="1:13" x14ac:dyDescent="0.45">
      <c r="A101" t="s">
        <v>5</v>
      </c>
      <c r="B101" t="s">
        <v>143</v>
      </c>
      <c r="C101">
        <v>2050</v>
      </c>
      <c r="D101">
        <v>219</v>
      </c>
      <c r="E101">
        <v>0.03</v>
      </c>
      <c r="F101">
        <v>0.03</v>
      </c>
      <c r="G101">
        <v>0.02</v>
      </c>
      <c r="H101">
        <v>0</v>
      </c>
      <c r="I101">
        <v>0.12</v>
      </c>
      <c r="J101">
        <v>0.01</v>
      </c>
      <c r="K101">
        <v>0.05</v>
      </c>
      <c r="L101" t="s">
        <v>6</v>
      </c>
      <c r="M101" t="s">
        <v>15</v>
      </c>
    </row>
    <row r="102" spans="1:13" x14ac:dyDescent="0.45">
      <c r="A102" t="s">
        <v>7</v>
      </c>
      <c r="B102" t="s">
        <v>143</v>
      </c>
      <c r="C102">
        <v>2020</v>
      </c>
      <c r="D102">
        <v>79</v>
      </c>
      <c r="E102">
        <v>0</v>
      </c>
      <c r="F102">
        <v>0</v>
      </c>
      <c r="G102">
        <v>0.01</v>
      </c>
      <c r="H102">
        <v>0</v>
      </c>
      <c r="I102">
        <v>0.03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143</v>
      </c>
      <c r="C103">
        <v>2025</v>
      </c>
      <c r="D103">
        <v>73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143</v>
      </c>
      <c r="C104">
        <v>2030</v>
      </c>
      <c r="D104">
        <v>79</v>
      </c>
      <c r="E104">
        <v>0</v>
      </c>
      <c r="F104">
        <v>0</v>
      </c>
      <c r="G104">
        <v>0.01</v>
      </c>
      <c r="H104">
        <v>0</v>
      </c>
      <c r="I104">
        <v>0.04</v>
      </c>
      <c r="J104">
        <v>0</v>
      </c>
      <c r="K104">
        <v>0</v>
      </c>
      <c r="L104" t="s">
        <v>8</v>
      </c>
      <c r="M104" t="s">
        <v>15</v>
      </c>
    </row>
    <row r="105" spans="1:13" x14ac:dyDescent="0.45">
      <c r="A105" t="s">
        <v>7</v>
      </c>
      <c r="B105" t="s">
        <v>143</v>
      </c>
      <c r="C105">
        <v>2035</v>
      </c>
      <c r="D105">
        <v>73</v>
      </c>
      <c r="E105">
        <v>0</v>
      </c>
      <c r="F105">
        <v>0</v>
      </c>
      <c r="G105">
        <v>0</v>
      </c>
      <c r="H105">
        <v>0</v>
      </c>
      <c r="I105">
        <v>0.02</v>
      </c>
      <c r="J105">
        <v>0</v>
      </c>
      <c r="K105">
        <v>0</v>
      </c>
      <c r="L105" t="s">
        <v>8</v>
      </c>
      <c r="M105" t="s">
        <v>15</v>
      </c>
    </row>
    <row r="106" spans="1:13" x14ac:dyDescent="0.45">
      <c r="A106" t="s">
        <v>7</v>
      </c>
      <c r="B106" t="s">
        <v>143</v>
      </c>
      <c r="C106">
        <v>2040</v>
      </c>
      <c r="D106">
        <v>79</v>
      </c>
      <c r="E106">
        <v>0.01</v>
      </c>
      <c r="F106">
        <v>0</v>
      </c>
      <c r="G106">
        <v>0.02</v>
      </c>
      <c r="H106">
        <v>0</v>
      </c>
      <c r="I106">
        <v>0.06</v>
      </c>
      <c r="J106">
        <v>0</v>
      </c>
      <c r="K106">
        <v>0</v>
      </c>
      <c r="L106" t="s">
        <v>8</v>
      </c>
      <c r="M106" t="s">
        <v>15</v>
      </c>
    </row>
    <row r="107" spans="1:13" x14ac:dyDescent="0.45">
      <c r="A107" t="s">
        <v>7</v>
      </c>
      <c r="B107" t="s">
        <v>143</v>
      </c>
      <c r="C107">
        <v>2045</v>
      </c>
      <c r="D107">
        <v>73</v>
      </c>
      <c r="E107">
        <v>0.01</v>
      </c>
      <c r="F107">
        <v>0</v>
      </c>
      <c r="G107">
        <v>0.02</v>
      </c>
      <c r="H107">
        <v>0</v>
      </c>
      <c r="I107">
        <v>0.06</v>
      </c>
      <c r="J107">
        <v>0</v>
      </c>
      <c r="K107">
        <v>0.01</v>
      </c>
      <c r="L107" t="s">
        <v>8</v>
      </c>
      <c r="M107" t="s">
        <v>15</v>
      </c>
    </row>
    <row r="108" spans="1:13" x14ac:dyDescent="0.45">
      <c r="A108" t="s">
        <v>7</v>
      </c>
      <c r="B108" t="s">
        <v>143</v>
      </c>
      <c r="C108">
        <v>2050</v>
      </c>
      <c r="D108">
        <v>79</v>
      </c>
      <c r="E108">
        <v>0.02</v>
      </c>
      <c r="F108">
        <v>0.01</v>
      </c>
      <c r="G108">
        <v>0.02</v>
      </c>
      <c r="H108">
        <v>0</v>
      </c>
      <c r="I108">
        <v>0.08</v>
      </c>
      <c r="J108">
        <v>0</v>
      </c>
      <c r="K108">
        <v>0.01</v>
      </c>
      <c r="L108" t="s">
        <v>8</v>
      </c>
      <c r="M108" t="s">
        <v>15</v>
      </c>
    </row>
    <row r="109" spans="1:13" x14ac:dyDescent="0.45">
      <c r="A109" t="s">
        <v>9</v>
      </c>
      <c r="B109" t="s">
        <v>143</v>
      </c>
      <c r="C109">
        <v>2020</v>
      </c>
      <c r="D109">
        <v>57</v>
      </c>
      <c r="E109">
        <v>0.01</v>
      </c>
      <c r="F109">
        <v>0.01</v>
      </c>
      <c r="G109">
        <v>0.01</v>
      </c>
      <c r="H109">
        <v>0</v>
      </c>
      <c r="I109">
        <v>0.03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143</v>
      </c>
      <c r="C110">
        <v>2025</v>
      </c>
      <c r="D110">
        <v>52</v>
      </c>
      <c r="E110">
        <v>0.01</v>
      </c>
      <c r="F110">
        <v>0.01</v>
      </c>
      <c r="G110">
        <v>0</v>
      </c>
      <c r="H110">
        <v>0</v>
      </c>
      <c r="I110">
        <v>0.01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143</v>
      </c>
      <c r="C111">
        <v>2030</v>
      </c>
      <c r="D111">
        <v>57</v>
      </c>
      <c r="E111">
        <v>0.01</v>
      </c>
      <c r="F111">
        <v>0.01</v>
      </c>
      <c r="G111">
        <v>0.01</v>
      </c>
      <c r="H111">
        <v>0</v>
      </c>
      <c r="I111">
        <v>0.04</v>
      </c>
      <c r="J111">
        <v>0</v>
      </c>
      <c r="K111">
        <v>0.01</v>
      </c>
      <c r="L111" t="s">
        <v>10</v>
      </c>
      <c r="M111" t="s">
        <v>15</v>
      </c>
    </row>
    <row r="112" spans="1:13" x14ac:dyDescent="0.45">
      <c r="A112" t="s">
        <v>9</v>
      </c>
      <c r="B112" t="s">
        <v>143</v>
      </c>
      <c r="C112">
        <v>2035</v>
      </c>
      <c r="D112">
        <v>52</v>
      </c>
      <c r="E112">
        <v>0.01</v>
      </c>
      <c r="F112">
        <v>0.02</v>
      </c>
      <c r="G112">
        <v>0.01</v>
      </c>
      <c r="H112">
        <v>0</v>
      </c>
      <c r="I112">
        <v>0.03</v>
      </c>
      <c r="J112">
        <v>0</v>
      </c>
      <c r="K112">
        <v>0.02</v>
      </c>
      <c r="L112" t="s">
        <v>10</v>
      </c>
      <c r="M112" t="s">
        <v>15</v>
      </c>
    </row>
    <row r="113" spans="1:13" x14ac:dyDescent="0.45">
      <c r="A113" t="s">
        <v>9</v>
      </c>
      <c r="B113" t="s">
        <v>143</v>
      </c>
      <c r="C113">
        <v>2040</v>
      </c>
      <c r="D113">
        <v>57</v>
      </c>
      <c r="E113">
        <v>0.02</v>
      </c>
      <c r="F113">
        <v>0.02</v>
      </c>
      <c r="G113">
        <v>0.01</v>
      </c>
      <c r="H113">
        <v>0</v>
      </c>
      <c r="I113">
        <v>0.05</v>
      </c>
      <c r="J113">
        <v>0</v>
      </c>
      <c r="K113">
        <v>0.03</v>
      </c>
      <c r="L113" t="s">
        <v>10</v>
      </c>
      <c r="M113" t="s">
        <v>15</v>
      </c>
    </row>
    <row r="114" spans="1:13" x14ac:dyDescent="0.45">
      <c r="A114" t="s">
        <v>9</v>
      </c>
      <c r="B114" t="s">
        <v>143</v>
      </c>
      <c r="C114">
        <v>2045</v>
      </c>
      <c r="D114">
        <v>52</v>
      </c>
      <c r="E114">
        <v>0.02</v>
      </c>
      <c r="F114">
        <v>0.03</v>
      </c>
      <c r="G114">
        <v>0.02</v>
      </c>
      <c r="H114">
        <v>0</v>
      </c>
      <c r="I114">
        <v>0.05</v>
      </c>
      <c r="J114">
        <v>0</v>
      </c>
      <c r="K114">
        <v>0.03</v>
      </c>
      <c r="L114" t="s">
        <v>10</v>
      </c>
      <c r="M114" t="s">
        <v>15</v>
      </c>
    </row>
    <row r="115" spans="1:13" x14ac:dyDescent="0.45">
      <c r="A115" t="s">
        <v>9</v>
      </c>
      <c r="B115" t="s">
        <v>143</v>
      </c>
      <c r="C115">
        <v>2050</v>
      </c>
      <c r="D115">
        <v>57</v>
      </c>
      <c r="E115">
        <v>0.03</v>
      </c>
      <c r="F115">
        <v>0.03</v>
      </c>
      <c r="G115">
        <v>0.02</v>
      </c>
      <c r="H115">
        <v>0</v>
      </c>
      <c r="I115">
        <v>0.06</v>
      </c>
      <c r="J115">
        <v>0</v>
      </c>
      <c r="K115">
        <v>0.04</v>
      </c>
      <c r="L115" t="s">
        <v>10</v>
      </c>
      <c r="M115" t="s">
        <v>15</v>
      </c>
    </row>
    <row r="116" spans="1:13" x14ac:dyDescent="0.45">
      <c r="A116" t="s">
        <v>0</v>
      </c>
      <c r="B116" t="s">
        <v>143</v>
      </c>
      <c r="C116">
        <v>2020</v>
      </c>
      <c r="D116">
        <v>62</v>
      </c>
      <c r="E116">
        <v>0.49</v>
      </c>
      <c r="F116">
        <v>0.49</v>
      </c>
      <c r="G116">
        <v>0.04</v>
      </c>
      <c r="H116">
        <v>0.37</v>
      </c>
      <c r="I116">
        <v>0.57999999999999996</v>
      </c>
      <c r="J116">
        <v>0.46</v>
      </c>
      <c r="K116">
        <v>0.5</v>
      </c>
      <c r="L116" t="s">
        <v>1</v>
      </c>
      <c r="M116" t="s">
        <v>18</v>
      </c>
    </row>
    <row r="117" spans="1:13" x14ac:dyDescent="0.45">
      <c r="A117" t="s">
        <v>0</v>
      </c>
      <c r="B117" t="s">
        <v>143</v>
      </c>
      <c r="C117">
        <v>2025</v>
      </c>
      <c r="D117">
        <v>62</v>
      </c>
      <c r="E117">
        <v>0.47</v>
      </c>
      <c r="F117">
        <v>0.48</v>
      </c>
      <c r="G117">
        <v>7.0000000000000007E-2</v>
      </c>
      <c r="H117">
        <v>0.33</v>
      </c>
      <c r="I117">
        <v>0.6</v>
      </c>
      <c r="J117">
        <v>0.44</v>
      </c>
      <c r="K117">
        <v>0.54</v>
      </c>
      <c r="L117" t="s">
        <v>1</v>
      </c>
      <c r="M117" t="s">
        <v>18</v>
      </c>
    </row>
    <row r="118" spans="1:13" x14ac:dyDescent="0.45">
      <c r="A118" t="s">
        <v>0</v>
      </c>
      <c r="B118" t="s">
        <v>143</v>
      </c>
      <c r="C118">
        <v>2030</v>
      </c>
      <c r="D118">
        <v>62</v>
      </c>
      <c r="E118">
        <v>0.48</v>
      </c>
      <c r="F118">
        <v>0.5</v>
      </c>
      <c r="G118">
        <v>0.09</v>
      </c>
      <c r="H118">
        <v>0.31</v>
      </c>
      <c r="I118">
        <v>0.61</v>
      </c>
      <c r="J118">
        <v>0.4</v>
      </c>
      <c r="K118">
        <v>0.56000000000000005</v>
      </c>
      <c r="L118" t="s">
        <v>1</v>
      </c>
      <c r="M118" t="s">
        <v>18</v>
      </c>
    </row>
    <row r="119" spans="1:13" x14ac:dyDescent="0.45">
      <c r="A119" t="s">
        <v>0</v>
      </c>
      <c r="B119" t="s">
        <v>143</v>
      </c>
      <c r="C119">
        <v>2035</v>
      </c>
      <c r="D119">
        <v>62</v>
      </c>
      <c r="E119">
        <v>0.47</v>
      </c>
      <c r="F119">
        <v>0.51</v>
      </c>
      <c r="G119">
        <v>0.09</v>
      </c>
      <c r="H119">
        <v>0.28999999999999998</v>
      </c>
      <c r="I119">
        <v>0.64</v>
      </c>
      <c r="J119">
        <v>0.38</v>
      </c>
      <c r="K119">
        <v>0.54</v>
      </c>
      <c r="L119" t="s">
        <v>1</v>
      </c>
      <c r="M119" t="s">
        <v>18</v>
      </c>
    </row>
    <row r="120" spans="1:13" x14ac:dyDescent="0.45">
      <c r="A120" t="s">
        <v>0</v>
      </c>
      <c r="B120" t="s">
        <v>143</v>
      </c>
      <c r="C120">
        <v>2040</v>
      </c>
      <c r="D120">
        <v>62</v>
      </c>
      <c r="E120">
        <v>0.46</v>
      </c>
      <c r="F120">
        <v>0.51</v>
      </c>
      <c r="G120">
        <v>0.11</v>
      </c>
      <c r="H120">
        <v>0.22</v>
      </c>
      <c r="I120">
        <v>0.64</v>
      </c>
      <c r="J120">
        <v>0.36</v>
      </c>
      <c r="K120">
        <v>0.55000000000000004</v>
      </c>
      <c r="L120" t="s">
        <v>1</v>
      </c>
      <c r="M120" t="s">
        <v>18</v>
      </c>
    </row>
    <row r="121" spans="1:13" x14ac:dyDescent="0.45">
      <c r="A121" t="s">
        <v>0</v>
      </c>
      <c r="B121" t="s">
        <v>143</v>
      </c>
      <c r="C121">
        <v>2045</v>
      </c>
      <c r="D121">
        <v>62</v>
      </c>
      <c r="E121">
        <v>0.47</v>
      </c>
      <c r="F121">
        <v>0.53</v>
      </c>
      <c r="G121">
        <v>0.12</v>
      </c>
      <c r="H121">
        <v>0.2</v>
      </c>
      <c r="I121">
        <v>0.63</v>
      </c>
      <c r="J121">
        <v>0.36</v>
      </c>
      <c r="K121">
        <v>0.56000000000000005</v>
      </c>
      <c r="L121" t="s">
        <v>1</v>
      </c>
      <c r="M121" t="s">
        <v>18</v>
      </c>
    </row>
    <row r="122" spans="1:13" x14ac:dyDescent="0.45">
      <c r="A122" t="s">
        <v>0</v>
      </c>
      <c r="B122" t="s">
        <v>143</v>
      </c>
      <c r="C122">
        <v>2050</v>
      </c>
      <c r="D122">
        <v>62</v>
      </c>
      <c r="E122">
        <v>0.47</v>
      </c>
      <c r="F122">
        <v>0.54</v>
      </c>
      <c r="G122">
        <v>0.13</v>
      </c>
      <c r="H122">
        <v>0.2</v>
      </c>
      <c r="I122">
        <v>0.63</v>
      </c>
      <c r="J122">
        <v>0.35</v>
      </c>
      <c r="K122">
        <v>0.56999999999999995</v>
      </c>
      <c r="L122" t="s">
        <v>1</v>
      </c>
      <c r="M122" t="s">
        <v>18</v>
      </c>
    </row>
    <row r="123" spans="1:13" x14ac:dyDescent="0.45">
      <c r="A123" t="s">
        <v>2</v>
      </c>
      <c r="B123" t="s">
        <v>143</v>
      </c>
      <c r="C123">
        <v>2020</v>
      </c>
      <c r="D123">
        <v>90</v>
      </c>
      <c r="E123">
        <v>0.48</v>
      </c>
      <c r="F123">
        <v>0.49</v>
      </c>
      <c r="G123">
        <v>0.06</v>
      </c>
      <c r="H123">
        <v>0.37</v>
      </c>
      <c r="I123">
        <v>0.57999999999999996</v>
      </c>
      <c r="J123">
        <v>0.44</v>
      </c>
      <c r="K123">
        <v>0.51</v>
      </c>
      <c r="L123" t="s">
        <v>3</v>
      </c>
      <c r="M123" t="s">
        <v>18</v>
      </c>
    </row>
    <row r="124" spans="1:13" x14ac:dyDescent="0.45">
      <c r="A124" t="s">
        <v>2</v>
      </c>
      <c r="B124" t="s">
        <v>143</v>
      </c>
      <c r="C124">
        <v>2025</v>
      </c>
      <c r="D124">
        <v>79</v>
      </c>
      <c r="E124">
        <v>0.49</v>
      </c>
      <c r="F124">
        <v>0.48</v>
      </c>
      <c r="G124">
        <v>0.08</v>
      </c>
      <c r="H124">
        <v>0.23</v>
      </c>
      <c r="I124">
        <v>0.66</v>
      </c>
      <c r="J124">
        <v>0.44</v>
      </c>
      <c r="K124">
        <v>0.54</v>
      </c>
      <c r="L124" t="s">
        <v>3</v>
      </c>
      <c r="M124" t="s">
        <v>18</v>
      </c>
    </row>
    <row r="125" spans="1:13" x14ac:dyDescent="0.45">
      <c r="A125" t="s">
        <v>2</v>
      </c>
      <c r="B125" t="s">
        <v>143</v>
      </c>
      <c r="C125">
        <v>2030</v>
      </c>
      <c r="D125">
        <v>90</v>
      </c>
      <c r="E125">
        <v>0.47</v>
      </c>
      <c r="F125">
        <v>0.46</v>
      </c>
      <c r="G125">
        <v>0.09</v>
      </c>
      <c r="H125">
        <v>0.28999999999999998</v>
      </c>
      <c r="I125">
        <v>0.71</v>
      </c>
      <c r="J125">
        <v>0.4</v>
      </c>
      <c r="K125">
        <v>0.55000000000000004</v>
      </c>
      <c r="L125" t="s">
        <v>3</v>
      </c>
      <c r="M125" t="s">
        <v>18</v>
      </c>
    </row>
    <row r="126" spans="1:13" x14ac:dyDescent="0.45">
      <c r="A126" t="s">
        <v>2</v>
      </c>
      <c r="B126" t="s">
        <v>143</v>
      </c>
      <c r="C126">
        <v>2035</v>
      </c>
      <c r="D126">
        <v>79</v>
      </c>
      <c r="E126">
        <v>0.47</v>
      </c>
      <c r="F126">
        <v>0.49</v>
      </c>
      <c r="G126">
        <v>0.08</v>
      </c>
      <c r="H126">
        <v>0.28000000000000003</v>
      </c>
      <c r="I126">
        <v>0.66</v>
      </c>
      <c r="J126">
        <v>0.39</v>
      </c>
      <c r="K126">
        <v>0.54</v>
      </c>
      <c r="L126" t="s">
        <v>3</v>
      </c>
      <c r="M126" t="s">
        <v>18</v>
      </c>
    </row>
    <row r="127" spans="1:13" x14ac:dyDescent="0.45">
      <c r="A127" t="s">
        <v>2</v>
      </c>
      <c r="B127" t="s">
        <v>143</v>
      </c>
      <c r="C127">
        <v>2040</v>
      </c>
      <c r="D127">
        <v>90</v>
      </c>
      <c r="E127">
        <v>0.45</v>
      </c>
      <c r="F127">
        <v>0.47</v>
      </c>
      <c r="G127">
        <v>0.08</v>
      </c>
      <c r="H127">
        <v>0.28999999999999998</v>
      </c>
      <c r="I127">
        <v>0.64</v>
      </c>
      <c r="J127">
        <v>0.38</v>
      </c>
      <c r="K127">
        <v>0.51</v>
      </c>
      <c r="L127" t="s">
        <v>3</v>
      </c>
      <c r="M127" t="s">
        <v>18</v>
      </c>
    </row>
    <row r="128" spans="1:13" x14ac:dyDescent="0.45">
      <c r="A128" t="s">
        <v>2</v>
      </c>
      <c r="B128" t="s">
        <v>143</v>
      </c>
      <c r="C128">
        <v>2045</v>
      </c>
      <c r="D128">
        <v>79</v>
      </c>
      <c r="E128">
        <v>0.46</v>
      </c>
      <c r="F128">
        <v>0.47</v>
      </c>
      <c r="G128">
        <v>0.08</v>
      </c>
      <c r="H128">
        <v>0.27</v>
      </c>
      <c r="I128">
        <v>0.64</v>
      </c>
      <c r="J128">
        <v>0.38</v>
      </c>
      <c r="K128">
        <v>0.54</v>
      </c>
      <c r="L128" t="s">
        <v>3</v>
      </c>
      <c r="M128" t="s">
        <v>18</v>
      </c>
    </row>
    <row r="129" spans="1:13" x14ac:dyDescent="0.45">
      <c r="A129" t="s">
        <v>2</v>
      </c>
      <c r="B129" t="s">
        <v>143</v>
      </c>
      <c r="C129">
        <v>2050</v>
      </c>
      <c r="D129">
        <v>90</v>
      </c>
      <c r="E129">
        <v>0.45</v>
      </c>
      <c r="F129">
        <v>0.46</v>
      </c>
      <c r="G129">
        <v>0.09</v>
      </c>
      <c r="H129">
        <v>0.24</v>
      </c>
      <c r="I129">
        <v>0.64</v>
      </c>
      <c r="J129">
        <v>0.36</v>
      </c>
      <c r="K129">
        <v>0.53</v>
      </c>
      <c r="L129" t="s">
        <v>3</v>
      </c>
      <c r="M129" t="s">
        <v>18</v>
      </c>
    </row>
    <row r="130" spans="1:13" x14ac:dyDescent="0.45">
      <c r="A130" t="s">
        <v>5</v>
      </c>
      <c r="B130" t="s">
        <v>143</v>
      </c>
      <c r="C130">
        <v>2020</v>
      </c>
      <c r="D130">
        <v>221</v>
      </c>
      <c r="E130">
        <v>0.46</v>
      </c>
      <c r="F130">
        <v>0.49</v>
      </c>
      <c r="G130">
        <v>0.05</v>
      </c>
      <c r="H130">
        <v>0.37</v>
      </c>
      <c r="I130">
        <v>0.55000000000000004</v>
      </c>
      <c r="J130">
        <v>0.43</v>
      </c>
      <c r="K130">
        <v>0.5</v>
      </c>
      <c r="L130" t="s">
        <v>6</v>
      </c>
      <c r="M130" t="s">
        <v>18</v>
      </c>
    </row>
    <row r="131" spans="1:13" x14ac:dyDescent="0.45">
      <c r="A131" t="s">
        <v>5</v>
      </c>
      <c r="B131" t="s">
        <v>143</v>
      </c>
      <c r="C131">
        <v>2025</v>
      </c>
      <c r="D131">
        <v>198</v>
      </c>
      <c r="E131">
        <v>0.45</v>
      </c>
      <c r="F131">
        <v>0.45</v>
      </c>
      <c r="G131">
        <v>0.09</v>
      </c>
      <c r="H131">
        <v>0.23</v>
      </c>
      <c r="I131">
        <v>0.54</v>
      </c>
      <c r="J131">
        <v>0.43</v>
      </c>
      <c r="K131">
        <v>0.54</v>
      </c>
      <c r="L131" t="s">
        <v>6</v>
      </c>
      <c r="M131" t="s">
        <v>18</v>
      </c>
    </row>
    <row r="132" spans="1:13" x14ac:dyDescent="0.45">
      <c r="A132" t="s">
        <v>5</v>
      </c>
      <c r="B132" t="s">
        <v>143</v>
      </c>
      <c r="C132">
        <v>2030</v>
      </c>
      <c r="D132">
        <v>221</v>
      </c>
      <c r="E132">
        <v>0.43</v>
      </c>
      <c r="F132">
        <v>0.43</v>
      </c>
      <c r="G132">
        <v>0.1</v>
      </c>
      <c r="H132">
        <v>0.25</v>
      </c>
      <c r="I132">
        <v>0.56999999999999995</v>
      </c>
      <c r="J132">
        <v>0.34</v>
      </c>
      <c r="K132">
        <v>0.56000000000000005</v>
      </c>
      <c r="L132" t="s">
        <v>6</v>
      </c>
      <c r="M132" t="s">
        <v>18</v>
      </c>
    </row>
    <row r="133" spans="1:13" x14ac:dyDescent="0.45">
      <c r="A133" t="s">
        <v>5</v>
      </c>
      <c r="B133" t="s">
        <v>143</v>
      </c>
      <c r="C133">
        <v>2035</v>
      </c>
      <c r="D133">
        <v>198</v>
      </c>
      <c r="E133">
        <v>0.44</v>
      </c>
      <c r="F133">
        <v>0.42</v>
      </c>
      <c r="G133">
        <v>0.09</v>
      </c>
      <c r="H133">
        <v>0.26</v>
      </c>
      <c r="I133">
        <v>0.6</v>
      </c>
      <c r="J133">
        <v>0.37</v>
      </c>
      <c r="K133">
        <v>0.54</v>
      </c>
      <c r="L133" t="s">
        <v>6</v>
      </c>
      <c r="M133" t="s">
        <v>18</v>
      </c>
    </row>
    <row r="134" spans="1:13" x14ac:dyDescent="0.45">
      <c r="A134" t="s">
        <v>5</v>
      </c>
      <c r="B134" t="s">
        <v>143</v>
      </c>
      <c r="C134">
        <v>2040</v>
      </c>
      <c r="D134">
        <v>221</v>
      </c>
      <c r="E134">
        <v>0.42</v>
      </c>
      <c r="F134">
        <v>0.4</v>
      </c>
      <c r="G134">
        <v>0.1</v>
      </c>
      <c r="H134">
        <v>0.25</v>
      </c>
      <c r="I134">
        <v>0.6</v>
      </c>
      <c r="J134">
        <v>0.32</v>
      </c>
      <c r="K134">
        <v>0.53</v>
      </c>
      <c r="L134" t="s">
        <v>6</v>
      </c>
      <c r="M134" t="s">
        <v>18</v>
      </c>
    </row>
    <row r="135" spans="1:13" x14ac:dyDescent="0.45">
      <c r="A135" t="s">
        <v>5</v>
      </c>
      <c r="B135" t="s">
        <v>143</v>
      </c>
      <c r="C135">
        <v>2045</v>
      </c>
      <c r="D135">
        <v>198</v>
      </c>
      <c r="E135">
        <v>0.44</v>
      </c>
      <c r="F135">
        <v>0.41</v>
      </c>
      <c r="G135">
        <v>0.1</v>
      </c>
      <c r="H135">
        <v>0.23</v>
      </c>
      <c r="I135">
        <v>0.6</v>
      </c>
      <c r="J135">
        <v>0.33</v>
      </c>
      <c r="K135">
        <v>0.54</v>
      </c>
      <c r="L135" t="s">
        <v>6</v>
      </c>
      <c r="M135" t="s">
        <v>18</v>
      </c>
    </row>
    <row r="136" spans="1:13" x14ac:dyDescent="0.45">
      <c r="A136" t="s">
        <v>5</v>
      </c>
      <c r="B136" t="s">
        <v>143</v>
      </c>
      <c r="C136">
        <v>2050</v>
      </c>
      <c r="D136">
        <v>221</v>
      </c>
      <c r="E136">
        <v>0.41</v>
      </c>
      <c r="F136">
        <v>0.38</v>
      </c>
      <c r="G136">
        <v>0.12</v>
      </c>
      <c r="H136">
        <v>0.16</v>
      </c>
      <c r="I136">
        <v>0.62</v>
      </c>
      <c r="J136">
        <v>0.31</v>
      </c>
      <c r="K136">
        <v>0.55000000000000004</v>
      </c>
      <c r="L136" t="s">
        <v>6</v>
      </c>
      <c r="M136" t="s">
        <v>18</v>
      </c>
    </row>
    <row r="137" spans="1:13" x14ac:dyDescent="0.45">
      <c r="A137" t="s">
        <v>7</v>
      </c>
      <c r="B137" t="s">
        <v>143</v>
      </c>
      <c r="C137">
        <v>2020</v>
      </c>
      <c r="D137">
        <v>79</v>
      </c>
      <c r="E137">
        <v>0.44</v>
      </c>
      <c r="F137">
        <v>0.45</v>
      </c>
      <c r="G137">
        <v>0.05</v>
      </c>
      <c r="H137">
        <v>0.37</v>
      </c>
      <c r="I137">
        <v>0.55000000000000004</v>
      </c>
      <c r="J137">
        <v>0.4</v>
      </c>
      <c r="K137">
        <v>0.49</v>
      </c>
      <c r="L137" t="s">
        <v>8</v>
      </c>
      <c r="M137" t="s">
        <v>18</v>
      </c>
    </row>
    <row r="138" spans="1:13" x14ac:dyDescent="0.45">
      <c r="A138" t="s">
        <v>7</v>
      </c>
      <c r="B138" t="s">
        <v>143</v>
      </c>
      <c r="C138">
        <v>2025</v>
      </c>
      <c r="D138">
        <v>73</v>
      </c>
      <c r="E138">
        <v>0.4</v>
      </c>
      <c r="F138">
        <v>0.44</v>
      </c>
      <c r="G138">
        <v>7.0000000000000007E-2</v>
      </c>
      <c r="H138">
        <v>0.23</v>
      </c>
      <c r="I138">
        <v>0.47</v>
      </c>
      <c r="J138">
        <v>0.35</v>
      </c>
      <c r="K138">
        <v>0.45</v>
      </c>
      <c r="L138" t="s">
        <v>8</v>
      </c>
      <c r="M138" t="s">
        <v>18</v>
      </c>
    </row>
    <row r="139" spans="1:13" x14ac:dyDescent="0.45">
      <c r="A139" t="s">
        <v>7</v>
      </c>
      <c r="B139" t="s">
        <v>143</v>
      </c>
      <c r="C139">
        <v>2030</v>
      </c>
      <c r="D139">
        <v>79</v>
      </c>
      <c r="E139">
        <v>0.37</v>
      </c>
      <c r="F139">
        <v>0.34</v>
      </c>
      <c r="G139">
        <v>0.06</v>
      </c>
      <c r="H139">
        <v>0.25</v>
      </c>
      <c r="I139">
        <v>0.47</v>
      </c>
      <c r="J139">
        <v>0.33</v>
      </c>
      <c r="K139">
        <v>0.43</v>
      </c>
      <c r="L139" t="s">
        <v>8</v>
      </c>
      <c r="M139" t="s">
        <v>18</v>
      </c>
    </row>
    <row r="140" spans="1:13" x14ac:dyDescent="0.45">
      <c r="A140" t="s">
        <v>7</v>
      </c>
      <c r="B140" t="s">
        <v>143</v>
      </c>
      <c r="C140">
        <v>2035</v>
      </c>
      <c r="D140">
        <v>73</v>
      </c>
      <c r="E140">
        <v>0.37</v>
      </c>
      <c r="F140">
        <v>0.35</v>
      </c>
      <c r="G140">
        <v>0.06</v>
      </c>
      <c r="H140">
        <v>0.28999999999999998</v>
      </c>
      <c r="I140">
        <v>0.46</v>
      </c>
      <c r="J140">
        <v>0.32</v>
      </c>
      <c r="K140">
        <v>0.42</v>
      </c>
      <c r="L140" t="s">
        <v>8</v>
      </c>
      <c r="M140" t="s">
        <v>18</v>
      </c>
    </row>
    <row r="141" spans="1:13" x14ac:dyDescent="0.45">
      <c r="A141" t="s">
        <v>7</v>
      </c>
      <c r="B141" t="s">
        <v>143</v>
      </c>
      <c r="C141">
        <v>2040</v>
      </c>
      <c r="D141">
        <v>79</v>
      </c>
      <c r="E141">
        <v>0.36</v>
      </c>
      <c r="F141">
        <v>0.33</v>
      </c>
      <c r="G141">
        <v>0.06</v>
      </c>
      <c r="H141">
        <v>0.26</v>
      </c>
      <c r="I141">
        <v>0.49</v>
      </c>
      <c r="J141">
        <v>0.31</v>
      </c>
      <c r="K141">
        <v>0.41</v>
      </c>
      <c r="L141" t="s">
        <v>8</v>
      </c>
      <c r="M141" t="s">
        <v>18</v>
      </c>
    </row>
    <row r="142" spans="1:13" x14ac:dyDescent="0.45">
      <c r="A142" t="s">
        <v>7</v>
      </c>
      <c r="B142" t="s">
        <v>143</v>
      </c>
      <c r="C142">
        <v>2045</v>
      </c>
      <c r="D142">
        <v>73</v>
      </c>
      <c r="E142">
        <v>0.37</v>
      </c>
      <c r="F142">
        <v>0.38</v>
      </c>
      <c r="G142">
        <v>0.05</v>
      </c>
      <c r="H142">
        <v>0.3</v>
      </c>
      <c r="I142">
        <v>0.48</v>
      </c>
      <c r="J142">
        <v>0.31</v>
      </c>
      <c r="K142">
        <v>0.41</v>
      </c>
      <c r="L142" t="s">
        <v>8</v>
      </c>
      <c r="M142" t="s">
        <v>18</v>
      </c>
    </row>
    <row r="143" spans="1:13" x14ac:dyDescent="0.45">
      <c r="A143" t="s">
        <v>7</v>
      </c>
      <c r="B143" t="s">
        <v>143</v>
      </c>
      <c r="C143">
        <v>2050</v>
      </c>
      <c r="D143">
        <v>79</v>
      </c>
      <c r="E143">
        <v>0.36</v>
      </c>
      <c r="F143">
        <v>0.36</v>
      </c>
      <c r="G143">
        <v>0.06</v>
      </c>
      <c r="H143">
        <v>0.21</v>
      </c>
      <c r="I143">
        <v>0.46</v>
      </c>
      <c r="J143">
        <v>0.31</v>
      </c>
      <c r="K143">
        <v>0.4</v>
      </c>
      <c r="L143" t="s">
        <v>8</v>
      </c>
      <c r="M143" t="s">
        <v>18</v>
      </c>
    </row>
    <row r="144" spans="1:13" x14ac:dyDescent="0.45">
      <c r="A144" t="s">
        <v>9</v>
      </c>
      <c r="B144" t="s">
        <v>143</v>
      </c>
      <c r="C144">
        <v>2020</v>
      </c>
      <c r="D144">
        <v>59</v>
      </c>
      <c r="E144">
        <v>0.49</v>
      </c>
      <c r="F144">
        <v>0.5</v>
      </c>
      <c r="G144">
        <v>0.06</v>
      </c>
      <c r="H144">
        <v>0.37</v>
      </c>
      <c r="I144">
        <v>0.59</v>
      </c>
      <c r="J144">
        <v>0.45</v>
      </c>
      <c r="K144">
        <v>0.51</v>
      </c>
      <c r="L144" t="s">
        <v>10</v>
      </c>
      <c r="M144" t="s">
        <v>18</v>
      </c>
    </row>
    <row r="145" spans="1:13" x14ac:dyDescent="0.45">
      <c r="A145" t="s">
        <v>9</v>
      </c>
      <c r="B145" t="s">
        <v>143</v>
      </c>
      <c r="C145">
        <v>2025</v>
      </c>
      <c r="D145">
        <v>54</v>
      </c>
      <c r="E145">
        <v>0.5</v>
      </c>
      <c r="F145">
        <v>0.52</v>
      </c>
      <c r="G145">
        <v>7.0000000000000007E-2</v>
      </c>
      <c r="H145">
        <v>0.36</v>
      </c>
      <c r="I145">
        <v>0.64</v>
      </c>
      <c r="J145">
        <v>0.44</v>
      </c>
      <c r="K145">
        <v>0.54</v>
      </c>
      <c r="L145" t="s">
        <v>10</v>
      </c>
      <c r="M145" t="s">
        <v>18</v>
      </c>
    </row>
    <row r="146" spans="1:13" x14ac:dyDescent="0.45">
      <c r="A146" t="s">
        <v>9</v>
      </c>
      <c r="B146" t="s">
        <v>143</v>
      </c>
      <c r="C146">
        <v>2030</v>
      </c>
      <c r="D146">
        <v>59</v>
      </c>
      <c r="E146">
        <v>0.48</v>
      </c>
      <c r="F146">
        <v>0.49</v>
      </c>
      <c r="G146">
        <v>0.1</v>
      </c>
      <c r="H146">
        <v>0.28000000000000003</v>
      </c>
      <c r="I146">
        <v>0.68</v>
      </c>
      <c r="J146">
        <v>0.42</v>
      </c>
      <c r="K146">
        <v>0.56999999999999995</v>
      </c>
      <c r="L146" t="s">
        <v>10</v>
      </c>
      <c r="M146" t="s">
        <v>18</v>
      </c>
    </row>
    <row r="147" spans="1:13" x14ac:dyDescent="0.45">
      <c r="A147" t="s">
        <v>9</v>
      </c>
      <c r="B147" t="s">
        <v>143</v>
      </c>
      <c r="C147">
        <v>2035</v>
      </c>
      <c r="D147">
        <v>54</v>
      </c>
      <c r="E147">
        <v>0.49</v>
      </c>
      <c r="F147">
        <v>0.52</v>
      </c>
      <c r="G147">
        <v>0.08</v>
      </c>
      <c r="H147">
        <v>0.33</v>
      </c>
      <c r="I147">
        <v>0.65</v>
      </c>
      <c r="J147">
        <v>0.42</v>
      </c>
      <c r="K147">
        <v>0.55000000000000004</v>
      </c>
      <c r="L147" t="s">
        <v>10</v>
      </c>
      <c r="M147" t="s">
        <v>18</v>
      </c>
    </row>
    <row r="148" spans="1:13" x14ac:dyDescent="0.45">
      <c r="A148" t="s">
        <v>9</v>
      </c>
      <c r="B148" t="s">
        <v>143</v>
      </c>
      <c r="C148">
        <v>2040</v>
      </c>
      <c r="D148">
        <v>59</v>
      </c>
      <c r="E148">
        <v>0.46</v>
      </c>
      <c r="F148">
        <v>0.5</v>
      </c>
      <c r="G148">
        <v>0.1</v>
      </c>
      <c r="H148">
        <v>0.25</v>
      </c>
      <c r="I148">
        <v>0.63</v>
      </c>
      <c r="J148">
        <v>0.4</v>
      </c>
      <c r="K148">
        <v>0.54</v>
      </c>
      <c r="L148" t="s">
        <v>10</v>
      </c>
      <c r="M148" t="s">
        <v>18</v>
      </c>
    </row>
    <row r="149" spans="1:13" x14ac:dyDescent="0.45">
      <c r="A149" t="s">
        <v>9</v>
      </c>
      <c r="B149" t="s">
        <v>143</v>
      </c>
      <c r="C149">
        <v>2045</v>
      </c>
      <c r="D149">
        <v>54</v>
      </c>
      <c r="E149">
        <v>0.47</v>
      </c>
      <c r="F149">
        <v>0.5</v>
      </c>
      <c r="G149">
        <v>7.0000000000000007E-2</v>
      </c>
      <c r="H149">
        <v>0.32</v>
      </c>
      <c r="I149">
        <v>0.6</v>
      </c>
      <c r="J149">
        <v>0.41</v>
      </c>
      <c r="K149">
        <v>0.53</v>
      </c>
      <c r="L149" t="s">
        <v>10</v>
      </c>
      <c r="M149" t="s">
        <v>18</v>
      </c>
    </row>
    <row r="150" spans="1:13" x14ac:dyDescent="0.45">
      <c r="A150" t="s">
        <v>9</v>
      </c>
      <c r="B150" t="s">
        <v>143</v>
      </c>
      <c r="C150">
        <v>2050</v>
      </c>
      <c r="D150">
        <v>59</v>
      </c>
      <c r="E150">
        <v>0.44</v>
      </c>
      <c r="F150">
        <v>0.48</v>
      </c>
      <c r="G150">
        <v>0.1</v>
      </c>
      <c r="H150">
        <v>0.2</v>
      </c>
      <c r="I150">
        <v>0.59</v>
      </c>
      <c r="J150">
        <v>0.38</v>
      </c>
      <c r="K150">
        <v>0.52</v>
      </c>
      <c r="L150" t="s">
        <v>10</v>
      </c>
      <c r="M150" t="s">
        <v>18</v>
      </c>
    </row>
    <row r="151" spans="1:13" x14ac:dyDescent="0.45">
      <c r="A151" t="s">
        <v>0</v>
      </c>
      <c r="B151" t="s">
        <v>143</v>
      </c>
      <c r="C151">
        <v>2020</v>
      </c>
      <c r="D151">
        <v>62</v>
      </c>
      <c r="E151">
        <v>0.5</v>
      </c>
      <c r="F151">
        <v>0.49</v>
      </c>
      <c r="G151">
        <v>0.03</v>
      </c>
      <c r="H151">
        <v>0.42</v>
      </c>
      <c r="I151">
        <v>0.6</v>
      </c>
      <c r="J151">
        <v>0.49</v>
      </c>
      <c r="K151">
        <v>0.53</v>
      </c>
      <c r="L151" t="s">
        <v>1</v>
      </c>
      <c r="M151" t="s">
        <v>21</v>
      </c>
    </row>
    <row r="152" spans="1:13" x14ac:dyDescent="0.45">
      <c r="A152" t="s">
        <v>0</v>
      </c>
      <c r="B152" t="s">
        <v>143</v>
      </c>
      <c r="C152">
        <v>2025</v>
      </c>
      <c r="D152">
        <v>62</v>
      </c>
      <c r="E152">
        <v>0.5</v>
      </c>
      <c r="F152">
        <v>0.5</v>
      </c>
      <c r="G152">
        <v>0.06</v>
      </c>
      <c r="H152">
        <v>0.4</v>
      </c>
      <c r="I152">
        <v>0.64</v>
      </c>
      <c r="J152">
        <v>0.45</v>
      </c>
      <c r="K152">
        <v>0.54</v>
      </c>
      <c r="L152" t="s">
        <v>1</v>
      </c>
      <c r="M152" t="s">
        <v>21</v>
      </c>
    </row>
    <row r="153" spans="1:13" x14ac:dyDescent="0.45">
      <c r="A153" t="s">
        <v>0</v>
      </c>
      <c r="B153" t="s">
        <v>143</v>
      </c>
      <c r="C153">
        <v>2030</v>
      </c>
      <c r="D153">
        <v>62</v>
      </c>
      <c r="E153">
        <v>0.49</v>
      </c>
      <c r="F153">
        <v>0.47</v>
      </c>
      <c r="G153">
        <v>0.08</v>
      </c>
      <c r="H153">
        <v>0.38</v>
      </c>
      <c r="I153">
        <v>0.66</v>
      </c>
      <c r="J153">
        <v>0.42</v>
      </c>
      <c r="K153">
        <v>0.54</v>
      </c>
      <c r="L153" t="s">
        <v>1</v>
      </c>
      <c r="M153" t="s">
        <v>21</v>
      </c>
    </row>
    <row r="154" spans="1:13" x14ac:dyDescent="0.45">
      <c r="A154" t="s">
        <v>0</v>
      </c>
      <c r="B154" t="s">
        <v>143</v>
      </c>
      <c r="C154">
        <v>2035</v>
      </c>
      <c r="D154">
        <v>62</v>
      </c>
      <c r="E154">
        <v>0.48</v>
      </c>
      <c r="F154">
        <v>0.46</v>
      </c>
      <c r="G154">
        <v>0.08</v>
      </c>
      <c r="H154">
        <v>0.35</v>
      </c>
      <c r="I154">
        <v>0.7</v>
      </c>
      <c r="J154">
        <v>0.42</v>
      </c>
      <c r="K154">
        <v>0.54</v>
      </c>
      <c r="L154" t="s">
        <v>1</v>
      </c>
      <c r="M154" t="s">
        <v>21</v>
      </c>
    </row>
    <row r="155" spans="1:13" x14ac:dyDescent="0.45">
      <c r="A155" t="s">
        <v>0</v>
      </c>
      <c r="B155" t="s">
        <v>143</v>
      </c>
      <c r="C155">
        <v>2040</v>
      </c>
      <c r="D155">
        <v>62</v>
      </c>
      <c r="E155">
        <v>0.47</v>
      </c>
      <c r="F155">
        <v>0.43</v>
      </c>
      <c r="G155">
        <v>0.09</v>
      </c>
      <c r="H155">
        <v>0.34</v>
      </c>
      <c r="I155">
        <v>0.72</v>
      </c>
      <c r="J155">
        <v>0.41</v>
      </c>
      <c r="K155">
        <v>0.53</v>
      </c>
      <c r="L155" t="s">
        <v>1</v>
      </c>
      <c r="M155" t="s">
        <v>21</v>
      </c>
    </row>
    <row r="156" spans="1:13" x14ac:dyDescent="0.45">
      <c r="A156" t="s">
        <v>0</v>
      </c>
      <c r="B156" t="s">
        <v>143</v>
      </c>
      <c r="C156">
        <v>2045</v>
      </c>
      <c r="D156">
        <v>62</v>
      </c>
      <c r="E156">
        <v>0.45</v>
      </c>
      <c r="F156">
        <v>0.4</v>
      </c>
      <c r="G156">
        <v>0.1</v>
      </c>
      <c r="H156">
        <v>0.3</v>
      </c>
      <c r="I156">
        <v>0.71</v>
      </c>
      <c r="J156">
        <v>0.38</v>
      </c>
      <c r="K156">
        <v>0.5</v>
      </c>
      <c r="L156" t="s">
        <v>1</v>
      </c>
      <c r="M156" t="s">
        <v>21</v>
      </c>
    </row>
    <row r="157" spans="1:13" x14ac:dyDescent="0.45">
      <c r="A157" t="s">
        <v>0</v>
      </c>
      <c r="B157" t="s">
        <v>143</v>
      </c>
      <c r="C157">
        <v>2050</v>
      </c>
      <c r="D157">
        <v>62</v>
      </c>
      <c r="E157">
        <v>0.44</v>
      </c>
      <c r="F157">
        <v>0.38</v>
      </c>
      <c r="G157">
        <v>0.11</v>
      </c>
      <c r="H157">
        <v>0.28999999999999998</v>
      </c>
      <c r="I157">
        <v>0.69</v>
      </c>
      <c r="J157">
        <v>0.37</v>
      </c>
      <c r="K157">
        <v>0.48</v>
      </c>
      <c r="L157" t="s">
        <v>1</v>
      </c>
      <c r="M157" t="s">
        <v>21</v>
      </c>
    </row>
    <row r="158" spans="1:13" x14ac:dyDescent="0.45">
      <c r="A158" t="s">
        <v>2</v>
      </c>
      <c r="B158" t="s">
        <v>143</v>
      </c>
      <c r="C158">
        <v>2020</v>
      </c>
      <c r="D158">
        <v>87</v>
      </c>
      <c r="E158">
        <v>0.51</v>
      </c>
      <c r="F158">
        <v>0.5</v>
      </c>
      <c r="G158">
        <v>0.05</v>
      </c>
      <c r="H158">
        <v>0.42</v>
      </c>
      <c r="I158">
        <v>0.6</v>
      </c>
      <c r="J158">
        <v>0.47</v>
      </c>
      <c r="K158">
        <v>0.55000000000000004</v>
      </c>
      <c r="L158" t="s">
        <v>3</v>
      </c>
      <c r="M158" t="s">
        <v>21</v>
      </c>
    </row>
    <row r="159" spans="1:13" x14ac:dyDescent="0.45">
      <c r="A159" t="s">
        <v>2</v>
      </c>
      <c r="B159" t="s">
        <v>143</v>
      </c>
      <c r="C159">
        <v>2025</v>
      </c>
      <c r="D159">
        <v>76</v>
      </c>
      <c r="E159">
        <v>0.49</v>
      </c>
      <c r="F159">
        <v>0.5</v>
      </c>
      <c r="G159">
        <v>0.06</v>
      </c>
      <c r="H159">
        <v>0.32</v>
      </c>
      <c r="I159">
        <v>0.65</v>
      </c>
      <c r="J159">
        <v>0.45</v>
      </c>
      <c r="K159">
        <v>0.52</v>
      </c>
      <c r="L159" t="s">
        <v>3</v>
      </c>
      <c r="M159" t="s">
        <v>21</v>
      </c>
    </row>
    <row r="160" spans="1:13" x14ac:dyDescent="0.45">
      <c r="A160" t="s">
        <v>2</v>
      </c>
      <c r="B160" t="s">
        <v>143</v>
      </c>
      <c r="C160">
        <v>2030</v>
      </c>
      <c r="D160">
        <v>87</v>
      </c>
      <c r="E160">
        <v>0.5</v>
      </c>
      <c r="F160">
        <v>0.52</v>
      </c>
      <c r="G160">
        <v>7.0000000000000007E-2</v>
      </c>
      <c r="H160">
        <v>0.26</v>
      </c>
      <c r="I160">
        <v>0.63</v>
      </c>
      <c r="J160">
        <v>0.43</v>
      </c>
      <c r="K160">
        <v>0.55000000000000004</v>
      </c>
      <c r="L160" t="s">
        <v>3</v>
      </c>
      <c r="M160" t="s">
        <v>21</v>
      </c>
    </row>
    <row r="161" spans="1:13" x14ac:dyDescent="0.45">
      <c r="A161" t="s">
        <v>2</v>
      </c>
      <c r="B161" t="s">
        <v>143</v>
      </c>
      <c r="C161">
        <v>2035</v>
      </c>
      <c r="D161">
        <v>76</v>
      </c>
      <c r="E161">
        <v>0.49</v>
      </c>
      <c r="F161">
        <v>0.49</v>
      </c>
      <c r="G161">
        <v>7.0000000000000007E-2</v>
      </c>
      <c r="H161">
        <v>0.28999999999999998</v>
      </c>
      <c r="I161">
        <v>0.63</v>
      </c>
      <c r="J161">
        <v>0.43</v>
      </c>
      <c r="K161">
        <v>0.54</v>
      </c>
      <c r="L161" t="s">
        <v>3</v>
      </c>
      <c r="M161" t="s">
        <v>21</v>
      </c>
    </row>
    <row r="162" spans="1:13" x14ac:dyDescent="0.45">
      <c r="A162" t="s">
        <v>2</v>
      </c>
      <c r="B162" t="s">
        <v>143</v>
      </c>
      <c r="C162">
        <v>2040</v>
      </c>
      <c r="D162">
        <v>87</v>
      </c>
      <c r="E162">
        <v>0.48</v>
      </c>
      <c r="F162">
        <v>0.48</v>
      </c>
      <c r="G162">
        <v>0.06</v>
      </c>
      <c r="H162">
        <v>0.3</v>
      </c>
      <c r="I162">
        <v>0.66</v>
      </c>
      <c r="J162">
        <v>0.45</v>
      </c>
      <c r="K162">
        <v>0.52</v>
      </c>
      <c r="L162" t="s">
        <v>3</v>
      </c>
      <c r="M162" t="s">
        <v>21</v>
      </c>
    </row>
    <row r="163" spans="1:13" x14ac:dyDescent="0.45">
      <c r="A163" t="s">
        <v>2</v>
      </c>
      <c r="B163" t="s">
        <v>143</v>
      </c>
      <c r="C163">
        <v>2045</v>
      </c>
      <c r="D163">
        <v>76</v>
      </c>
      <c r="E163">
        <v>0.46</v>
      </c>
      <c r="F163">
        <v>0.48</v>
      </c>
      <c r="G163">
        <v>0.06</v>
      </c>
      <c r="H163">
        <v>0.28999999999999998</v>
      </c>
      <c r="I163">
        <v>0.66</v>
      </c>
      <c r="J163">
        <v>0.42</v>
      </c>
      <c r="K163">
        <v>0.5</v>
      </c>
      <c r="L163" t="s">
        <v>3</v>
      </c>
      <c r="M163" t="s">
        <v>21</v>
      </c>
    </row>
    <row r="164" spans="1:13" x14ac:dyDescent="0.45">
      <c r="A164" t="s">
        <v>2</v>
      </c>
      <c r="B164" t="s">
        <v>143</v>
      </c>
      <c r="C164">
        <v>2050</v>
      </c>
      <c r="D164">
        <v>87</v>
      </c>
      <c r="E164">
        <v>0.45</v>
      </c>
      <c r="F164">
        <v>0.46</v>
      </c>
      <c r="G164">
        <v>7.0000000000000007E-2</v>
      </c>
      <c r="H164">
        <v>0.28000000000000003</v>
      </c>
      <c r="I164">
        <v>0.68</v>
      </c>
      <c r="J164">
        <v>0.39</v>
      </c>
      <c r="K164">
        <v>0.48</v>
      </c>
      <c r="L164" t="s">
        <v>3</v>
      </c>
      <c r="M164" t="s">
        <v>21</v>
      </c>
    </row>
    <row r="165" spans="1:13" x14ac:dyDescent="0.45">
      <c r="A165" t="s">
        <v>5</v>
      </c>
      <c r="B165" t="s">
        <v>143</v>
      </c>
      <c r="C165">
        <v>2020</v>
      </c>
      <c r="D165">
        <v>220</v>
      </c>
      <c r="E165">
        <v>0.51</v>
      </c>
      <c r="F165">
        <v>0.49</v>
      </c>
      <c r="G165">
        <v>0.05</v>
      </c>
      <c r="H165">
        <v>0.43</v>
      </c>
      <c r="I165">
        <v>0.6</v>
      </c>
      <c r="J165">
        <v>0.48</v>
      </c>
      <c r="K165">
        <v>0.55000000000000004</v>
      </c>
      <c r="L165" t="s">
        <v>6</v>
      </c>
      <c r="M165" t="s">
        <v>21</v>
      </c>
    </row>
    <row r="166" spans="1:13" x14ac:dyDescent="0.45">
      <c r="A166" t="s">
        <v>5</v>
      </c>
      <c r="B166" t="s">
        <v>143</v>
      </c>
      <c r="C166">
        <v>2025</v>
      </c>
      <c r="D166">
        <v>197</v>
      </c>
      <c r="E166">
        <v>0.51</v>
      </c>
      <c r="F166">
        <v>0.52</v>
      </c>
      <c r="G166">
        <v>0.06</v>
      </c>
      <c r="H166">
        <v>0.35</v>
      </c>
      <c r="I166">
        <v>0.66</v>
      </c>
      <c r="J166">
        <v>0.45</v>
      </c>
      <c r="K166">
        <v>0.54</v>
      </c>
      <c r="L166" t="s">
        <v>6</v>
      </c>
      <c r="M166" t="s">
        <v>21</v>
      </c>
    </row>
    <row r="167" spans="1:13" x14ac:dyDescent="0.45">
      <c r="A167" t="s">
        <v>5</v>
      </c>
      <c r="B167" t="s">
        <v>143</v>
      </c>
      <c r="C167">
        <v>2030</v>
      </c>
      <c r="D167">
        <v>220</v>
      </c>
      <c r="E167">
        <v>0.52</v>
      </c>
      <c r="F167">
        <v>0.54</v>
      </c>
      <c r="G167">
        <v>0.09</v>
      </c>
      <c r="H167">
        <v>0.37</v>
      </c>
      <c r="I167">
        <v>0.74</v>
      </c>
      <c r="J167">
        <v>0.42</v>
      </c>
      <c r="K167">
        <v>0.57999999999999996</v>
      </c>
      <c r="L167" t="s">
        <v>6</v>
      </c>
      <c r="M167" t="s">
        <v>21</v>
      </c>
    </row>
    <row r="168" spans="1:13" x14ac:dyDescent="0.45">
      <c r="A168" t="s">
        <v>5</v>
      </c>
      <c r="B168" t="s">
        <v>143</v>
      </c>
      <c r="C168">
        <v>2035</v>
      </c>
      <c r="D168">
        <v>197</v>
      </c>
      <c r="E168">
        <v>0.52</v>
      </c>
      <c r="F168">
        <v>0.51</v>
      </c>
      <c r="G168">
        <v>0.08</v>
      </c>
      <c r="H168">
        <v>0.39</v>
      </c>
      <c r="I168">
        <v>0.73</v>
      </c>
      <c r="J168">
        <v>0.44</v>
      </c>
      <c r="K168">
        <v>0.59</v>
      </c>
      <c r="L168" t="s">
        <v>6</v>
      </c>
      <c r="M168" t="s">
        <v>21</v>
      </c>
    </row>
    <row r="169" spans="1:13" x14ac:dyDescent="0.45">
      <c r="A169" t="s">
        <v>5</v>
      </c>
      <c r="B169" t="s">
        <v>143</v>
      </c>
      <c r="C169">
        <v>2040</v>
      </c>
      <c r="D169">
        <v>220</v>
      </c>
      <c r="E169">
        <v>0.53</v>
      </c>
      <c r="F169">
        <v>0.51</v>
      </c>
      <c r="G169">
        <v>0.1</v>
      </c>
      <c r="H169">
        <v>0.38</v>
      </c>
      <c r="I169">
        <v>0.73</v>
      </c>
      <c r="J169">
        <v>0.44</v>
      </c>
      <c r="K169">
        <v>0.6</v>
      </c>
      <c r="L169" t="s">
        <v>6</v>
      </c>
      <c r="M169" t="s">
        <v>21</v>
      </c>
    </row>
    <row r="170" spans="1:13" x14ac:dyDescent="0.45">
      <c r="A170" t="s">
        <v>5</v>
      </c>
      <c r="B170" t="s">
        <v>143</v>
      </c>
      <c r="C170">
        <v>2045</v>
      </c>
      <c r="D170">
        <v>197</v>
      </c>
      <c r="E170">
        <v>0.49</v>
      </c>
      <c r="F170">
        <v>0.48</v>
      </c>
      <c r="G170">
        <v>0.09</v>
      </c>
      <c r="H170">
        <v>0.33</v>
      </c>
      <c r="I170">
        <v>0.72</v>
      </c>
      <c r="J170">
        <v>0.42</v>
      </c>
      <c r="K170">
        <v>0.56999999999999995</v>
      </c>
      <c r="L170" t="s">
        <v>6</v>
      </c>
      <c r="M170" t="s">
        <v>21</v>
      </c>
    </row>
    <row r="171" spans="1:13" x14ac:dyDescent="0.45">
      <c r="A171" t="s">
        <v>5</v>
      </c>
      <c r="B171" t="s">
        <v>143</v>
      </c>
      <c r="C171">
        <v>2050</v>
      </c>
      <c r="D171">
        <v>220</v>
      </c>
      <c r="E171">
        <v>0.51</v>
      </c>
      <c r="F171">
        <v>0.47</v>
      </c>
      <c r="G171">
        <v>0.12</v>
      </c>
      <c r="H171">
        <v>0.32</v>
      </c>
      <c r="I171">
        <v>0.82</v>
      </c>
      <c r="J171">
        <v>0.4</v>
      </c>
      <c r="K171">
        <v>0.57999999999999996</v>
      </c>
      <c r="L171" t="s">
        <v>6</v>
      </c>
      <c r="M171" t="s">
        <v>21</v>
      </c>
    </row>
    <row r="172" spans="1:13" x14ac:dyDescent="0.45">
      <c r="A172" t="s">
        <v>7</v>
      </c>
      <c r="B172" t="s">
        <v>143</v>
      </c>
      <c r="C172">
        <v>2020</v>
      </c>
      <c r="D172">
        <v>79</v>
      </c>
      <c r="E172">
        <v>0.53</v>
      </c>
      <c r="F172">
        <v>0.54</v>
      </c>
      <c r="G172">
        <v>0.06</v>
      </c>
      <c r="H172">
        <v>0.43</v>
      </c>
      <c r="I172">
        <v>0.6</v>
      </c>
      <c r="J172">
        <v>0.47</v>
      </c>
      <c r="K172">
        <v>0.59</v>
      </c>
      <c r="L172" t="s">
        <v>8</v>
      </c>
      <c r="M172" t="s">
        <v>21</v>
      </c>
    </row>
    <row r="173" spans="1:13" x14ac:dyDescent="0.45">
      <c r="A173" t="s">
        <v>7</v>
      </c>
      <c r="B173" t="s">
        <v>143</v>
      </c>
      <c r="C173">
        <v>2025</v>
      </c>
      <c r="D173">
        <v>73</v>
      </c>
      <c r="E173">
        <v>0.55000000000000004</v>
      </c>
      <c r="F173">
        <v>0.54</v>
      </c>
      <c r="G173">
        <v>0.06</v>
      </c>
      <c r="H173">
        <v>0.35</v>
      </c>
      <c r="I173">
        <v>0.63</v>
      </c>
      <c r="J173">
        <v>0.52</v>
      </c>
      <c r="K173">
        <v>0.59</v>
      </c>
      <c r="L173" t="s">
        <v>8</v>
      </c>
      <c r="M173" t="s">
        <v>21</v>
      </c>
    </row>
    <row r="174" spans="1:13" x14ac:dyDescent="0.45">
      <c r="A174" t="s">
        <v>7</v>
      </c>
      <c r="B174" t="s">
        <v>143</v>
      </c>
      <c r="C174">
        <v>2030</v>
      </c>
      <c r="D174">
        <v>79</v>
      </c>
      <c r="E174">
        <v>0.57999999999999996</v>
      </c>
      <c r="F174">
        <v>0.56999999999999995</v>
      </c>
      <c r="G174">
        <v>0.06</v>
      </c>
      <c r="H174">
        <v>0.37</v>
      </c>
      <c r="I174">
        <v>0.69</v>
      </c>
      <c r="J174">
        <v>0.54</v>
      </c>
      <c r="K174">
        <v>0.63</v>
      </c>
      <c r="L174" t="s">
        <v>8</v>
      </c>
      <c r="M174" t="s">
        <v>21</v>
      </c>
    </row>
    <row r="175" spans="1:13" x14ac:dyDescent="0.45">
      <c r="A175" t="s">
        <v>7</v>
      </c>
      <c r="B175" t="s">
        <v>143</v>
      </c>
      <c r="C175">
        <v>2035</v>
      </c>
      <c r="D175">
        <v>73</v>
      </c>
      <c r="E175">
        <v>0.57999999999999996</v>
      </c>
      <c r="F175">
        <v>0.61</v>
      </c>
      <c r="G175">
        <v>0.05</v>
      </c>
      <c r="H175">
        <v>0.5</v>
      </c>
      <c r="I175">
        <v>0.65</v>
      </c>
      <c r="J175">
        <v>0.53</v>
      </c>
      <c r="K175">
        <v>0.63</v>
      </c>
      <c r="L175" t="s">
        <v>8</v>
      </c>
      <c r="M175" t="s">
        <v>21</v>
      </c>
    </row>
    <row r="176" spans="1:13" x14ac:dyDescent="0.45">
      <c r="A176" t="s">
        <v>7</v>
      </c>
      <c r="B176" t="s">
        <v>143</v>
      </c>
      <c r="C176">
        <v>2040</v>
      </c>
      <c r="D176">
        <v>79</v>
      </c>
      <c r="E176">
        <v>0.57999999999999996</v>
      </c>
      <c r="F176">
        <v>0.61</v>
      </c>
      <c r="G176">
        <v>7.0000000000000007E-2</v>
      </c>
      <c r="H176">
        <v>0.44</v>
      </c>
      <c r="I176">
        <v>0.72</v>
      </c>
      <c r="J176">
        <v>0.52</v>
      </c>
      <c r="K176">
        <v>0.63</v>
      </c>
      <c r="L176" t="s">
        <v>8</v>
      </c>
      <c r="M176" t="s">
        <v>21</v>
      </c>
    </row>
    <row r="177" spans="1:13" x14ac:dyDescent="0.45">
      <c r="A177" t="s">
        <v>7</v>
      </c>
      <c r="B177" t="s">
        <v>143</v>
      </c>
      <c r="C177">
        <v>2045</v>
      </c>
      <c r="D177">
        <v>73</v>
      </c>
      <c r="E177">
        <v>0.55000000000000004</v>
      </c>
      <c r="F177">
        <v>0.54</v>
      </c>
      <c r="G177">
        <v>0.06</v>
      </c>
      <c r="H177">
        <v>0.44</v>
      </c>
      <c r="I177">
        <v>0.64</v>
      </c>
      <c r="J177">
        <v>0.5</v>
      </c>
      <c r="K177">
        <v>0.61</v>
      </c>
      <c r="L177" t="s">
        <v>8</v>
      </c>
      <c r="M177" t="s">
        <v>21</v>
      </c>
    </row>
    <row r="178" spans="1:13" x14ac:dyDescent="0.45">
      <c r="A178" t="s">
        <v>7</v>
      </c>
      <c r="B178" t="s">
        <v>143</v>
      </c>
      <c r="C178">
        <v>2050</v>
      </c>
      <c r="D178">
        <v>79</v>
      </c>
      <c r="E178">
        <v>0.55000000000000004</v>
      </c>
      <c r="F178">
        <v>0.53</v>
      </c>
      <c r="G178">
        <v>0.09</v>
      </c>
      <c r="H178">
        <v>0.42</v>
      </c>
      <c r="I178">
        <v>0.76</v>
      </c>
      <c r="J178">
        <v>0.48</v>
      </c>
      <c r="K178">
        <v>0.62</v>
      </c>
      <c r="L178" t="s">
        <v>8</v>
      </c>
      <c r="M178" t="s">
        <v>21</v>
      </c>
    </row>
    <row r="179" spans="1:13" x14ac:dyDescent="0.45">
      <c r="A179" t="s">
        <v>9</v>
      </c>
      <c r="B179" t="s">
        <v>143</v>
      </c>
      <c r="C179">
        <v>2020</v>
      </c>
      <c r="D179">
        <v>55</v>
      </c>
      <c r="E179">
        <v>0.5</v>
      </c>
      <c r="F179">
        <v>0.49</v>
      </c>
      <c r="G179">
        <v>0.06</v>
      </c>
      <c r="H179">
        <v>0.34</v>
      </c>
      <c r="I179">
        <v>0.6</v>
      </c>
      <c r="J179">
        <v>0.46</v>
      </c>
      <c r="K179">
        <v>0.54</v>
      </c>
      <c r="L179" t="s">
        <v>10</v>
      </c>
      <c r="M179" t="s">
        <v>21</v>
      </c>
    </row>
    <row r="180" spans="1:13" x14ac:dyDescent="0.45">
      <c r="A180" t="s">
        <v>9</v>
      </c>
      <c r="B180" t="s">
        <v>143</v>
      </c>
      <c r="C180">
        <v>2025</v>
      </c>
      <c r="D180">
        <v>50</v>
      </c>
      <c r="E180">
        <v>0.49</v>
      </c>
      <c r="F180">
        <v>0.46</v>
      </c>
      <c r="G180">
        <v>7.0000000000000007E-2</v>
      </c>
      <c r="H180">
        <v>0.35</v>
      </c>
      <c r="I180">
        <v>0.62</v>
      </c>
      <c r="J180">
        <v>0.45</v>
      </c>
      <c r="K180">
        <v>0.55000000000000004</v>
      </c>
      <c r="L180" t="s">
        <v>10</v>
      </c>
      <c r="M180" t="s">
        <v>21</v>
      </c>
    </row>
    <row r="181" spans="1:13" x14ac:dyDescent="0.45">
      <c r="A181" t="s">
        <v>9</v>
      </c>
      <c r="B181" t="s">
        <v>143</v>
      </c>
      <c r="C181">
        <v>2030</v>
      </c>
      <c r="D181">
        <v>55</v>
      </c>
      <c r="E181">
        <v>0.5</v>
      </c>
      <c r="F181">
        <v>0.47</v>
      </c>
      <c r="G181">
        <v>0.1</v>
      </c>
      <c r="H181">
        <v>0.3</v>
      </c>
      <c r="I181">
        <v>0.75</v>
      </c>
      <c r="J181">
        <v>0.42</v>
      </c>
      <c r="K181">
        <v>0.56000000000000005</v>
      </c>
      <c r="L181" t="s">
        <v>10</v>
      </c>
      <c r="M181" t="s">
        <v>21</v>
      </c>
    </row>
    <row r="182" spans="1:13" x14ac:dyDescent="0.45">
      <c r="A182" t="s">
        <v>9</v>
      </c>
      <c r="B182" t="s">
        <v>143</v>
      </c>
      <c r="C182">
        <v>2035</v>
      </c>
      <c r="D182">
        <v>50</v>
      </c>
      <c r="E182">
        <v>0.49</v>
      </c>
      <c r="F182">
        <v>0.46</v>
      </c>
      <c r="G182">
        <v>0.08</v>
      </c>
      <c r="H182">
        <v>0.32</v>
      </c>
      <c r="I182">
        <v>0.63</v>
      </c>
      <c r="J182">
        <v>0.43</v>
      </c>
      <c r="K182">
        <v>0.55000000000000004</v>
      </c>
      <c r="L182" t="s">
        <v>10</v>
      </c>
      <c r="M182" t="s">
        <v>21</v>
      </c>
    </row>
    <row r="183" spans="1:13" x14ac:dyDescent="0.45">
      <c r="A183" t="s">
        <v>9</v>
      </c>
      <c r="B183" t="s">
        <v>143</v>
      </c>
      <c r="C183">
        <v>2040</v>
      </c>
      <c r="D183">
        <v>55</v>
      </c>
      <c r="E183">
        <v>0.51</v>
      </c>
      <c r="F183">
        <v>0.47</v>
      </c>
      <c r="G183">
        <v>0.1</v>
      </c>
      <c r="H183">
        <v>0.33</v>
      </c>
      <c r="I183">
        <v>0.73</v>
      </c>
      <c r="J183">
        <v>0.43</v>
      </c>
      <c r="K183">
        <v>0.56999999999999995</v>
      </c>
      <c r="L183" t="s">
        <v>10</v>
      </c>
      <c r="M183" t="s">
        <v>21</v>
      </c>
    </row>
    <row r="184" spans="1:13" x14ac:dyDescent="0.45">
      <c r="A184" t="s">
        <v>9</v>
      </c>
      <c r="B184" t="s">
        <v>143</v>
      </c>
      <c r="C184">
        <v>2045</v>
      </c>
      <c r="D184">
        <v>50</v>
      </c>
      <c r="E184">
        <v>0.49</v>
      </c>
      <c r="F184">
        <v>0.48</v>
      </c>
      <c r="G184">
        <v>7.0000000000000007E-2</v>
      </c>
      <c r="H184">
        <v>0.34</v>
      </c>
      <c r="I184">
        <v>0.64</v>
      </c>
      <c r="J184">
        <v>0.43</v>
      </c>
      <c r="K184">
        <v>0.53</v>
      </c>
      <c r="L184" t="s">
        <v>10</v>
      </c>
      <c r="M184" t="s">
        <v>21</v>
      </c>
    </row>
    <row r="185" spans="1:13" x14ac:dyDescent="0.45">
      <c r="A185" t="s">
        <v>9</v>
      </c>
      <c r="B185" t="s">
        <v>143</v>
      </c>
      <c r="C185">
        <v>2050</v>
      </c>
      <c r="D185">
        <v>55</v>
      </c>
      <c r="E185">
        <v>0.51</v>
      </c>
      <c r="F185">
        <v>0.49</v>
      </c>
      <c r="G185">
        <v>0.11</v>
      </c>
      <c r="H185">
        <v>0.35</v>
      </c>
      <c r="I185">
        <v>0.78</v>
      </c>
      <c r="J185">
        <v>0.43</v>
      </c>
      <c r="K185">
        <v>0.56000000000000005</v>
      </c>
      <c r="L185" t="s">
        <v>10</v>
      </c>
      <c r="M185" t="s">
        <v>21</v>
      </c>
    </row>
    <row r="186" spans="1:13" x14ac:dyDescent="0.45">
      <c r="A186" t="s">
        <v>0</v>
      </c>
      <c r="B186" t="s">
        <v>143</v>
      </c>
      <c r="C186">
        <v>2020</v>
      </c>
      <c r="D186">
        <v>62</v>
      </c>
      <c r="E186">
        <v>0.01</v>
      </c>
      <c r="F186">
        <v>0.01</v>
      </c>
      <c r="G186">
        <v>0</v>
      </c>
      <c r="H186">
        <v>0</v>
      </c>
      <c r="I186">
        <v>0.02</v>
      </c>
      <c r="J186">
        <v>0.01</v>
      </c>
      <c r="K186">
        <v>0.01</v>
      </c>
      <c r="L186" t="s">
        <v>1</v>
      </c>
      <c r="M186" t="s">
        <v>23</v>
      </c>
    </row>
    <row r="187" spans="1:13" x14ac:dyDescent="0.45">
      <c r="A187" t="s">
        <v>0</v>
      </c>
      <c r="B187" t="s">
        <v>143</v>
      </c>
      <c r="C187">
        <v>2025</v>
      </c>
      <c r="D187">
        <v>62</v>
      </c>
      <c r="E187">
        <v>0.02</v>
      </c>
      <c r="F187">
        <v>0.01</v>
      </c>
      <c r="G187">
        <v>0.01</v>
      </c>
      <c r="H187">
        <v>0</v>
      </c>
      <c r="I187">
        <v>0.05</v>
      </c>
      <c r="J187">
        <v>0.01</v>
      </c>
      <c r="K187">
        <v>0.02</v>
      </c>
      <c r="L187" t="s">
        <v>1</v>
      </c>
      <c r="M187" t="s">
        <v>23</v>
      </c>
    </row>
    <row r="188" spans="1:13" x14ac:dyDescent="0.45">
      <c r="A188" t="s">
        <v>0</v>
      </c>
      <c r="B188" t="s">
        <v>143</v>
      </c>
      <c r="C188">
        <v>2030</v>
      </c>
      <c r="D188">
        <v>62</v>
      </c>
      <c r="E188">
        <v>0.03</v>
      </c>
      <c r="F188">
        <v>0.02</v>
      </c>
      <c r="G188">
        <v>0.02</v>
      </c>
      <c r="H188">
        <v>0</v>
      </c>
      <c r="I188">
        <v>7.0000000000000007E-2</v>
      </c>
      <c r="J188">
        <v>0.02</v>
      </c>
      <c r="K188">
        <v>0.03</v>
      </c>
      <c r="L188" t="s">
        <v>1</v>
      </c>
      <c r="M188" t="s">
        <v>23</v>
      </c>
    </row>
    <row r="189" spans="1:13" x14ac:dyDescent="0.45">
      <c r="A189" t="s">
        <v>0</v>
      </c>
      <c r="B189" t="s">
        <v>143</v>
      </c>
      <c r="C189">
        <v>2035</v>
      </c>
      <c r="D189">
        <v>62</v>
      </c>
      <c r="E189">
        <v>0.04</v>
      </c>
      <c r="F189">
        <v>0.04</v>
      </c>
      <c r="G189">
        <v>0.02</v>
      </c>
      <c r="H189">
        <v>0</v>
      </c>
      <c r="I189">
        <v>0.11</v>
      </c>
      <c r="J189">
        <v>0.03</v>
      </c>
      <c r="K189">
        <v>0.06</v>
      </c>
      <c r="L189" t="s">
        <v>1</v>
      </c>
      <c r="M189" t="s">
        <v>23</v>
      </c>
    </row>
    <row r="190" spans="1:13" x14ac:dyDescent="0.45">
      <c r="A190" t="s">
        <v>0</v>
      </c>
      <c r="B190" t="s">
        <v>143</v>
      </c>
      <c r="C190">
        <v>2040</v>
      </c>
      <c r="D190">
        <v>62</v>
      </c>
      <c r="E190">
        <v>0.06</v>
      </c>
      <c r="F190">
        <v>0.05</v>
      </c>
      <c r="G190">
        <v>0.04</v>
      </c>
      <c r="H190">
        <v>0.01</v>
      </c>
      <c r="I190">
        <v>0.14000000000000001</v>
      </c>
      <c r="J190">
        <v>0.04</v>
      </c>
      <c r="K190">
        <v>0.1</v>
      </c>
      <c r="L190" t="s">
        <v>1</v>
      </c>
      <c r="M190" t="s">
        <v>23</v>
      </c>
    </row>
    <row r="191" spans="1:13" x14ac:dyDescent="0.45">
      <c r="A191" t="s">
        <v>0</v>
      </c>
      <c r="B191" t="s">
        <v>143</v>
      </c>
      <c r="C191">
        <v>2045</v>
      </c>
      <c r="D191">
        <v>62</v>
      </c>
      <c r="E191">
        <v>7.0000000000000007E-2</v>
      </c>
      <c r="F191">
        <v>0.06</v>
      </c>
      <c r="G191">
        <v>0.05</v>
      </c>
      <c r="H191">
        <v>0</v>
      </c>
      <c r="I191">
        <v>0.18</v>
      </c>
      <c r="J191">
        <v>0.04</v>
      </c>
      <c r="K191">
        <v>0.11</v>
      </c>
      <c r="L191" t="s">
        <v>1</v>
      </c>
      <c r="M191" t="s">
        <v>23</v>
      </c>
    </row>
    <row r="192" spans="1:13" x14ac:dyDescent="0.45">
      <c r="A192" t="s">
        <v>0</v>
      </c>
      <c r="B192" t="s">
        <v>143</v>
      </c>
      <c r="C192">
        <v>2050</v>
      </c>
      <c r="D192">
        <v>62</v>
      </c>
      <c r="E192">
        <v>0.08</v>
      </c>
      <c r="F192">
        <v>0.06</v>
      </c>
      <c r="G192">
        <v>0.06</v>
      </c>
      <c r="H192">
        <v>0</v>
      </c>
      <c r="I192">
        <v>0.2</v>
      </c>
      <c r="J192">
        <v>0.05</v>
      </c>
      <c r="K192">
        <v>0.13</v>
      </c>
      <c r="L192" t="s">
        <v>1</v>
      </c>
      <c r="M192" t="s">
        <v>23</v>
      </c>
    </row>
    <row r="193" spans="1:13" x14ac:dyDescent="0.45">
      <c r="A193" t="s">
        <v>2</v>
      </c>
      <c r="B193" t="s">
        <v>143</v>
      </c>
      <c r="C193">
        <v>2020</v>
      </c>
      <c r="D193">
        <v>90</v>
      </c>
      <c r="E193">
        <v>0.01</v>
      </c>
      <c r="F193">
        <v>0.01</v>
      </c>
      <c r="G193">
        <v>0.01</v>
      </c>
      <c r="H193">
        <v>0</v>
      </c>
      <c r="I193">
        <v>0.02</v>
      </c>
      <c r="J193">
        <v>0.01</v>
      </c>
      <c r="K193">
        <v>0.02</v>
      </c>
      <c r="L193" t="s">
        <v>3</v>
      </c>
      <c r="M193" t="s">
        <v>23</v>
      </c>
    </row>
    <row r="194" spans="1:13" x14ac:dyDescent="0.45">
      <c r="A194" t="s">
        <v>2</v>
      </c>
      <c r="B194" t="s">
        <v>143</v>
      </c>
      <c r="C194">
        <v>2025</v>
      </c>
      <c r="D194">
        <v>79</v>
      </c>
      <c r="E194">
        <v>0.02</v>
      </c>
      <c r="F194">
        <v>0.02</v>
      </c>
      <c r="G194">
        <v>0.02</v>
      </c>
      <c r="H194">
        <v>0</v>
      </c>
      <c r="I194">
        <v>0.15</v>
      </c>
      <c r="J194">
        <v>0.01</v>
      </c>
      <c r="K194">
        <v>0.02</v>
      </c>
      <c r="L194" t="s">
        <v>3</v>
      </c>
      <c r="M194" t="s">
        <v>23</v>
      </c>
    </row>
    <row r="195" spans="1:13" x14ac:dyDescent="0.45">
      <c r="A195" t="s">
        <v>2</v>
      </c>
      <c r="B195" t="s">
        <v>143</v>
      </c>
      <c r="C195">
        <v>2030</v>
      </c>
      <c r="D195">
        <v>90</v>
      </c>
      <c r="E195">
        <v>0.03</v>
      </c>
      <c r="F195">
        <v>0.02</v>
      </c>
      <c r="G195">
        <v>0.02</v>
      </c>
      <c r="H195">
        <v>0</v>
      </c>
      <c r="I195">
        <v>0.11</v>
      </c>
      <c r="J195">
        <v>0.02</v>
      </c>
      <c r="K195">
        <v>0.06</v>
      </c>
      <c r="L195" t="s">
        <v>3</v>
      </c>
      <c r="M195" t="s">
        <v>23</v>
      </c>
    </row>
    <row r="196" spans="1:13" x14ac:dyDescent="0.45">
      <c r="A196" t="s">
        <v>2</v>
      </c>
      <c r="B196" t="s">
        <v>143</v>
      </c>
      <c r="C196">
        <v>2035</v>
      </c>
      <c r="D196">
        <v>79</v>
      </c>
      <c r="E196">
        <v>0.04</v>
      </c>
      <c r="F196">
        <v>0.03</v>
      </c>
      <c r="G196">
        <v>0.03</v>
      </c>
      <c r="H196">
        <v>0</v>
      </c>
      <c r="I196">
        <v>0.09</v>
      </c>
      <c r="J196">
        <v>0.02</v>
      </c>
      <c r="K196">
        <v>7.0000000000000007E-2</v>
      </c>
      <c r="L196" t="s">
        <v>3</v>
      </c>
      <c r="M196" t="s">
        <v>23</v>
      </c>
    </row>
    <row r="197" spans="1:13" x14ac:dyDescent="0.45">
      <c r="A197" t="s">
        <v>2</v>
      </c>
      <c r="B197" t="s">
        <v>143</v>
      </c>
      <c r="C197">
        <v>2040</v>
      </c>
      <c r="D197">
        <v>90</v>
      </c>
      <c r="E197">
        <v>0.06</v>
      </c>
      <c r="F197">
        <v>0.05</v>
      </c>
      <c r="G197">
        <v>0.04</v>
      </c>
      <c r="H197">
        <v>0.01</v>
      </c>
      <c r="I197">
        <v>0.12</v>
      </c>
      <c r="J197">
        <v>0.03</v>
      </c>
      <c r="K197">
        <v>0.1</v>
      </c>
      <c r="L197" t="s">
        <v>3</v>
      </c>
      <c r="M197" t="s">
        <v>23</v>
      </c>
    </row>
    <row r="198" spans="1:13" x14ac:dyDescent="0.45">
      <c r="A198" t="s">
        <v>2</v>
      </c>
      <c r="B198" t="s">
        <v>143</v>
      </c>
      <c r="C198">
        <v>2045</v>
      </c>
      <c r="D198">
        <v>79</v>
      </c>
      <c r="E198">
        <v>7.0000000000000007E-2</v>
      </c>
      <c r="F198">
        <v>0.06</v>
      </c>
      <c r="G198">
        <v>0.04</v>
      </c>
      <c r="H198">
        <v>0</v>
      </c>
      <c r="I198">
        <v>0.16</v>
      </c>
      <c r="J198">
        <v>0.04</v>
      </c>
      <c r="K198">
        <v>0.1</v>
      </c>
      <c r="L198" t="s">
        <v>3</v>
      </c>
      <c r="M198" t="s">
        <v>23</v>
      </c>
    </row>
    <row r="199" spans="1:13" x14ac:dyDescent="0.45">
      <c r="A199" t="s">
        <v>2</v>
      </c>
      <c r="B199" t="s">
        <v>143</v>
      </c>
      <c r="C199">
        <v>2050</v>
      </c>
      <c r="D199">
        <v>90</v>
      </c>
      <c r="E199">
        <v>0.1</v>
      </c>
      <c r="F199">
        <v>0.08</v>
      </c>
      <c r="G199">
        <v>0.06</v>
      </c>
      <c r="H199">
        <v>0</v>
      </c>
      <c r="I199">
        <v>0.19</v>
      </c>
      <c r="J199">
        <v>0.05</v>
      </c>
      <c r="K199">
        <v>0.16</v>
      </c>
      <c r="L199" t="s">
        <v>3</v>
      </c>
      <c r="M199" t="s">
        <v>23</v>
      </c>
    </row>
    <row r="200" spans="1:13" x14ac:dyDescent="0.45">
      <c r="A200" t="s">
        <v>5</v>
      </c>
      <c r="B200" t="s">
        <v>143</v>
      </c>
      <c r="C200">
        <v>2020</v>
      </c>
      <c r="D200">
        <v>221</v>
      </c>
      <c r="E200">
        <v>0.01</v>
      </c>
      <c r="F200">
        <v>0.01</v>
      </c>
      <c r="G200">
        <v>0</v>
      </c>
      <c r="H200">
        <v>0</v>
      </c>
      <c r="I200">
        <v>0.02</v>
      </c>
      <c r="J200">
        <v>0.01</v>
      </c>
      <c r="K200">
        <v>0.01</v>
      </c>
      <c r="L200" t="s">
        <v>6</v>
      </c>
      <c r="M200" t="s">
        <v>23</v>
      </c>
    </row>
    <row r="201" spans="1:13" x14ac:dyDescent="0.45">
      <c r="A201" t="s">
        <v>5</v>
      </c>
      <c r="B201" t="s">
        <v>143</v>
      </c>
      <c r="C201">
        <v>2025</v>
      </c>
      <c r="D201">
        <v>198</v>
      </c>
      <c r="E201">
        <v>0.03</v>
      </c>
      <c r="F201">
        <v>0.01</v>
      </c>
      <c r="G201">
        <v>0.05</v>
      </c>
      <c r="H201">
        <v>0</v>
      </c>
      <c r="I201">
        <v>0.32</v>
      </c>
      <c r="J201">
        <v>0.01</v>
      </c>
      <c r="K201">
        <v>0.02</v>
      </c>
      <c r="L201" t="s">
        <v>6</v>
      </c>
      <c r="M201" t="s">
        <v>23</v>
      </c>
    </row>
    <row r="202" spans="1:13" x14ac:dyDescent="0.45">
      <c r="A202" t="s">
        <v>5</v>
      </c>
      <c r="B202" t="s">
        <v>143</v>
      </c>
      <c r="C202">
        <v>2030</v>
      </c>
      <c r="D202">
        <v>221</v>
      </c>
      <c r="E202">
        <v>0.03</v>
      </c>
      <c r="F202">
        <v>0.02</v>
      </c>
      <c r="G202">
        <v>0.04</v>
      </c>
      <c r="H202">
        <v>0</v>
      </c>
      <c r="I202">
        <v>0.33</v>
      </c>
      <c r="J202">
        <v>0.01</v>
      </c>
      <c r="K202">
        <v>0.03</v>
      </c>
      <c r="L202" t="s">
        <v>6</v>
      </c>
      <c r="M202" t="s">
        <v>23</v>
      </c>
    </row>
    <row r="203" spans="1:13" x14ac:dyDescent="0.45">
      <c r="A203" t="s">
        <v>5</v>
      </c>
      <c r="B203" t="s">
        <v>143</v>
      </c>
      <c r="C203">
        <v>2035</v>
      </c>
      <c r="D203">
        <v>198</v>
      </c>
      <c r="E203">
        <v>0.03</v>
      </c>
      <c r="F203">
        <v>0.02</v>
      </c>
      <c r="G203">
        <v>0.02</v>
      </c>
      <c r="H203">
        <v>0</v>
      </c>
      <c r="I203">
        <v>0.09</v>
      </c>
      <c r="J203">
        <v>0.02</v>
      </c>
      <c r="K203">
        <v>0.03</v>
      </c>
      <c r="L203" t="s">
        <v>6</v>
      </c>
      <c r="M203" t="s">
        <v>23</v>
      </c>
    </row>
    <row r="204" spans="1:13" x14ac:dyDescent="0.45">
      <c r="A204" t="s">
        <v>5</v>
      </c>
      <c r="B204" t="s">
        <v>143</v>
      </c>
      <c r="C204">
        <v>2040</v>
      </c>
      <c r="D204">
        <v>221</v>
      </c>
      <c r="E204">
        <v>0.04</v>
      </c>
      <c r="F204">
        <v>0.03</v>
      </c>
      <c r="G204">
        <v>0.03</v>
      </c>
      <c r="H204">
        <v>0</v>
      </c>
      <c r="I204">
        <v>0.13</v>
      </c>
      <c r="J204">
        <v>0.02</v>
      </c>
      <c r="K204">
        <v>0.05</v>
      </c>
      <c r="L204" t="s">
        <v>6</v>
      </c>
      <c r="M204" t="s">
        <v>23</v>
      </c>
    </row>
    <row r="205" spans="1:13" x14ac:dyDescent="0.45">
      <c r="A205" t="s">
        <v>5</v>
      </c>
      <c r="B205" t="s">
        <v>143</v>
      </c>
      <c r="C205">
        <v>2045</v>
      </c>
      <c r="D205">
        <v>198</v>
      </c>
      <c r="E205">
        <v>0.06</v>
      </c>
      <c r="F205">
        <v>0.05</v>
      </c>
      <c r="G205">
        <v>0.04</v>
      </c>
      <c r="H205">
        <v>0</v>
      </c>
      <c r="I205">
        <v>0.17</v>
      </c>
      <c r="J205">
        <v>0.03</v>
      </c>
      <c r="K205">
        <v>7.0000000000000007E-2</v>
      </c>
      <c r="L205" t="s">
        <v>6</v>
      </c>
      <c r="M205" t="s">
        <v>23</v>
      </c>
    </row>
    <row r="206" spans="1:13" x14ac:dyDescent="0.45">
      <c r="A206" t="s">
        <v>5</v>
      </c>
      <c r="B206" t="s">
        <v>143</v>
      </c>
      <c r="C206">
        <v>2050</v>
      </c>
      <c r="D206">
        <v>221</v>
      </c>
      <c r="E206">
        <v>7.0000000000000007E-2</v>
      </c>
      <c r="F206">
        <v>0.05</v>
      </c>
      <c r="G206">
        <v>0.06</v>
      </c>
      <c r="H206">
        <v>0</v>
      </c>
      <c r="I206">
        <v>0.21</v>
      </c>
      <c r="J206">
        <v>0.03</v>
      </c>
      <c r="K206">
        <v>0.1</v>
      </c>
      <c r="L206" t="s">
        <v>6</v>
      </c>
      <c r="M206" t="s">
        <v>23</v>
      </c>
    </row>
    <row r="207" spans="1:13" x14ac:dyDescent="0.45">
      <c r="A207" t="s">
        <v>7</v>
      </c>
      <c r="B207" t="s">
        <v>143</v>
      </c>
      <c r="C207">
        <v>2020</v>
      </c>
      <c r="D207">
        <v>79</v>
      </c>
      <c r="E207">
        <v>0.01</v>
      </c>
      <c r="F207">
        <v>0.01</v>
      </c>
      <c r="G207">
        <v>0</v>
      </c>
      <c r="H207">
        <v>0</v>
      </c>
      <c r="I207">
        <v>0.02</v>
      </c>
      <c r="J207">
        <v>0.01</v>
      </c>
      <c r="K207">
        <v>0.02</v>
      </c>
      <c r="L207" t="s">
        <v>8</v>
      </c>
      <c r="M207" t="s">
        <v>23</v>
      </c>
    </row>
    <row r="208" spans="1:13" x14ac:dyDescent="0.45">
      <c r="A208" t="s">
        <v>7</v>
      </c>
      <c r="B208" t="s">
        <v>143</v>
      </c>
      <c r="C208">
        <v>2025</v>
      </c>
      <c r="D208">
        <v>73</v>
      </c>
      <c r="E208">
        <v>0.03</v>
      </c>
      <c r="F208">
        <v>0.02</v>
      </c>
      <c r="G208">
        <v>0.06</v>
      </c>
      <c r="H208">
        <v>0</v>
      </c>
      <c r="I208">
        <v>0.38</v>
      </c>
      <c r="J208">
        <v>0.01</v>
      </c>
      <c r="K208">
        <v>0.02</v>
      </c>
      <c r="L208" t="s">
        <v>8</v>
      </c>
      <c r="M208" t="s">
        <v>23</v>
      </c>
    </row>
    <row r="209" spans="1:13" x14ac:dyDescent="0.45">
      <c r="A209" t="s">
        <v>7</v>
      </c>
      <c r="B209" t="s">
        <v>143</v>
      </c>
      <c r="C209">
        <v>2030</v>
      </c>
      <c r="D209">
        <v>79</v>
      </c>
      <c r="E209">
        <v>0.03</v>
      </c>
      <c r="F209">
        <v>0.02</v>
      </c>
      <c r="G209">
        <v>0.05</v>
      </c>
      <c r="H209">
        <v>0</v>
      </c>
      <c r="I209">
        <v>0.3</v>
      </c>
      <c r="J209">
        <v>0.01</v>
      </c>
      <c r="K209">
        <v>0.03</v>
      </c>
      <c r="L209" t="s">
        <v>8</v>
      </c>
      <c r="M209" t="s">
        <v>23</v>
      </c>
    </row>
    <row r="210" spans="1:13" x14ac:dyDescent="0.45">
      <c r="A210" t="s">
        <v>7</v>
      </c>
      <c r="B210" t="s">
        <v>143</v>
      </c>
      <c r="C210">
        <v>2035</v>
      </c>
      <c r="D210">
        <v>73</v>
      </c>
      <c r="E210">
        <v>0.03</v>
      </c>
      <c r="F210">
        <v>0.03</v>
      </c>
      <c r="G210">
        <v>0.03</v>
      </c>
      <c r="H210">
        <v>0</v>
      </c>
      <c r="I210">
        <v>0.09</v>
      </c>
      <c r="J210">
        <v>0.01</v>
      </c>
      <c r="K210">
        <v>0.04</v>
      </c>
      <c r="L210" t="s">
        <v>8</v>
      </c>
      <c r="M210" t="s">
        <v>23</v>
      </c>
    </row>
    <row r="211" spans="1:13" x14ac:dyDescent="0.45">
      <c r="A211" t="s">
        <v>7</v>
      </c>
      <c r="B211" t="s">
        <v>143</v>
      </c>
      <c r="C211">
        <v>2040</v>
      </c>
      <c r="D211">
        <v>79</v>
      </c>
      <c r="E211">
        <v>0.04</v>
      </c>
      <c r="F211">
        <v>0.04</v>
      </c>
      <c r="G211">
        <v>0.04</v>
      </c>
      <c r="H211">
        <v>0.01</v>
      </c>
      <c r="I211">
        <v>0.13</v>
      </c>
      <c r="J211">
        <v>0.01</v>
      </c>
      <c r="K211">
        <v>0.06</v>
      </c>
      <c r="L211" t="s">
        <v>8</v>
      </c>
      <c r="M211" t="s">
        <v>23</v>
      </c>
    </row>
    <row r="212" spans="1:13" x14ac:dyDescent="0.45">
      <c r="A212" t="s">
        <v>7</v>
      </c>
      <c r="B212" t="s">
        <v>143</v>
      </c>
      <c r="C212">
        <v>2045</v>
      </c>
      <c r="D212">
        <v>73</v>
      </c>
      <c r="E212">
        <v>0.06</v>
      </c>
      <c r="F212">
        <v>0.06</v>
      </c>
      <c r="G212">
        <v>0.05</v>
      </c>
      <c r="H212">
        <v>0.01</v>
      </c>
      <c r="I212">
        <v>0.17</v>
      </c>
      <c r="J212">
        <v>0.02</v>
      </c>
      <c r="K212">
        <v>0.08</v>
      </c>
      <c r="L212" t="s">
        <v>8</v>
      </c>
      <c r="M212" t="s">
        <v>23</v>
      </c>
    </row>
    <row r="213" spans="1:13" x14ac:dyDescent="0.45">
      <c r="A213" t="s">
        <v>7</v>
      </c>
      <c r="B213" t="s">
        <v>143</v>
      </c>
      <c r="C213">
        <v>2050</v>
      </c>
      <c r="D213">
        <v>79</v>
      </c>
      <c r="E213">
        <v>7.0000000000000007E-2</v>
      </c>
      <c r="F213">
        <v>0.06</v>
      </c>
      <c r="G213">
        <v>7.0000000000000007E-2</v>
      </c>
      <c r="H213">
        <v>0.01</v>
      </c>
      <c r="I213">
        <v>0.22</v>
      </c>
      <c r="J213">
        <v>0.02</v>
      </c>
      <c r="K213">
        <v>0.11</v>
      </c>
      <c r="L213" t="s">
        <v>8</v>
      </c>
      <c r="M213" t="s">
        <v>23</v>
      </c>
    </row>
    <row r="214" spans="1:13" x14ac:dyDescent="0.45">
      <c r="A214" t="s">
        <v>9</v>
      </c>
      <c r="B214" t="s">
        <v>143</v>
      </c>
      <c r="C214">
        <v>2020</v>
      </c>
      <c r="D214">
        <v>59</v>
      </c>
      <c r="E214">
        <v>0.01</v>
      </c>
      <c r="F214">
        <v>0.01</v>
      </c>
      <c r="G214">
        <v>0.01</v>
      </c>
      <c r="H214">
        <v>0</v>
      </c>
      <c r="I214">
        <v>0.02</v>
      </c>
      <c r="J214">
        <v>0.01</v>
      </c>
      <c r="K214">
        <v>0.01</v>
      </c>
      <c r="L214" t="s">
        <v>10</v>
      </c>
      <c r="M214" t="s">
        <v>23</v>
      </c>
    </row>
    <row r="215" spans="1:13" x14ac:dyDescent="0.45">
      <c r="A215" t="s">
        <v>9</v>
      </c>
      <c r="B215" t="s">
        <v>143</v>
      </c>
      <c r="C215">
        <v>2025</v>
      </c>
      <c r="D215">
        <v>54</v>
      </c>
      <c r="E215">
        <v>0.01</v>
      </c>
      <c r="F215">
        <v>0.01</v>
      </c>
      <c r="G215">
        <v>0.01</v>
      </c>
      <c r="H215">
        <v>0</v>
      </c>
      <c r="I215">
        <v>0.03</v>
      </c>
      <c r="J215">
        <v>0.01</v>
      </c>
      <c r="K215">
        <v>0.01</v>
      </c>
      <c r="L215" t="s">
        <v>10</v>
      </c>
      <c r="M215" t="s">
        <v>23</v>
      </c>
    </row>
    <row r="216" spans="1:13" x14ac:dyDescent="0.45">
      <c r="A216" t="s">
        <v>9</v>
      </c>
      <c r="B216" t="s">
        <v>143</v>
      </c>
      <c r="C216">
        <v>2030</v>
      </c>
      <c r="D216">
        <v>59</v>
      </c>
      <c r="E216">
        <v>0.01</v>
      </c>
      <c r="F216">
        <v>0.01</v>
      </c>
      <c r="G216">
        <v>0.01</v>
      </c>
      <c r="H216">
        <v>0</v>
      </c>
      <c r="I216">
        <v>0.03</v>
      </c>
      <c r="J216">
        <v>0.01</v>
      </c>
      <c r="K216">
        <v>0.02</v>
      </c>
      <c r="L216" t="s">
        <v>10</v>
      </c>
      <c r="M216" t="s">
        <v>23</v>
      </c>
    </row>
    <row r="217" spans="1:13" x14ac:dyDescent="0.45">
      <c r="A217" t="s">
        <v>9</v>
      </c>
      <c r="B217" t="s">
        <v>143</v>
      </c>
      <c r="C217">
        <v>2035</v>
      </c>
      <c r="D217">
        <v>54</v>
      </c>
      <c r="E217">
        <v>0.02</v>
      </c>
      <c r="F217">
        <v>0.02</v>
      </c>
      <c r="G217">
        <v>0.01</v>
      </c>
      <c r="H217">
        <v>0</v>
      </c>
      <c r="I217">
        <v>0.04</v>
      </c>
      <c r="J217">
        <v>0.01</v>
      </c>
      <c r="K217">
        <v>0.03</v>
      </c>
      <c r="L217" t="s">
        <v>10</v>
      </c>
      <c r="M217" t="s">
        <v>23</v>
      </c>
    </row>
    <row r="218" spans="1:13" x14ac:dyDescent="0.45">
      <c r="A218" t="s">
        <v>9</v>
      </c>
      <c r="B218" t="s">
        <v>143</v>
      </c>
      <c r="C218">
        <v>2040</v>
      </c>
      <c r="D218">
        <v>59</v>
      </c>
      <c r="E218">
        <v>0.02</v>
      </c>
      <c r="F218">
        <v>0.02</v>
      </c>
      <c r="G218">
        <v>0.02</v>
      </c>
      <c r="H218">
        <v>0</v>
      </c>
      <c r="I218">
        <v>0.06</v>
      </c>
      <c r="J218">
        <v>0.01</v>
      </c>
      <c r="K218">
        <v>0.03</v>
      </c>
      <c r="L218" t="s">
        <v>10</v>
      </c>
      <c r="M218" t="s">
        <v>23</v>
      </c>
    </row>
    <row r="219" spans="1:13" x14ac:dyDescent="0.45">
      <c r="A219" t="s">
        <v>9</v>
      </c>
      <c r="B219" t="s">
        <v>143</v>
      </c>
      <c r="C219">
        <v>2045</v>
      </c>
      <c r="D219">
        <v>54</v>
      </c>
      <c r="E219">
        <v>0.03</v>
      </c>
      <c r="F219">
        <v>0.03</v>
      </c>
      <c r="G219">
        <v>0.02</v>
      </c>
      <c r="H219">
        <v>0</v>
      </c>
      <c r="I219">
        <v>0.08</v>
      </c>
      <c r="J219">
        <v>0.01</v>
      </c>
      <c r="K219">
        <v>0.05</v>
      </c>
      <c r="L219" t="s">
        <v>10</v>
      </c>
      <c r="M219" t="s">
        <v>23</v>
      </c>
    </row>
    <row r="220" spans="1:13" x14ac:dyDescent="0.45">
      <c r="A220" t="s">
        <v>9</v>
      </c>
      <c r="B220" t="s">
        <v>143</v>
      </c>
      <c r="C220">
        <v>2050</v>
      </c>
      <c r="D220">
        <v>59</v>
      </c>
      <c r="E220">
        <v>0.04</v>
      </c>
      <c r="F220">
        <v>0.03</v>
      </c>
      <c r="G220">
        <v>0.03</v>
      </c>
      <c r="H220">
        <v>0</v>
      </c>
      <c r="I220">
        <v>0.12</v>
      </c>
      <c r="J220">
        <v>0.01</v>
      </c>
      <c r="K220">
        <v>0.05</v>
      </c>
      <c r="L220" t="s">
        <v>10</v>
      </c>
      <c r="M220" t="s">
        <v>23</v>
      </c>
    </row>
    <row r="221" spans="1:13" x14ac:dyDescent="0.45">
      <c r="A221" t="s">
        <v>0</v>
      </c>
      <c r="B221" t="s">
        <v>143</v>
      </c>
      <c r="C221">
        <v>2020</v>
      </c>
      <c r="D221">
        <v>45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143</v>
      </c>
      <c r="C222">
        <v>2025</v>
      </c>
      <c r="D222">
        <v>45</v>
      </c>
      <c r="E222">
        <v>1.89</v>
      </c>
      <c r="F222">
        <v>1.42</v>
      </c>
      <c r="G222">
        <v>1.06</v>
      </c>
      <c r="H222">
        <v>0.98</v>
      </c>
      <c r="I222">
        <v>6.94</v>
      </c>
      <c r="J222">
        <v>1.25</v>
      </c>
      <c r="K222">
        <v>2.17</v>
      </c>
      <c r="L222" t="s">
        <v>1</v>
      </c>
      <c r="M222" t="s">
        <v>70</v>
      </c>
    </row>
    <row r="223" spans="1:13" x14ac:dyDescent="0.45">
      <c r="A223" t="s">
        <v>0</v>
      </c>
      <c r="B223" t="s">
        <v>143</v>
      </c>
      <c r="C223">
        <v>2030</v>
      </c>
      <c r="D223">
        <v>45</v>
      </c>
      <c r="E223">
        <v>4.08</v>
      </c>
      <c r="F223">
        <v>2.79</v>
      </c>
      <c r="G223">
        <v>3.25</v>
      </c>
      <c r="H223">
        <v>1.4</v>
      </c>
      <c r="I223">
        <v>11.77</v>
      </c>
      <c r="J223">
        <v>2.0699999999999998</v>
      </c>
      <c r="K223">
        <v>3.91</v>
      </c>
      <c r="L223" t="s">
        <v>1</v>
      </c>
      <c r="M223" t="s">
        <v>70</v>
      </c>
    </row>
    <row r="224" spans="1:13" x14ac:dyDescent="0.45">
      <c r="A224" t="s">
        <v>0</v>
      </c>
      <c r="B224" t="s">
        <v>143</v>
      </c>
      <c r="C224">
        <v>2035</v>
      </c>
      <c r="D224">
        <v>45</v>
      </c>
      <c r="E224">
        <v>6.02</v>
      </c>
      <c r="F224">
        <v>3.28</v>
      </c>
      <c r="G224">
        <v>6.72</v>
      </c>
      <c r="H224">
        <v>2.0099999999999998</v>
      </c>
      <c r="I224">
        <v>23.22</v>
      </c>
      <c r="J224">
        <v>2.5099999999999998</v>
      </c>
      <c r="K224">
        <v>4.6100000000000003</v>
      </c>
      <c r="L224" t="s">
        <v>1</v>
      </c>
      <c r="M224" t="s">
        <v>70</v>
      </c>
    </row>
    <row r="225" spans="1:13" x14ac:dyDescent="0.45">
      <c r="A225" t="s">
        <v>0</v>
      </c>
      <c r="B225" t="s">
        <v>143</v>
      </c>
      <c r="C225">
        <v>2040</v>
      </c>
      <c r="D225">
        <v>45</v>
      </c>
      <c r="E225">
        <v>8.8699999999999992</v>
      </c>
      <c r="F225">
        <v>4.2</v>
      </c>
      <c r="G225">
        <v>9.9600000000000009</v>
      </c>
      <c r="H225">
        <v>2.8</v>
      </c>
      <c r="I225">
        <v>33.03</v>
      </c>
      <c r="J225">
        <v>3.68</v>
      </c>
      <c r="K225">
        <v>6.81</v>
      </c>
      <c r="L225" t="s">
        <v>1</v>
      </c>
      <c r="M225" t="s">
        <v>70</v>
      </c>
    </row>
    <row r="226" spans="1:13" x14ac:dyDescent="0.45">
      <c r="A226" t="s">
        <v>0</v>
      </c>
      <c r="B226" t="s">
        <v>143</v>
      </c>
      <c r="C226">
        <v>2045</v>
      </c>
      <c r="D226">
        <v>45</v>
      </c>
      <c r="E226">
        <v>11.22</v>
      </c>
      <c r="F226">
        <v>5.78</v>
      </c>
      <c r="G226">
        <v>12.65</v>
      </c>
      <c r="H226">
        <v>3.1</v>
      </c>
      <c r="I226">
        <v>41.52</v>
      </c>
      <c r="J226">
        <v>4.6100000000000003</v>
      </c>
      <c r="K226">
        <v>8.3800000000000008</v>
      </c>
      <c r="L226" t="s">
        <v>1</v>
      </c>
      <c r="M226" t="s">
        <v>70</v>
      </c>
    </row>
    <row r="227" spans="1:13" x14ac:dyDescent="0.45">
      <c r="A227" t="s">
        <v>0</v>
      </c>
      <c r="B227" t="s">
        <v>143</v>
      </c>
      <c r="C227">
        <v>2050</v>
      </c>
      <c r="D227">
        <v>45</v>
      </c>
      <c r="E227">
        <v>12.65</v>
      </c>
      <c r="F227">
        <v>6.68</v>
      </c>
      <c r="G227">
        <v>14.61</v>
      </c>
      <c r="H227">
        <v>3.15</v>
      </c>
      <c r="I227">
        <v>47.39</v>
      </c>
      <c r="J227">
        <v>4.87</v>
      </c>
      <c r="K227">
        <v>9.56</v>
      </c>
      <c r="L227" t="s">
        <v>1</v>
      </c>
      <c r="M227" t="s">
        <v>70</v>
      </c>
    </row>
    <row r="228" spans="1:13" x14ac:dyDescent="0.45">
      <c r="A228" t="s">
        <v>2</v>
      </c>
      <c r="B228" t="s">
        <v>143</v>
      </c>
      <c r="C228">
        <v>2020</v>
      </c>
      <c r="D228">
        <v>44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143</v>
      </c>
      <c r="C229">
        <v>2025</v>
      </c>
      <c r="D229">
        <v>44</v>
      </c>
      <c r="E229">
        <v>1.29</v>
      </c>
      <c r="F229">
        <v>1.23</v>
      </c>
      <c r="G229">
        <v>0.37</v>
      </c>
      <c r="H229">
        <v>1.01</v>
      </c>
      <c r="I229">
        <v>2.68</v>
      </c>
      <c r="J229">
        <v>1.0900000000000001</v>
      </c>
      <c r="K229">
        <v>1.26</v>
      </c>
      <c r="L229" t="s">
        <v>3</v>
      </c>
      <c r="M229" t="s">
        <v>70</v>
      </c>
    </row>
    <row r="230" spans="1:13" x14ac:dyDescent="0.45">
      <c r="A230" t="s">
        <v>2</v>
      </c>
      <c r="B230" t="s">
        <v>143</v>
      </c>
      <c r="C230">
        <v>2030</v>
      </c>
      <c r="D230">
        <v>44</v>
      </c>
      <c r="E230">
        <v>1.88</v>
      </c>
      <c r="F230">
        <v>1.58</v>
      </c>
      <c r="G230">
        <v>0.89</v>
      </c>
      <c r="H230">
        <v>1.05</v>
      </c>
      <c r="I230">
        <v>4.2300000000000004</v>
      </c>
      <c r="J230">
        <v>1.22</v>
      </c>
      <c r="K230">
        <v>2.0699999999999998</v>
      </c>
      <c r="L230" t="s">
        <v>3</v>
      </c>
      <c r="M230" t="s">
        <v>70</v>
      </c>
    </row>
    <row r="231" spans="1:13" x14ac:dyDescent="0.45">
      <c r="A231" t="s">
        <v>2</v>
      </c>
      <c r="B231" t="s">
        <v>143</v>
      </c>
      <c r="C231">
        <v>2035</v>
      </c>
      <c r="D231">
        <v>44</v>
      </c>
      <c r="E231">
        <v>4.59</v>
      </c>
      <c r="F231">
        <v>2.4700000000000002</v>
      </c>
      <c r="G231">
        <v>7.19</v>
      </c>
      <c r="H231">
        <v>0</v>
      </c>
      <c r="I231">
        <v>43.03</v>
      </c>
      <c r="J231">
        <v>1.94</v>
      </c>
      <c r="K231">
        <v>3.7</v>
      </c>
      <c r="L231" t="s">
        <v>3</v>
      </c>
      <c r="M231" t="s">
        <v>70</v>
      </c>
    </row>
    <row r="232" spans="1:13" x14ac:dyDescent="0.45">
      <c r="A232" t="s">
        <v>2</v>
      </c>
      <c r="B232" t="s">
        <v>143</v>
      </c>
      <c r="C232">
        <v>2040</v>
      </c>
      <c r="D232">
        <v>44</v>
      </c>
      <c r="E232">
        <v>5.66</v>
      </c>
      <c r="F232">
        <v>3.55</v>
      </c>
      <c r="G232">
        <v>8.02</v>
      </c>
      <c r="H232">
        <v>0</v>
      </c>
      <c r="I232">
        <v>45.45</v>
      </c>
      <c r="J232">
        <v>2.1800000000000002</v>
      </c>
      <c r="K232">
        <v>4.55</v>
      </c>
      <c r="L232" t="s">
        <v>3</v>
      </c>
      <c r="M232" t="s">
        <v>70</v>
      </c>
    </row>
    <row r="233" spans="1:13" x14ac:dyDescent="0.45">
      <c r="A233" t="s">
        <v>2</v>
      </c>
      <c r="B233" t="s">
        <v>143</v>
      </c>
      <c r="C233">
        <v>2045</v>
      </c>
      <c r="D233">
        <v>44</v>
      </c>
      <c r="E233">
        <v>5.93</v>
      </c>
      <c r="F233">
        <v>4.43</v>
      </c>
      <c r="G233">
        <v>6.44</v>
      </c>
      <c r="H233">
        <v>0</v>
      </c>
      <c r="I233">
        <v>38.75</v>
      </c>
      <c r="J233">
        <v>2.83</v>
      </c>
      <c r="K233">
        <v>5.51</v>
      </c>
      <c r="L233" t="s">
        <v>3</v>
      </c>
      <c r="M233" t="s">
        <v>70</v>
      </c>
    </row>
    <row r="234" spans="1:13" x14ac:dyDescent="0.45">
      <c r="A234" t="s">
        <v>2</v>
      </c>
      <c r="B234" t="s">
        <v>143</v>
      </c>
      <c r="C234">
        <v>2050</v>
      </c>
      <c r="D234">
        <v>44</v>
      </c>
      <c r="E234">
        <v>5.53</v>
      </c>
      <c r="F234">
        <v>4.87</v>
      </c>
      <c r="G234">
        <v>3.17</v>
      </c>
      <c r="H234">
        <v>0</v>
      </c>
      <c r="I234">
        <v>16.7</v>
      </c>
      <c r="J234">
        <v>3.35</v>
      </c>
      <c r="K234">
        <v>6.71</v>
      </c>
      <c r="L234" t="s">
        <v>3</v>
      </c>
      <c r="M234" t="s">
        <v>70</v>
      </c>
    </row>
    <row r="235" spans="1:13" x14ac:dyDescent="0.45">
      <c r="A235" t="s">
        <v>5</v>
      </c>
      <c r="B235" t="s">
        <v>143</v>
      </c>
      <c r="C235">
        <v>2020</v>
      </c>
      <c r="D235">
        <v>111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143</v>
      </c>
      <c r="C236">
        <v>2025</v>
      </c>
      <c r="D236">
        <v>111</v>
      </c>
      <c r="E236">
        <v>1.28</v>
      </c>
      <c r="F236">
        <v>1.24</v>
      </c>
      <c r="G236">
        <v>0.38</v>
      </c>
      <c r="H236">
        <v>0</v>
      </c>
      <c r="I236">
        <v>2.27</v>
      </c>
      <c r="J236">
        <v>1.04</v>
      </c>
      <c r="K236">
        <v>1.41</v>
      </c>
      <c r="L236" t="s">
        <v>6</v>
      </c>
      <c r="M236" t="s">
        <v>70</v>
      </c>
    </row>
    <row r="237" spans="1:13" x14ac:dyDescent="0.45">
      <c r="A237" t="s">
        <v>5</v>
      </c>
      <c r="B237" t="s">
        <v>143</v>
      </c>
      <c r="C237">
        <v>2030</v>
      </c>
      <c r="D237">
        <v>111</v>
      </c>
      <c r="E237">
        <v>1.75</v>
      </c>
      <c r="F237">
        <v>1.8</v>
      </c>
      <c r="G237">
        <v>0.56999999999999995</v>
      </c>
      <c r="H237">
        <v>0</v>
      </c>
      <c r="I237">
        <v>3.34</v>
      </c>
      <c r="J237">
        <v>1.3</v>
      </c>
      <c r="K237">
        <v>2.0699999999999998</v>
      </c>
      <c r="L237" t="s">
        <v>6</v>
      </c>
      <c r="M237" t="s">
        <v>70</v>
      </c>
    </row>
    <row r="238" spans="1:13" x14ac:dyDescent="0.45">
      <c r="A238" t="s">
        <v>5</v>
      </c>
      <c r="B238" t="s">
        <v>143</v>
      </c>
      <c r="C238">
        <v>2035</v>
      </c>
      <c r="D238">
        <v>111</v>
      </c>
      <c r="E238">
        <v>2.35</v>
      </c>
      <c r="F238">
        <v>2.2000000000000002</v>
      </c>
      <c r="G238">
        <v>1.1000000000000001</v>
      </c>
      <c r="H238">
        <v>0</v>
      </c>
      <c r="I238">
        <v>9.6999999999999993</v>
      </c>
      <c r="J238">
        <v>1.74</v>
      </c>
      <c r="K238">
        <v>2.67</v>
      </c>
      <c r="L238" t="s">
        <v>6</v>
      </c>
      <c r="M238" t="s">
        <v>70</v>
      </c>
    </row>
    <row r="239" spans="1:13" x14ac:dyDescent="0.45">
      <c r="A239" t="s">
        <v>5</v>
      </c>
      <c r="B239" t="s">
        <v>143</v>
      </c>
      <c r="C239">
        <v>2040</v>
      </c>
      <c r="D239">
        <v>111</v>
      </c>
      <c r="E239">
        <v>3.01</v>
      </c>
      <c r="F239">
        <v>2.78</v>
      </c>
      <c r="G239">
        <v>1.52</v>
      </c>
      <c r="H239">
        <v>0</v>
      </c>
      <c r="I239">
        <v>14.06</v>
      </c>
      <c r="J239">
        <v>2.23</v>
      </c>
      <c r="K239">
        <v>3.41</v>
      </c>
      <c r="L239" t="s">
        <v>6</v>
      </c>
      <c r="M239" t="s">
        <v>70</v>
      </c>
    </row>
    <row r="240" spans="1:13" x14ac:dyDescent="0.45">
      <c r="A240" t="s">
        <v>5</v>
      </c>
      <c r="B240" t="s">
        <v>143</v>
      </c>
      <c r="C240">
        <v>2045</v>
      </c>
      <c r="D240">
        <v>111</v>
      </c>
      <c r="E240">
        <v>3.61</v>
      </c>
      <c r="F240">
        <v>3.29</v>
      </c>
      <c r="G240">
        <v>1.52</v>
      </c>
      <c r="H240">
        <v>0</v>
      </c>
      <c r="I240">
        <v>12.8</v>
      </c>
      <c r="J240">
        <v>2.9</v>
      </c>
      <c r="K240">
        <v>4.16</v>
      </c>
      <c r="L240" t="s">
        <v>6</v>
      </c>
      <c r="M240" t="s">
        <v>70</v>
      </c>
    </row>
    <row r="241" spans="1:13" x14ac:dyDescent="0.45">
      <c r="A241" t="s">
        <v>5</v>
      </c>
      <c r="B241" t="s">
        <v>143</v>
      </c>
      <c r="C241">
        <v>2050</v>
      </c>
      <c r="D241">
        <v>111</v>
      </c>
      <c r="E241">
        <v>4.09</v>
      </c>
      <c r="F241">
        <v>3.81</v>
      </c>
      <c r="G241">
        <v>1.61</v>
      </c>
      <c r="H241">
        <v>0</v>
      </c>
      <c r="I241">
        <v>8.86</v>
      </c>
      <c r="J241">
        <v>3.07</v>
      </c>
      <c r="K241">
        <v>4.71</v>
      </c>
      <c r="L241" t="s">
        <v>6</v>
      </c>
      <c r="M241" t="s">
        <v>70</v>
      </c>
    </row>
    <row r="242" spans="1:13" x14ac:dyDescent="0.45">
      <c r="A242" t="s">
        <v>7</v>
      </c>
      <c r="B242" t="s">
        <v>143</v>
      </c>
      <c r="C242">
        <v>2020</v>
      </c>
      <c r="D242">
        <v>30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143</v>
      </c>
      <c r="C243">
        <v>2025</v>
      </c>
      <c r="D243">
        <v>30</v>
      </c>
      <c r="E243">
        <v>1.19</v>
      </c>
      <c r="F243">
        <v>1.1599999999999999</v>
      </c>
      <c r="G243">
        <v>0.14000000000000001</v>
      </c>
      <c r="H243">
        <v>1.02</v>
      </c>
      <c r="I243">
        <v>1.48</v>
      </c>
      <c r="J243">
        <v>1.04</v>
      </c>
      <c r="K243">
        <v>1.3</v>
      </c>
      <c r="L243" t="s">
        <v>8</v>
      </c>
      <c r="M243" t="s">
        <v>70</v>
      </c>
    </row>
    <row r="244" spans="1:13" x14ac:dyDescent="0.45">
      <c r="A244" t="s">
        <v>7</v>
      </c>
      <c r="B244" t="s">
        <v>143</v>
      </c>
      <c r="C244">
        <v>2030</v>
      </c>
      <c r="D244">
        <v>30</v>
      </c>
      <c r="E244">
        <v>1.5</v>
      </c>
      <c r="F244">
        <v>1.54</v>
      </c>
      <c r="G244">
        <v>0.33</v>
      </c>
      <c r="H244">
        <v>1.01</v>
      </c>
      <c r="I244">
        <v>2.0499999999999998</v>
      </c>
      <c r="J244">
        <v>1.1499999999999999</v>
      </c>
      <c r="K244">
        <v>1.77</v>
      </c>
      <c r="L244" t="s">
        <v>8</v>
      </c>
      <c r="M244" t="s">
        <v>70</v>
      </c>
    </row>
    <row r="245" spans="1:13" x14ac:dyDescent="0.45">
      <c r="A245" t="s">
        <v>7</v>
      </c>
      <c r="B245" t="s">
        <v>143</v>
      </c>
      <c r="C245">
        <v>2035</v>
      </c>
      <c r="D245">
        <v>30</v>
      </c>
      <c r="E245">
        <v>1.89</v>
      </c>
      <c r="F245">
        <v>1.73</v>
      </c>
      <c r="G245">
        <v>0.53</v>
      </c>
      <c r="H245">
        <v>0.84</v>
      </c>
      <c r="I245">
        <v>3.21</v>
      </c>
      <c r="J245">
        <v>1.61</v>
      </c>
      <c r="K245">
        <v>2.0499999999999998</v>
      </c>
      <c r="L245" t="s">
        <v>8</v>
      </c>
      <c r="M245" t="s">
        <v>70</v>
      </c>
    </row>
    <row r="246" spans="1:13" x14ac:dyDescent="0.45">
      <c r="A246" t="s">
        <v>7</v>
      </c>
      <c r="B246" t="s">
        <v>143</v>
      </c>
      <c r="C246">
        <v>2040</v>
      </c>
      <c r="D246">
        <v>30</v>
      </c>
      <c r="E246">
        <v>2.34</v>
      </c>
      <c r="F246">
        <v>2.02</v>
      </c>
      <c r="G246">
        <v>0.79</v>
      </c>
      <c r="H246">
        <v>0.95</v>
      </c>
      <c r="I246">
        <v>5.05</v>
      </c>
      <c r="J246">
        <v>1.95</v>
      </c>
      <c r="K246">
        <v>2.29</v>
      </c>
      <c r="L246" t="s">
        <v>8</v>
      </c>
      <c r="M246" t="s">
        <v>70</v>
      </c>
    </row>
    <row r="247" spans="1:13" x14ac:dyDescent="0.45">
      <c r="A247" t="s">
        <v>7</v>
      </c>
      <c r="B247" t="s">
        <v>143</v>
      </c>
      <c r="C247">
        <v>2045</v>
      </c>
      <c r="D247">
        <v>30</v>
      </c>
      <c r="E247">
        <v>2.63</v>
      </c>
      <c r="F247">
        <v>2.27</v>
      </c>
      <c r="G247">
        <v>0.96</v>
      </c>
      <c r="H247">
        <v>0.93</v>
      </c>
      <c r="I247">
        <v>5.96</v>
      </c>
      <c r="J247">
        <v>2.2000000000000002</v>
      </c>
      <c r="K247">
        <v>2.62</v>
      </c>
      <c r="L247" t="s">
        <v>8</v>
      </c>
      <c r="M247" t="s">
        <v>70</v>
      </c>
    </row>
    <row r="248" spans="1:13" x14ac:dyDescent="0.45">
      <c r="A248" t="s">
        <v>7</v>
      </c>
      <c r="B248" t="s">
        <v>143</v>
      </c>
      <c r="C248">
        <v>2050</v>
      </c>
      <c r="D248">
        <v>30</v>
      </c>
      <c r="E248">
        <v>2.73</v>
      </c>
      <c r="F248">
        <v>2.48</v>
      </c>
      <c r="G248">
        <v>0.83</v>
      </c>
      <c r="H248">
        <v>0.92</v>
      </c>
      <c r="I248">
        <v>5.0599999999999996</v>
      </c>
      <c r="J248">
        <v>2.34</v>
      </c>
      <c r="K248">
        <v>2.92</v>
      </c>
      <c r="L248" t="s">
        <v>8</v>
      </c>
      <c r="M248" t="s">
        <v>70</v>
      </c>
    </row>
    <row r="249" spans="1:13" x14ac:dyDescent="0.45">
      <c r="A249" t="s">
        <v>9</v>
      </c>
      <c r="B249" t="s">
        <v>143</v>
      </c>
      <c r="C249">
        <v>2020</v>
      </c>
      <c r="D249">
        <v>45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143</v>
      </c>
      <c r="C250">
        <v>2025</v>
      </c>
      <c r="D250">
        <v>45</v>
      </c>
      <c r="E250">
        <v>1.07</v>
      </c>
      <c r="F250">
        <v>1.04</v>
      </c>
      <c r="G250">
        <v>0.08</v>
      </c>
      <c r="H250">
        <v>0.96</v>
      </c>
      <c r="I250">
        <v>1.24</v>
      </c>
      <c r="J250">
        <v>1.02</v>
      </c>
      <c r="K250">
        <v>1.1399999999999999</v>
      </c>
      <c r="L250" t="s">
        <v>10</v>
      </c>
      <c r="M250" t="s">
        <v>70</v>
      </c>
    </row>
    <row r="251" spans="1:13" x14ac:dyDescent="0.45">
      <c r="A251" t="s">
        <v>9</v>
      </c>
      <c r="B251" t="s">
        <v>143</v>
      </c>
      <c r="C251">
        <v>2030</v>
      </c>
      <c r="D251">
        <v>45</v>
      </c>
      <c r="E251">
        <v>1.36</v>
      </c>
      <c r="F251">
        <v>1.37</v>
      </c>
      <c r="G251">
        <v>0.23</v>
      </c>
      <c r="H251">
        <v>1.01</v>
      </c>
      <c r="I251">
        <v>1.81</v>
      </c>
      <c r="J251">
        <v>1.1399999999999999</v>
      </c>
      <c r="K251">
        <v>1.57</v>
      </c>
      <c r="L251" t="s">
        <v>10</v>
      </c>
      <c r="M251" t="s">
        <v>70</v>
      </c>
    </row>
    <row r="252" spans="1:13" x14ac:dyDescent="0.45">
      <c r="A252" t="s">
        <v>9</v>
      </c>
      <c r="B252" t="s">
        <v>143</v>
      </c>
      <c r="C252">
        <v>2035</v>
      </c>
      <c r="D252">
        <v>45</v>
      </c>
      <c r="E252">
        <v>1.31</v>
      </c>
      <c r="F252">
        <v>1.3</v>
      </c>
      <c r="G252">
        <v>0.22</v>
      </c>
      <c r="H252">
        <v>1.01</v>
      </c>
      <c r="I252">
        <v>1.98</v>
      </c>
      <c r="J252">
        <v>1.1599999999999999</v>
      </c>
      <c r="K252">
        <v>1.39</v>
      </c>
      <c r="L252" t="s">
        <v>10</v>
      </c>
      <c r="M252" t="s">
        <v>70</v>
      </c>
    </row>
    <row r="253" spans="1:13" x14ac:dyDescent="0.45">
      <c r="A253" t="s">
        <v>9</v>
      </c>
      <c r="B253" t="s">
        <v>143</v>
      </c>
      <c r="C253">
        <v>2040</v>
      </c>
      <c r="D253">
        <v>45</v>
      </c>
      <c r="E253">
        <v>1.53</v>
      </c>
      <c r="F253">
        <v>1.55</v>
      </c>
      <c r="G253">
        <v>0.28999999999999998</v>
      </c>
      <c r="H253">
        <v>1.03</v>
      </c>
      <c r="I253">
        <v>2.25</v>
      </c>
      <c r="J253">
        <v>1.38</v>
      </c>
      <c r="K253">
        <v>1.69</v>
      </c>
      <c r="L253" t="s">
        <v>10</v>
      </c>
      <c r="M253" t="s">
        <v>70</v>
      </c>
    </row>
    <row r="254" spans="1:13" x14ac:dyDescent="0.45">
      <c r="A254" t="s">
        <v>9</v>
      </c>
      <c r="B254" t="s">
        <v>143</v>
      </c>
      <c r="C254">
        <v>2045</v>
      </c>
      <c r="D254">
        <v>45</v>
      </c>
      <c r="E254">
        <v>1.64</v>
      </c>
      <c r="F254">
        <v>1.63</v>
      </c>
      <c r="G254">
        <v>0.34</v>
      </c>
      <c r="H254">
        <v>1.05</v>
      </c>
      <c r="I254">
        <v>2.5299999999999998</v>
      </c>
      <c r="J254">
        <v>1.52</v>
      </c>
      <c r="K254">
        <v>1.72</v>
      </c>
      <c r="L254" t="s">
        <v>10</v>
      </c>
      <c r="M254" t="s">
        <v>70</v>
      </c>
    </row>
    <row r="255" spans="1:13" x14ac:dyDescent="0.45">
      <c r="A255" t="s">
        <v>9</v>
      </c>
      <c r="B255" t="s">
        <v>143</v>
      </c>
      <c r="C255">
        <v>2050</v>
      </c>
      <c r="D255">
        <v>45</v>
      </c>
      <c r="E255">
        <v>1.75</v>
      </c>
      <c r="F255">
        <v>1.71</v>
      </c>
      <c r="G255">
        <v>0.41</v>
      </c>
      <c r="H255">
        <v>1.07</v>
      </c>
      <c r="I255">
        <v>2.81</v>
      </c>
      <c r="J255">
        <v>1.6</v>
      </c>
      <c r="K255">
        <v>1.91</v>
      </c>
      <c r="L255" t="s">
        <v>10</v>
      </c>
      <c r="M255" t="s">
        <v>70</v>
      </c>
    </row>
    <row r="256" spans="1:13" x14ac:dyDescent="0.45">
      <c r="A256" t="s">
        <v>0</v>
      </c>
      <c r="B256" t="s">
        <v>143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143</v>
      </c>
      <c r="C257">
        <v>2025</v>
      </c>
      <c r="D257">
        <v>50</v>
      </c>
      <c r="E257">
        <v>1.68</v>
      </c>
      <c r="F257">
        <v>1.62</v>
      </c>
      <c r="G257">
        <v>0.68</v>
      </c>
      <c r="H257">
        <v>0.33</v>
      </c>
      <c r="I257">
        <v>4.1399999999999997</v>
      </c>
      <c r="J257">
        <v>1.3</v>
      </c>
      <c r="K257">
        <v>1.93</v>
      </c>
      <c r="L257" t="s">
        <v>1</v>
      </c>
      <c r="M257" t="s">
        <v>71</v>
      </c>
    </row>
    <row r="258" spans="1:13" x14ac:dyDescent="0.45">
      <c r="A258" t="s">
        <v>0</v>
      </c>
      <c r="B258" t="s">
        <v>143</v>
      </c>
      <c r="C258">
        <v>2030</v>
      </c>
      <c r="D258">
        <v>50</v>
      </c>
      <c r="E258">
        <v>2.57</v>
      </c>
      <c r="F258">
        <v>2.44</v>
      </c>
      <c r="G258">
        <v>1.27</v>
      </c>
      <c r="H258">
        <v>0.28000000000000003</v>
      </c>
      <c r="I258">
        <v>7.3</v>
      </c>
      <c r="J258">
        <v>1.85</v>
      </c>
      <c r="K258">
        <v>3.34</v>
      </c>
      <c r="L258" t="s">
        <v>1</v>
      </c>
      <c r="M258" t="s">
        <v>71</v>
      </c>
    </row>
    <row r="259" spans="1:13" x14ac:dyDescent="0.45">
      <c r="A259" t="s">
        <v>0</v>
      </c>
      <c r="B259" t="s">
        <v>143</v>
      </c>
      <c r="C259">
        <v>2035</v>
      </c>
      <c r="D259">
        <v>50</v>
      </c>
      <c r="E259">
        <v>3.06</v>
      </c>
      <c r="F259">
        <v>2.7</v>
      </c>
      <c r="G259">
        <v>1.67</v>
      </c>
      <c r="H259">
        <v>0.31</v>
      </c>
      <c r="I259">
        <v>7.57</v>
      </c>
      <c r="J259">
        <v>2.1800000000000002</v>
      </c>
      <c r="K259">
        <v>3.28</v>
      </c>
      <c r="L259" t="s">
        <v>1</v>
      </c>
      <c r="M259" t="s">
        <v>71</v>
      </c>
    </row>
    <row r="260" spans="1:13" x14ac:dyDescent="0.45">
      <c r="A260" t="s">
        <v>0</v>
      </c>
      <c r="B260" t="s">
        <v>143</v>
      </c>
      <c r="C260">
        <v>2040</v>
      </c>
      <c r="D260">
        <v>50</v>
      </c>
      <c r="E260">
        <v>3.98</v>
      </c>
      <c r="F260">
        <v>3.54</v>
      </c>
      <c r="G260">
        <v>1.98</v>
      </c>
      <c r="H260">
        <v>0.25</v>
      </c>
      <c r="I260">
        <v>8.4</v>
      </c>
      <c r="J260">
        <v>2.98</v>
      </c>
      <c r="K260">
        <v>5.07</v>
      </c>
      <c r="L260" t="s">
        <v>1</v>
      </c>
      <c r="M260" t="s">
        <v>71</v>
      </c>
    </row>
    <row r="261" spans="1:13" x14ac:dyDescent="0.45">
      <c r="A261" t="s">
        <v>0</v>
      </c>
      <c r="B261" t="s">
        <v>143</v>
      </c>
      <c r="C261">
        <v>2045</v>
      </c>
      <c r="D261">
        <v>50</v>
      </c>
      <c r="E261">
        <v>4.59</v>
      </c>
      <c r="F261">
        <v>4.41</v>
      </c>
      <c r="G261">
        <v>2.66</v>
      </c>
      <c r="H261">
        <v>0.13</v>
      </c>
      <c r="I261">
        <v>9.58</v>
      </c>
      <c r="J261">
        <v>3.37</v>
      </c>
      <c r="K261">
        <v>5.82</v>
      </c>
      <c r="L261" t="s">
        <v>1</v>
      </c>
      <c r="M261" t="s">
        <v>71</v>
      </c>
    </row>
    <row r="262" spans="1:13" x14ac:dyDescent="0.45">
      <c r="A262" t="s">
        <v>0</v>
      </c>
      <c r="B262" t="s">
        <v>143</v>
      </c>
      <c r="C262">
        <v>2050</v>
      </c>
      <c r="D262">
        <v>50</v>
      </c>
      <c r="E262">
        <v>5</v>
      </c>
      <c r="F262">
        <v>4.6399999999999997</v>
      </c>
      <c r="G262">
        <v>3.13</v>
      </c>
      <c r="H262">
        <v>-0.06</v>
      </c>
      <c r="I262">
        <v>10.78</v>
      </c>
      <c r="J262">
        <v>3.83</v>
      </c>
      <c r="K262">
        <v>6.14</v>
      </c>
      <c r="L262" t="s">
        <v>1</v>
      </c>
      <c r="M262" t="s">
        <v>71</v>
      </c>
    </row>
    <row r="263" spans="1:13" x14ac:dyDescent="0.45">
      <c r="A263" t="s">
        <v>2</v>
      </c>
      <c r="B263" t="s">
        <v>143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143</v>
      </c>
      <c r="C264">
        <v>2025</v>
      </c>
      <c r="D264">
        <v>52</v>
      </c>
      <c r="E264">
        <v>1.41</v>
      </c>
      <c r="F264">
        <v>1.37</v>
      </c>
      <c r="G264">
        <v>0.27</v>
      </c>
      <c r="H264">
        <v>1.03</v>
      </c>
      <c r="I264">
        <v>1.93</v>
      </c>
      <c r="J264">
        <v>1.18</v>
      </c>
      <c r="K264">
        <v>1.59</v>
      </c>
      <c r="L264" t="s">
        <v>3</v>
      </c>
      <c r="M264" t="s">
        <v>71</v>
      </c>
    </row>
    <row r="265" spans="1:13" x14ac:dyDescent="0.45">
      <c r="A265" t="s">
        <v>2</v>
      </c>
      <c r="B265" t="s">
        <v>143</v>
      </c>
      <c r="C265">
        <v>2030</v>
      </c>
      <c r="D265">
        <v>63</v>
      </c>
      <c r="E265">
        <v>2.04</v>
      </c>
      <c r="F265">
        <v>1.53</v>
      </c>
      <c r="G265">
        <v>1.47</v>
      </c>
      <c r="H265">
        <v>0.82</v>
      </c>
      <c r="I265">
        <v>8</v>
      </c>
      <c r="J265">
        <v>1.18</v>
      </c>
      <c r="K265">
        <v>2.3199999999999998</v>
      </c>
      <c r="L265" t="s">
        <v>3</v>
      </c>
      <c r="M265" t="s">
        <v>71</v>
      </c>
    </row>
    <row r="266" spans="1:13" x14ac:dyDescent="0.45">
      <c r="A266" t="s">
        <v>2</v>
      </c>
      <c r="B266" t="s">
        <v>143</v>
      </c>
      <c r="C266">
        <v>2035</v>
      </c>
      <c r="D266">
        <v>52</v>
      </c>
      <c r="E266">
        <v>2.91</v>
      </c>
      <c r="F266">
        <v>1.99</v>
      </c>
      <c r="G266">
        <v>3.74</v>
      </c>
      <c r="H266">
        <v>0.76</v>
      </c>
      <c r="I266">
        <v>21.7</v>
      </c>
      <c r="J266">
        <v>1.32</v>
      </c>
      <c r="K266">
        <v>2.62</v>
      </c>
      <c r="L266" t="s">
        <v>3</v>
      </c>
      <c r="M266" t="s">
        <v>71</v>
      </c>
    </row>
    <row r="267" spans="1:13" x14ac:dyDescent="0.45">
      <c r="A267" t="s">
        <v>2</v>
      </c>
      <c r="B267" t="s">
        <v>143</v>
      </c>
      <c r="C267">
        <v>2040</v>
      </c>
      <c r="D267">
        <v>63</v>
      </c>
      <c r="E267">
        <v>3.43</v>
      </c>
      <c r="F267">
        <v>2.5099999999999998</v>
      </c>
      <c r="G267">
        <v>3.41</v>
      </c>
      <c r="H267">
        <v>0</v>
      </c>
      <c r="I267">
        <v>19.86</v>
      </c>
      <c r="J267">
        <v>1.63</v>
      </c>
      <c r="K267">
        <v>3.54</v>
      </c>
      <c r="L267" t="s">
        <v>3</v>
      </c>
      <c r="M267" t="s">
        <v>71</v>
      </c>
    </row>
    <row r="268" spans="1:13" x14ac:dyDescent="0.45">
      <c r="A268" t="s">
        <v>2</v>
      </c>
      <c r="B268" t="s">
        <v>143</v>
      </c>
      <c r="C268">
        <v>2045</v>
      </c>
      <c r="D268">
        <v>52</v>
      </c>
      <c r="E268">
        <v>2.95</v>
      </c>
      <c r="F268">
        <v>2.52</v>
      </c>
      <c r="G268">
        <v>1.96</v>
      </c>
      <c r="H268">
        <v>0</v>
      </c>
      <c r="I268">
        <v>9.93</v>
      </c>
      <c r="J268">
        <v>1.68</v>
      </c>
      <c r="K268">
        <v>3.98</v>
      </c>
      <c r="L268" t="s">
        <v>3</v>
      </c>
      <c r="M268" t="s">
        <v>71</v>
      </c>
    </row>
    <row r="269" spans="1:13" x14ac:dyDescent="0.45">
      <c r="A269" t="s">
        <v>2</v>
      </c>
      <c r="B269" t="s">
        <v>143</v>
      </c>
      <c r="C269">
        <v>2050</v>
      </c>
      <c r="D269">
        <v>63</v>
      </c>
      <c r="E269">
        <v>3.43</v>
      </c>
      <c r="F269">
        <v>1.98</v>
      </c>
      <c r="G269">
        <v>3.94</v>
      </c>
      <c r="H269">
        <v>0</v>
      </c>
      <c r="I269">
        <v>19.37</v>
      </c>
      <c r="J269">
        <v>1.33</v>
      </c>
      <c r="K269">
        <v>4.25</v>
      </c>
      <c r="L269" t="s">
        <v>3</v>
      </c>
      <c r="M269" t="s">
        <v>71</v>
      </c>
    </row>
    <row r="270" spans="1:13" x14ac:dyDescent="0.45">
      <c r="A270" t="s">
        <v>5</v>
      </c>
      <c r="B270" t="s">
        <v>143</v>
      </c>
      <c r="C270">
        <v>2020</v>
      </c>
      <c r="D270">
        <v>163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143</v>
      </c>
      <c r="C271">
        <v>2025</v>
      </c>
      <c r="D271">
        <v>160</v>
      </c>
      <c r="E271">
        <v>1.38</v>
      </c>
      <c r="F271">
        <v>1.38</v>
      </c>
      <c r="G271">
        <v>0.27</v>
      </c>
      <c r="H271">
        <v>0</v>
      </c>
      <c r="I271">
        <v>1.97</v>
      </c>
      <c r="J271">
        <v>1.1499999999999999</v>
      </c>
      <c r="K271">
        <v>1.59</v>
      </c>
      <c r="L271" t="s">
        <v>6</v>
      </c>
      <c r="M271" t="s">
        <v>71</v>
      </c>
    </row>
    <row r="272" spans="1:13" x14ac:dyDescent="0.45">
      <c r="A272" t="s">
        <v>5</v>
      </c>
      <c r="B272" t="s">
        <v>143</v>
      </c>
      <c r="C272">
        <v>2030</v>
      </c>
      <c r="D272">
        <v>163</v>
      </c>
      <c r="E272">
        <v>1.73</v>
      </c>
      <c r="F272">
        <v>1.67</v>
      </c>
      <c r="G272">
        <v>0.56000000000000005</v>
      </c>
      <c r="H272">
        <v>0</v>
      </c>
      <c r="I272">
        <v>3.35</v>
      </c>
      <c r="J272">
        <v>1.29</v>
      </c>
      <c r="K272">
        <v>2.16</v>
      </c>
      <c r="L272" t="s">
        <v>6</v>
      </c>
      <c r="M272" t="s">
        <v>71</v>
      </c>
    </row>
    <row r="273" spans="1:13" x14ac:dyDescent="0.45">
      <c r="A273" t="s">
        <v>5</v>
      </c>
      <c r="B273" t="s">
        <v>143</v>
      </c>
      <c r="C273">
        <v>2035</v>
      </c>
      <c r="D273">
        <v>160</v>
      </c>
      <c r="E273">
        <v>1.97</v>
      </c>
      <c r="F273">
        <v>1.79</v>
      </c>
      <c r="G273">
        <v>0.85</v>
      </c>
      <c r="H273">
        <v>0</v>
      </c>
      <c r="I273">
        <v>8.33</v>
      </c>
      <c r="J273">
        <v>1.58</v>
      </c>
      <c r="K273">
        <v>2.25</v>
      </c>
      <c r="L273" t="s">
        <v>6</v>
      </c>
      <c r="M273" t="s">
        <v>71</v>
      </c>
    </row>
    <row r="274" spans="1:13" x14ac:dyDescent="0.45">
      <c r="A274" t="s">
        <v>5</v>
      </c>
      <c r="B274" t="s">
        <v>143</v>
      </c>
      <c r="C274">
        <v>2040</v>
      </c>
      <c r="D274">
        <v>163</v>
      </c>
      <c r="E274">
        <v>2.37</v>
      </c>
      <c r="F274">
        <v>2.31</v>
      </c>
      <c r="G274">
        <v>1.03</v>
      </c>
      <c r="H274">
        <v>0</v>
      </c>
      <c r="I274">
        <v>10.31</v>
      </c>
      <c r="J274">
        <v>1.79</v>
      </c>
      <c r="K274">
        <v>2.68</v>
      </c>
      <c r="L274" t="s">
        <v>6</v>
      </c>
      <c r="M274" t="s">
        <v>71</v>
      </c>
    </row>
    <row r="275" spans="1:13" x14ac:dyDescent="0.45">
      <c r="A275" t="s">
        <v>5</v>
      </c>
      <c r="B275" t="s">
        <v>143</v>
      </c>
      <c r="C275">
        <v>2045</v>
      </c>
      <c r="D275">
        <v>160</v>
      </c>
      <c r="E275">
        <v>2.79</v>
      </c>
      <c r="F275">
        <v>2.8</v>
      </c>
      <c r="G275">
        <v>1.1299999999999999</v>
      </c>
      <c r="H275">
        <v>0</v>
      </c>
      <c r="I275">
        <v>8.11</v>
      </c>
      <c r="J275">
        <v>2.1</v>
      </c>
      <c r="K275">
        <v>3.28</v>
      </c>
      <c r="L275" t="s">
        <v>6</v>
      </c>
      <c r="M275" t="s">
        <v>71</v>
      </c>
    </row>
    <row r="276" spans="1:13" x14ac:dyDescent="0.45">
      <c r="A276" t="s">
        <v>5</v>
      </c>
      <c r="B276" t="s">
        <v>143</v>
      </c>
      <c r="C276">
        <v>2050</v>
      </c>
      <c r="D276">
        <v>163</v>
      </c>
      <c r="E276">
        <v>2.89</v>
      </c>
      <c r="F276">
        <v>2.96</v>
      </c>
      <c r="G276">
        <v>1.3</v>
      </c>
      <c r="H276">
        <v>0</v>
      </c>
      <c r="I276">
        <v>7.49</v>
      </c>
      <c r="J276">
        <v>1.98</v>
      </c>
      <c r="K276">
        <v>3.61</v>
      </c>
      <c r="L276" t="s">
        <v>6</v>
      </c>
      <c r="M276" t="s">
        <v>71</v>
      </c>
    </row>
    <row r="277" spans="1:13" x14ac:dyDescent="0.45">
      <c r="A277" t="s">
        <v>7</v>
      </c>
      <c r="B277" t="s">
        <v>143</v>
      </c>
      <c r="C277">
        <v>2020</v>
      </c>
      <c r="D277">
        <v>51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143</v>
      </c>
      <c r="C278">
        <v>2025</v>
      </c>
      <c r="D278">
        <v>51</v>
      </c>
      <c r="E278">
        <v>1.32</v>
      </c>
      <c r="F278">
        <v>1.34</v>
      </c>
      <c r="G278">
        <v>0.17</v>
      </c>
      <c r="H278">
        <v>1.01</v>
      </c>
      <c r="I278">
        <v>1.6</v>
      </c>
      <c r="J278">
        <v>1.1499999999999999</v>
      </c>
      <c r="K278">
        <v>1.45</v>
      </c>
      <c r="L278" t="s">
        <v>8</v>
      </c>
      <c r="M278" t="s">
        <v>71</v>
      </c>
    </row>
    <row r="279" spans="1:13" x14ac:dyDescent="0.45">
      <c r="A279" t="s">
        <v>7</v>
      </c>
      <c r="B279" t="s">
        <v>143</v>
      </c>
      <c r="C279">
        <v>2030</v>
      </c>
      <c r="D279">
        <v>51</v>
      </c>
      <c r="E279">
        <v>1.41</v>
      </c>
      <c r="F279">
        <v>1.31</v>
      </c>
      <c r="G279">
        <v>0.19</v>
      </c>
      <c r="H279">
        <v>1</v>
      </c>
      <c r="I279">
        <v>1.68</v>
      </c>
      <c r="J279">
        <v>1.27</v>
      </c>
      <c r="K279">
        <v>1.63</v>
      </c>
      <c r="L279" t="s">
        <v>8</v>
      </c>
      <c r="M279" t="s">
        <v>71</v>
      </c>
    </row>
    <row r="280" spans="1:13" x14ac:dyDescent="0.45">
      <c r="A280" t="s">
        <v>7</v>
      </c>
      <c r="B280" t="s">
        <v>143</v>
      </c>
      <c r="C280">
        <v>2035</v>
      </c>
      <c r="D280">
        <v>51</v>
      </c>
      <c r="E280">
        <v>1.58</v>
      </c>
      <c r="F280">
        <v>1.6</v>
      </c>
      <c r="G280">
        <v>0.22</v>
      </c>
      <c r="H280">
        <v>1.01</v>
      </c>
      <c r="I280">
        <v>2.17</v>
      </c>
      <c r="J280">
        <v>1.43</v>
      </c>
      <c r="K280">
        <v>1.69</v>
      </c>
      <c r="L280" t="s">
        <v>8</v>
      </c>
      <c r="M280" t="s">
        <v>71</v>
      </c>
    </row>
    <row r="281" spans="1:13" x14ac:dyDescent="0.45">
      <c r="A281" t="s">
        <v>7</v>
      </c>
      <c r="B281" t="s">
        <v>143</v>
      </c>
      <c r="C281">
        <v>2040</v>
      </c>
      <c r="D281">
        <v>51</v>
      </c>
      <c r="E281">
        <v>1.8</v>
      </c>
      <c r="F281">
        <v>1.78</v>
      </c>
      <c r="G281">
        <v>0.36</v>
      </c>
      <c r="H281">
        <v>0.99</v>
      </c>
      <c r="I281">
        <v>3.17</v>
      </c>
      <c r="J281">
        <v>1.53</v>
      </c>
      <c r="K281">
        <v>1.91</v>
      </c>
      <c r="L281" t="s">
        <v>8</v>
      </c>
      <c r="M281" t="s">
        <v>71</v>
      </c>
    </row>
    <row r="282" spans="1:13" x14ac:dyDescent="0.45">
      <c r="A282" t="s">
        <v>7</v>
      </c>
      <c r="B282" t="s">
        <v>143</v>
      </c>
      <c r="C282">
        <v>2045</v>
      </c>
      <c r="D282">
        <v>51</v>
      </c>
      <c r="E282">
        <v>2.02</v>
      </c>
      <c r="F282">
        <v>2</v>
      </c>
      <c r="G282">
        <v>0.45</v>
      </c>
      <c r="H282">
        <v>0.99</v>
      </c>
      <c r="I282">
        <v>3.63</v>
      </c>
      <c r="J282">
        <v>1.81</v>
      </c>
      <c r="K282">
        <v>2.1800000000000002</v>
      </c>
      <c r="L282" t="s">
        <v>8</v>
      </c>
      <c r="M282" t="s">
        <v>71</v>
      </c>
    </row>
    <row r="283" spans="1:13" x14ac:dyDescent="0.45">
      <c r="A283" t="s">
        <v>7</v>
      </c>
      <c r="B283" t="s">
        <v>143</v>
      </c>
      <c r="C283">
        <v>2050</v>
      </c>
      <c r="D283">
        <v>51</v>
      </c>
      <c r="E283">
        <v>2.11</v>
      </c>
      <c r="F283">
        <v>2.11</v>
      </c>
      <c r="G283">
        <v>0.49</v>
      </c>
      <c r="H283">
        <v>0.92</v>
      </c>
      <c r="I283">
        <v>4.0199999999999996</v>
      </c>
      <c r="J283">
        <v>1.91</v>
      </c>
      <c r="K283">
        <v>2.2799999999999998</v>
      </c>
      <c r="L283" t="s">
        <v>8</v>
      </c>
      <c r="M283" t="s">
        <v>71</v>
      </c>
    </row>
    <row r="284" spans="1:13" x14ac:dyDescent="0.45">
      <c r="A284" t="s">
        <v>9</v>
      </c>
      <c r="B284" t="s">
        <v>143</v>
      </c>
      <c r="C284">
        <v>2020</v>
      </c>
      <c r="D284">
        <v>40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143</v>
      </c>
      <c r="C285">
        <v>2025</v>
      </c>
      <c r="D285">
        <v>40</v>
      </c>
      <c r="E285">
        <v>1.23</v>
      </c>
      <c r="F285">
        <v>1.1499999999999999</v>
      </c>
      <c r="G285">
        <v>0.19</v>
      </c>
      <c r="H285">
        <v>0.92</v>
      </c>
      <c r="I285">
        <v>1.63</v>
      </c>
      <c r="J285">
        <v>1.07</v>
      </c>
      <c r="K285">
        <v>1.37</v>
      </c>
      <c r="L285" t="s">
        <v>10</v>
      </c>
      <c r="M285" t="s">
        <v>71</v>
      </c>
    </row>
    <row r="286" spans="1:13" x14ac:dyDescent="0.45">
      <c r="A286" t="s">
        <v>9</v>
      </c>
      <c r="B286" t="s">
        <v>143</v>
      </c>
      <c r="C286">
        <v>2030</v>
      </c>
      <c r="D286">
        <v>40</v>
      </c>
      <c r="E286">
        <v>1.54</v>
      </c>
      <c r="F286">
        <v>1.6</v>
      </c>
      <c r="G286">
        <v>0.41</v>
      </c>
      <c r="H286">
        <v>1</v>
      </c>
      <c r="I286">
        <v>2.66</v>
      </c>
      <c r="J286">
        <v>1.18</v>
      </c>
      <c r="K286">
        <v>1.91</v>
      </c>
      <c r="L286" t="s">
        <v>10</v>
      </c>
      <c r="M286" t="s">
        <v>71</v>
      </c>
    </row>
    <row r="287" spans="1:13" x14ac:dyDescent="0.45">
      <c r="A287" t="s">
        <v>9</v>
      </c>
      <c r="B287" t="s">
        <v>143</v>
      </c>
      <c r="C287">
        <v>2035</v>
      </c>
      <c r="D287">
        <v>40</v>
      </c>
      <c r="E287">
        <v>1.36</v>
      </c>
      <c r="F287">
        <v>1.33</v>
      </c>
      <c r="G287">
        <v>0.26</v>
      </c>
      <c r="H287">
        <v>0.99</v>
      </c>
      <c r="I287">
        <v>1.86</v>
      </c>
      <c r="J287">
        <v>1.19</v>
      </c>
      <c r="K287">
        <v>1.55</v>
      </c>
      <c r="L287" t="s">
        <v>10</v>
      </c>
      <c r="M287" t="s">
        <v>71</v>
      </c>
    </row>
    <row r="288" spans="1:13" x14ac:dyDescent="0.45">
      <c r="A288" t="s">
        <v>9</v>
      </c>
      <c r="B288" t="s">
        <v>143</v>
      </c>
      <c r="C288">
        <v>2040</v>
      </c>
      <c r="D288">
        <v>40</v>
      </c>
      <c r="E288">
        <v>1.56</v>
      </c>
      <c r="F288">
        <v>1.47</v>
      </c>
      <c r="G288">
        <v>0.37</v>
      </c>
      <c r="H288">
        <v>0.97</v>
      </c>
      <c r="I288">
        <v>2.5299999999999998</v>
      </c>
      <c r="J288">
        <v>1.29</v>
      </c>
      <c r="K288">
        <v>1.88</v>
      </c>
      <c r="L288" t="s">
        <v>10</v>
      </c>
      <c r="M288" t="s">
        <v>71</v>
      </c>
    </row>
    <row r="289" spans="1:13" x14ac:dyDescent="0.45">
      <c r="A289" t="s">
        <v>9</v>
      </c>
      <c r="B289" t="s">
        <v>143</v>
      </c>
      <c r="C289">
        <v>2045</v>
      </c>
      <c r="D289">
        <v>40</v>
      </c>
      <c r="E289">
        <v>1.66</v>
      </c>
      <c r="F289">
        <v>1.61</v>
      </c>
      <c r="G289">
        <v>0.41</v>
      </c>
      <c r="H289">
        <v>0.97</v>
      </c>
      <c r="I289">
        <v>2.62</v>
      </c>
      <c r="J289">
        <v>1.33</v>
      </c>
      <c r="K289">
        <v>2</v>
      </c>
      <c r="L289" t="s">
        <v>10</v>
      </c>
      <c r="M289" t="s">
        <v>71</v>
      </c>
    </row>
    <row r="290" spans="1:13" x14ac:dyDescent="0.45">
      <c r="A290" t="s">
        <v>9</v>
      </c>
      <c r="B290" t="s">
        <v>143</v>
      </c>
      <c r="C290">
        <v>2050</v>
      </c>
      <c r="D290">
        <v>40</v>
      </c>
      <c r="E290">
        <v>1.81</v>
      </c>
      <c r="F290">
        <v>1.77</v>
      </c>
      <c r="G290">
        <v>0.5</v>
      </c>
      <c r="H290">
        <v>0.98</v>
      </c>
      <c r="I290">
        <v>2.93</v>
      </c>
      <c r="J290">
        <v>1.39</v>
      </c>
      <c r="K290">
        <v>2.23</v>
      </c>
      <c r="L290" t="s">
        <v>10</v>
      </c>
      <c r="M290" t="s">
        <v>71</v>
      </c>
    </row>
    <row r="291" spans="1:13" x14ac:dyDescent="0.45">
      <c r="A291" t="s">
        <v>0</v>
      </c>
      <c r="B291" t="s">
        <v>143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143</v>
      </c>
      <c r="C292">
        <v>2025</v>
      </c>
      <c r="D292">
        <v>20</v>
      </c>
      <c r="E292">
        <v>7.61</v>
      </c>
      <c r="F292">
        <v>4.08</v>
      </c>
      <c r="G292">
        <v>7.12</v>
      </c>
      <c r="H292">
        <v>2.94</v>
      </c>
      <c r="I292">
        <v>29.92</v>
      </c>
      <c r="J292">
        <v>3.4</v>
      </c>
      <c r="K292">
        <v>10.6</v>
      </c>
      <c r="L292" t="s">
        <v>1</v>
      </c>
      <c r="M292" t="s">
        <v>72</v>
      </c>
    </row>
    <row r="293" spans="1:13" x14ac:dyDescent="0.45">
      <c r="A293" t="s">
        <v>0</v>
      </c>
      <c r="B293" t="s">
        <v>143</v>
      </c>
      <c r="C293">
        <v>2030</v>
      </c>
      <c r="D293">
        <v>20</v>
      </c>
      <c r="E293">
        <v>12.53</v>
      </c>
      <c r="F293">
        <v>9.2200000000000006</v>
      </c>
      <c r="G293">
        <v>11.46</v>
      </c>
      <c r="H293">
        <v>1.94</v>
      </c>
      <c r="I293">
        <v>47.8</v>
      </c>
      <c r="J293">
        <v>4.63</v>
      </c>
      <c r="K293">
        <v>14.79</v>
      </c>
      <c r="L293" t="s">
        <v>1</v>
      </c>
      <c r="M293" t="s">
        <v>72</v>
      </c>
    </row>
    <row r="294" spans="1:13" x14ac:dyDescent="0.45">
      <c r="A294" t="s">
        <v>0</v>
      </c>
      <c r="B294" t="s">
        <v>143</v>
      </c>
      <c r="C294">
        <v>2035</v>
      </c>
      <c r="D294">
        <v>20</v>
      </c>
      <c r="E294">
        <v>16.79</v>
      </c>
      <c r="F294">
        <v>17.05</v>
      </c>
      <c r="G294">
        <v>14.54</v>
      </c>
      <c r="H294">
        <v>1.7</v>
      </c>
      <c r="I294">
        <v>58.52</v>
      </c>
      <c r="J294">
        <v>4.22</v>
      </c>
      <c r="K294">
        <v>18.739999999999998</v>
      </c>
      <c r="L294" t="s">
        <v>1</v>
      </c>
      <c r="M294" t="s">
        <v>72</v>
      </c>
    </row>
    <row r="295" spans="1:13" x14ac:dyDescent="0.45">
      <c r="A295" t="s">
        <v>0</v>
      </c>
      <c r="B295" t="s">
        <v>143</v>
      </c>
      <c r="C295">
        <v>2040</v>
      </c>
      <c r="D295">
        <v>20</v>
      </c>
      <c r="E295">
        <v>21.55</v>
      </c>
      <c r="F295">
        <v>23.37</v>
      </c>
      <c r="G295">
        <v>17.690000000000001</v>
      </c>
      <c r="H295">
        <v>3.3</v>
      </c>
      <c r="I295">
        <v>69.67</v>
      </c>
      <c r="J295">
        <v>4.72</v>
      </c>
      <c r="K295">
        <v>24.63</v>
      </c>
      <c r="L295" t="s">
        <v>1</v>
      </c>
      <c r="M295" t="s">
        <v>72</v>
      </c>
    </row>
    <row r="296" spans="1:13" x14ac:dyDescent="0.45">
      <c r="A296" t="s">
        <v>0</v>
      </c>
      <c r="B296" t="s">
        <v>143</v>
      </c>
      <c r="C296">
        <v>2045</v>
      </c>
      <c r="D296">
        <v>20</v>
      </c>
      <c r="E296">
        <v>25.39</v>
      </c>
      <c r="F296">
        <v>28.77</v>
      </c>
      <c r="G296">
        <v>21.69</v>
      </c>
      <c r="H296">
        <v>3.06</v>
      </c>
      <c r="I296">
        <v>85.13</v>
      </c>
      <c r="J296">
        <v>3.99</v>
      </c>
      <c r="K296">
        <v>30.24</v>
      </c>
      <c r="L296" t="s">
        <v>1</v>
      </c>
      <c r="M296" t="s">
        <v>72</v>
      </c>
    </row>
    <row r="297" spans="1:13" x14ac:dyDescent="0.45">
      <c r="A297" t="s">
        <v>0</v>
      </c>
      <c r="B297" t="s">
        <v>143</v>
      </c>
      <c r="C297">
        <v>2050</v>
      </c>
      <c r="D297">
        <v>18</v>
      </c>
      <c r="E297">
        <v>29.74</v>
      </c>
      <c r="F297">
        <v>33.130000000000003</v>
      </c>
      <c r="G297">
        <v>24.52</v>
      </c>
      <c r="H297">
        <v>3.44</v>
      </c>
      <c r="I297">
        <v>91.86</v>
      </c>
      <c r="J297">
        <v>3.88</v>
      </c>
      <c r="K297">
        <v>35.229999999999997</v>
      </c>
      <c r="L297" t="s">
        <v>1</v>
      </c>
      <c r="M297" t="s">
        <v>72</v>
      </c>
    </row>
    <row r="298" spans="1:13" x14ac:dyDescent="0.45">
      <c r="A298" t="s">
        <v>2</v>
      </c>
      <c r="B298" t="s">
        <v>143</v>
      </c>
      <c r="C298">
        <v>2020</v>
      </c>
      <c r="D298">
        <v>18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143</v>
      </c>
      <c r="C299">
        <v>2025</v>
      </c>
      <c r="D299">
        <v>18</v>
      </c>
      <c r="E299">
        <v>3.25</v>
      </c>
      <c r="F299">
        <v>2.66</v>
      </c>
      <c r="G299">
        <v>1.95</v>
      </c>
      <c r="H299">
        <v>1.68</v>
      </c>
      <c r="I299">
        <v>10.35</v>
      </c>
      <c r="J299">
        <v>2.3199999999999998</v>
      </c>
      <c r="K299">
        <v>3.1</v>
      </c>
      <c r="L299" t="s">
        <v>3</v>
      </c>
      <c r="M299" t="s">
        <v>72</v>
      </c>
    </row>
    <row r="300" spans="1:13" x14ac:dyDescent="0.45">
      <c r="A300" t="s">
        <v>2</v>
      </c>
      <c r="B300" t="s">
        <v>143</v>
      </c>
      <c r="C300">
        <v>2030</v>
      </c>
      <c r="D300">
        <v>18</v>
      </c>
      <c r="E300">
        <v>4.8099999999999996</v>
      </c>
      <c r="F300">
        <v>3.33</v>
      </c>
      <c r="G300">
        <v>2.74</v>
      </c>
      <c r="H300">
        <v>2.77</v>
      </c>
      <c r="I300">
        <v>9.65</v>
      </c>
      <c r="J300">
        <v>2.92</v>
      </c>
      <c r="K300">
        <v>5.01</v>
      </c>
      <c r="L300" t="s">
        <v>3</v>
      </c>
      <c r="M300" t="s">
        <v>72</v>
      </c>
    </row>
    <row r="301" spans="1:13" x14ac:dyDescent="0.45">
      <c r="A301" t="s">
        <v>2</v>
      </c>
      <c r="B301" t="s">
        <v>143</v>
      </c>
      <c r="C301">
        <v>2035</v>
      </c>
      <c r="D301">
        <v>18</v>
      </c>
      <c r="E301">
        <v>7.14</v>
      </c>
      <c r="F301">
        <v>4.62</v>
      </c>
      <c r="G301">
        <v>5.56</v>
      </c>
      <c r="H301">
        <v>0</v>
      </c>
      <c r="I301">
        <v>21.32</v>
      </c>
      <c r="J301">
        <v>3.81</v>
      </c>
      <c r="K301">
        <v>10.6</v>
      </c>
      <c r="L301" t="s">
        <v>3</v>
      </c>
      <c r="M301" t="s">
        <v>72</v>
      </c>
    </row>
    <row r="302" spans="1:13" x14ac:dyDescent="0.45">
      <c r="A302" t="s">
        <v>2</v>
      </c>
      <c r="B302" t="s">
        <v>143</v>
      </c>
      <c r="C302">
        <v>2040</v>
      </c>
      <c r="D302">
        <v>18</v>
      </c>
      <c r="E302">
        <v>9.2100000000000009</v>
      </c>
      <c r="F302">
        <v>4.83</v>
      </c>
      <c r="G302">
        <v>9.36</v>
      </c>
      <c r="H302">
        <v>0</v>
      </c>
      <c r="I302">
        <v>33.340000000000003</v>
      </c>
      <c r="J302">
        <v>3.44</v>
      </c>
      <c r="K302">
        <v>13.38</v>
      </c>
      <c r="L302" t="s">
        <v>3</v>
      </c>
      <c r="M302" t="s">
        <v>72</v>
      </c>
    </row>
    <row r="303" spans="1:13" x14ac:dyDescent="0.45">
      <c r="A303" t="s">
        <v>2</v>
      </c>
      <c r="B303" t="s">
        <v>143</v>
      </c>
      <c r="C303">
        <v>2045</v>
      </c>
      <c r="D303">
        <v>17</v>
      </c>
      <c r="E303">
        <v>7.53</v>
      </c>
      <c r="F303">
        <v>5.53</v>
      </c>
      <c r="G303">
        <v>7.14</v>
      </c>
      <c r="H303">
        <v>0</v>
      </c>
      <c r="I303">
        <v>28.53</v>
      </c>
      <c r="J303">
        <v>3.04</v>
      </c>
      <c r="K303">
        <v>12.57</v>
      </c>
      <c r="L303" t="s">
        <v>3</v>
      </c>
      <c r="M303" t="s">
        <v>72</v>
      </c>
    </row>
    <row r="304" spans="1:13" x14ac:dyDescent="0.45">
      <c r="A304" t="s">
        <v>2</v>
      </c>
      <c r="B304" t="s">
        <v>143</v>
      </c>
      <c r="C304">
        <v>2050</v>
      </c>
      <c r="D304">
        <v>15</v>
      </c>
      <c r="E304">
        <v>5.33</v>
      </c>
      <c r="F304">
        <v>3.7</v>
      </c>
      <c r="G304">
        <v>3.04</v>
      </c>
      <c r="H304">
        <v>0</v>
      </c>
      <c r="I304">
        <v>11.92</v>
      </c>
      <c r="J304">
        <v>3.38</v>
      </c>
      <c r="K304">
        <v>6.81</v>
      </c>
      <c r="L304" t="s">
        <v>3</v>
      </c>
      <c r="M304" t="s">
        <v>72</v>
      </c>
    </row>
    <row r="305" spans="1:13" x14ac:dyDescent="0.45">
      <c r="A305" t="s">
        <v>5</v>
      </c>
      <c r="B305" t="s">
        <v>143</v>
      </c>
      <c r="C305">
        <v>2020</v>
      </c>
      <c r="D305">
        <v>69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143</v>
      </c>
      <c r="C306">
        <v>2025</v>
      </c>
      <c r="D306">
        <v>69</v>
      </c>
      <c r="E306">
        <v>4.26</v>
      </c>
      <c r="F306">
        <v>3.37</v>
      </c>
      <c r="G306">
        <v>2.64</v>
      </c>
      <c r="H306">
        <v>0</v>
      </c>
      <c r="I306">
        <v>14.43</v>
      </c>
      <c r="J306">
        <v>2.3199999999999998</v>
      </c>
      <c r="K306">
        <v>4.68</v>
      </c>
      <c r="L306" t="s">
        <v>6</v>
      </c>
      <c r="M306" t="s">
        <v>72</v>
      </c>
    </row>
    <row r="307" spans="1:13" x14ac:dyDescent="0.45">
      <c r="A307" t="s">
        <v>5</v>
      </c>
      <c r="B307" t="s">
        <v>143</v>
      </c>
      <c r="C307">
        <v>2030</v>
      </c>
      <c r="D307">
        <v>69</v>
      </c>
      <c r="E307">
        <v>7.11</v>
      </c>
      <c r="F307">
        <v>5.19</v>
      </c>
      <c r="G307">
        <v>4.8</v>
      </c>
      <c r="H307">
        <v>0</v>
      </c>
      <c r="I307">
        <v>22.88</v>
      </c>
      <c r="J307">
        <v>2.89</v>
      </c>
      <c r="K307">
        <v>9.61</v>
      </c>
      <c r="L307" t="s">
        <v>6</v>
      </c>
      <c r="M307" t="s">
        <v>72</v>
      </c>
    </row>
    <row r="308" spans="1:13" x14ac:dyDescent="0.45">
      <c r="A308" t="s">
        <v>5</v>
      </c>
      <c r="B308" t="s">
        <v>143</v>
      </c>
      <c r="C308">
        <v>2035</v>
      </c>
      <c r="D308">
        <v>69</v>
      </c>
      <c r="E308">
        <v>9.7799999999999994</v>
      </c>
      <c r="F308">
        <v>9.64</v>
      </c>
      <c r="G308">
        <v>6.88</v>
      </c>
      <c r="H308">
        <v>0</v>
      </c>
      <c r="I308">
        <v>30.18</v>
      </c>
      <c r="J308">
        <v>3.6</v>
      </c>
      <c r="K308">
        <v>14.65</v>
      </c>
      <c r="L308" t="s">
        <v>6</v>
      </c>
      <c r="M308" t="s">
        <v>72</v>
      </c>
    </row>
    <row r="309" spans="1:13" x14ac:dyDescent="0.45">
      <c r="A309" t="s">
        <v>5</v>
      </c>
      <c r="B309" t="s">
        <v>143</v>
      </c>
      <c r="C309">
        <v>2040</v>
      </c>
      <c r="D309">
        <v>69</v>
      </c>
      <c r="E309">
        <v>12.77</v>
      </c>
      <c r="F309">
        <v>12.01</v>
      </c>
      <c r="G309">
        <v>10.210000000000001</v>
      </c>
      <c r="H309">
        <v>0</v>
      </c>
      <c r="I309">
        <v>36.81</v>
      </c>
      <c r="J309">
        <v>3.26</v>
      </c>
      <c r="K309">
        <v>19.88</v>
      </c>
      <c r="L309" t="s">
        <v>6</v>
      </c>
      <c r="M309" t="s">
        <v>72</v>
      </c>
    </row>
    <row r="310" spans="1:13" x14ac:dyDescent="0.45">
      <c r="A310" t="s">
        <v>5</v>
      </c>
      <c r="B310" t="s">
        <v>143</v>
      </c>
      <c r="C310">
        <v>2045</v>
      </c>
      <c r="D310">
        <v>69</v>
      </c>
      <c r="E310">
        <v>14.94</v>
      </c>
      <c r="F310">
        <v>11.15</v>
      </c>
      <c r="G310">
        <v>13.33</v>
      </c>
      <c r="H310">
        <v>0</v>
      </c>
      <c r="I310">
        <v>47.01</v>
      </c>
      <c r="J310">
        <v>2.94</v>
      </c>
      <c r="K310">
        <v>24.26</v>
      </c>
      <c r="L310" t="s">
        <v>6</v>
      </c>
      <c r="M310" t="s">
        <v>72</v>
      </c>
    </row>
    <row r="311" spans="1:13" x14ac:dyDescent="0.45">
      <c r="A311" t="s">
        <v>5</v>
      </c>
      <c r="B311" t="s">
        <v>143</v>
      </c>
      <c r="C311">
        <v>2050</v>
      </c>
      <c r="D311">
        <v>63</v>
      </c>
      <c r="E311">
        <v>17.46</v>
      </c>
      <c r="F311">
        <v>5.57</v>
      </c>
      <c r="G311">
        <v>16.41</v>
      </c>
      <c r="H311">
        <v>0</v>
      </c>
      <c r="I311">
        <v>57.91</v>
      </c>
      <c r="J311">
        <v>3.21</v>
      </c>
      <c r="K311">
        <v>28.8</v>
      </c>
      <c r="L311" t="s">
        <v>6</v>
      </c>
      <c r="M311" t="s">
        <v>72</v>
      </c>
    </row>
    <row r="312" spans="1:13" x14ac:dyDescent="0.45">
      <c r="A312" t="s">
        <v>7</v>
      </c>
      <c r="B312" t="s">
        <v>143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143</v>
      </c>
      <c r="C313">
        <v>2025</v>
      </c>
      <c r="D313">
        <v>27</v>
      </c>
      <c r="E313">
        <v>3.29</v>
      </c>
      <c r="F313">
        <v>4.22</v>
      </c>
      <c r="G313">
        <v>1.71</v>
      </c>
      <c r="H313">
        <v>1.01</v>
      </c>
      <c r="I313">
        <v>6</v>
      </c>
      <c r="J313">
        <v>1.72</v>
      </c>
      <c r="K313">
        <v>4.68</v>
      </c>
      <c r="L313" t="s">
        <v>8</v>
      </c>
      <c r="M313" t="s">
        <v>72</v>
      </c>
    </row>
    <row r="314" spans="1:13" x14ac:dyDescent="0.45">
      <c r="A314" t="s">
        <v>7</v>
      </c>
      <c r="B314" t="s">
        <v>143</v>
      </c>
      <c r="C314">
        <v>2030</v>
      </c>
      <c r="D314">
        <v>27</v>
      </c>
      <c r="E314">
        <v>5.64</v>
      </c>
      <c r="F314">
        <v>6.45</v>
      </c>
      <c r="G314">
        <v>3.52</v>
      </c>
      <c r="H314">
        <v>1.06</v>
      </c>
      <c r="I314">
        <v>9.61</v>
      </c>
      <c r="J314">
        <v>2.4900000000000002</v>
      </c>
      <c r="K314">
        <v>9.6</v>
      </c>
      <c r="L314" t="s">
        <v>8</v>
      </c>
      <c r="M314" t="s">
        <v>72</v>
      </c>
    </row>
    <row r="315" spans="1:13" x14ac:dyDescent="0.45">
      <c r="A315" t="s">
        <v>7</v>
      </c>
      <c r="B315" t="s">
        <v>143</v>
      </c>
      <c r="C315">
        <v>2035</v>
      </c>
      <c r="D315">
        <v>27</v>
      </c>
      <c r="E315">
        <v>6.11</v>
      </c>
      <c r="F315">
        <v>6.79</v>
      </c>
      <c r="G315">
        <v>3.09</v>
      </c>
      <c r="H315">
        <v>2.06</v>
      </c>
      <c r="I315">
        <v>11.98</v>
      </c>
      <c r="J315">
        <v>2.98</v>
      </c>
      <c r="K315">
        <v>8.33</v>
      </c>
      <c r="L315" t="s">
        <v>8</v>
      </c>
      <c r="M315" t="s">
        <v>72</v>
      </c>
    </row>
    <row r="316" spans="1:13" x14ac:dyDescent="0.45">
      <c r="A316" t="s">
        <v>7</v>
      </c>
      <c r="B316" t="s">
        <v>143</v>
      </c>
      <c r="C316">
        <v>2040</v>
      </c>
      <c r="D316">
        <v>27</v>
      </c>
      <c r="E316">
        <v>8.31</v>
      </c>
      <c r="F316">
        <v>9.44</v>
      </c>
      <c r="G316">
        <v>4.3099999999999996</v>
      </c>
      <c r="H316">
        <v>2.2000000000000002</v>
      </c>
      <c r="I316">
        <v>14.3</v>
      </c>
      <c r="J316">
        <v>4.45</v>
      </c>
      <c r="K316">
        <v>11.39</v>
      </c>
      <c r="L316" t="s">
        <v>8</v>
      </c>
      <c r="M316" t="s">
        <v>72</v>
      </c>
    </row>
    <row r="317" spans="1:13" x14ac:dyDescent="0.45">
      <c r="A317" t="s">
        <v>7</v>
      </c>
      <c r="B317" t="s">
        <v>143</v>
      </c>
      <c r="C317">
        <v>2045</v>
      </c>
      <c r="D317">
        <v>27</v>
      </c>
      <c r="E317">
        <v>9.83</v>
      </c>
      <c r="F317">
        <v>10.97</v>
      </c>
      <c r="G317">
        <v>5.59</v>
      </c>
      <c r="H317">
        <v>2.2000000000000002</v>
      </c>
      <c r="I317">
        <v>17.59</v>
      </c>
      <c r="J317">
        <v>4.3600000000000003</v>
      </c>
      <c r="K317">
        <v>13.87</v>
      </c>
      <c r="L317" t="s">
        <v>8</v>
      </c>
      <c r="M317" t="s">
        <v>72</v>
      </c>
    </row>
    <row r="318" spans="1:13" x14ac:dyDescent="0.45">
      <c r="A318" t="s">
        <v>7</v>
      </c>
      <c r="B318" t="s">
        <v>143</v>
      </c>
      <c r="C318">
        <v>2050</v>
      </c>
      <c r="D318">
        <v>27</v>
      </c>
      <c r="E318">
        <v>10.73</v>
      </c>
      <c r="F318">
        <v>12</v>
      </c>
      <c r="G318">
        <v>6.63</v>
      </c>
      <c r="H318">
        <v>2.5299999999999998</v>
      </c>
      <c r="I318">
        <v>20.81</v>
      </c>
      <c r="J318">
        <v>3.97</v>
      </c>
      <c r="K318">
        <v>16.079999999999998</v>
      </c>
      <c r="L318" t="s">
        <v>8</v>
      </c>
      <c r="M318" t="s">
        <v>72</v>
      </c>
    </row>
    <row r="319" spans="1:13" x14ac:dyDescent="0.45">
      <c r="A319" t="s">
        <v>9</v>
      </c>
      <c r="B319" t="s">
        <v>143</v>
      </c>
      <c r="C319">
        <v>2020</v>
      </c>
      <c r="D319">
        <v>14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143</v>
      </c>
      <c r="C320">
        <v>2025</v>
      </c>
      <c r="D320">
        <v>14</v>
      </c>
      <c r="E320">
        <v>1.29</v>
      </c>
      <c r="F320">
        <v>1.08</v>
      </c>
      <c r="G320">
        <v>0.55000000000000004</v>
      </c>
      <c r="H320">
        <v>1</v>
      </c>
      <c r="I320">
        <v>3.05</v>
      </c>
      <c r="J320">
        <v>1.07</v>
      </c>
      <c r="K320">
        <v>1.0900000000000001</v>
      </c>
      <c r="L320" t="s">
        <v>10</v>
      </c>
      <c r="M320" t="s">
        <v>72</v>
      </c>
    </row>
    <row r="321" spans="1:13" x14ac:dyDescent="0.45">
      <c r="A321" t="s">
        <v>9</v>
      </c>
      <c r="B321" t="s">
        <v>143</v>
      </c>
      <c r="C321">
        <v>2030</v>
      </c>
      <c r="D321">
        <v>14</v>
      </c>
      <c r="E321">
        <v>1.82</v>
      </c>
      <c r="F321">
        <v>1.2</v>
      </c>
      <c r="G321">
        <v>2.1800000000000002</v>
      </c>
      <c r="H321">
        <v>1.03</v>
      </c>
      <c r="I321">
        <v>9.36</v>
      </c>
      <c r="J321">
        <v>1.1499999999999999</v>
      </c>
      <c r="K321">
        <v>1.26</v>
      </c>
      <c r="L321" t="s">
        <v>10</v>
      </c>
      <c r="M321" t="s">
        <v>72</v>
      </c>
    </row>
    <row r="322" spans="1:13" x14ac:dyDescent="0.45">
      <c r="A322" t="s">
        <v>9</v>
      </c>
      <c r="B322" t="s">
        <v>143</v>
      </c>
      <c r="C322">
        <v>2035</v>
      </c>
      <c r="D322">
        <v>14</v>
      </c>
      <c r="E322">
        <v>1.99</v>
      </c>
      <c r="F322">
        <v>1.34</v>
      </c>
      <c r="G322">
        <v>2.5299999999999998</v>
      </c>
      <c r="H322">
        <v>1.02</v>
      </c>
      <c r="I322">
        <v>10.74</v>
      </c>
      <c r="J322">
        <v>1.22</v>
      </c>
      <c r="K322">
        <v>1.49</v>
      </c>
      <c r="L322" t="s">
        <v>10</v>
      </c>
      <c r="M322" t="s">
        <v>72</v>
      </c>
    </row>
    <row r="323" spans="1:13" x14ac:dyDescent="0.45">
      <c r="A323" t="s">
        <v>9</v>
      </c>
      <c r="B323" t="s">
        <v>143</v>
      </c>
      <c r="C323">
        <v>2040</v>
      </c>
      <c r="D323">
        <v>14</v>
      </c>
      <c r="E323">
        <v>2.16</v>
      </c>
      <c r="F323">
        <v>1.52</v>
      </c>
      <c r="G323">
        <v>2.5499999999999998</v>
      </c>
      <c r="H323">
        <v>1.01</v>
      </c>
      <c r="I323">
        <v>10.96</v>
      </c>
      <c r="J323">
        <v>1.29</v>
      </c>
      <c r="K323">
        <v>1.79</v>
      </c>
      <c r="L323" t="s">
        <v>10</v>
      </c>
      <c r="M323" t="s">
        <v>72</v>
      </c>
    </row>
    <row r="324" spans="1:13" x14ac:dyDescent="0.45">
      <c r="A324" t="s">
        <v>9</v>
      </c>
      <c r="B324" t="s">
        <v>143</v>
      </c>
      <c r="C324">
        <v>2045</v>
      </c>
      <c r="D324">
        <v>14</v>
      </c>
      <c r="E324">
        <v>2.0699999999999998</v>
      </c>
      <c r="F324">
        <v>1.46</v>
      </c>
      <c r="G324">
        <v>2.0699999999999998</v>
      </c>
      <c r="H324">
        <v>1</v>
      </c>
      <c r="I324">
        <v>9.17</v>
      </c>
      <c r="J324">
        <v>1.35</v>
      </c>
      <c r="K324">
        <v>1.89</v>
      </c>
      <c r="L324" t="s">
        <v>10</v>
      </c>
      <c r="M324" t="s">
        <v>72</v>
      </c>
    </row>
    <row r="325" spans="1:13" x14ac:dyDescent="0.45">
      <c r="A325" t="s">
        <v>9</v>
      </c>
      <c r="B325" t="s">
        <v>143</v>
      </c>
      <c r="C325">
        <v>2050</v>
      </c>
      <c r="D325">
        <v>14</v>
      </c>
      <c r="E325">
        <v>2.23</v>
      </c>
      <c r="F325">
        <v>1.57</v>
      </c>
      <c r="G325">
        <v>2.3199999999999998</v>
      </c>
      <c r="H325">
        <v>1.01</v>
      </c>
      <c r="I325">
        <v>10.14</v>
      </c>
      <c r="J325">
        <v>1.4</v>
      </c>
      <c r="K325">
        <v>2.04</v>
      </c>
      <c r="L325" t="s">
        <v>10</v>
      </c>
      <c r="M325" t="s">
        <v>72</v>
      </c>
    </row>
    <row r="326" spans="1:13" x14ac:dyDescent="0.45">
      <c r="A326" t="s">
        <v>0</v>
      </c>
      <c r="B326" t="s">
        <v>143</v>
      </c>
      <c r="C326">
        <v>2020</v>
      </c>
      <c r="D326">
        <v>6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143</v>
      </c>
      <c r="C327">
        <v>2025</v>
      </c>
      <c r="D327">
        <v>6</v>
      </c>
      <c r="E327">
        <v>0.98</v>
      </c>
      <c r="F327">
        <v>0.99</v>
      </c>
      <c r="G327">
        <v>0.05</v>
      </c>
      <c r="H327">
        <v>0.92</v>
      </c>
      <c r="I327">
        <v>1.04</v>
      </c>
      <c r="J327">
        <v>0.93</v>
      </c>
      <c r="K327">
        <v>1.03</v>
      </c>
      <c r="L327" t="s">
        <v>1</v>
      </c>
      <c r="M327" t="s">
        <v>73</v>
      </c>
    </row>
    <row r="328" spans="1:13" x14ac:dyDescent="0.45">
      <c r="A328" t="s">
        <v>0</v>
      </c>
      <c r="B328" t="s">
        <v>143</v>
      </c>
      <c r="C328">
        <v>2030</v>
      </c>
      <c r="D328">
        <v>6</v>
      </c>
      <c r="E328">
        <v>0.92</v>
      </c>
      <c r="F328">
        <v>0.93</v>
      </c>
      <c r="G328">
        <v>0.02</v>
      </c>
      <c r="H328">
        <v>0.89</v>
      </c>
      <c r="I328">
        <v>0.95</v>
      </c>
      <c r="J328">
        <v>0.91</v>
      </c>
      <c r="K328">
        <v>0.94</v>
      </c>
      <c r="L328" t="s">
        <v>1</v>
      </c>
      <c r="M328" t="s">
        <v>73</v>
      </c>
    </row>
    <row r="329" spans="1:13" x14ac:dyDescent="0.45">
      <c r="A329" t="s">
        <v>0</v>
      </c>
      <c r="B329" t="s">
        <v>143</v>
      </c>
      <c r="C329">
        <v>2035</v>
      </c>
      <c r="D329">
        <v>6</v>
      </c>
      <c r="E329">
        <v>0.88</v>
      </c>
      <c r="F329">
        <v>0.87</v>
      </c>
      <c r="G329">
        <v>0.02</v>
      </c>
      <c r="H329">
        <v>0.86</v>
      </c>
      <c r="I329">
        <v>0.91</v>
      </c>
      <c r="J329">
        <v>0.87</v>
      </c>
      <c r="K329">
        <v>0.88</v>
      </c>
      <c r="L329" t="s">
        <v>1</v>
      </c>
      <c r="M329" t="s">
        <v>73</v>
      </c>
    </row>
    <row r="330" spans="1:13" x14ac:dyDescent="0.45">
      <c r="A330" t="s">
        <v>0</v>
      </c>
      <c r="B330" t="s">
        <v>143</v>
      </c>
      <c r="C330">
        <v>2040</v>
      </c>
      <c r="D330">
        <v>6</v>
      </c>
      <c r="E330">
        <v>0.9</v>
      </c>
      <c r="F330">
        <v>0.89</v>
      </c>
      <c r="G330">
        <v>0.02</v>
      </c>
      <c r="H330">
        <v>0.89</v>
      </c>
      <c r="I330">
        <v>0.93</v>
      </c>
      <c r="J330">
        <v>0.89</v>
      </c>
      <c r="K330">
        <v>0.91</v>
      </c>
      <c r="L330" t="s">
        <v>1</v>
      </c>
      <c r="M330" t="s">
        <v>73</v>
      </c>
    </row>
    <row r="331" spans="1:13" x14ac:dyDescent="0.45">
      <c r="A331" t="s">
        <v>0</v>
      </c>
      <c r="B331" t="s">
        <v>143</v>
      </c>
      <c r="C331">
        <v>2045</v>
      </c>
      <c r="D331">
        <v>6</v>
      </c>
      <c r="E331">
        <v>0.95</v>
      </c>
      <c r="F331">
        <v>0.96</v>
      </c>
      <c r="G331">
        <v>0.02</v>
      </c>
      <c r="H331">
        <v>0.91</v>
      </c>
      <c r="I331">
        <v>0.98</v>
      </c>
      <c r="J331">
        <v>0.95</v>
      </c>
      <c r="K331">
        <v>0.96</v>
      </c>
      <c r="L331" t="s">
        <v>1</v>
      </c>
      <c r="M331" t="s">
        <v>73</v>
      </c>
    </row>
    <row r="332" spans="1:13" x14ac:dyDescent="0.45">
      <c r="A332" t="s">
        <v>0</v>
      </c>
      <c r="B332" t="s">
        <v>143</v>
      </c>
      <c r="C332">
        <v>2050</v>
      </c>
      <c r="D332">
        <v>6</v>
      </c>
      <c r="E332">
        <v>0.96</v>
      </c>
      <c r="F332">
        <v>0.97</v>
      </c>
      <c r="G332">
        <v>0.04</v>
      </c>
      <c r="H332">
        <v>0.89</v>
      </c>
      <c r="I332">
        <v>0.99</v>
      </c>
      <c r="J332">
        <v>0.94</v>
      </c>
      <c r="K332">
        <v>0.98</v>
      </c>
      <c r="L332" t="s">
        <v>1</v>
      </c>
      <c r="M332" t="s">
        <v>73</v>
      </c>
    </row>
    <row r="333" spans="1:13" x14ac:dyDescent="0.45">
      <c r="A333" t="s">
        <v>2</v>
      </c>
      <c r="B333" t="s">
        <v>143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143</v>
      </c>
      <c r="C334">
        <v>2025</v>
      </c>
      <c r="D334">
        <v>7</v>
      </c>
      <c r="E334">
        <v>0.99</v>
      </c>
      <c r="F334">
        <v>0.99</v>
      </c>
      <c r="G334">
        <v>0.08</v>
      </c>
      <c r="H334">
        <v>0.85</v>
      </c>
      <c r="I334">
        <v>1.08</v>
      </c>
      <c r="J334">
        <v>0.97</v>
      </c>
      <c r="K334">
        <v>1.03</v>
      </c>
      <c r="L334" t="s">
        <v>3</v>
      </c>
      <c r="M334" t="s">
        <v>73</v>
      </c>
    </row>
    <row r="335" spans="1:13" x14ac:dyDescent="0.45">
      <c r="A335" t="s">
        <v>2</v>
      </c>
      <c r="B335" t="s">
        <v>143</v>
      </c>
      <c r="C335">
        <v>2030</v>
      </c>
      <c r="D335">
        <v>7</v>
      </c>
      <c r="E335">
        <v>0.84</v>
      </c>
      <c r="F335">
        <v>0.83</v>
      </c>
      <c r="G335">
        <v>0.03</v>
      </c>
      <c r="H335">
        <v>0.81</v>
      </c>
      <c r="I335">
        <v>0.89</v>
      </c>
      <c r="J335">
        <v>0.82</v>
      </c>
      <c r="K335">
        <v>0.85</v>
      </c>
      <c r="L335" t="s">
        <v>3</v>
      </c>
      <c r="M335" t="s">
        <v>73</v>
      </c>
    </row>
    <row r="336" spans="1:13" x14ac:dyDescent="0.45">
      <c r="A336" t="s">
        <v>2</v>
      </c>
      <c r="B336" t="s">
        <v>143</v>
      </c>
      <c r="C336">
        <v>2035</v>
      </c>
      <c r="D336">
        <v>7</v>
      </c>
      <c r="E336">
        <v>0.88</v>
      </c>
      <c r="F336">
        <v>0.86</v>
      </c>
      <c r="G336">
        <v>0.04</v>
      </c>
      <c r="H336">
        <v>0.84</v>
      </c>
      <c r="I336">
        <v>0.96</v>
      </c>
      <c r="J336">
        <v>0.85</v>
      </c>
      <c r="K336">
        <v>0.91</v>
      </c>
      <c r="L336" t="s">
        <v>3</v>
      </c>
      <c r="M336" t="s">
        <v>73</v>
      </c>
    </row>
    <row r="337" spans="1:13" x14ac:dyDescent="0.45">
      <c r="A337" t="s">
        <v>2</v>
      </c>
      <c r="B337" t="s">
        <v>143</v>
      </c>
      <c r="C337">
        <v>2040</v>
      </c>
      <c r="D337">
        <v>7</v>
      </c>
      <c r="E337">
        <v>0.95</v>
      </c>
      <c r="F337">
        <v>0.95</v>
      </c>
      <c r="G337">
        <v>0.03</v>
      </c>
      <c r="H337">
        <v>0.9</v>
      </c>
      <c r="I337">
        <v>0.98</v>
      </c>
      <c r="J337">
        <v>0.93</v>
      </c>
      <c r="K337">
        <v>0.97</v>
      </c>
      <c r="L337" t="s">
        <v>3</v>
      </c>
      <c r="M337" t="s">
        <v>73</v>
      </c>
    </row>
    <row r="338" spans="1:13" x14ac:dyDescent="0.45">
      <c r="A338" t="s">
        <v>2</v>
      </c>
      <c r="B338" t="s">
        <v>143</v>
      </c>
      <c r="C338">
        <v>2045</v>
      </c>
      <c r="D338">
        <v>7</v>
      </c>
      <c r="E338">
        <v>1</v>
      </c>
      <c r="F338">
        <v>0.98</v>
      </c>
      <c r="G338">
        <v>0.04</v>
      </c>
      <c r="H338">
        <v>0.96</v>
      </c>
      <c r="I338">
        <v>1.07</v>
      </c>
      <c r="J338">
        <v>0.97</v>
      </c>
      <c r="K338">
        <v>1.01</v>
      </c>
      <c r="L338" t="s">
        <v>3</v>
      </c>
      <c r="M338" t="s">
        <v>73</v>
      </c>
    </row>
    <row r="339" spans="1:13" x14ac:dyDescent="0.45">
      <c r="A339" t="s">
        <v>2</v>
      </c>
      <c r="B339" t="s">
        <v>143</v>
      </c>
      <c r="C339">
        <v>2050</v>
      </c>
      <c r="D339">
        <v>7</v>
      </c>
      <c r="E339">
        <v>1.05</v>
      </c>
      <c r="F339">
        <v>1.05</v>
      </c>
      <c r="G339">
        <v>0.03</v>
      </c>
      <c r="H339">
        <v>1.01</v>
      </c>
      <c r="I339">
        <v>1.0900000000000001</v>
      </c>
      <c r="J339">
        <v>1.03</v>
      </c>
      <c r="K339">
        <v>1.08</v>
      </c>
      <c r="L339" t="s">
        <v>3</v>
      </c>
      <c r="M339" t="s">
        <v>73</v>
      </c>
    </row>
    <row r="340" spans="1:13" x14ac:dyDescent="0.45">
      <c r="A340" t="s">
        <v>5</v>
      </c>
      <c r="B340" t="s">
        <v>143</v>
      </c>
      <c r="C340">
        <v>2020</v>
      </c>
      <c r="D340">
        <v>15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143</v>
      </c>
      <c r="C341">
        <v>2025</v>
      </c>
      <c r="D341">
        <v>15</v>
      </c>
      <c r="E341">
        <v>1.07</v>
      </c>
      <c r="F341">
        <v>0.99</v>
      </c>
      <c r="G341">
        <v>0.22</v>
      </c>
      <c r="H341">
        <v>0.82</v>
      </c>
      <c r="I341">
        <v>1.32</v>
      </c>
      <c r="J341">
        <v>0.88</v>
      </c>
      <c r="K341">
        <v>1.32</v>
      </c>
      <c r="L341" t="s">
        <v>6</v>
      </c>
      <c r="M341" t="s">
        <v>73</v>
      </c>
    </row>
    <row r="342" spans="1:13" x14ac:dyDescent="0.45">
      <c r="A342" t="s">
        <v>5</v>
      </c>
      <c r="B342" t="s">
        <v>143</v>
      </c>
      <c r="C342">
        <v>2030</v>
      </c>
      <c r="D342">
        <v>15</v>
      </c>
      <c r="E342">
        <v>0.99</v>
      </c>
      <c r="F342">
        <v>0.86</v>
      </c>
      <c r="G342">
        <v>0.22</v>
      </c>
      <c r="H342">
        <v>0.77</v>
      </c>
      <c r="I342">
        <v>1.43</v>
      </c>
      <c r="J342">
        <v>0.81</v>
      </c>
      <c r="K342">
        <v>1.19</v>
      </c>
      <c r="L342" t="s">
        <v>6</v>
      </c>
      <c r="M342" t="s">
        <v>73</v>
      </c>
    </row>
    <row r="343" spans="1:13" x14ac:dyDescent="0.45">
      <c r="A343" t="s">
        <v>5</v>
      </c>
      <c r="B343" t="s">
        <v>143</v>
      </c>
      <c r="C343">
        <v>2035</v>
      </c>
      <c r="D343">
        <v>15</v>
      </c>
      <c r="E343">
        <v>1.07</v>
      </c>
      <c r="F343">
        <v>0.91</v>
      </c>
      <c r="G343">
        <v>0.28999999999999998</v>
      </c>
      <c r="H343">
        <v>0.77</v>
      </c>
      <c r="I343">
        <v>1.65</v>
      </c>
      <c r="J343">
        <v>0.85</v>
      </c>
      <c r="K343">
        <v>1.32</v>
      </c>
      <c r="L343" t="s">
        <v>6</v>
      </c>
      <c r="M343" t="s">
        <v>73</v>
      </c>
    </row>
    <row r="344" spans="1:13" x14ac:dyDescent="0.45">
      <c r="A344" t="s">
        <v>5</v>
      </c>
      <c r="B344" t="s">
        <v>143</v>
      </c>
      <c r="C344">
        <v>2040</v>
      </c>
      <c r="D344">
        <v>15</v>
      </c>
      <c r="E344">
        <v>1.33</v>
      </c>
      <c r="F344">
        <v>0.96</v>
      </c>
      <c r="G344">
        <v>0.59</v>
      </c>
      <c r="H344">
        <v>0.88</v>
      </c>
      <c r="I344">
        <v>2.57</v>
      </c>
      <c r="J344">
        <v>0.92</v>
      </c>
      <c r="K344">
        <v>1.69</v>
      </c>
      <c r="L344" t="s">
        <v>6</v>
      </c>
      <c r="M344" t="s">
        <v>73</v>
      </c>
    </row>
    <row r="345" spans="1:13" x14ac:dyDescent="0.45">
      <c r="A345" t="s">
        <v>5</v>
      </c>
      <c r="B345" t="s">
        <v>143</v>
      </c>
      <c r="C345">
        <v>2045</v>
      </c>
      <c r="D345">
        <v>15</v>
      </c>
      <c r="E345">
        <v>1.73</v>
      </c>
      <c r="F345">
        <v>1.05</v>
      </c>
      <c r="G345">
        <v>1.03</v>
      </c>
      <c r="H345">
        <v>0.92</v>
      </c>
      <c r="I345">
        <v>3.81</v>
      </c>
      <c r="J345">
        <v>1.01</v>
      </c>
      <c r="K345">
        <v>2.36</v>
      </c>
      <c r="L345" t="s">
        <v>6</v>
      </c>
      <c r="M345" t="s">
        <v>73</v>
      </c>
    </row>
    <row r="346" spans="1:13" x14ac:dyDescent="0.45">
      <c r="A346" t="s">
        <v>5</v>
      </c>
      <c r="B346" t="s">
        <v>143</v>
      </c>
      <c r="C346">
        <v>2050</v>
      </c>
      <c r="D346">
        <v>15</v>
      </c>
      <c r="E346">
        <v>2.09</v>
      </c>
      <c r="F346">
        <v>1.1000000000000001</v>
      </c>
      <c r="G346">
        <v>1.4</v>
      </c>
      <c r="H346">
        <v>0.98</v>
      </c>
      <c r="I346">
        <v>4.58</v>
      </c>
      <c r="J346">
        <v>1.08</v>
      </c>
      <c r="K346">
        <v>3.03</v>
      </c>
      <c r="L346" t="s">
        <v>6</v>
      </c>
      <c r="M346" t="s">
        <v>73</v>
      </c>
    </row>
    <row r="347" spans="1:13" x14ac:dyDescent="0.45">
      <c r="A347" t="s">
        <v>7</v>
      </c>
      <c r="B347" t="s">
        <v>143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143</v>
      </c>
      <c r="C348">
        <v>2025</v>
      </c>
      <c r="D348">
        <v>8</v>
      </c>
      <c r="E348">
        <v>1.3</v>
      </c>
      <c r="F348">
        <v>1.29</v>
      </c>
      <c r="G348">
        <v>0.01</v>
      </c>
      <c r="H348">
        <v>1.29</v>
      </c>
      <c r="I348">
        <v>1.32</v>
      </c>
      <c r="J348">
        <v>1.29</v>
      </c>
      <c r="K348">
        <v>1.3</v>
      </c>
      <c r="L348" t="s">
        <v>8</v>
      </c>
      <c r="M348" t="s">
        <v>73</v>
      </c>
    </row>
    <row r="349" spans="1:13" x14ac:dyDescent="0.45">
      <c r="A349" t="s">
        <v>7</v>
      </c>
      <c r="B349" t="s">
        <v>143</v>
      </c>
      <c r="C349">
        <v>2030</v>
      </c>
      <c r="D349">
        <v>8</v>
      </c>
      <c r="E349">
        <v>1.1200000000000001</v>
      </c>
      <c r="F349">
        <v>1.1000000000000001</v>
      </c>
      <c r="G349">
        <v>0.06</v>
      </c>
      <c r="H349">
        <v>1.07</v>
      </c>
      <c r="I349">
        <v>1.2</v>
      </c>
      <c r="J349">
        <v>1.07</v>
      </c>
      <c r="K349">
        <v>1.1599999999999999</v>
      </c>
      <c r="L349" t="s">
        <v>8</v>
      </c>
      <c r="M349" t="s">
        <v>73</v>
      </c>
    </row>
    <row r="350" spans="1:13" x14ac:dyDescent="0.45">
      <c r="A350" t="s">
        <v>7</v>
      </c>
      <c r="B350" t="s">
        <v>143</v>
      </c>
      <c r="C350">
        <v>2035</v>
      </c>
      <c r="D350">
        <v>8</v>
      </c>
      <c r="E350">
        <v>1.04</v>
      </c>
      <c r="F350">
        <v>1.02</v>
      </c>
      <c r="G350">
        <v>7.0000000000000007E-2</v>
      </c>
      <c r="H350">
        <v>0.95</v>
      </c>
      <c r="I350">
        <v>1.1200000000000001</v>
      </c>
      <c r="J350">
        <v>1</v>
      </c>
      <c r="K350">
        <v>1.1000000000000001</v>
      </c>
      <c r="L350" t="s">
        <v>8</v>
      </c>
      <c r="M350" t="s">
        <v>73</v>
      </c>
    </row>
    <row r="351" spans="1:13" x14ac:dyDescent="0.45">
      <c r="A351" t="s">
        <v>7</v>
      </c>
      <c r="B351" t="s">
        <v>143</v>
      </c>
      <c r="C351">
        <v>2040</v>
      </c>
      <c r="D351">
        <v>8</v>
      </c>
      <c r="E351">
        <v>1.1399999999999999</v>
      </c>
      <c r="F351">
        <v>1.1100000000000001</v>
      </c>
      <c r="G351">
        <v>0.12</v>
      </c>
      <c r="H351">
        <v>1.04</v>
      </c>
      <c r="I351">
        <v>1.38</v>
      </c>
      <c r="J351">
        <v>1.04</v>
      </c>
      <c r="K351">
        <v>1.17</v>
      </c>
      <c r="L351" t="s">
        <v>8</v>
      </c>
      <c r="M351" t="s">
        <v>73</v>
      </c>
    </row>
    <row r="352" spans="1:13" x14ac:dyDescent="0.45">
      <c r="A352" t="s">
        <v>7</v>
      </c>
      <c r="B352" t="s">
        <v>143</v>
      </c>
      <c r="C352">
        <v>2045</v>
      </c>
      <c r="D352">
        <v>8</v>
      </c>
      <c r="E352">
        <v>1.41</v>
      </c>
      <c r="F352">
        <v>1.45</v>
      </c>
      <c r="G352">
        <v>0.16</v>
      </c>
      <c r="H352">
        <v>1.2</v>
      </c>
      <c r="I352">
        <v>1.57</v>
      </c>
      <c r="J352">
        <v>1.27</v>
      </c>
      <c r="K352">
        <v>1.56</v>
      </c>
      <c r="L352" t="s">
        <v>8</v>
      </c>
      <c r="M352" t="s">
        <v>73</v>
      </c>
    </row>
    <row r="353" spans="1:13" x14ac:dyDescent="0.45">
      <c r="A353" t="s">
        <v>7</v>
      </c>
      <c r="B353" t="s">
        <v>143</v>
      </c>
      <c r="C353">
        <v>2050</v>
      </c>
      <c r="D353">
        <v>8</v>
      </c>
      <c r="E353">
        <v>1.91</v>
      </c>
      <c r="F353">
        <v>1.92</v>
      </c>
      <c r="G353">
        <v>0.34</v>
      </c>
      <c r="H353">
        <v>1.42</v>
      </c>
      <c r="I353">
        <v>2.35</v>
      </c>
      <c r="J353">
        <v>1.69</v>
      </c>
      <c r="K353">
        <v>2.17</v>
      </c>
      <c r="L353" t="s">
        <v>8</v>
      </c>
      <c r="M353" t="s">
        <v>73</v>
      </c>
    </row>
    <row r="354" spans="1:13" x14ac:dyDescent="0.45">
      <c r="A354" t="s">
        <v>9</v>
      </c>
      <c r="B354" t="s">
        <v>143</v>
      </c>
      <c r="C354">
        <v>2020</v>
      </c>
      <c r="D354">
        <v>7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143</v>
      </c>
      <c r="C355">
        <v>2025</v>
      </c>
      <c r="D355">
        <v>7</v>
      </c>
      <c r="E355">
        <v>0.99</v>
      </c>
      <c r="F355">
        <v>0.84</v>
      </c>
      <c r="G355">
        <v>0.21</v>
      </c>
      <c r="H355">
        <v>0.83</v>
      </c>
      <c r="I355">
        <v>1.29</v>
      </c>
      <c r="J355">
        <v>0.83</v>
      </c>
      <c r="K355">
        <v>1.1599999999999999</v>
      </c>
      <c r="L355" t="s">
        <v>10</v>
      </c>
      <c r="M355" t="s">
        <v>73</v>
      </c>
    </row>
    <row r="356" spans="1:13" x14ac:dyDescent="0.45">
      <c r="A356" t="s">
        <v>9</v>
      </c>
      <c r="B356" t="s">
        <v>143</v>
      </c>
      <c r="C356">
        <v>2030</v>
      </c>
      <c r="D356">
        <v>7</v>
      </c>
      <c r="E356">
        <v>0.9</v>
      </c>
      <c r="F356">
        <v>0.79</v>
      </c>
      <c r="G356">
        <v>0.14000000000000001</v>
      </c>
      <c r="H356">
        <v>0.78</v>
      </c>
      <c r="I356">
        <v>1.07</v>
      </c>
      <c r="J356">
        <v>0.78</v>
      </c>
      <c r="K356">
        <v>1.04</v>
      </c>
      <c r="L356" t="s">
        <v>10</v>
      </c>
      <c r="M356" t="s">
        <v>73</v>
      </c>
    </row>
    <row r="357" spans="1:13" x14ac:dyDescent="0.45">
      <c r="A357" t="s">
        <v>9</v>
      </c>
      <c r="B357" t="s">
        <v>143</v>
      </c>
      <c r="C357">
        <v>2035</v>
      </c>
      <c r="D357">
        <v>7</v>
      </c>
      <c r="E357">
        <v>0.85</v>
      </c>
      <c r="F357">
        <v>0.82</v>
      </c>
      <c r="G357">
        <v>7.0000000000000007E-2</v>
      </c>
      <c r="H357">
        <v>0.8</v>
      </c>
      <c r="I357">
        <v>0.98</v>
      </c>
      <c r="J357">
        <v>0.81</v>
      </c>
      <c r="K357">
        <v>0.86</v>
      </c>
      <c r="L357" t="s">
        <v>10</v>
      </c>
      <c r="M357" t="s">
        <v>73</v>
      </c>
    </row>
    <row r="358" spans="1:13" x14ac:dyDescent="0.45">
      <c r="A358" t="s">
        <v>9</v>
      </c>
      <c r="B358" t="s">
        <v>143</v>
      </c>
      <c r="C358">
        <v>2040</v>
      </c>
      <c r="D358">
        <v>7</v>
      </c>
      <c r="E358">
        <v>0.87</v>
      </c>
      <c r="F358">
        <v>0.86</v>
      </c>
      <c r="G358">
        <v>0.06</v>
      </c>
      <c r="H358">
        <v>0.83</v>
      </c>
      <c r="I358">
        <v>0.99</v>
      </c>
      <c r="J358">
        <v>0.84</v>
      </c>
      <c r="K358">
        <v>0.86</v>
      </c>
      <c r="L358" t="s">
        <v>10</v>
      </c>
      <c r="M358" t="s">
        <v>73</v>
      </c>
    </row>
    <row r="359" spans="1:13" x14ac:dyDescent="0.45">
      <c r="A359" t="s">
        <v>9</v>
      </c>
      <c r="B359" t="s">
        <v>143</v>
      </c>
      <c r="C359">
        <v>2045</v>
      </c>
      <c r="D359">
        <v>7</v>
      </c>
      <c r="E359">
        <v>0.9</v>
      </c>
      <c r="F359">
        <v>0.88</v>
      </c>
      <c r="G359">
        <v>0.09</v>
      </c>
      <c r="H359">
        <v>0.82</v>
      </c>
      <c r="I359">
        <v>1.0900000000000001</v>
      </c>
      <c r="J359">
        <v>0.85</v>
      </c>
      <c r="K359">
        <v>0.89</v>
      </c>
      <c r="L359" t="s">
        <v>10</v>
      </c>
      <c r="M359" t="s">
        <v>73</v>
      </c>
    </row>
    <row r="360" spans="1:13" x14ac:dyDescent="0.45">
      <c r="A360" t="s">
        <v>9</v>
      </c>
      <c r="B360" t="s">
        <v>143</v>
      </c>
      <c r="C360">
        <v>2050</v>
      </c>
      <c r="D360">
        <v>7</v>
      </c>
      <c r="E360">
        <v>0.94</v>
      </c>
      <c r="F360">
        <v>0.9</v>
      </c>
      <c r="G360">
        <v>0.15</v>
      </c>
      <c r="H360">
        <v>0.84</v>
      </c>
      <c r="I360">
        <v>1.28</v>
      </c>
      <c r="J360">
        <v>0.87</v>
      </c>
      <c r="K360">
        <v>0.92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M24"/>
  <sheetViews>
    <sheetView workbookViewId="0">
      <selection activeCell="H21" sqref="H21"/>
    </sheetView>
  </sheetViews>
  <sheetFormatPr defaultRowHeight="14.25" x14ac:dyDescent="0.45"/>
  <sheetData>
    <row r="10" spans="1:13" x14ac:dyDescent="0.45">
      <c r="A10" t="str">
        <f>IFERROR(Veda!D5,"ts_12t")</f>
        <v>ts_annual</v>
      </c>
      <c r="B10" s="15"/>
      <c r="C10" s="15" t="s">
        <v>318</v>
      </c>
      <c r="D10" t="s">
        <v>125</v>
      </c>
      <c r="F10" t="s">
        <v>318</v>
      </c>
      <c r="G10" t="s">
        <v>127</v>
      </c>
      <c r="I10" t="s">
        <v>318</v>
      </c>
      <c r="J10" t="s">
        <v>107</v>
      </c>
      <c r="L10" t="s">
        <v>318</v>
      </c>
      <c r="M10" t="s">
        <v>132</v>
      </c>
    </row>
    <row r="11" spans="1:13" x14ac:dyDescent="0.45">
      <c r="B11" s="15"/>
      <c r="C11" s="15" t="s">
        <v>319</v>
      </c>
      <c r="D11" t="s">
        <v>320</v>
      </c>
      <c r="F11" t="s">
        <v>319</v>
      </c>
      <c r="G11" t="s">
        <v>363</v>
      </c>
      <c r="I11" t="s">
        <v>319</v>
      </c>
      <c r="J11" t="s">
        <v>367</v>
      </c>
      <c r="L11" t="s">
        <v>319</v>
      </c>
      <c r="M11" t="s">
        <v>386</v>
      </c>
    </row>
    <row r="12" spans="1:13" x14ac:dyDescent="0.45">
      <c r="B12" s="15"/>
      <c r="C12" s="15" t="s">
        <v>321</v>
      </c>
      <c r="D12" t="s">
        <v>322</v>
      </c>
      <c r="F12" t="s">
        <v>321</v>
      </c>
      <c r="G12" t="s">
        <v>364</v>
      </c>
      <c r="I12" t="s">
        <v>321</v>
      </c>
      <c r="J12" t="s">
        <v>367</v>
      </c>
      <c r="L12" t="s">
        <v>321</v>
      </c>
      <c r="M12" t="s">
        <v>387</v>
      </c>
    </row>
    <row r="17" spans="3:13" x14ac:dyDescent="0.45">
      <c r="I17" s="12">
        <v>0.75</v>
      </c>
      <c r="K17" s="2" t="s">
        <v>85</v>
      </c>
    </row>
    <row r="18" spans="3:13" ht="17.649999999999999" thickBot="1" x14ac:dyDescent="0.6">
      <c r="C18" s="13" t="s">
        <v>86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87</v>
      </c>
      <c r="D22" s="14" t="s">
        <v>88</v>
      </c>
      <c r="E22" s="14" t="s">
        <v>89</v>
      </c>
      <c r="F22" s="14" t="s">
        <v>90</v>
      </c>
      <c r="G22" s="14" t="s">
        <v>91</v>
      </c>
      <c r="H22" s="14" t="s">
        <v>92</v>
      </c>
      <c r="I22" s="14" t="s">
        <v>93</v>
      </c>
      <c r="J22" s="14" t="s">
        <v>94</v>
      </c>
      <c r="K22" s="14" t="s">
        <v>95</v>
      </c>
    </row>
    <row r="23" spans="3:13" x14ac:dyDescent="0.45">
      <c r="C23" t="s">
        <v>96</v>
      </c>
      <c r="D23" t="s">
        <v>97</v>
      </c>
      <c r="E23" t="str">
        <f>G23</f>
        <v>AuxStoIN</v>
      </c>
      <c r="F23" t="s">
        <v>98</v>
      </c>
      <c r="G23" t="s">
        <v>99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100</v>
      </c>
    </row>
    <row r="24" spans="3:13" x14ac:dyDescent="0.45">
      <c r="D24" t="s">
        <v>97</v>
      </c>
      <c r="E24" t="str">
        <f>G24</f>
        <v>AuxStoIN</v>
      </c>
      <c r="F24" t="s">
        <v>98</v>
      </c>
      <c r="G24" t="s">
        <v>99</v>
      </c>
      <c r="H24" t="str">
        <f>HLOOKUP($A$10,$D$10:$CU$12,2,FALSE)</f>
        <v>AllSaAllH</v>
      </c>
      <c r="I24">
        <f>-$I$17</f>
        <v>-0.75</v>
      </c>
      <c r="M24" t="s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0F71F-524D-4B6C-BF0A-41AA7F8C2360}">
  <dimension ref="A9:AN79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125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163</v>
      </c>
      <c r="L10" t="s">
        <v>30</v>
      </c>
      <c r="N10" t="s">
        <v>13</v>
      </c>
      <c r="O10" t="s">
        <v>122</v>
      </c>
      <c r="P10" t="s">
        <v>163</v>
      </c>
      <c r="Q10" t="s">
        <v>30</v>
      </c>
      <c r="S10" t="s">
        <v>13</v>
      </c>
      <c r="T10" t="s">
        <v>122</v>
      </c>
      <c r="U10" t="s">
        <v>163</v>
      </c>
      <c r="V10" t="s">
        <v>30</v>
      </c>
      <c r="X10" t="s">
        <v>317</v>
      </c>
      <c r="Y10" t="s">
        <v>163</v>
      </c>
      <c r="Z10" t="s">
        <v>122</v>
      </c>
      <c r="AA10" t="s">
        <v>13</v>
      </c>
      <c r="AC10" t="s">
        <v>13</v>
      </c>
      <c r="AD10" t="s">
        <v>122</v>
      </c>
      <c r="AE10" t="s">
        <v>163</v>
      </c>
      <c r="AG10" t="s">
        <v>13</v>
      </c>
      <c r="AH10" t="s">
        <v>122</v>
      </c>
      <c r="AI10" t="s">
        <v>323</v>
      </c>
      <c r="AK10" t="s">
        <v>47</v>
      </c>
      <c r="AL10" t="s">
        <v>122</v>
      </c>
      <c r="AM10" t="s">
        <v>324</v>
      </c>
      <c r="AN10" t="s">
        <v>325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156</v>
      </c>
      <c r="F11" t="s">
        <v>157</v>
      </c>
      <c r="G11" t="s">
        <v>155</v>
      </c>
      <c r="I11" t="s">
        <v>164</v>
      </c>
      <c r="J11" t="s">
        <v>165</v>
      </c>
      <c r="K11">
        <v>0.56474728496493221</v>
      </c>
      <c r="L11" t="s">
        <v>166</v>
      </c>
      <c r="N11" t="s">
        <v>242</v>
      </c>
      <c r="O11" t="s">
        <v>165</v>
      </c>
      <c r="P11">
        <v>0.48505083329989512</v>
      </c>
      <c r="Q11" t="s">
        <v>166</v>
      </c>
      <c r="S11" t="s">
        <v>307</v>
      </c>
      <c r="T11" t="s">
        <v>165</v>
      </c>
      <c r="U11">
        <v>0.47177475068186486</v>
      </c>
      <c r="V11" t="s">
        <v>166</v>
      </c>
      <c r="X11">
        <v>0.41141552511415524</v>
      </c>
      <c r="Y11">
        <v>0.40583745618178652</v>
      </c>
      <c r="Z11" t="s">
        <v>165</v>
      </c>
      <c r="AA11" t="s">
        <v>25</v>
      </c>
      <c r="AC11" t="s">
        <v>22</v>
      </c>
      <c r="AD11" t="s">
        <v>165</v>
      </c>
      <c r="AE11">
        <v>0.38203972765998268</v>
      </c>
      <c r="AG11" t="s">
        <v>97</v>
      </c>
      <c r="AH11" t="s">
        <v>165</v>
      </c>
      <c r="AI11">
        <v>0.26194563643867053</v>
      </c>
    </row>
    <row r="12" spans="1:40" x14ac:dyDescent="0.45">
      <c r="C12" t="s">
        <v>158</v>
      </c>
      <c r="E12" t="s">
        <v>159</v>
      </c>
      <c r="G12" t="s">
        <v>155</v>
      </c>
      <c r="I12" t="s">
        <v>164</v>
      </c>
      <c r="J12" t="s">
        <v>167</v>
      </c>
      <c r="K12">
        <v>3.7314110809458893E-2</v>
      </c>
      <c r="L12" t="s">
        <v>166</v>
      </c>
      <c r="N12" t="s">
        <v>242</v>
      </c>
      <c r="O12" t="s">
        <v>167</v>
      </c>
      <c r="P12">
        <v>3.3111093418919199E-2</v>
      </c>
      <c r="Q12" t="s">
        <v>166</v>
      </c>
      <c r="S12" t="s">
        <v>307</v>
      </c>
      <c r="T12" t="s">
        <v>167</v>
      </c>
      <c r="U12">
        <v>3.27339812006553E-2</v>
      </c>
      <c r="V12" t="s">
        <v>166</v>
      </c>
      <c r="X12">
        <v>2.4200913242009132E-2</v>
      </c>
      <c r="Y12">
        <v>4.7084172405505977E-2</v>
      </c>
      <c r="Z12" t="s">
        <v>167</v>
      </c>
      <c r="AA12" t="s">
        <v>25</v>
      </c>
      <c r="AC12" t="s">
        <v>22</v>
      </c>
      <c r="AD12" t="s">
        <v>167</v>
      </c>
      <c r="AE12">
        <v>2.9284091747502381E-2</v>
      </c>
      <c r="AG12" t="s">
        <v>97</v>
      </c>
      <c r="AH12" t="s">
        <v>167</v>
      </c>
      <c r="AI12">
        <v>7.297306349231536E-2</v>
      </c>
    </row>
    <row r="13" spans="1:40" x14ac:dyDescent="0.45">
      <c r="C13" t="s">
        <v>160</v>
      </c>
      <c r="E13" t="s">
        <v>161</v>
      </c>
      <c r="G13" t="s">
        <v>155</v>
      </c>
      <c r="I13" t="s">
        <v>164</v>
      </c>
      <c r="J13" t="s">
        <v>168</v>
      </c>
      <c r="K13">
        <v>2.4558043535285456E-2</v>
      </c>
      <c r="L13" t="s">
        <v>166</v>
      </c>
      <c r="N13" t="s">
        <v>242</v>
      </c>
      <c r="O13" t="s">
        <v>168</v>
      </c>
      <c r="P13">
        <v>0.15893432670250723</v>
      </c>
      <c r="Q13" t="s">
        <v>166</v>
      </c>
      <c r="S13" t="s">
        <v>307</v>
      </c>
      <c r="T13" t="s">
        <v>168</v>
      </c>
      <c r="U13">
        <v>0.17766092637193759</v>
      </c>
      <c r="V13" t="s">
        <v>166</v>
      </c>
      <c r="X13">
        <v>0.14520547945205478</v>
      </c>
      <c r="Y13">
        <v>0.12790028922092669</v>
      </c>
      <c r="Z13" t="s">
        <v>168</v>
      </c>
      <c r="AA13" t="s">
        <v>25</v>
      </c>
      <c r="AC13" t="s">
        <v>22</v>
      </c>
      <c r="AD13" t="s">
        <v>168</v>
      </c>
      <c r="AE13">
        <v>0.16110632618913884</v>
      </c>
      <c r="AG13" t="s">
        <v>97</v>
      </c>
      <c r="AH13" t="s">
        <v>168</v>
      </c>
      <c r="AI13">
        <v>0.15877041445536522</v>
      </c>
    </row>
    <row r="14" spans="1:40" x14ac:dyDescent="0.45">
      <c r="C14" t="s">
        <v>162</v>
      </c>
      <c r="I14" t="s">
        <v>164</v>
      </c>
      <c r="J14" t="s">
        <v>169</v>
      </c>
      <c r="K14">
        <v>0.17218624461953211</v>
      </c>
      <c r="L14" t="s">
        <v>166</v>
      </c>
      <c r="N14" t="s">
        <v>242</v>
      </c>
      <c r="O14" t="s">
        <v>169</v>
      </c>
      <c r="P14">
        <v>5.1148103494389238E-2</v>
      </c>
      <c r="Q14" t="s">
        <v>166</v>
      </c>
      <c r="S14" t="s">
        <v>307</v>
      </c>
      <c r="T14" t="s">
        <v>169</v>
      </c>
      <c r="U14">
        <v>5.5015962054360865E-2</v>
      </c>
      <c r="V14" t="s">
        <v>166</v>
      </c>
      <c r="X14">
        <v>0.11837899543378995</v>
      </c>
      <c r="Y14">
        <v>0.1167739850334386</v>
      </c>
      <c r="Z14" t="s">
        <v>169</v>
      </c>
      <c r="AA14" t="s">
        <v>25</v>
      </c>
      <c r="AC14" t="s">
        <v>22</v>
      </c>
      <c r="AD14" t="s">
        <v>169</v>
      </c>
      <c r="AE14">
        <v>0.12316015487337276</v>
      </c>
      <c r="AG14" t="s">
        <v>97</v>
      </c>
      <c r="AH14" t="s">
        <v>169</v>
      </c>
      <c r="AI14">
        <v>0.19216640530164408</v>
      </c>
    </row>
    <row r="15" spans="1:40" x14ac:dyDescent="0.45">
      <c r="I15" t="s">
        <v>164</v>
      </c>
      <c r="J15" t="s">
        <v>170</v>
      </c>
      <c r="K15">
        <v>1.0368192791043118E-2</v>
      </c>
      <c r="L15" t="s">
        <v>166</v>
      </c>
      <c r="N15" t="s">
        <v>242</v>
      </c>
      <c r="O15" t="s">
        <v>170</v>
      </c>
      <c r="P15">
        <v>4.6311763597841026E-3</v>
      </c>
      <c r="Q15" t="s">
        <v>166</v>
      </c>
      <c r="S15" t="s">
        <v>307</v>
      </c>
      <c r="T15" t="s">
        <v>170</v>
      </c>
      <c r="U15">
        <v>5.0890606950165021E-3</v>
      </c>
      <c r="V15" t="s">
        <v>166</v>
      </c>
      <c r="X15">
        <v>6.9634703196347035E-3</v>
      </c>
      <c r="Y15">
        <v>1.354780432422577E-2</v>
      </c>
      <c r="Z15" t="s">
        <v>170</v>
      </c>
      <c r="AA15" t="s">
        <v>25</v>
      </c>
      <c r="AC15" t="s">
        <v>22</v>
      </c>
      <c r="AD15" t="s">
        <v>170</v>
      </c>
      <c r="AE15">
        <v>8.9519658646958732E-3</v>
      </c>
      <c r="AG15" t="s">
        <v>97</v>
      </c>
      <c r="AH15" t="s">
        <v>170</v>
      </c>
      <c r="AI15">
        <v>4.4831158900385137E-2</v>
      </c>
    </row>
    <row r="16" spans="1:40" x14ac:dyDescent="0.45">
      <c r="I16" t="s">
        <v>164</v>
      </c>
      <c r="J16" t="s">
        <v>171</v>
      </c>
      <c r="K16">
        <v>6.6374333915613952E-3</v>
      </c>
      <c r="L16" t="s">
        <v>166</v>
      </c>
      <c r="N16" t="s">
        <v>242</v>
      </c>
      <c r="O16" t="s">
        <v>171</v>
      </c>
      <c r="P16">
        <v>1.7208944368760862E-2</v>
      </c>
      <c r="Q16" t="s">
        <v>166</v>
      </c>
      <c r="S16" t="s">
        <v>307</v>
      </c>
      <c r="T16" t="s">
        <v>171</v>
      </c>
      <c r="U16">
        <v>2.4967103991922517E-2</v>
      </c>
      <c r="V16" t="s">
        <v>166</v>
      </c>
      <c r="X16">
        <v>4.1780821917808221E-2</v>
      </c>
      <c r="Y16">
        <v>3.6801498313568527E-2</v>
      </c>
      <c r="Z16" t="s">
        <v>171</v>
      </c>
      <c r="AA16" t="s">
        <v>25</v>
      </c>
      <c r="AC16" t="s">
        <v>22</v>
      </c>
      <c r="AD16" t="s">
        <v>171</v>
      </c>
      <c r="AE16">
        <v>4.9340737218964578E-2</v>
      </c>
      <c r="AG16" t="s">
        <v>97</v>
      </c>
      <c r="AH16" t="s">
        <v>171</v>
      </c>
      <c r="AI16">
        <v>0.10155168442819584</v>
      </c>
    </row>
    <row r="17" spans="9:35" x14ac:dyDescent="0.45">
      <c r="I17" t="s">
        <v>164</v>
      </c>
      <c r="J17" t="s">
        <v>172</v>
      </c>
      <c r="K17">
        <v>7.6033243038732323E-2</v>
      </c>
      <c r="L17" t="s">
        <v>166</v>
      </c>
      <c r="N17" t="s">
        <v>242</v>
      </c>
      <c r="O17" t="s">
        <v>172</v>
      </c>
      <c r="P17">
        <v>2.4197172220595555E-2</v>
      </c>
      <c r="Q17" t="s">
        <v>166</v>
      </c>
      <c r="S17" t="s">
        <v>307</v>
      </c>
      <c r="T17" t="s">
        <v>172</v>
      </c>
      <c r="U17">
        <v>3.013863642239948E-2</v>
      </c>
      <c r="V17" t="s">
        <v>166</v>
      </c>
      <c r="X17">
        <v>6.0159817351598172E-2</v>
      </c>
      <c r="Y17">
        <v>5.9344156328468789E-2</v>
      </c>
      <c r="Z17" t="s">
        <v>172</v>
      </c>
      <c r="AA17" t="s">
        <v>25</v>
      </c>
      <c r="AC17" t="s">
        <v>22</v>
      </c>
      <c r="AD17" t="s">
        <v>172</v>
      </c>
      <c r="AE17">
        <v>6.0226965063022192E-2</v>
      </c>
      <c r="AG17" t="s">
        <v>97</v>
      </c>
      <c r="AH17" t="s">
        <v>172</v>
      </c>
      <c r="AI17">
        <v>0.19573728764651754</v>
      </c>
    </row>
    <row r="18" spans="9:35" x14ac:dyDescent="0.45">
      <c r="I18" t="s">
        <v>164</v>
      </c>
      <c r="J18" t="s">
        <v>173</v>
      </c>
      <c r="K18">
        <v>3.3922622167565125E-3</v>
      </c>
      <c r="L18" t="s">
        <v>166</v>
      </c>
      <c r="N18" t="s">
        <v>242</v>
      </c>
      <c r="O18" t="s">
        <v>173</v>
      </c>
      <c r="P18">
        <v>1.9582550026322975E-3</v>
      </c>
      <c r="Q18" t="s">
        <v>166</v>
      </c>
      <c r="S18" t="s">
        <v>307</v>
      </c>
      <c r="T18" t="s">
        <v>173</v>
      </c>
      <c r="U18">
        <v>2.5568900700390137E-3</v>
      </c>
      <c r="V18" t="s">
        <v>166</v>
      </c>
      <c r="X18">
        <v>3.5388127853881279E-3</v>
      </c>
      <c r="Y18">
        <v>6.8849497385409693E-3</v>
      </c>
      <c r="Z18" t="s">
        <v>173</v>
      </c>
      <c r="AA18" t="s">
        <v>25</v>
      </c>
      <c r="AC18" t="s">
        <v>22</v>
      </c>
      <c r="AD18" t="s">
        <v>173</v>
      </c>
      <c r="AE18">
        <v>4.3844994828167163E-3</v>
      </c>
      <c r="AG18" t="s">
        <v>97</v>
      </c>
      <c r="AH18" t="s">
        <v>173</v>
      </c>
      <c r="AI18">
        <v>4.1390130265284819E-2</v>
      </c>
    </row>
    <row r="19" spans="9:35" x14ac:dyDescent="0.45">
      <c r="I19" t="s">
        <v>164</v>
      </c>
      <c r="J19" t="s">
        <v>174</v>
      </c>
      <c r="K19">
        <v>0</v>
      </c>
      <c r="L19" t="s">
        <v>166</v>
      </c>
      <c r="N19" t="s">
        <v>242</v>
      </c>
      <c r="O19" t="s">
        <v>174</v>
      </c>
      <c r="P19">
        <v>8.5307249567422548E-3</v>
      </c>
      <c r="Q19" t="s">
        <v>166</v>
      </c>
      <c r="S19" t="s">
        <v>307</v>
      </c>
      <c r="T19" t="s">
        <v>174</v>
      </c>
      <c r="U19">
        <v>1.4053249103442694E-2</v>
      </c>
      <c r="V19" t="s">
        <v>166</v>
      </c>
      <c r="X19">
        <v>2.1232876712328767E-2</v>
      </c>
      <c r="Y19">
        <v>1.8702400782305319E-2</v>
      </c>
      <c r="Z19" t="s">
        <v>174</v>
      </c>
      <c r="AA19" t="s">
        <v>25</v>
      </c>
      <c r="AC19" t="s">
        <v>22</v>
      </c>
      <c r="AD19" t="s">
        <v>174</v>
      </c>
      <c r="AE19">
        <v>2.4121483878346894E-2</v>
      </c>
      <c r="AG19" t="s">
        <v>97</v>
      </c>
      <c r="AH19" t="s">
        <v>174</v>
      </c>
      <c r="AI19">
        <v>0.10149443174939643</v>
      </c>
    </row>
    <row r="20" spans="9:35" x14ac:dyDescent="0.45">
      <c r="I20" t="s">
        <v>164</v>
      </c>
      <c r="J20" t="s">
        <v>175</v>
      </c>
      <c r="K20">
        <v>0.10315294948996301</v>
      </c>
      <c r="L20" t="s">
        <v>166</v>
      </c>
      <c r="N20" t="s">
        <v>242</v>
      </c>
      <c r="O20" t="s">
        <v>175</v>
      </c>
      <c r="P20">
        <v>0.15358379589155322</v>
      </c>
      <c r="Q20" t="s">
        <v>166</v>
      </c>
      <c r="S20" t="s">
        <v>307</v>
      </c>
      <c r="T20" t="s">
        <v>175</v>
      </c>
      <c r="U20">
        <v>0.12871358429096347</v>
      </c>
      <c r="V20" t="s">
        <v>166</v>
      </c>
      <c r="X20">
        <v>0.11837899543378995</v>
      </c>
      <c r="Y20">
        <v>0.1167739850334386</v>
      </c>
      <c r="Z20" t="s">
        <v>175</v>
      </c>
      <c r="AA20" t="s">
        <v>25</v>
      </c>
      <c r="AC20" t="s">
        <v>22</v>
      </c>
      <c r="AD20" t="s">
        <v>175</v>
      </c>
      <c r="AE20">
        <v>0.10326200776541551</v>
      </c>
      <c r="AG20" t="s">
        <v>97</v>
      </c>
      <c r="AH20" t="s">
        <v>175</v>
      </c>
      <c r="AI20">
        <v>0.21565116187541822</v>
      </c>
    </row>
    <row r="21" spans="9:35" x14ac:dyDescent="0.45">
      <c r="I21" t="s">
        <v>164</v>
      </c>
      <c r="J21" t="s">
        <v>176</v>
      </c>
      <c r="K21">
        <v>1.6102351427336784E-3</v>
      </c>
      <c r="L21" t="s">
        <v>166</v>
      </c>
      <c r="N21" t="s">
        <v>242</v>
      </c>
      <c r="O21" t="s">
        <v>176</v>
      </c>
      <c r="P21">
        <v>9.0782549816554904E-3</v>
      </c>
      <c r="Q21" t="s">
        <v>166</v>
      </c>
      <c r="S21" t="s">
        <v>307</v>
      </c>
      <c r="T21" t="s">
        <v>176</v>
      </c>
      <c r="U21">
        <v>7.8779347119641036E-3</v>
      </c>
      <c r="V21" t="s">
        <v>166</v>
      </c>
      <c r="X21">
        <v>6.9634703196347035E-3</v>
      </c>
      <c r="Y21">
        <v>1.354780432422577E-2</v>
      </c>
      <c r="Z21" t="s">
        <v>176</v>
      </c>
      <c r="AA21" t="s">
        <v>25</v>
      </c>
      <c r="AC21" t="s">
        <v>22</v>
      </c>
      <c r="AD21" t="s">
        <v>176</v>
      </c>
      <c r="AE21">
        <v>8.409896339356418E-3</v>
      </c>
      <c r="AG21" t="s">
        <v>97</v>
      </c>
      <c r="AH21" t="s">
        <v>176</v>
      </c>
      <c r="AI21">
        <v>6.5344488623271024E-2</v>
      </c>
    </row>
    <row r="22" spans="9:35" x14ac:dyDescent="0.45">
      <c r="I22" t="s">
        <v>164</v>
      </c>
      <c r="J22" t="s">
        <v>177</v>
      </c>
      <c r="K22">
        <v>0</v>
      </c>
      <c r="L22" t="s">
        <v>166</v>
      </c>
      <c r="N22" t="s">
        <v>242</v>
      </c>
      <c r="O22" t="s">
        <v>177</v>
      </c>
      <c r="P22">
        <v>5.2567319302568319E-2</v>
      </c>
      <c r="Q22" t="s">
        <v>166</v>
      </c>
      <c r="S22" t="s">
        <v>307</v>
      </c>
      <c r="T22" t="s">
        <v>177</v>
      </c>
      <c r="U22">
        <v>4.9417920405428299E-2</v>
      </c>
      <c r="V22" t="s">
        <v>166</v>
      </c>
      <c r="X22">
        <v>4.1780821917808221E-2</v>
      </c>
      <c r="Y22">
        <v>3.6801498313568527E-2</v>
      </c>
      <c r="Z22" t="s">
        <v>177</v>
      </c>
      <c r="AA22" t="s">
        <v>25</v>
      </c>
      <c r="AC22" t="s">
        <v>22</v>
      </c>
      <c r="AD22" t="s">
        <v>177</v>
      </c>
      <c r="AE22">
        <v>4.5712143917385262E-2</v>
      </c>
      <c r="AG22" t="s">
        <v>97</v>
      </c>
      <c r="AH22" t="s">
        <v>177</v>
      </c>
      <c r="AI22">
        <v>0.14530147634051294</v>
      </c>
    </row>
    <row r="23" spans="9:35" x14ac:dyDescent="0.45">
      <c r="I23" t="s">
        <v>178</v>
      </c>
      <c r="J23" t="s">
        <v>165</v>
      </c>
      <c r="K23">
        <v>0.557305565108828</v>
      </c>
      <c r="L23" t="s">
        <v>166</v>
      </c>
      <c r="N23" t="s">
        <v>243</v>
      </c>
      <c r="O23" t="s">
        <v>165</v>
      </c>
      <c r="P23">
        <v>0.49756950392848731</v>
      </c>
      <c r="Q23" t="s">
        <v>166</v>
      </c>
      <c r="S23" t="s">
        <v>308</v>
      </c>
      <c r="T23" t="s">
        <v>165</v>
      </c>
      <c r="U23">
        <v>0.4819248450633965</v>
      </c>
      <c r="V23" t="s">
        <v>166</v>
      </c>
      <c r="AC23" t="s">
        <v>19</v>
      </c>
      <c r="AD23" t="s">
        <v>165</v>
      </c>
      <c r="AE23">
        <v>0.40997016905003952</v>
      </c>
    </row>
    <row r="24" spans="9:35" x14ac:dyDescent="0.45">
      <c r="I24" t="s">
        <v>178</v>
      </c>
      <c r="J24" t="s">
        <v>167</v>
      </c>
      <c r="K24">
        <v>3.9504013010854641E-2</v>
      </c>
      <c r="L24" t="s">
        <v>166</v>
      </c>
      <c r="N24" t="s">
        <v>243</v>
      </c>
      <c r="O24" t="s">
        <v>167</v>
      </c>
      <c r="P24">
        <v>3.5433544413635443E-2</v>
      </c>
      <c r="Q24" t="s">
        <v>166</v>
      </c>
      <c r="S24" t="s">
        <v>308</v>
      </c>
      <c r="T24" t="s">
        <v>167</v>
      </c>
      <c r="U24">
        <v>3.3813668100134288E-2</v>
      </c>
      <c r="V24" t="s">
        <v>166</v>
      </c>
      <c r="AC24" t="s">
        <v>19</v>
      </c>
      <c r="AD24" t="s">
        <v>167</v>
      </c>
      <c r="AE24">
        <v>2.4526025966725588E-2</v>
      </c>
    </row>
    <row r="25" spans="9:35" x14ac:dyDescent="0.45">
      <c r="I25" t="s">
        <v>178</v>
      </c>
      <c r="J25" t="s">
        <v>168</v>
      </c>
      <c r="K25">
        <v>2.7591823360561735E-2</v>
      </c>
      <c r="L25" t="s">
        <v>166</v>
      </c>
      <c r="N25" t="s">
        <v>243</v>
      </c>
      <c r="O25" t="s">
        <v>168</v>
      </c>
      <c r="P25">
        <v>0.16617061260714147</v>
      </c>
      <c r="Q25" t="s">
        <v>166</v>
      </c>
      <c r="S25" t="s">
        <v>308</v>
      </c>
      <c r="T25" t="s">
        <v>168</v>
      </c>
      <c r="U25">
        <v>0.17007500267663994</v>
      </c>
      <c r="V25" t="s">
        <v>166</v>
      </c>
      <c r="AC25" t="s">
        <v>19</v>
      </c>
      <c r="AD25" t="s">
        <v>168</v>
      </c>
      <c r="AE25">
        <v>0.14627712528171455</v>
      </c>
    </row>
    <row r="26" spans="9:35" x14ac:dyDescent="0.45">
      <c r="I26" t="s">
        <v>178</v>
      </c>
      <c r="J26" t="s">
        <v>169</v>
      </c>
      <c r="K26">
        <v>0.17124860008945975</v>
      </c>
      <c r="L26" t="s">
        <v>166</v>
      </c>
      <c r="N26" t="s">
        <v>243</v>
      </c>
      <c r="O26" t="s">
        <v>169</v>
      </c>
      <c r="P26">
        <v>4.5968067049338923E-2</v>
      </c>
      <c r="Q26" t="s">
        <v>166</v>
      </c>
      <c r="S26" t="s">
        <v>308</v>
      </c>
      <c r="T26" t="s">
        <v>169</v>
      </c>
      <c r="U26">
        <v>5.1410465454799346E-2</v>
      </c>
      <c r="V26" t="s">
        <v>166</v>
      </c>
      <c r="AC26" t="s">
        <v>19</v>
      </c>
      <c r="AD26" t="s">
        <v>169</v>
      </c>
      <c r="AE26">
        <v>0.11811448472661122</v>
      </c>
    </row>
    <row r="27" spans="9:35" x14ac:dyDescent="0.45">
      <c r="I27" t="s">
        <v>178</v>
      </c>
      <c r="J27" t="s">
        <v>170</v>
      </c>
      <c r="K27">
        <v>1.0428945281736346E-2</v>
      </c>
      <c r="L27" t="s">
        <v>166</v>
      </c>
      <c r="N27" t="s">
        <v>243</v>
      </c>
      <c r="O27" t="s">
        <v>170</v>
      </c>
      <c r="P27">
        <v>4.9815443296369524E-3</v>
      </c>
      <c r="Q27" t="s">
        <v>166</v>
      </c>
      <c r="S27" t="s">
        <v>308</v>
      </c>
      <c r="T27" t="s">
        <v>170</v>
      </c>
      <c r="U27">
        <v>4.4044717818320211E-3</v>
      </c>
      <c r="V27" t="s">
        <v>166</v>
      </c>
      <c r="AC27" t="s">
        <v>19</v>
      </c>
      <c r="AD27" t="s">
        <v>170</v>
      </c>
      <c r="AE27">
        <v>7.0507127954080717E-3</v>
      </c>
    </row>
    <row r="28" spans="9:35" x14ac:dyDescent="0.45">
      <c r="I28" t="s">
        <v>178</v>
      </c>
      <c r="J28" t="s">
        <v>171</v>
      </c>
      <c r="K28">
        <v>7.7132923963464037E-3</v>
      </c>
      <c r="L28" t="s">
        <v>166</v>
      </c>
      <c r="N28" t="s">
        <v>243</v>
      </c>
      <c r="O28" t="s">
        <v>171</v>
      </c>
      <c r="P28">
        <v>2.0188402162785217E-2</v>
      </c>
      <c r="Q28" t="s">
        <v>166</v>
      </c>
      <c r="S28" t="s">
        <v>308</v>
      </c>
      <c r="T28" t="s">
        <v>171</v>
      </c>
      <c r="U28">
        <v>1.8395078259499108E-2</v>
      </c>
      <c r="V28" t="s">
        <v>166</v>
      </c>
      <c r="AC28" t="s">
        <v>19</v>
      </c>
      <c r="AD28" t="s">
        <v>171</v>
      </c>
      <c r="AE28">
        <v>4.2041073983136459E-2</v>
      </c>
    </row>
    <row r="29" spans="9:35" x14ac:dyDescent="0.45">
      <c r="I29" t="s">
        <v>178</v>
      </c>
      <c r="J29" t="s">
        <v>172</v>
      </c>
      <c r="K29">
        <v>7.7449915528453997E-2</v>
      </c>
      <c r="L29" t="s">
        <v>166</v>
      </c>
      <c r="N29" t="s">
        <v>243</v>
      </c>
      <c r="O29" t="s">
        <v>172</v>
      </c>
      <c r="P29">
        <v>2.4037196651132214E-2</v>
      </c>
      <c r="Q29" t="s">
        <v>166</v>
      </c>
      <c r="S29" t="s">
        <v>308</v>
      </c>
      <c r="T29" t="s">
        <v>172</v>
      </c>
      <c r="U29">
        <v>2.7528803672422501E-2</v>
      </c>
      <c r="V29" t="s">
        <v>166</v>
      </c>
      <c r="AC29" t="s">
        <v>19</v>
      </c>
      <c r="AD29" t="s">
        <v>172</v>
      </c>
      <c r="AE29">
        <v>6.00173143341316E-2</v>
      </c>
    </row>
    <row r="30" spans="9:35" x14ac:dyDescent="0.45">
      <c r="I30" t="s">
        <v>178</v>
      </c>
      <c r="J30" t="s">
        <v>173</v>
      </c>
      <c r="K30">
        <v>3.8760528469026045E-3</v>
      </c>
      <c r="L30" t="s">
        <v>166</v>
      </c>
      <c r="N30" t="s">
        <v>243</v>
      </c>
      <c r="O30" t="s">
        <v>173</v>
      </c>
      <c r="P30">
        <v>1.5977238108392205E-3</v>
      </c>
      <c r="Q30" t="s">
        <v>166</v>
      </c>
      <c r="S30" t="s">
        <v>308</v>
      </c>
      <c r="T30" t="s">
        <v>173</v>
      </c>
      <c r="U30">
        <v>2.1725552507565653E-3</v>
      </c>
      <c r="V30" t="s">
        <v>166</v>
      </c>
      <c r="AC30" t="s">
        <v>19</v>
      </c>
      <c r="AD30" t="s">
        <v>173</v>
      </c>
      <c r="AE30">
        <v>3.5811153484944453E-3</v>
      </c>
    </row>
    <row r="31" spans="9:35" x14ac:dyDescent="0.45">
      <c r="I31" t="s">
        <v>178</v>
      </c>
      <c r="J31" t="s">
        <v>174</v>
      </c>
      <c r="K31">
        <v>0</v>
      </c>
      <c r="L31" t="s">
        <v>166</v>
      </c>
      <c r="N31" t="s">
        <v>243</v>
      </c>
      <c r="O31" t="s">
        <v>174</v>
      </c>
      <c r="P31">
        <v>8.8780825326556789E-3</v>
      </c>
      <c r="Q31" t="s">
        <v>166</v>
      </c>
      <c r="S31" t="s">
        <v>308</v>
      </c>
      <c r="T31" t="s">
        <v>174</v>
      </c>
      <c r="U31">
        <v>1.0280607531560394E-2</v>
      </c>
      <c r="V31" t="s">
        <v>166</v>
      </c>
      <c r="AC31" t="s">
        <v>19</v>
      </c>
      <c r="AD31" t="s">
        <v>174</v>
      </c>
      <c r="AE31">
        <v>2.13550916577048E-2</v>
      </c>
    </row>
    <row r="32" spans="9:35" x14ac:dyDescent="0.45">
      <c r="I32" t="s">
        <v>178</v>
      </c>
      <c r="J32" t="s">
        <v>175</v>
      </c>
      <c r="K32">
        <v>0.10044377358389442</v>
      </c>
      <c r="L32" t="s">
        <v>166</v>
      </c>
      <c r="N32" t="s">
        <v>243</v>
      </c>
      <c r="O32" t="s">
        <v>175</v>
      </c>
      <c r="P32">
        <v>0.14243871898505736</v>
      </c>
      <c r="Q32" t="s">
        <v>166</v>
      </c>
      <c r="S32" t="s">
        <v>308</v>
      </c>
      <c r="T32" t="s">
        <v>175</v>
      </c>
      <c r="U32">
        <v>0.13993980212603807</v>
      </c>
      <c r="V32" t="s">
        <v>166</v>
      </c>
      <c r="AC32" t="s">
        <v>19</v>
      </c>
      <c r="AD32" t="s">
        <v>175</v>
      </c>
      <c r="AE32">
        <v>0.11784417721076373</v>
      </c>
    </row>
    <row r="33" spans="9:31" x14ac:dyDescent="0.45">
      <c r="I33" t="s">
        <v>178</v>
      </c>
      <c r="J33" t="s">
        <v>176</v>
      </c>
      <c r="K33">
        <v>4.4380187929628587E-3</v>
      </c>
      <c r="L33" t="s">
        <v>166</v>
      </c>
      <c r="N33" t="s">
        <v>243</v>
      </c>
      <c r="O33" t="s">
        <v>176</v>
      </c>
      <c r="P33">
        <v>7.389564634752036E-3</v>
      </c>
      <c r="Q33" t="s">
        <v>166</v>
      </c>
      <c r="S33" t="s">
        <v>308</v>
      </c>
      <c r="T33" t="s">
        <v>176</v>
      </c>
      <c r="U33">
        <v>8.397945976663726E-3</v>
      </c>
      <c r="V33" t="s">
        <v>166</v>
      </c>
      <c r="AC33" t="s">
        <v>19</v>
      </c>
      <c r="AD33" t="s">
        <v>176</v>
      </c>
      <c r="AE33">
        <v>7.0726519773280164E-3</v>
      </c>
    </row>
    <row r="34" spans="9:31" x14ac:dyDescent="0.45">
      <c r="I34" t="s">
        <v>178</v>
      </c>
      <c r="J34" t="s">
        <v>177</v>
      </c>
      <c r="K34">
        <v>0</v>
      </c>
      <c r="L34" t="s">
        <v>166</v>
      </c>
      <c r="N34" t="s">
        <v>243</v>
      </c>
      <c r="O34" t="s">
        <v>177</v>
      </c>
      <c r="P34">
        <v>4.534703889453736E-2</v>
      </c>
      <c r="Q34" t="s">
        <v>166</v>
      </c>
      <c r="S34" t="s">
        <v>308</v>
      </c>
      <c r="T34" t="s">
        <v>177</v>
      </c>
      <c r="U34">
        <v>5.1656754106259223E-2</v>
      </c>
      <c r="V34" t="s">
        <v>166</v>
      </c>
      <c r="AC34" t="s">
        <v>19</v>
      </c>
      <c r="AD34" t="s">
        <v>177</v>
      </c>
      <c r="AE34">
        <v>4.2150057667941852E-2</v>
      </c>
    </row>
    <row r="35" spans="9:31" x14ac:dyDescent="0.45">
      <c r="I35" t="s">
        <v>179</v>
      </c>
      <c r="J35" t="s">
        <v>165</v>
      </c>
      <c r="K35">
        <v>0.56696683365066214</v>
      </c>
      <c r="L35" t="s">
        <v>166</v>
      </c>
      <c r="N35" t="s">
        <v>244</v>
      </c>
      <c r="O35" t="s">
        <v>165</v>
      </c>
      <c r="P35">
        <v>0.49411369868716698</v>
      </c>
      <c r="Q35" t="s">
        <v>166</v>
      </c>
      <c r="S35" t="s">
        <v>309</v>
      </c>
      <c r="T35" t="s">
        <v>165</v>
      </c>
      <c r="U35">
        <v>0.4861308543249972</v>
      </c>
      <c r="V35" t="s">
        <v>166</v>
      </c>
    </row>
    <row r="36" spans="9:31" x14ac:dyDescent="0.45">
      <c r="I36" t="s">
        <v>179</v>
      </c>
      <c r="J36" t="s">
        <v>167</v>
      </c>
      <c r="K36">
        <v>3.7607034245778943E-2</v>
      </c>
      <c r="L36" t="s">
        <v>166</v>
      </c>
      <c r="N36" t="s">
        <v>244</v>
      </c>
      <c r="O36" t="s">
        <v>167</v>
      </c>
      <c r="P36">
        <v>3.3047518560742804E-2</v>
      </c>
      <c r="Q36" t="s">
        <v>166</v>
      </c>
      <c r="S36" t="s">
        <v>309</v>
      </c>
      <c r="T36" t="s">
        <v>167</v>
      </c>
      <c r="U36">
        <v>3.1845204757438426E-2</v>
      </c>
      <c r="V36" t="s">
        <v>166</v>
      </c>
    </row>
    <row r="37" spans="9:31" x14ac:dyDescent="0.45">
      <c r="I37" t="s">
        <v>179</v>
      </c>
      <c r="J37" t="s">
        <v>168</v>
      </c>
      <c r="K37">
        <v>2.3932557611375131E-2</v>
      </c>
      <c r="L37" t="s">
        <v>166</v>
      </c>
      <c r="N37" t="s">
        <v>244</v>
      </c>
      <c r="O37" t="s">
        <v>168</v>
      </c>
      <c r="P37">
        <v>0.16063353675517203</v>
      </c>
      <c r="Q37" t="s">
        <v>166</v>
      </c>
      <c r="S37" t="s">
        <v>309</v>
      </c>
      <c r="T37" t="s">
        <v>168</v>
      </c>
      <c r="U37">
        <v>0.16694826370644705</v>
      </c>
      <c r="V37" t="s">
        <v>166</v>
      </c>
    </row>
    <row r="38" spans="9:31" x14ac:dyDescent="0.45">
      <c r="I38" t="s">
        <v>179</v>
      </c>
      <c r="J38" t="s">
        <v>169</v>
      </c>
      <c r="K38">
        <v>0.16617834676431817</v>
      </c>
      <c r="L38" t="s">
        <v>166</v>
      </c>
      <c r="N38" t="s">
        <v>244</v>
      </c>
      <c r="O38" t="s">
        <v>169</v>
      </c>
      <c r="P38">
        <v>5.610639414598538E-2</v>
      </c>
      <c r="Q38" t="s">
        <v>166</v>
      </c>
      <c r="S38" t="s">
        <v>309</v>
      </c>
      <c r="T38" t="s">
        <v>169</v>
      </c>
      <c r="U38">
        <v>5.2579976434608218E-2</v>
      </c>
      <c r="V38" t="s">
        <v>166</v>
      </c>
    </row>
    <row r="39" spans="9:31" x14ac:dyDescent="0.45">
      <c r="I39" t="s">
        <v>179</v>
      </c>
      <c r="J39" t="s">
        <v>170</v>
      </c>
      <c r="K39">
        <v>9.8290530426272654E-3</v>
      </c>
      <c r="L39" t="s">
        <v>166</v>
      </c>
      <c r="N39" t="s">
        <v>244</v>
      </c>
      <c r="O39" t="s">
        <v>170</v>
      </c>
      <c r="P39">
        <v>5.0763310283112942E-3</v>
      </c>
      <c r="Q39" t="s">
        <v>166</v>
      </c>
      <c r="S39" t="s">
        <v>309</v>
      </c>
      <c r="T39" t="s">
        <v>170</v>
      </c>
      <c r="U39">
        <v>3.9050034911957627E-3</v>
      </c>
      <c r="V39" t="s">
        <v>166</v>
      </c>
    </row>
    <row r="40" spans="9:31" x14ac:dyDescent="0.45">
      <c r="I40" t="s">
        <v>179</v>
      </c>
      <c r="J40" t="s">
        <v>171</v>
      </c>
      <c r="K40">
        <v>6.3856298629418051E-3</v>
      </c>
      <c r="L40" t="s">
        <v>166</v>
      </c>
      <c r="N40" t="s">
        <v>244</v>
      </c>
      <c r="O40" t="s">
        <v>171</v>
      </c>
      <c r="P40">
        <v>1.9480596721185708E-2</v>
      </c>
      <c r="Q40" t="s">
        <v>166</v>
      </c>
      <c r="S40" t="s">
        <v>309</v>
      </c>
      <c r="T40" t="s">
        <v>171</v>
      </c>
      <c r="U40">
        <v>1.9252887319624115E-2</v>
      </c>
      <c r="V40" t="s">
        <v>166</v>
      </c>
    </row>
    <row r="41" spans="9:31" x14ac:dyDescent="0.45">
      <c r="I41" t="s">
        <v>179</v>
      </c>
      <c r="J41" t="s">
        <v>172</v>
      </c>
      <c r="K41">
        <v>7.6000668379845787E-2</v>
      </c>
      <c r="L41" t="s">
        <v>166</v>
      </c>
      <c r="N41" t="s">
        <v>244</v>
      </c>
      <c r="O41" t="s">
        <v>172</v>
      </c>
      <c r="P41">
        <v>3.1416200510354451E-2</v>
      </c>
      <c r="Q41" t="s">
        <v>166</v>
      </c>
      <c r="S41" t="s">
        <v>309</v>
      </c>
      <c r="T41" t="s">
        <v>172</v>
      </c>
      <c r="U41">
        <v>2.8164519711012186E-2</v>
      </c>
      <c r="V41" t="s">
        <v>166</v>
      </c>
    </row>
    <row r="42" spans="9:31" x14ac:dyDescent="0.45">
      <c r="I42" t="s">
        <v>179</v>
      </c>
      <c r="J42" t="s">
        <v>173</v>
      </c>
      <c r="K42">
        <v>3.6197074308558725E-3</v>
      </c>
      <c r="L42" t="s">
        <v>166</v>
      </c>
      <c r="N42" t="s">
        <v>244</v>
      </c>
      <c r="O42" t="s">
        <v>173</v>
      </c>
      <c r="P42">
        <v>1.8057510433592352E-3</v>
      </c>
      <c r="Q42" t="s">
        <v>166</v>
      </c>
      <c r="S42" t="s">
        <v>309</v>
      </c>
      <c r="T42" t="s">
        <v>173</v>
      </c>
      <c r="U42">
        <v>2.1536463433748649E-3</v>
      </c>
      <c r="V42" t="s">
        <v>166</v>
      </c>
    </row>
    <row r="43" spans="9:31" x14ac:dyDescent="0.45">
      <c r="I43" t="s">
        <v>179</v>
      </c>
      <c r="J43" t="s">
        <v>174</v>
      </c>
      <c r="K43">
        <v>0</v>
      </c>
      <c r="L43" t="s">
        <v>166</v>
      </c>
      <c r="N43" t="s">
        <v>244</v>
      </c>
      <c r="O43" t="s">
        <v>174</v>
      </c>
      <c r="P43">
        <v>1.0106162629939198E-2</v>
      </c>
      <c r="Q43" t="s">
        <v>166</v>
      </c>
      <c r="S43" t="s">
        <v>309</v>
      </c>
      <c r="T43" t="s">
        <v>174</v>
      </c>
      <c r="U43">
        <v>1.1936080301997283E-2</v>
      </c>
      <c r="V43" t="s">
        <v>166</v>
      </c>
    </row>
    <row r="44" spans="9:31" x14ac:dyDescent="0.45">
      <c r="I44" t="s">
        <v>179</v>
      </c>
      <c r="J44" t="s">
        <v>175</v>
      </c>
      <c r="K44">
        <v>0.10672124297752389</v>
      </c>
      <c r="L44" t="s">
        <v>166</v>
      </c>
      <c r="N44" t="s">
        <v>244</v>
      </c>
      <c r="O44" t="s">
        <v>175</v>
      </c>
      <c r="P44">
        <v>0.1365901673236192</v>
      </c>
      <c r="Q44" t="s">
        <v>166</v>
      </c>
      <c r="S44" t="s">
        <v>309</v>
      </c>
      <c r="T44" t="s">
        <v>175</v>
      </c>
      <c r="U44">
        <v>0.13902595558137168</v>
      </c>
      <c r="V44" t="s">
        <v>166</v>
      </c>
    </row>
    <row r="45" spans="9:31" x14ac:dyDescent="0.45">
      <c r="I45" t="s">
        <v>179</v>
      </c>
      <c r="J45" t="s">
        <v>176</v>
      </c>
      <c r="K45">
        <v>2.758926034070137E-3</v>
      </c>
      <c r="L45" t="s">
        <v>166</v>
      </c>
      <c r="N45" t="s">
        <v>244</v>
      </c>
      <c r="O45" t="s">
        <v>176</v>
      </c>
      <c r="P45">
        <v>8.4205163862372985E-3</v>
      </c>
      <c r="Q45" t="s">
        <v>166</v>
      </c>
      <c r="S45" t="s">
        <v>309</v>
      </c>
      <c r="T45" t="s">
        <v>176</v>
      </c>
      <c r="U45">
        <v>8.3367378479967062E-3</v>
      </c>
      <c r="V45" t="s">
        <v>166</v>
      </c>
    </row>
    <row r="46" spans="9:31" x14ac:dyDescent="0.45">
      <c r="I46" t="s">
        <v>179</v>
      </c>
      <c r="J46" t="s">
        <v>177</v>
      </c>
      <c r="K46">
        <v>0</v>
      </c>
      <c r="L46" t="s">
        <v>166</v>
      </c>
      <c r="N46" t="s">
        <v>244</v>
      </c>
      <c r="O46" t="s">
        <v>177</v>
      </c>
      <c r="P46">
        <v>4.3203126207927642E-2</v>
      </c>
      <c r="Q46" t="s">
        <v>166</v>
      </c>
      <c r="S46" t="s">
        <v>309</v>
      </c>
      <c r="T46" t="s">
        <v>177</v>
      </c>
      <c r="U46">
        <v>4.9720870179935678E-2</v>
      </c>
      <c r="V46" t="s">
        <v>166</v>
      </c>
    </row>
    <row r="47" spans="9:31" x14ac:dyDescent="0.45">
      <c r="I47" t="s">
        <v>180</v>
      </c>
      <c r="J47" t="s">
        <v>165</v>
      </c>
      <c r="K47">
        <v>0.55650489036354556</v>
      </c>
      <c r="L47" t="s">
        <v>166</v>
      </c>
      <c r="N47" t="s">
        <v>245</v>
      </c>
      <c r="O47" t="s">
        <v>165</v>
      </c>
      <c r="P47">
        <v>0.45800905215432741</v>
      </c>
      <c r="Q47" t="s">
        <v>166</v>
      </c>
      <c r="S47" t="s">
        <v>310</v>
      </c>
      <c r="T47" t="s">
        <v>165</v>
      </c>
      <c r="U47">
        <v>0.51265047326016244</v>
      </c>
      <c r="V47" t="s">
        <v>166</v>
      </c>
    </row>
    <row r="48" spans="9:31" x14ac:dyDescent="0.45">
      <c r="I48" t="s">
        <v>180</v>
      </c>
      <c r="J48" t="s">
        <v>167</v>
      </c>
      <c r="K48">
        <v>4.1604273230006601E-2</v>
      </c>
      <c r="L48" t="s">
        <v>166</v>
      </c>
      <c r="N48" t="s">
        <v>245</v>
      </c>
      <c r="O48" t="s">
        <v>167</v>
      </c>
      <c r="P48">
        <v>2.9192487202827171E-2</v>
      </c>
      <c r="Q48" t="s">
        <v>166</v>
      </c>
      <c r="S48" t="s">
        <v>310</v>
      </c>
      <c r="T48" t="s">
        <v>167</v>
      </c>
      <c r="U48">
        <v>2.9583712964698916E-2</v>
      </c>
      <c r="V48" t="s">
        <v>166</v>
      </c>
    </row>
    <row r="49" spans="9:22" x14ac:dyDescent="0.45">
      <c r="I49" t="s">
        <v>180</v>
      </c>
      <c r="J49" t="s">
        <v>168</v>
      </c>
      <c r="K49">
        <v>3.1093933943036365E-2</v>
      </c>
      <c r="L49" t="s">
        <v>166</v>
      </c>
      <c r="N49" t="s">
        <v>245</v>
      </c>
      <c r="O49" t="s">
        <v>168</v>
      </c>
      <c r="P49">
        <v>0.18972495938037875</v>
      </c>
      <c r="Q49" t="s">
        <v>166</v>
      </c>
      <c r="S49" t="s">
        <v>310</v>
      </c>
      <c r="T49" t="s">
        <v>168</v>
      </c>
      <c r="U49">
        <v>0.17412551473071264</v>
      </c>
      <c r="V49" t="s">
        <v>166</v>
      </c>
    </row>
    <row r="50" spans="9:22" x14ac:dyDescent="0.45">
      <c r="I50" t="s">
        <v>180</v>
      </c>
      <c r="J50" t="s">
        <v>169</v>
      </c>
      <c r="K50">
        <v>0.17205463398974219</v>
      </c>
      <c r="L50" t="s">
        <v>166</v>
      </c>
      <c r="N50" t="s">
        <v>245</v>
      </c>
      <c r="O50" t="s">
        <v>169</v>
      </c>
      <c r="P50">
        <v>6.5645784846215666E-2</v>
      </c>
      <c r="Q50" t="s">
        <v>166</v>
      </c>
      <c r="S50" t="s">
        <v>310</v>
      </c>
      <c r="T50" t="s">
        <v>169</v>
      </c>
      <c r="U50">
        <v>7.6989697365410559E-2</v>
      </c>
      <c r="V50" t="s">
        <v>166</v>
      </c>
    </row>
    <row r="51" spans="9:22" x14ac:dyDescent="0.45">
      <c r="I51" t="s">
        <v>180</v>
      </c>
      <c r="J51" t="s">
        <v>170</v>
      </c>
      <c r="K51">
        <v>1.2085754019641766E-2</v>
      </c>
      <c r="L51" t="s">
        <v>166</v>
      </c>
      <c r="N51" t="s">
        <v>245</v>
      </c>
      <c r="O51" t="s">
        <v>170</v>
      </c>
      <c r="P51">
        <v>5.9598227500391333E-3</v>
      </c>
      <c r="Q51" t="s">
        <v>166</v>
      </c>
      <c r="S51" t="s">
        <v>310</v>
      </c>
      <c r="T51" t="s">
        <v>170</v>
      </c>
      <c r="U51">
        <v>6.1590792307521722E-3</v>
      </c>
      <c r="V51" t="s">
        <v>166</v>
      </c>
    </row>
    <row r="52" spans="9:22" x14ac:dyDescent="0.45">
      <c r="I52" t="s">
        <v>180</v>
      </c>
      <c r="J52" t="s">
        <v>171</v>
      </c>
      <c r="K52">
        <v>9.1020069860917006E-3</v>
      </c>
      <c r="L52" t="s">
        <v>166</v>
      </c>
      <c r="N52" t="s">
        <v>245</v>
      </c>
      <c r="O52" t="s">
        <v>171</v>
      </c>
      <c r="P52">
        <v>4.2174047942383532E-2</v>
      </c>
      <c r="Q52" t="s">
        <v>166</v>
      </c>
      <c r="S52" t="s">
        <v>310</v>
      </c>
      <c r="T52" t="s">
        <v>171</v>
      </c>
      <c r="U52">
        <v>3.5667703543217452E-2</v>
      </c>
      <c r="V52" t="s">
        <v>166</v>
      </c>
    </row>
    <row r="53" spans="9:22" x14ac:dyDescent="0.45">
      <c r="I53" t="s">
        <v>180</v>
      </c>
      <c r="J53" t="s">
        <v>172</v>
      </c>
      <c r="K53">
        <v>7.2817957113920584E-2</v>
      </c>
      <c r="L53" t="s">
        <v>166</v>
      </c>
      <c r="N53" t="s">
        <v>245</v>
      </c>
      <c r="O53" t="s">
        <v>172</v>
      </c>
      <c r="P53">
        <v>4.6395251977855288E-2</v>
      </c>
      <c r="Q53" t="s">
        <v>166</v>
      </c>
      <c r="S53" t="s">
        <v>310</v>
      </c>
      <c r="T53" t="s">
        <v>172</v>
      </c>
      <c r="U53">
        <v>2.8526161538698813E-2</v>
      </c>
      <c r="V53" t="s">
        <v>166</v>
      </c>
    </row>
    <row r="54" spans="9:22" x14ac:dyDescent="0.45">
      <c r="I54" t="s">
        <v>180</v>
      </c>
      <c r="J54" t="s">
        <v>173</v>
      </c>
      <c r="K54">
        <v>3.9581455394095957E-3</v>
      </c>
      <c r="L54" t="s">
        <v>166</v>
      </c>
      <c r="N54" t="s">
        <v>245</v>
      </c>
      <c r="O54" t="s">
        <v>173</v>
      </c>
      <c r="P54">
        <v>2.7768260657420555E-3</v>
      </c>
      <c r="Q54" t="s">
        <v>166</v>
      </c>
      <c r="S54" t="s">
        <v>310</v>
      </c>
      <c r="T54" t="s">
        <v>173</v>
      </c>
      <c r="U54">
        <v>1.4650432644036356E-3</v>
      </c>
      <c r="V54" t="s">
        <v>166</v>
      </c>
    </row>
    <row r="55" spans="9:22" x14ac:dyDescent="0.45">
      <c r="I55" t="s">
        <v>180</v>
      </c>
      <c r="J55" t="s">
        <v>174</v>
      </c>
      <c r="K55">
        <v>0</v>
      </c>
      <c r="L55" t="s">
        <v>166</v>
      </c>
      <c r="N55" t="s">
        <v>245</v>
      </c>
      <c r="O55" t="s">
        <v>174</v>
      </c>
      <c r="P55">
        <v>2.0158770870603603E-2</v>
      </c>
      <c r="Q55" t="s">
        <v>166</v>
      </c>
      <c r="S55" t="s">
        <v>310</v>
      </c>
      <c r="T55" t="s">
        <v>174</v>
      </c>
      <c r="U55">
        <v>8.814113196410938E-3</v>
      </c>
      <c r="V55" t="s">
        <v>166</v>
      </c>
    </row>
    <row r="56" spans="9:22" x14ac:dyDescent="0.45">
      <c r="I56" t="s">
        <v>180</v>
      </c>
      <c r="J56" t="s">
        <v>175</v>
      </c>
      <c r="K56">
        <v>9.8271303259221815E-2</v>
      </c>
      <c r="L56" t="s">
        <v>166</v>
      </c>
      <c r="N56" t="s">
        <v>245</v>
      </c>
      <c r="O56" t="s">
        <v>175</v>
      </c>
      <c r="P56">
        <v>9.6309995979267329E-2</v>
      </c>
      <c r="Q56" t="s">
        <v>166</v>
      </c>
      <c r="S56" t="s">
        <v>310</v>
      </c>
      <c r="T56" t="s">
        <v>175</v>
      </c>
      <c r="U56">
        <v>8.933301358242704E-2</v>
      </c>
      <c r="V56" t="s">
        <v>166</v>
      </c>
    </row>
    <row r="57" spans="9:22" x14ac:dyDescent="0.45">
      <c r="I57" t="s">
        <v>180</v>
      </c>
      <c r="J57" t="s">
        <v>176</v>
      </c>
      <c r="K57">
        <v>2.5071015553859008E-3</v>
      </c>
      <c r="L57" t="s">
        <v>166</v>
      </c>
      <c r="N57" t="s">
        <v>245</v>
      </c>
      <c r="O57" t="s">
        <v>176</v>
      </c>
      <c r="P57">
        <v>5.5677525577236542E-3</v>
      </c>
      <c r="Q57" t="s">
        <v>166</v>
      </c>
      <c r="S57" t="s">
        <v>310</v>
      </c>
      <c r="T57" t="s">
        <v>176</v>
      </c>
      <c r="U57">
        <v>5.5142622257852445E-3</v>
      </c>
      <c r="V57" t="s">
        <v>166</v>
      </c>
    </row>
    <row r="58" spans="9:22" x14ac:dyDescent="0.45">
      <c r="I58" t="s">
        <v>180</v>
      </c>
      <c r="J58" t="s">
        <v>177</v>
      </c>
      <c r="K58">
        <v>0</v>
      </c>
      <c r="L58" t="s">
        <v>166</v>
      </c>
      <c r="N58" t="s">
        <v>245</v>
      </c>
      <c r="O58" t="s">
        <v>177</v>
      </c>
      <c r="P58">
        <v>3.8085248272635888E-2</v>
      </c>
      <c r="Q58" t="s">
        <v>166</v>
      </c>
      <c r="S58" t="s">
        <v>310</v>
      </c>
      <c r="T58" t="s">
        <v>177</v>
      </c>
      <c r="U58">
        <v>3.1171225097319701E-2</v>
      </c>
      <c r="V58" t="s">
        <v>166</v>
      </c>
    </row>
    <row r="59" spans="9:22" x14ac:dyDescent="0.45">
      <c r="I59" t="s">
        <v>181</v>
      </c>
      <c r="J59" t="s">
        <v>165</v>
      </c>
      <c r="K59">
        <v>0.56363169771416766</v>
      </c>
      <c r="L59" t="s">
        <v>166</v>
      </c>
      <c r="N59" t="s">
        <v>246</v>
      </c>
      <c r="O59" t="s">
        <v>165</v>
      </c>
      <c r="P59">
        <v>0.57839523006807469</v>
      </c>
      <c r="Q59" t="s">
        <v>166</v>
      </c>
      <c r="S59" t="s">
        <v>311</v>
      </c>
      <c r="T59" t="s">
        <v>165</v>
      </c>
      <c r="U59">
        <v>0.515956751504971</v>
      </c>
      <c r="V59" t="s">
        <v>166</v>
      </c>
    </row>
    <row r="60" spans="9:22" x14ac:dyDescent="0.45">
      <c r="I60" t="s">
        <v>181</v>
      </c>
      <c r="J60" t="s">
        <v>167</v>
      </c>
      <c r="K60">
        <v>3.9269952068452671E-2</v>
      </c>
      <c r="L60" t="s">
        <v>166</v>
      </c>
      <c r="N60" t="s">
        <v>246</v>
      </c>
      <c r="O60" t="s">
        <v>167</v>
      </c>
      <c r="P60">
        <v>3.2824797707523674E-2</v>
      </c>
      <c r="Q60" t="s">
        <v>166</v>
      </c>
      <c r="S60" t="s">
        <v>311</v>
      </c>
      <c r="T60" t="s">
        <v>167</v>
      </c>
      <c r="U60">
        <v>3.0134709217003664E-2</v>
      </c>
      <c r="V60" t="s">
        <v>166</v>
      </c>
    </row>
    <row r="61" spans="9:22" x14ac:dyDescent="0.45">
      <c r="I61" t="s">
        <v>181</v>
      </c>
      <c r="J61" t="s">
        <v>168</v>
      </c>
      <c r="K61">
        <v>2.7084301185520614E-2</v>
      </c>
      <c r="L61" t="s">
        <v>166</v>
      </c>
      <c r="N61" t="s">
        <v>246</v>
      </c>
      <c r="O61" t="s">
        <v>168</v>
      </c>
      <c r="P61">
        <v>0.14600736392719146</v>
      </c>
      <c r="Q61" t="s">
        <v>166</v>
      </c>
      <c r="S61" t="s">
        <v>311</v>
      </c>
      <c r="T61" t="s">
        <v>168</v>
      </c>
      <c r="U61">
        <v>0.16106927388009062</v>
      </c>
      <c r="V61" t="s">
        <v>166</v>
      </c>
    </row>
    <row r="62" spans="9:22" x14ac:dyDescent="0.45">
      <c r="I62" t="s">
        <v>181</v>
      </c>
      <c r="J62" t="s">
        <v>169</v>
      </c>
      <c r="K62">
        <v>0.17301070607645053</v>
      </c>
      <c r="L62" t="s">
        <v>166</v>
      </c>
      <c r="N62" t="s">
        <v>246</v>
      </c>
      <c r="O62" t="s">
        <v>169</v>
      </c>
      <c r="P62">
        <v>3.0948134735671831E-2</v>
      </c>
      <c r="Q62" t="s">
        <v>166</v>
      </c>
      <c r="S62" t="s">
        <v>311</v>
      </c>
      <c r="T62" t="s">
        <v>169</v>
      </c>
      <c r="U62">
        <v>7.4206942278918595E-2</v>
      </c>
      <c r="V62" t="s">
        <v>166</v>
      </c>
    </row>
    <row r="63" spans="9:22" x14ac:dyDescent="0.45">
      <c r="I63" t="s">
        <v>181</v>
      </c>
      <c r="J63" t="s">
        <v>170</v>
      </c>
      <c r="K63">
        <v>1.1533565155920774E-2</v>
      </c>
      <c r="L63" t="s">
        <v>166</v>
      </c>
      <c r="N63" t="s">
        <v>246</v>
      </c>
      <c r="O63" t="s">
        <v>170</v>
      </c>
      <c r="P63">
        <v>4.6396664310311558E-3</v>
      </c>
      <c r="Q63" t="s">
        <v>166</v>
      </c>
      <c r="S63" t="s">
        <v>311</v>
      </c>
      <c r="T63" t="s">
        <v>170</v>
      </c>
      <c r="U63">
        <v>6.5516531638373085E-3</v>
      </c>
      <c r="V63" t="s">
        <v>166</v>
      </c>
    </row>
    <row r="64" spans="9:22" x14ac:dyDescent="0.45">
      <c r="I64" t="s">
        <v>181</v>
      </c>
      <c r="J64" t="s">
        <v>171</v>
      </c>
      <c r="K64">
        <v>7.4097333906467883E-3</v>
      </c>
      <c r="L64" t="s">
        <v>166</v>
      </c>
      <c r="N64" t="s">
        <v>246</v>
      </c>
      <c r="O64" t="s">
        <v>171</v>
      </c>
      <c r="P64">
        <v>1.0326224122956909E-2</v>
      </c>
      <c r="Q64" t="s">
        <v>166</v>
      </c>
      <c r="S64" t="s">
        <v>311</v>
      </c>
      <c r="T64" t="s">
        <v>171</v>
      </c>
      <c r="U64">
        <v>3.1670695785106277E-2</v>
      </c>
      <c r="V64" t="s">
        <v>166</v>
      </c>
    </row>
    <row r="65" spans="9:22" x14ac:dyDescent="0.45">
      <c r="I65" t="s">
        <v>181</v>
      </c>
      <c r="J65" t="s">
        <v>172</v>
      </c>
      <c r="K65">
        <v>7.3721668623894759E-2</v>
      </c>
      <c r="L65" t="s">
        <v>166</v>
      </c>
      <c r="N65" t="s">
        <v>246</v>
      </c>
      <c r="O65" t="s">
        <v>172</v>
      </c>
      <c r="P65">
        <v>1.3018436560596952E-2</v>
      </c>
      <c r="Q65" t="s">
        <v>166</v>
      </c>
      <c r="S65" t="s">
        <v>311</v>
      </c>
      <c r="T65" t="s">
        <v>172</v>
      </c>
      <c r="U65">
        <v>3.0830012498836244E-2</v>
      </c>
      <c r="V65" t="s">
        <v>166</v>
      </c>
    </row>
    <row r="66" spans="9:22" x14ac:dyDescent="0.45">
      <c r="I66" t="s">
        <v>181</v>
      </c>
      <c r="J66" t="s">
        <v>173</v>
      </c>
      <c r="K66">
        <v>3.5395565257941267E-3</v>
      </c>
      <c r="L66" t="s">
        <v>166</v>
      </c>
      <c r="N66" t="s">
        <v>246</v>
      </c>
      <c r="O66" t="s">
        <v>173</v>
      </c>
      <c r="P66">
        <v>1.7007008833145524E-3</v>
      </c>
      <c r="Q66" t="s">
        <v>166</v>
      </c>
      <c r="S66" t="s">
        <v>311</v>
      </c>
      <c r="T66" t="s">
        <v>173</v>
      </c>
      <c r="U66">
        <v>1.6857011459283356E-3</v>
      </c>
      <c r="V66" t="s">
        <v>166</v>
      </c>
    </row>
    <row r="67" spans="9:22" x14ac:dyDescent="0.45">
      <c r="I67" t="s">
        <v>181</v>
      </c>
      <c r="J67" t="s">
        <v>174</v>
      </c>
      <c r="K67">
        <v>0</v>
      </c>
      <c r="L67" t="s">
        <v>166</v>
      </c>
      <c r="N67" t="s">
        <v>246</v>
      </c>
      <c r="O67" t="s">
        <v>174</v>
      </c>
      <c r="P67">
        <v>4.6287037844077858E-3</v>
      </c>
      <c r="Q67" t="s">
        <v>166</v>
      </c>
      <c r="S67" t="s">
        <v>311</v>
      </c>
      <c r="T67" t="s">
        <v>174</v>
      </c>
      <c r="U67">
        <v>9.9936739389464672E-3</v>
      </c>
      <c r="V67" t="s">
        <v>166</v>
      </c>
    </row>
    <row r="68" spans="9:22" x14ac:dyDescent="0.45">
      <c r="I68" t="s">
        <v>181</v>
      </c>
      <c r="J68" t="s">
        <v>175</v>
      </c>
      <c r="K68">
        <v>9.9607430492432203E-2</v>
      </c>
      <c r="L68" t="s">
        <v>166</v>
      </c>
      <c r="N68" t="s">
        <v>246</v>
      </c>
      <c r="O68" t="s">
        <v>175</v>
      </c>
      <c r="P68">
        <v>0.12902159194497226</v>
      </c>
      <c r="Q68" t="s">
        <v>166</v>
      </c>
      <c r="S68" t="s">
        <v>311</v>
      </c>
      <c r="T68" t="s">
        <v>175</v>
      </c>
      <c r="U68">
        <v>9.9205140472438877E-2</v>
      </c>
      <c r="V68" t="s">
        <v>166</v>
      </c>
    </row>
    <row r="69" spans="9:22" x14ac:dyDescent="0.45">
      <c r="I69" t="s">
        <v>181</v>
      </c>
      <c r="J69" t="s">
        <v>176</v>
      </c>
      <c r="K69">
        <v>1.1913887667187556E-3</v>
      </c>
      <c r="L69" t="s">
        <v>166</v>
      </c>
      <c r="N69" t="s">
        <v>246</v>
      </c>
      <c r="O69" t="s">
        <v>176</v>
      </c>
      <c r="P69">
        <v>6.9806276839823314E-3</v>
      </c>
      <c r="Q69" t="s">
        <v>166</v>
      </c>
      <c r="S69" t="s">
        <v>311</v>
      </c>
      <c r="T69" t="s">
        <v>176</v>
      </c>
      <c r="U69">
        <v>5.7861130935591637E-3</v>
      </c>
      <c r="V69" t="s">
        <v>166</v>
      </c>
    </row>
    <row r="70" spans="9:22" x14ac:dyDescent="0.45">
      <c r="I70" t="s">
        <v>181</v>
      </c>
      <c r="J70" t="s">
        <v>177</v>
      </c>
      <c r="K70">
        <v>0</v>
      </c>
      <c r="L70" t="s">
        <v>166</v>
      </c>
      <c r="N70" t="s">
        <v>246</v>
      </c>
      <c r="O70" t="s">
        <v>177</v>
      </c>
      <c r="P70">
        <v>4.1508522150277803E-2</v>
      </c>
      <c r="Q70" t="s">
        <v>166</v>
      </c>
      <c r="S70" t="s">
        <v>311</v>
      </c>
      <c r="T70" t="s">
        <v>177</v>
      </c>
      <c r="U70">
        <v>3.2909333020363564E-2</v>
      </c>
      <c r="V70" t="s">
        <v>166</v>
      </c>
    </row>
    <row r="71" spans="9:22" x14ac:dyDescent="0.45">
      <c r="I71" t="s">
        <v>182</v>
      </c>
      <c r="J71" t="s">
        <v>165</v>
      </c>
      <c r="K71">
        <v>0.54531614727870426</v>
      </c>
      <c r="L71" t="s">
        <v>166</v>
      </c>
      <c r="N71" t="s">
        <v>247</v>
      </c>
      <c r="O71" t="s">
        <v>165</v>
      </c>
      <c r="P71">
        <v>0.54074567825719888</v>
      </c>
      <c r="Q71" t="s">
        <v>166</v>
      </c>
      <c r="S71" t="s">
        <v>312</v>
      </c>
      <c r="T71" t="s">
        <v>165</v>
      </c>
      <c r="U71">
        <v>0.48804102525121956</v>
      </c>
      <c r="V71" t="s">
        <v>166</v>
      </c>
    </row>
    <row r="72" spans="9:22" x14ac:dyDescent="0.45">
      <c r="I72" t="s">
        <v>182</v>
      </c>
      <c r="J72" t="s">
        <v>167</v>
      </c>
      <c r="K72">
        <v>4.1891140106165889E-2</v>
      </c>
      <c r="L72" t="s">
        <v>166</v>
      </c>
      <c r="N72" t="s">
        <v>247</v>
      </c>
      <c r="O72" t="s">
        <v>167</v>
      </c>
      <c r="P72">
        <v>3.3741646277801102E-2</v>
      </c>
      <c r="Q72" t="s">
        <v>166</v>
      </c>
      <c r="S72" t="s">
        <v>312</v>
      </c>
      <c r="T72" t="s">
        <v>167</v>
      </c>
      <c r="U72">
        <v>3.041832765283085E-2</v>
      </c>
      <c r="V72" t="s">
        <v>166</v>
      </c>
    </row>
    <row r="73" spans="9:22" x14ac:dyDescent="0.45">
      <c r="I73" t="s">
        <v>182</v>
      </c>
      <c r="J73" t="s">
        <v>168</v>
      </c>
      <c r="K73">
        <v>3.2133079912642484E-2</v>
      </c>
      <c r="L73" t="s">
        <v>166</v>
      </c>
      <c r="N73" t="s">
        <v>247</v>
      </c>
      <c r="O73" t="s">
        <v>168</v>
      </c>
      <c r="P73">
        <v>0.16390761831405076</v>
      </c>
      <c r="Q73" t="s">
        <v>166</v>
      </c>
      <c r="S73" t="s">
        <v>312</v>
      </c>
      <c r="T73" t="s">
        <v>168</v>
      </c>
      <c r="U73">
        <v>0.17768740554198814</v>
      </c>
      <c r="V73" t="s">
        <v>166</v>
      </c>
    </row>
    <row r="74" spans="9:22" x14ac:dyDescent="0.45">
      <c r="I74" t="s">
        <v>182</v>
      </c>
      <c r="J74" t="s">
        <v>169</v>
      </c>
      <c r="K74">
        <v>0.15912971520626121</v>
      </c>
      <c r="L74" t="s">
        <v>166</v>
      </c>
      <c r="N74" t="s">
        <v>247</v>
      </c>
      <c r="O74" t="s">
        <v>169</v>
      </c>
      <c r="P74">
        <v>3.4913399045065768E-2</v>
      </c>
      <c r="Q74" t="s">
        <v>166</v>
      </c>
      <c r="S74" t="s">
        <v>312</v>
      </c>
      <c r="T74" t="s">
        <v>169</v>
      </c>
      <c r="U74">
        <v>6.3446019202978154E-2</v>
      </c>
      <c r="V74" t="s">
        <v>166</v>
      </c>
    </row>
    <row r="75" spans="9:22" x14ac:dyDescent="0.45">
      <c r="I75" t="s">
        <v>182</v>
      </c>
      <c r="J75" t="s">
        <v>170</v>
      </c>
      <c r="K75">
        <v>1.1220530929057166E-2</v>
      </c>
      <c r="L75" t="s">
        <v>166</v>
      </c>
      <c r="N75" t="s">
        <v>247</v>
      </c>
      <c r="O75" t="s">
        <v>170</v>
      </c>
      <c r="P75">
        <v>5.5242601617483235E-3</v>
      </c>
      <c r="Q75" t="s">
        <v>166</v>
      </c>
      <c r="S75" t="s">
        <v>312</v>
      </c>
      <c r="T75" t="s">
        <v>170</v>
      </c>
      <c r="U75">
        <v>6.715051351651311E-3</v>
      </c>
      <c r="V75" t="s">
        <v>166</v>
      </c>
    </row>
    <row r="76" spans="9:22" x14ac:dyDescent="0.45">
      <c r="I76" t="s">
        <v>182</v>
      </c>
      <c r="J76" t="s">
        <v>171</v>
      </c>
      <c r="K76">
        <v>8.8869458926087858E-3</v>
      </c>
      <c r="L76" t="s">
        <v>166</v>
      </c>
      <c r="N76" t="s">
        <v>247</v>
      </c>
      <c r="O76" t="s">
        <v>171</v>
      </c>
      <c r="P76">
        <v>2.0301548671950935E-2</v>
      </c>
      <c r="Q76" t="s">
        <v>166</v>
      </c>
      <c r="S76" t="s">
        <v>312</v>
      </c>
      <c r="T76" t="s">
        <v>171</v>
      </c>
      <c r="U76">
        <v>3.1502536670800704E-2</v>
      </c>
      <c r="V76" t="s">
        <v>166</v>
      </c>
    </row>
    <row r="77" spans="9:22" x14ac:dyDescent="0.45">
      <c r="I77" t="s">
        <v>182</v>
      </c>
      <c r="J77" t="s">
        <v>172</v>
      </c>
      <c r="K77">
        <v>7.7701618189348023E-2</v>
      </c>
      <c r="L77" t="s">
        <v>166</v>
      </c>
      <c r="N77" t="s">
        <v>247</v>
      </c>
      <c r="O77" t="s">
        <v>172</v>
      </c>
      <c r="P77">
        <v>2.5988062816719133E-2</v>
      </c>
      <c r="Q77" t="s">
        <v>166</v>
      </c>
      <c r="S77" t="s">
        <v>312</v>
      </c>
      <c r="T77" t="s">
        <v>172</v>
      </c>
      <c r="U77">
        <v>2.1540227733926779E-2</v>
      </c>
      <c r="V77" t="s">
        <v>166</v>
      </c>
    </row>
    <row r="78" spans="9:22" x14ac:dyDescent="0.45">
      <c r="I78" t="s">
        <v>182</v>
      </c>
      <c r="J78" t="s">
        <v>173</v>
      </c>
      <c r="K78">
        <v>4.7793937667211621E-3</v>
      </c>
      <c r="L78" t="s">
        <v>166</v>
      </c>
      <c r="N78" t="s">
        <v>247</v>
      </c>
      <c r="O78" t="s">
        <v>173</v>
      </c>
      <c r="P78">
        <v>2.0479434577296224E-3</v>
      </c>
      <c r="Q78" t="s">
        <v>166</v>
      </c>
      <c r="S78" t="s">
        <v>312</v>
      </c>
      <c r="T78" t="s">
        <v>173</v>
      </c>
      <c r="U78">
        <v>1.8935678431478845E-3</v>
      </c>
      <c r="V78" t="s">
        <v>166</v>
      </c>
    </row>
    <row r="79" spans="9:22" x14ac:dyDescent="0.45">
      <c r="I79" t="s">
        <v>182</v>
      </c>
      <c r="J79" t="s">
        <v>174</v>
      </c>
      <c r="K79">
        <v>7.8636242591126056E-4</v>
      </c>
      <c r="L79" t="s">
        <v>166</v>
      </c>
      <c r="N79" t="s">
        <v>247</v>
      </c>
      <c r="O79" t="s">
        <v>174</v>
      </c>
      <c r="P79">
        <v>1.0771220573236505E-2</v>
      </c>
      <c r="Q79" t="s">
        <v>166</v>
      </c>
      <c r="S79" t="s">
        <v>312</v>
      </c>
      <c r="T79" t="s">
        <v>174</v>
      </c>
      <c r="U79">
        <v>1.0348611278236615E-2</v>
      </c>
      <c r="V79" t="s">
        <v>166</v>
      </c>
    </row>
    <row r="80" spans="9:22" x14ac:dyDescent="0.45">
      <c r="I80" t="s">
        <v>182</v>
      </c>
      <c r="J80" t="s">
        <v>175</v>
      </c>
      <c r="K80">
        <v>0.11130013870042858</v>
      </c>
      <c r="L80" t="s">
        <v>166</v>
      </c>
      <c r="N80" t="s">
        <v>247</v>
      </c>
      <c r="O80" t="s">
        <v>175</v>
      </c>
      <c r="P80">
        <v>0.11841839070718103</v>
      </c>
      <c r="Q80" t="s">
        <v>166</v>
      </c>
      <c r="S80" t="s">
        <v>312</v>
      </c>
      <c r="T80" t="s">
        <v>175</v>
      </c>
      <c r="U80">
        <v>0.11165578395505585</v>
      </c>
      <c r="V80" t="s">
        <v>166</v>
      </c>
    </row>
    <row r="81" spans="9:22" x14ac:dyDescent="0.45">
      <c r="I81" t="s">
        <v>182</v>
      </c>
      <c r="J81" t="s">
        <v>176</v>
      </c>
      <c r="K81">
        <v>6.8549275921523309E-3</v>
      </c>
      <c r="L81" t="s">
        <v>166</v>
      </c>
      <c r="N81" t="s">
        <v>247</v>
      </c>
      <c r="O81" t="s">
        <v>176</v>
      </c>
      <c r="P81">
        <v>6.3720540999470032E-3</v>
      </c>
      <c r="Q81" t="s">
        <v>166</v>
      </c>
      <c r="S81" t="s">
        <v>312</v>
      </c>
      <c r="T81" t="s">
        <v>176</v>
      </c>
      <c r="U81">
        <v>8.0968570601838742E-3</v>
      </c>
      <c r="V81" t="s">
        <v>166</v>
      </c>
    </row>
    <row r="82" spans="9:22" x14ac:dyDescent="0.45">
      <c r="I82" t="s">
        <v>182</v>
      </c>
      <c r="J82" t="s">
        <v>177</v>
      </c>
      <c r="K82">
        <v>0</v>
      </c>
      <c r="L82" t="s">
        <v>166</v>
      </c>
      <c r="N82" t="s">
        <v>247</v>
      </c>
      <c r="O82" t="s">
        <v>177</v>
      </c>
      <c r="P82">
        <v>3.7268177617372847E-2</v>
      </c>
      <c r="Q82" t="s">
        <v>166</v>
      </c>
      <c r="S82" t="s">
        <v>312</v>
      </c>
      <c r="T82" t="s">
        <v>177</v>
      </c>
      <c r="U82">
        <v>4.8654586457976559E-2</v>
      </c>
      <c r="V82" t="s">
        <v>166</v>
      </c>
    </row>
    <row r="83" spans="9:22" x14ac:dyDescent="0.45">
      <c r="I83" t="s">
        <v>183</v>
      </c>
      <c r="J83" t="s">
        <v>165</v>
      </c>
      <c r="K83">
        <v>0.54743872368416324</v>
      </c>
      <c r="L83" t="s">
        <v>166</v>
      </c>
      <c r="N83" t="s">
        <v>248</v>
      </c>
      <c r="O83" t="s">
        <v>165</v>
      </c>
      <c r="P83">
        <v>0.50044422666871058</v>
      </c>
      <c r="Q83" t="s">
        <v>166</v>
      </c>
      <c r="S83" t="s">
        <v>313</v>
      </c>
      <c r="T83" t="s">
        <v>165</v>
      </c>
      <c r="U83">
        <v>0.47045058152784175</v>
      </c>
      <c r="V83" t="s">
        <v>166</v>
      </c>
    </row>
    <row r="84" spans="9:22" x14ac:dyDescent="0.45">
      <c r="I84" t="s">
        <v>183</v>
      </c>
      <c r="J84" t="s">
        <v>167</v>
      </c>
      <c r="K84">
        <v>4.0602461697873189E-2</v>
      </c>
      <c r="L84" t="s">
        <v>166</v>
      </c>
      <c r="N84" t="s">
        <v>248</v>
      </c>
      <c r="O84" t="s">
        <v>167</v>
      </c>
      <c r="P84">
        <v>3.0009442385438834E-2</v>
      </c>
      <c r="Q84" t="s">
        <v>166</v>
      </c>
      <c r="S84" t="s">
        <v>313</v>
      </c>
      <c r="T84" t="s">
        <v>167</v>
      </c>
      <c r="U84">
        <v>2.8450851039390206E-2</v>
      </c>
      <c r="V84" t="s">
        <v>166</v>
      </c>
    </row>
    <row r="85" spans="9:22" x14ac:dyDescent="0.45">
      <c r="I85" t="s">
        <v>183</v>
      </c>
      <c r="J85" t="s">
        <v>168</v>
      </c>
      <c r="K85">
        <v>3.1103583172146062E-2</v>
      </c>
      <c r="L85" t="s">
        <v>166</v>
      </c>
      <c r="N85" t="s">
        <v>248</v>
      </c>
      <c r="O85" t="s">
        <v>168</v>
      </c>
      <c r="P85">
        <v>0.16236515996172257</v>
      </c>
      <c r="Q85" t="s">
        <v>166</v>
      </c>
      <c r="S85" t="s">
        <v>313</v>
      </c>
      <c r="T85" t="s">
        <v>168</v>
      </c>
      <c r="U85">
        <v>0.16863617891911292</v>
      </c>
      <c r="V85" t="s">
        <v>166</v>
      </c>
    </row>
    <row r="86" spans="9:22" x14ac:dyDescent="0.45">
      <c r="I86" t="s">
        <v>183</v>
      </c>
      <c r="J86" t="s">
        <v>169</v>
      </c>
      <c r="K86">
        <v>0.16790937241949014</v>
      </c>
      <c r="L86" t="s">
        <v>166</v>
      </c>
      <c r="N86" t="s">
        <v>248</v>
      </c>
      <c r="O86" t="s">
        <v>169</v>
      </c>
      <c r="P86">
        <v>7.8913058959198548E-2</v>
      </c>
      <c r="Q86" t="s">
        <v>166</v>
      </c>
      <c r="S86" t="s">
        <v>313</v>
      </c>
      <c r="T86" t="s">
        <v>169</v>
      </c>
      <c r="U86">
        <v>9.1345303428313818E-2</v>
      </c>
      <c r="V86" t="s">
        <v>166</v>
      </c>
    </row>
    <row r="87" spans="9:22" x14ac:dyDescent="0.45">
      <c r="I87" t="s">
        <v>183</v>
      </c>
      <c r="J87" t="s">
        <v>170</v>
      </c>
      <c r="K87">
        <v>1.0854466999306436E-2</v>
      </c>
      <c r="L87" t="s">
        <v>166</v>
      </c>
      <c r="N87" t="s">
        <v>248</v>
      </c>
      <c r="O87" t="s">
        <v>170</v>
      </c>
      <c r="P87">
        <v>6.5809432619078397E-3</v>
      </c>
      <c r="Q87" t="s">
        <v>166</v>
      </c>
      <c r="S87" t="s">
        <v>313</v>
      </c>
      <c r="T87" t="s">
        <v>170</v>
      </c>
      <c r="U87">
        <v>6.7514663789480858E-3</v>
      </c>
      <c r="V87" t="s">
        <v>166</v>
      </c>
    </row>
    <row r="88" spans="9:22" x14ac:dyDescent="0.45">
      <c r="I88" t="s">
        <v>183</v>
      </c>
      <c r="J88" t="s">
        <v>171</v>
      </c>
      <c r="K88">
        <v>8.9531933247051776E-3</v>
      </c>
      <c r="L88" t="s">
        <v>166</v>
      </c>
      <c r="N88" t="s">
        <v>248</v>
      </c>
      <c r="O88" t="s">
        <v>171</v>
      </c>
      <c r="P88">
        <v>3.3505205546918722E-2</v>
      </c>
      <c r="Q88" t="s">
        <v>166</v>
      </c>
      <c r="S88" t="s">
        <v>313</v>
      </c>
      <c r="T88" t="s">
        <v>171</v>
      </c>
      <c r="U88">
        <v>3.6841349590059753E-2</v>
      </c>
      <c r="V88" t="s">
        <v>166</v>
      </c>
    </row>
    <row r="89" spans="9:22" x14ac:dyDescent="0.45">
      <c r="I89" t="s">
        <v>183</v>
      </c>
      <c r="J89" t="s">
        <v>172</v>
      </c>
      <c r="K89">
        <v>7.9155671899805768E-2</v>
      </c>
      <c r="L89" t="s">
        <v>166</v>
      </c>
      <c r="N89" t="s">
        <v>248</v>
      </c>
      <c r="O89" t="s">
        <v>172</v>
      </c>
      <c r="P89">
        <v>3.3782006344268853E-2</v>
      </c>
      <c r="Q89" t="s">
        <v>166</v>
      </c>
      <c r="S89" t="s">
        <v>313</v>
      </c>
      <c r="T89" t="s">
        <v>172</v>
      </c>
      <c r="U89">
        <v>3.0239616735597687E-2</v>
      </c>
      <c r="V89" t="s">
        <v>166</v>
      </c>
    </row>
    <row r="90" spans="9:22" x14ac:dyDescent="0.45">
      <c r="I90" t="s">
        <v>183</v>
      </c>
      <c r="J90" t="s">
        <v>173</v>
      </c>
      <c r="K90">
        <v>4.4343192688059497E-3</v>
      </c>
      <c r="L90" t="s">
        <v>166</v>
      </c>
      <c r="N90" t="s">
        <v>248</v>
      </c>
      <c r="O90" t="s">
        <v>173</v>
      </c>
      <c r="P90">
        <v>1.8292157478571032E-3</v>
      </c>
      <c r="Q90" t="s">
        <v>166</v>
      </c>
      <c r="S90" t="s">
        <v>313</v>
      </c>
      <c r="T90" t="s">
        <v>173</v>
      </c>
      <c r="U90">
        <v>1.6859128350582662E-3</v>
      </c>
      <c r="V90" t="s">
        <v>166</v>
      </c>
    </row>
    <row r="91" spans="9:22" x14ac:dyDescent="0.45">
      <c r="I91" t="s">
        <v>183</v>
      </c>
      <c r="J91" t="s">
        <v>174</v>
      </c>
      <c r="K91">
        <v>3.4491880513428855E-4</v>
      </c>
      <c r="L91" t="s">
        <v>166</v>
      </c>
      <c r="N91" t="s">
        <v>248</v>
      </c>
      <c r="O91" t="s">
        <v>174</v>
      </c>
      <c r="P91">
        <v>1.0666323630063403E-2</v>
      </c>
      <c r="Q91" t="s">
        <v>166</v>
      </c>
      <c r="S91" t="s">
        <v>313</v>
      </c>
      <c r="T91" t="s">
        <v>174</v>
      </c>
      <c r="U91">
        <v>1.0315894902808235E-2</v>
      </c>
      <c r="V91" t="s">
        <v>166</v>
      </c>
    </row>
    <row r="92" spans="9:22" x14ac:dyDescent="0.45">
      <c r="I92" t="s">
        <v>183</v>
      </c>
      <c r="J92" t="s">
        <v>175</v>
      </c>
      <c r="K92">
        <v>0.10330158340701563</v>
      </c>
      <c r="L92" t="s">
        <v>166</v>
      </c>
      <c r="N92" t="s">
        <v>248</v>
      </c>
      <c r="O92" t="s">
        <v>175</v>
      </c>
      <c r="P92">
        <v>0.1013939394207841</v>
      </c>
      <c r="Q92" t="s">
        <v>166</v>
      </c>
      <c r="S92" t="s">
        <v>313</v>
      </c>
      <c r="T92" t="s">
        <v>175</v>
      </c>
      <c r="U92">
        <v>0.10732557472443001</v>
      </c>
      <c r="V92" t="s">
        <v>166</v>
      </c>
    </row>
    <row r="93" spans="9:22" x14ac:dyDescent="0.45">
      <c r="I93" t="s">
        <v>183</v>
      </c>
      <c r="J93" t="s">
        <v>176</v>
      </c>
      <c r="K93">
        <v>5.9017053215575837E-3</v>
      </c>
      <c r="L93" t="s">
        <v>166</v>
      </c>
      <c r="N93" t="s">
        <v>248</v>
      </c>
      <c r="O93" t="s">
        <v>176</v>
      </c>
      <c r="P93">
        <v>6.1066557542119038E-3</v>
      </c>
      <c r="Q93" t="s">
        <v>166</v>
      </c>
      <c r="S93" t="s">
        <v>313</v>
      </c>
      <c r="T93" t="s">
        <v>176</v>
      </c>
      <c r="U93">
        <v>7.0022166742319094E-3</v>
      </c>
      <c r="V93" t="s">
        <v>166</v>
      </c>
    </row>
    <row r="94" spans="9:22" x14ac:dyDescent="0.45">
      <c r="I94" t="s">
        <v>183</v>
      </c>
      <c r="J94" t="s">
        <v>177</v>
      </c>
      <c r="K94">
        <v>0</v>
      </c>
      <c r="L94" t="s">
        <v>166</v>
      </c>
      <c r="N94" t="s">
        <v>248</v>
      </c>
      <c r="O94" t="s">
        <v>177</v>
      </c>
      <c r="P94">
        <v>3.4403822318916366E-2</v>
      </c>
      <c r="Q94" t="s">
        <v>166</v>
      </c>
      <c r="S94" t="s">
        <v>313</v>
      </c>
      <c r="T94" t="s">
        <v>177</v>
      </c>
      <c r="U94">
        <v>4.0955053244209387E-2</v>
      </c>
      <c r="V94" t="s">
        <v>166</v>
      </c>
    </row>
    <row r="95" spans="9:22" x14ac:dyDescent="0.45">
      <c r="I95" t="s">
        <v>184</v>
      </c>
      <c r="J95" t="s">
        <v>165</v>
      </c>
      <c r="K95">
        <v>0.55813416635724156</v>
      </c>
      <c r="L95" t="s">
        <v>166</v>
      </c>
      <c r="N95" t="s">
        <v>249</v>
      </c>
      <c r="O95" t="s">
        <v>165</v>
      </c>
      <c r="P95">
        <v>0.49991746490321876</v>
      </c>
      <c r="Q95" t="s">
        <v>166</v>
      </c>
      <c r="S95" t="s">
        <v>314</v>
      </c>
      <c r="T95" t="s">
        <v>165</v>
      </c>
      <c r="U95">
        <v>0.49725173924896887</v>
      </c>
      <c r="V95" t="s">
        <v>166</v>
      </c>
    </row>
    <row r="96" spans="9:22" x14ac:dyDescent="0.45">
      <c r="I96" t="s">
        <v>184</v>
      </c>
      <c r="J96" t="s">
        <v>167</v>
      </c>
      <c r="K96">
        <v>3.9442834521003993E-2</v>
      </c>
      <c r="L96" t="s">
        <v>166</v>
      </c>
      <c r="N96" t="s">
        <v>249</v>
      </c>
      <c r="O96" t="s">
        <v>167</v>
      </c>
      <c r="P96">
        <v>3.0097909298268038E-2</v>
      </c>
      <c r="Q96" t="s">
        <v>166</v>
      </c>
      <c r="S96" t="s">
        <v>314</v>
      </c>
      <c r="T96" t="s">
        <v>167</v>
      </c>
      <c r="U96">
        <v>2.9773349957936575E-2</v>
      </c>
      <c r="V96" t="s">
        <v>166</v>
      </c>
    </row>
    <row r="97" spans="9:22" x14ac:dyDescent="0.45">
      <c r="I97" t="s">
        <v>184</v>
      </c>
      <c r="J97" t="s">
        <v>168</v>
      </c>
      <c r="K97">
        <v>2.6854006114667376E-2</v>
      </c>
      <c r="L97" t="s">
        <v>166</v>
      </c>
      <c r="N97" t="s">
        <v>249</v>
      </c>
      <c r="O97" t="s">
        <v>168</v>
      </c>
      <c r="P97">
        <v>0.17397273515014861</v>
      </c>
      <c r="Q97" t="s">
        <v>166</v>
      </c>
      <c r="S97" t="s">
        <v>314</v>
      </c>
      <c r="T97" t="s">
        <v>168</v>
      </c>
      <c r="U97">
        <v>0.17732923835637904</v>
      </c>
      <c r="V97" t="s">
        <v>166</v>
      </c>
    </row>
    <row r="98" spans="9:22" x14ac:dyDescent="0.45">
      <c r="I98" t="s">
        <v>184</v>
      </c>
      <c r="J98" t="s">
        <v>169</v>
      </c>
      <c r="K98">
        <v>0.1660706725274553</v>
      </c>
      <c r="L98" t="s">
        <v>166</v>
      </c>
      <c r="N98" t="s">
        <v>249</v>
      </c>
      <c r="O98" t="s">
        <v>169</v>
      </c>
      <c r="P98">
        <v>7.5432560677744676E-2</v>
      </c>
      <c r="Q98" t="s">
        <v>166</v>
      </c>
      <c r="S98" t="s">
        <v>314</v>
      </c>
      <c r="T98" t="s">
        <v>169</v>
      </c>
      <c r="U98">
        <v>8.2108314208847052E-2</v>
      </c>
      <c r="V98" t="s">
        <v>166</v>
      </c>
    </row>
    <row r="99" spans="9:22" x14ac:dyDescent="0.45">
      <c r="I99" t="s">
        <v>184</v>
      </c>
      <c r="J99" t="s">
        <v>170</v>
      </c>
      <c r="K99">
        <v>1.0319058438617643E-2</v>
      </c>
      <c r="L99" t="s">
        <v>166</v>
      </c>
      <c r="N99" t="s">
        <v>249</v>
      </c>
      <c r="O99" t="s">
        <v>170</v>
      </c>
      <c r="P99">
        <v>7.8635651320295499E-3</v>
      </c>
      <c r="Q99" t="s">
        <v>166</v>
      </c>
      <c r="S99" t="s">
        <v>314</v>
      </c>
      <c r="T99" t="s">
        <v>170</v>
      </c>
      <c r="U99">
        <v>8.3277739674322577E-3</v>
      </c>
      <c r="V99" t="s">
        <v>166</v>
      </c>
    </row>
    <row r="100" spans="9:22" x14ac:dyDescent="0.45">
      <c r="I100" t="s">
        <v>184</v>
      </c>
      <c r="J100" t="s">
        <v>171</v>
      </c>
      <c r="K100">
        <v>7.5126292515712177E-3</v>
      </c>
      <c r="L100" t="s">
        <v>166</v>
      </c>
      <c r="N100" t="s">
        <v>249</v>
      </c>
      <c r="O100" t="s">
        <v>171</v>
      </c>
      <c r="P100">
        <v>3.7529298792583231E-2</v>
      </c>
      <c r="Q100" t="s">
        <v>166</v>
      </c>
      <c r="S100" t="s">
        <v>314</v>
      </c>
      <c r="T100" t="s">
        <v>171</v>
      </c>
      <c r="U100">
        <v>4.2850952055747515E-2</v>
      </c>
      <c r="V100" t="s">
        <v>166</v>
      </c>
    </row>
    <row r="101" spans="9:22" x14ac:dyDescent="0.45">
      <c r="I101" t="s">
        <v>184</v>
      </c>
      <c r="J101" t="s">
        <v>172</v>
      </c>
      <c r="K101">
        <v>7.8427501268837407E-2</v>
      </c>
      <c r="L101" t="s">
        <v>166</v>
      </c>
      <c r="N101" t="s">
        <v>249</v>
      </c>
      <c r="O101" t="s">
        <v>172</v>
      </c>
      <c r="P101">
        <v>2.5127120626413851E-2</v>
      </c>
      <c r="Q101" t="s">
        <v>166</v>
      </c>
      <c r="S101" t="s">
        <v>314</v>
      </c>
      <c r="T101" t="s">
        <v>172</v>
      </c>
      <c r="U101">
        <v>2.619626116410129E-2</v>
      </c>
      <c r="V101" t="s">
        <v>166</v>
      </c>
    </row>
    <row r="102" spans="9:22" x14ac:dyDescent="0.45">
      <c r="I102" t="s">
        <v>184</v>
      </c>
      <c r="J102" t="s">
        <v>173</v>
      </c>
      <c r="K102">
        <v>4.0538005139287847E-3</v>
      </c>
      <c r="L102" t="s">
        <v>166</v>
      </c>
      <c r="N102" t="s">
        <v>249</v>
      </c>
      <c r="O102" t="s">
        <v>173</v>
      </c>
      <c r="P102">
        <v>1.7592795104966657E-3</v>
      </c>
      <c r="Q102" t="s">
        <v>166</v>
      </c>
      <c r="S102" t="s">
        <v>314</v>
      </c>
      <c r="T102" t="s">
        <v>173</v>
      </c>
      <c r="U102">
        <v>1.6319566655823351E-3</v>
      </c>
      <c r="V102" t="s">
        <v>166</v>
      </c>
    </row>
    <row r="103" spans="9:22" x14ac:dyDescent="0.45">
      <c r="I103" t="s">
        <v>184</v>
      </c>
      <c r="J103" t="s">
        <v>174</v>
      </c>
      <c r="K103">
        <v>2.1759841782371001E-5</v>
      </c>
      <c r="L103" t="s">
        <v>166</v>
      </c>
      <c r="N103" t="s">
        <v>249</v>
      </c>
      <c r="O103" t="s">
        <v>174</v>
      </c>
      <c r="P103">
        <v>9.5634910122794469E-3</v>
      </c>
      <c r="Q103" t="s">
        <v>166</v>
      </c>
      <c r="S103" t="s">
        <v>314</v>
      </c>
      <c r="T103" t="s">
        <v>174</v>
      </c>
      <c r="U103">
        <v>9.8405432503987887E-3</v>
      </c>
      <c r="V103" t="s">
        <v>166</v>
      </c>
    </row>
    <row r="104" spans="9:22" x14ac:dyDescent="0.45">
      <c r="I104" t="s">
        <v>184</v>
      </c>
      <c r="J104" t="s">
        <v>175</v>
      </c>
      <c r="K104">
        <v>0.10324982595241791</v>
      </c>
      <c r="L104" t="s">
        <v>166</v>
      </c>
      <c r="N104" t="s">
        <v>249</v>
      </c>
      <c r="O104" t="s">
        <v>175</v>
      </c>
      <c r="P104">
        <v>9.55358154316895E-2</v>
      </c>
      <c r="Q104" t="s">
        <v>166</v>
      </c>
      <c r="S104" t="s">
        <v>314</v>
      </c>
      <c r="T104" t="s">
        <v>175</v>
      </c>
      <c r="U104">
        <v>8.6869570107213828E-2</v>
      </c>
      <c r="V104" t="s">
        <v>166</v>
      </c>
    </row>
    <row r="105" spans="9:22" x14ac:dyDescent="0.45">
      <c r="I105" t="s">
        <v>184</v>
      </c>
      <c r="J105" t="s">
        <v>176</v>
      </c>
      <c r="K105">
        <v>5.9137452124768276E-3</v>
      </c>
      <c r="L105" t="s">
        <v>166</v>
      </c>
      <c r="N105" t="s">
        <v>249</v>
      </c>
      <c r="O105" t="s">
        <v>176</v>
      </c>
      <c r="P105">
        <v>6.4035629145979076E-3</v>
      </c>
      <c r="Q105" t="s">
        <v>166</v>
      </c>
      <c r="S105" t="s">
        <v>314</v>
      </c>
      <c r="T105" t="s">
        <v>176</v>
      </c>
      <c r="U105">
        <v>5.6646945796616542E-3</v>
      </c>
      <c r="V105" t="s">
        <v>166</v>
      </c>
    </row>
    <row r="106" spans="9:22" x14ac:dyDescent="0.45">
      <c r="I106" t="s">
        <v>184</v>
      </c>
      <c r="J106" t="s">
        <v>177</v>
      </c>
      <c r="K106">
        <v>0</v>
      </c>
      <c r="L106" t="s">
        <v>166</v>
      </c>
      <c r="N106" t="s">
        <v>249</v>
      </c>
      <c r="O106" t="s">
        <v>177</v>
      </c>
      <c r="P106">
        <v>3.6797196550531139E-2</v>
      </c>
      <c r="Q106" t="s">
        <v>166</v>
      </c>
      <c r="S106" t="s">
        <v>314</v>
      </c>
      <c r="T106" t="s">
        <v>177</v>
      </c>
      <c r="U106">
        <v>3.2155606437734428E-2</v>
      </c>
      <c r="V106" t="s">
        <v>166</v>
      </c>
    </row>
    <row r="107" spans="9:22" x14ac:dyDescent="0.45">
      <c r="I107" t="s">
        <v>185</v>
      </c>
      <c r="J107" t="s">
        <v>165</v>
      </c>
      <c r="K107">
        <v>0.55173990342992374</v>
      </c>
      <c r="L107" t="s">
        <v>166</v>
      </c>
      <c r="N107" t="s">
        <v>250</v>
      </c>
      <c r="O107" t="s">
        <v>165</v>
      </c>
      <c r="P107">
        <v>0.47609491694716011</v>
      </c>
      <c r="Q107" t="s">
        <v>166</v>
      </c>
      <c r="S107" t="s">
        <v>315</v>
      </c>
      <c r="T107" t="s">
        <v>165</v>
      </c>
      <c r="U107">
        <v>0.49824536584334983</v>
      </c>
      <c r="V107" t="s">
        <v>166</v>
      </c>
    </row>
    <row r="108" spans="9:22" x14ac:dyDescent="0.45">
      <c r="I108" t="s">
        <v>185</v>
      </c>
      <c r="J108" t="s">
        <v>167</v>
      </c>
      <c r="K108">
        <v>4.1243773417673858E-2</v>
      </c>
      <c r="L108" t="s">
        <v>166</v>
      </c>
      <c r="N108" t="s">
        <v>250</v>
      </c>
      <c r="O108" t="s">
        <v>167</v>
      </c>
      <c r="P108">
        <v>2.8736062174280749E-2</v>
      </c>
      <c r="Q108" t="s">
        <v>166</v>
      </c>
      <c r="S108" t="s">
        <v>315</v>
      </c>
      <c r="T108" t="s">
        <v>167</v>
      </c>
      <c r="U108">
        <v>2.9379609144280196E-2</v>
      </c>
      <c r="V108" t="s">
        <v>166</v>
      </c>
    </row>
    <row r="109" spans="9:22" x14ac:dyDescent="0.45">
      <c r="I109" t="s">
        <v>185</v>
      </c>
      <c r="J109" t="s">
        <v>168</v>
      </c>
      <c r="K109">
        <v>2.8695943003796201E-2</v>
      </c>
      <c r="L109" t="s">
        <v>166</v>
      </c>
      <c r="N109" t="s">
        <v>250</v>
      </c>
      <c r="O109" t="s">
        <v>168</v>
      </c>
      <c r="P109">
        <v>0.1817399403438128</v>
      </c>
      <c r="Q109" t="s">
        <v>166</v>
      </c>
      <c r="S109" t="s">
        <v>315</v>
      </c>
      <c r="T109" t="s">
        <v>168</v>
      </c>
      <c r="U109">
        <v>0.17314544722384581</v>
      </c>
      <c r="V109" t="s">
        <v>166</v>
      </c>
    </row>
    <row r="110" spans="9:22" x14ac:dyDescent="0.45">
      <c r="I110" t="s">
        <v>185</v>
      </c>
      <c r="J110" t="s">
        <v>169</v>
      </c>
      <c r="K110">
        <v>0.16149814621726727</v>
      </c>
      <c r="L110" t="s">
        <v>166</v>
      </c>
      <c r="N110" t="s">
        <v>250</v>
      </c>
      <c r="O110" t="s">
        <v>169</v>
      </c>
      <c r="P110">
        <v>6.1893356972783191E-2</v>
      </c>
      <c r="Q110" t="s">
        <v>166</v>
      </c>
      <c r="S110" t="s">
        <v>315</v>
      </c>
      <c r="T110" t="s">
        <v>169</v>
      </c>
      <c r="U110">
        <v>7.5946190498102126E-2</v>
      </c>
      <c r="V110" t="s">
        <v>166</v>
      </c>
    </row>
    <row r="111" spans="9:22" x14ac:dyDescent="0.45">
      <c r="I111" t="s">
        <v>185</v>
      </c>
      <c r="J111" t="s">
        <v>170</v>
      </c>
      <c r="K111">
        <v>1.0768928691413928E-2</v>
      </c>
      <c r="L111" t="s">
        <v>166</v>
      </c>
      <c r="N111" t="s">
        <v>250</v>
      </c>
      <c r="O111" t="s">
        <v>170</v>
      </c>
      <c r="P111">
        <v>5.1459151811010673E-3</v>
      </c>
      <c r="Q111" t="s">
        <v>166</v>
      </c>
      <c r="S111" t="s">
        <v>315</v>
      </c>
      <c r="T111" t="s">
        <v>170</v>
      </c>
      <c r="U111">
        <v>7.1306796615306593E-3</v>
      </c>
      <c r="V111" t="s">
        <v>166</v>
      </c>
    </row>
    <row r="112" spans="9:22" x14ac:dyDescent="0.45">
      <c r="I112" t="s">
        <v>185</v>
      </c>
      <c r="J112" t="s">
        <v>171</v>
      </c>
      <c r="K112">
        <v>8.0997027030842387E-3</v>
      </c>
      <c r="L112" t="s">
        <v>166</v>
      </c>
      <c r="N112" t="s">
        <v>250</v>
      </c>
      <c r="O112" t="s">
        <v>171</v>
      </c>
      <c r="P112">
        <v>3.182698529010649E-2</v>
      </c>
      <c r="Q112" t="s">
        <v>166</v>
      </c>
      <c r="S112" t="s">
        <v>315</v>
      </c>
      <c r="T112" t="s">
        <v>171</v>
      </c>
      <c r="U112">
        <v>3.6291313775582972E-2</v>
      </c>
      <c r="V112" t="s">
        <v>166</v>
      </c>
    </row>
    <row r="113" spans="9:22" x14ac:dyDescent="0.45">
      <c r="I113" t="s">
        <v>185</v>
      </c>
      <c r="J113" t="s">
        <v>172</v>
      </c>
      <c r="K113">
        <v>7.7925865443535469E-2</v>
      </c>
      <c r="L113" t="s">
        <v>166</v>
      </c>
      <c r="N113" t="s">
        <v>250</v>
      </c>
      <c r="O113" t="s">
        <v>172</v>
      </c>
      <c r="P113">
        <v>4.5410876725607383E-2</v>
      </c>
      <c r="Q113" t="s">
        <v>166</v>
      </c>
      <c r="S113" t="s">
        <v>315</v>
      </c>
      <c r="T113" t="s">
        <v>172</v>
      </c>
      <c r="U113">
        <v>2.5364207163722591E-2</v>
      </c>
      <c r="V113" t="s">
        <v>166</v>
      </c>
    </row>
    <row r="114" spans="9:22" x14ac:dyDescent="0.45">
      <c r="I114" t="s">
        <v>185</v>
      </c>
      <c r="J114" t="s">
        <v>173</v>
      </c>
      <c r="K114">
        <v>4.6403040012816836E-3</v>
      </c>
      <c r="L114" t="s">
        <v>166</v>
      </c>
      <c r="N114" t="s">
        <v>250</v>
      </c>
      <c r="O114" t="s">
        <v>173</v>
      </c>
      <c r="P114">
        <v>1.8612514105032642E-3</v>
      </c>
      <c r="Q114" t="s">
        <v>166</v>
      </c>
      <c r="S114" t="s">
        <v>315</v>
      </c>
      <c r="T114" t="s">
        <v>173</v>
      </c>
      <c r="U114">
        <v>1.6716409817916021E-3</v>
      </c>
      <c r="V114" t="s">
        <v>166</v>
      </c>
    </row>
    <row r="115" spans="9:22" x14ac:dyDescent="0.45">
      <c r="I115" t="s">
        <v>185</v>
      </c>
      <c r="J115" t="s">
        <v>174</v>
      </c>
      <c r="K115">
        <v>3.1814077274191908E-4</v>
      </c>
      <c r="L115" t="s">
        <v>166</v>
      </c>
      <c r="N115" t="s">
        <v>250</v>
      </c>
      <c r="O115" t="s">
        <v>174</v>
      </c>
      <c r="P115">
        <v>1.9511578950049666E-2</v>
      </c>
      <c r="Q115" t="s">
        <v>166</v>
      </c>
      <c r="S115" t="s">
        <v>315</v>
      </c>
      <c r="T115" t="s">
        <v>174</v>
      </c>
      <c r="U115">
        <v>9.305451926260748E-3</v>
      </c>
      <c r="V115" t="s">
        <v>166</v>
      </c>
    </row>
    <row r="116" spans="9:22" x14ac:dyDescent="0.45">
      <c r="I116" t="s">
        <v>185</v>
      </c>
      <c r="J116" t="s">
        <v>175</v>
      </c>
      <c r="K116">
        <v>0.10880570202026157</v>
      </c>
      <c r="L116" t="s">
        <v>166</v>
      </c>
      <c r="N116" t="s">
        <v>250</v>
      </c>
      <c r="O116" t="s">
        <v>175</v>
      </c>
      <c r="P116">
        <v>0.10626664485066756</v>
      </c>
      <c r="Q116" t="s">
        <v>166</v>
      </c>
      <c r="S116" t="s">
        <v>315</v>
      </c>
      <c r="T116" t="s">
        <v>175</v>
      </c>
      <c r="U116">
        <v>9.8895614331424631E-2</v>
      </c>
      <c r="V116" t="s">
        <v>166</v>
      </c>
    </row>
    <row r="117" spans="9:22" x14ac:dyDescent="0.45">
      <c r="I117" t="s">
        <v>185</v>
      </c>
      <c r="J117" t="s">
        <v>176</v>
      </c>
      <c r="K117">
        <v>6.2635902990226013E-3</v>
      </c>
      <c r="L117" t="s">
        <v>166</v>
      </c>
      <c r="N117" t="s">
        <v>250</v>
      </c>
      <c r="O117" t="s">
        <v>176</v>
      </c>
      <c r="P117">
        <v>5.6325750834172687E-3</v>
      </c>
      <c r="Q117" t="s">
        <v>166</v>
      </c>
      <c r="S117" t="s">
        <v>315</v>
      </c>
      <c r="T117" t="s">
        <v>176</v>
      </c>
      <c r="U117">
        <v>6.5059242855867441E-3</v>
      </c>
      <c r="V117" t="s">
        <v>166</v>
      </c>
    </row>
    <row r="118" spans="9:22" x14ac:dyDescent="0.45">
      <c r="I118" t="s">
        <v>185</v>
      </c>
      <c r="J118" t="s">
        <v>177</v>
      </c>
      <c r="K118">
        <v>0</v>
      </c>
      <c r="L118" t="s">
        <v>166</v>
      </c>
      <c r="N118" t="s">
        <v>250</v>
      </c>
      <c r="O118" t="s">
        <v>177</v>
      </c>
      <c r="P118">
        <v>3.5879896070505811E-2</v>
      </c>
      <c r="Q118" t="s">
        <v>166</v>
      </c>
      <c r="S118" t="s">
        <v>315</v>
      </c>
      <c r="T118" t="s">
        <v>177</v>
      </c>
      <c r="U118">
        <v>3.8118555164516843E-2</v>
      </c>
      <c r="V118" t="s">
        <v>166</v>
      </c>
    </row>
    <row r="119" spans="9:22" x14ac:dyDescent="0.45">
      <c r="I119" t="s">
        <v>186</v>
      </c>
      <c r="J119" t="s">
        <v>165</v>
      </c>
      <c r="K119">
        <v>0.54432237171964992</v>
      </c>
      <c r="L119" t="s">
        <v>166</v>
      </c>
      <c r="N119" t="s">
        <v>251</v>
      </c>
      <c r="O119" t="s">
        <v>165</v>
      </c>
      <c r="P119">
        <v>0.52329394965413611</v>
      </c>
      <c r="Q119" t="s">
        <v>166</v>
      </c>
      <c r="S119" t="s">
        <v>316</v>
      </c>
      <c r="T119" t="s">
        <v>165</v>
      </c>
      <c r="U119">
        <v>0.52784067558334957</v>
      </c>
      <c r="V119" t="s">
        <v>166</v>
      </c>
    </row>
    <row r="120" spans="9:22" x14ac:dyDescent="0.45">
      <c r="I120" t="s">
        <v>186</v>
      </c>
      <c r="J120" t="s">
        <v>167</v>
      </c>
      <c r="K120">
        <v>4.5247504530449553E-2</v>
      </c>
      <c r="L120" t="s">
        <v>166</v>
      </c>
      <c r="N120" t="s">
        <v>251</v>
      </c>
      <c r="O120" t="s">
        <v>167</v>
      </c>
      <c r="P120">
        <v>3.456411647530757E-2</v>
      </c>
      <c r="Q120" t="s">
        <v>166</v>
      </c>
      <c r="S120" t="s">
        <v>316</v>
      </c>
      <c r="T120" t="s">
        <v>167</v>
      </c>
      <c r="U120">
        <v>3.1068847317351808E-2</v>
      </c>
      <c r="V120" t="s">
        <v>166</v>
      </c>
    </row>
    <row r="121" spans="9:22" x14ac:dyDescent="0.45">
      <c r="I121" t="s">
        <v>186</v>
      </c>
      <c r="J121" t="s">
        <v>168</v>
      </c>
      <c r="K121">
        <v>3.5820695285981884E-2</v>
      </c>
      <c r="L121" t="s">
        <v>166</v>
      </c>
      <c r="N121" t="s">
        <v>251</v>
      </c>
      <c r="O121" t="s">
        <v>168</v>
      </c>
      <c r="P121">
        <v>0.18591476552128564</v>
      </c>
      <c r="Q121" t="s">
        <v>166</v>
      </c>
      <c r="S121" t="s">
        <v>316</v>
      </c>
      <c r="T121" t="s">
        <v>168</v>
      </c>
      <c r="U121">
        <v>0.17621179092881498</v>
      </c>
      <c r="V121" t="s">
        <v>166</v>
      </c>
    </row>
    <row r="122" spans="9:22" x14ac:dyDescent="0.45">
      <c r="I122" t="s">
        <v>186</v>
      </c>
      <c r="J122" t="s">
        <v>169</v>
      </c>
      <c r="K122">
        <v>0.16721161973243337</v>
      </c>
      <c r="L122" t="s">
        <v>166</v>
      </c>
      <c r="N122" t="s">
        <v>251</v>
      </c>
      <c r="O122" t="s">
        <v>169</v>
      </c>
      <c r="P122">
        <v>3.730920815120934E-2</v>
      </c>
      <c r="Q122" t="s">
        <v>166</v>
      </c>
      <c r="S122" t="s">
        <v>316</v>
      </c>
      <c r="T122" t="s">
        <v>169</v>
      </c>
      <c r="U122">
        <v>5.8409742399314568E-2</v>
      </c>
      <c r="V122" t="s">
        <v>166</v>
      </c>
    </row>
    <row r="123" spans="9:22" x14ac:dyDescent="0.45">
      <c r="I123" t="s">
        <v>186</v>
      </c>
      <c r="J123" t="s">
        <v>170</v>
      </c>
      <c r="K123">
        <v>1.3225186313093209E-2</v>
      </c>
      <c r="L123" t="s">
        <v>166</v>
      </c>
      <c r="N123" t="s">
        <v>251</v>
      </c>
      <c r="O123" t="s">
        <v>170</v>
      </c>
      <c r="P123">
        <v>5.0548361617519747E-3</v>
      </c>
      <c r="Q123" t="s">
        <v>166</v>
      </c>
      <c r="S123" t="s">
        <v>316</v>
      </c>
      <c r="T123" t="s">
        <v>170</v>
      </c>
      <c r="U123">
        <v>7.386086878799927E-3</v>
      </c>
      <c r="V123" t="s">
        <v>166</v>
      </c>
    </row>
    <row r="124" spans="9:22" x14ac:dyDescent="0.45">
      <c r="I124" t="s">
        <v>186</v>
      </c>
      <c r="J124" t="s">
        <v>171</v>
      </c>
      <c r="K124">
        <v>1.0597512617587219E-2</v>
      </c>
      <c r="L124" t="s">
        <v>166</v>
      </c>
      <c r="N124" t="s">
        <v>251</v>
      </c>
      <c r="O124" t="s">
        <v>171</v>
      </c>
      <c r="P124">
        <v>2.4400175126771419E-2</v>
      </c>
      <c r="Q124" t="s">
        <v>166</v>
      </c>
      <c r="S124" t="s">
        <v>316</v>
      </c>
      <c r="T124" t="s">
        <v>171</v>
      </c>
      <c r="U124">
        <v>3.128363821255048E-2</v>
      </c>
      <c r="V124" t="s">
        <v>166</v>
      </c>
    </row>
    <row r="125" spans="9:22" x14ac:dyDescent="0.45">
      <c r="I125" t="s">
        <v>186</v>
      </c>
      <c r="J125" t="s">
        <v>172</v>
      </c>
      <c r="K125">
        <v>7.2152947655507213E-2</v>
      </c>
      <c r="L125" t="s">
        <v>166</v>
      </c>
      <c r="N125" t="s">
        <v>251</v>
      </c>
      <c r="O125" t="s">
        <v>172</v>
      </c>
      <c r="P125">
        <v>2.3186341286627579E-2</v>
      </c>
      <c r="Q125" t="s">
        <v>166</v>
      </c>
      <c r="S125" t="s">
        <v>316</v>
      </c>
      <c r="T125" t="s">
        <v>172</v>
      </c>
      <c r="U125">
        <v>1.9175428758661951E-2</v>
      </c>
      <c r="V125" t="s">
        <v>166</v>
      </c>
    </row>
    <row r="126" spans="9:22" x14ac:dyDescent="0.45">
      <c r="I126" t="s">
        <v>186</v>
      </c>
      <c r="J126" t="s">
        <v>173</v>
      </c>
      <c r="K126">
        <v>4.4401448981370032E-3</v>
      </c>
      <c r="L126" t="s">
        <v>166</v>
      </c>
      <c r="N126" t="s">
        <v>251</v>
      </c>
      <c r="O126" t="s">
        <v>173</v>
      </c>
      <c r="P126">
        <v>1.7747135003194224E-3</v>
      </c>
      <c r="Q126" t="s">
        <v>166</v>
      </c>
      <c r="S126" t="s">
        <v>316</v>
      </c>
      <c r="T126" t="s">
        <v>173</v>
      </c>
      <c r="U126">
        <v>1.7001307509002764E-3</v>
      </c>
      <c r="V126" t="s">
        <v>166</v>
      </c>
    </row>
    <row r="127" spans="9:22" x14ac:dyDescent="0.45">
      <c r="I127" t="s">
        <v>186</v>
      </c>
      <c r="J127" t="s">
        <v>174</v>
      </c>
      <c r="K127">
        <v>2.6123758949067979E-4</v>
      </c>
      <c r="L127" t="s">
        <v>166</v>
      </c>
      <c r="N127" t="s">
        <v>251</v>
      </c>
      <c r="O127" t="s">
        <v>174</v>
      </c>
      <c r="P127">
        <v>1.3681357647169773E-2</v>
      </c>
      <c r="Q127" t="s">
        <v>166</v>
      </c>
      <c r="S127" t="s">
        <v>316</v>
      </c>
      <c r="T127" t="s">
        <v>174</v>
      </c>
      <c r="U127">
        <v>7.7470270560474142E-3</v>
      </c>
      <c r="V127" t="s">
        <v>166</v>
      </c>
    </row>
    <row r="128" spans="9:22" x14ac:dyDescent="0.45">
      <c r="I128" t="s">
        <v>186</v>
      </c>
      <c r="J128" t="s">
        <v>175</v>
      </c>
      <c r="K128">
        <v>0.1011548551817123</v>
      </c>
      <c r="L128" t="s">
        <v>166</v>
      </c>
      <c r="N128" t="s">
        <v>251</v>
      </c>
      <c r="O128" t="s">
        <v>175</v>
      </c>
      <c r="P128">
        <v>0.10916538897341646</v>
      </c>
      <c r="Q128" t="s">
        <v>166</v>
      </c>
      <c r="S128" t="s">
        <v>316</v>
      </c>
      <c r="T128" t="s">
        <v>175</v>
      </c>
      <c r="U128">
        <v>9.7231644278221466E-2</v>
      </c>
      <c r="V128" t="s">
        <v>166</v>
      </c>
    </row>
    <row r="129" spans="9:22" x14ac:dyDescent="0.45">
      <c r="I129" t="s">
        <v>186</v>
      </c>
      <c r="J129" t="s">
        <v>176</v>
      </c>
      <c r="K129">
        <v>5.5659244759570462E-3</v>
      </c>
      <c r="L129" t="s">
        <v>166</v>
      </c>
      <c r="N129" t="s">
        <v>251</v>
      </c>
      <c r="O129" t="s">
        <v>176</v>
      </c>
      <c r="P129">
        <v>6.5778968414703194E-3</v>
      </c>
      <c r="Q129" t="s">
        <v>166</v>
      </c>
      <c r="S129" t="s">
        <v>316</v>
      </c>
      <c r="T129" t="s">
        <v>176</v>
      </c>
      <c r="U129">
        <v>6.2940919703618568E-3</v>
      </c>
      <c r="V129" t="s">
        <v>166</v>
      </c>
    </row>
    <row r="130" spans="9:22" x14ac:dyDescent="0.45">
      <c r="I130" t="s">
        <v>186</v>
      </c>
      <c r="J130" t="s">
        <v>177</v>
      </c>
      <c r="K130">
        <v>0</v>
      </c>
      <c r="L130" t="s">
        <v>166</v>
      </c>
      <c r="N130" t="s">
        <v>251</v>
      </c>
      <c r="O130" t="s">
        <v>177</v>
      </c>
      <c r="P130">
        <v>3.5077250660535644E-2</v>
      </c>
      <c r="Q130" t="s">
        <v>166</v>
      </c>
      <c r="S130" t="s">
        <v>316</v>
      </c>
      <c r="T130" t="s">
        <v>177</v>
      </c>
      <c r="U130">
        <v>3.5650895865627037E-2</v>
      </c>
      <c r="V130" t="s">
        <v>166</v>
      </c>
    </row>
    <row r="131" spans="9:22" x14ac:dyDescent="0.45">
      <c r="I131" t="s">
        <v>187</v>
      </c>
      <c r="J131" t="s">
        <v>165</v>
      </c>
      <c r="K131">
        <v>0.54564737714053979</v>
      </c>
      <c r="L131" t="s">
        <v>166</v>
      </c>
      <c r="N131" t="s">
        <v>252</v>
      </c>
      <c r="O131" t="s">
        <v>165</v>
      </c>
      <c r="P131">
        <v>0.44312894000667902</v>
      </c>
      <c r="Q131" t="s">
        <v>166</v>
      </c>
    </row>
    <row r="132" spans="9:22" x14ac:dyDescent="0.45">
      <c r="I132" t="s">
        <v>187</v>
      </c>
      <c r="J132" t="s">
        <v>167</v>
      </c>
      <c r="K132">
        <v>4.244211191862602E-2</v>
      </c>
      <c r="L132" t="s">
        <v>166</v>
      </c>
      <c r="N132" t="s">
        <v>252</v>
      </c>
      <c r="O132" t="s">
        <v>167</v>
      </c>
      <c r="P132">
        <v>2.9023806044882524E-2</v>
      </c>
      <c r="Q132" t="s">
        <v>166</v>
      </c>
    </row>
    <row r="133" spans="9:22" x14ac:dyDescent="0.45">
      <c r="I133" t="s">
        <v>187</v>
      </c>
      <c r="J133" t="s">
        <v>168</v>
      </c>
      <c r="K133">
        <v>3.3019987919081228E-2</v>
      </c>
      <c r="L133" t="s">
        <v>166</v>
      </c>
      <c r="N133" t="s">
        <v>252</v>
      </c>
      <c r="O133" t="s">
        <v>168</v>
      </c>
      <c r="P133">
        <v>0.20823733626072199</v>
      </c>
      <c r="Q133" t="s">
        <v>166</v>
      </c>
    </row>
    <row r="134" spans="9:22" x14ac:dyDescent="0.45">
      <c r="I134" t="s">
        <v>187</v>
      </c>
      <c r="J134" t="s">
        <v>169</v>
      </c>
      <c r="K134">
        <v>0.17193117239618921</v>
      </c>
      <c r="L134" t="s">
        <v>166</v>
      </c>
      <c r="N134" t="s">
        <v>252</v>
      </c>
      <c r="O134" t="s">
        <v>169</v>
      </c>
      <c r="P134">
        <v>0.10880496586866598</v>
      </c>
      <c r="Q134" t="s">
        <v>166</v>
      </c>
    </row>
    <row r="135" spans="9:22" x14ac:dyDescent="0.45">
      <c r="I135" t="s">
        <v>187</v>
      </c>
      <c r="J135" t="s">
        <v>170</v>
      </c>
      <c r="K135">
        <v>1.2116215723471659E-2</v>
      </c>
      <c r="L135" t="s">
        <v>166</v>
      </c>
      <c r="N135" t="s">
        <v>252</v>
      </c>
      <c r="O135" t="s">
        <v>170</v>
      </c>
      <c r="P135">
        <v>3.0304927625782354E-3</v>
      </c>
      <c r="Q135" t="s">
        <v>166</v>
      </c>
    </row>
    <row r="136" spans="9:22" x14ac:dyDescent="0.45">
      <c r="I136" t="s">
        <v>187</v>
      </c>
      <c r="J136" t="s">
        <v>171</v>
      </c>
      <c r="K136">
        <v>9.8408077646462595E-3</v>
      </c>
      <c r="L136" t="s">
        <v>166</v>
      </c>
      <c r="N136" t="s">
        <v>252</v>
      </c>
      <c r="O136" t="s">
        <v>171</v>
      </c>
      <c r="P136">
        <v>4.7366227391154522E-2</v>
      </c>
      <c r="Q136" t="s">
        <v>166</v>
      </c>
    </row>
    <row r="137" spans="9:22" x14ac:dyDescent="0.45">
      <c r="I137" t="s">
        <v>187</v>
      </c>
      <c r="J137" t="s">
        <v>172</v>
      </c>
      <c r="K137">
        <v>7.6507328840583338E-2</v>
      </c>
      <c r="L137" t="s">
        <v>166</v>
      </c>
      <c r="N137" t="s">
        <v>252</v>
      </c>
      <c r="O137" t="s">
        <v>172</v>
      </c>
      <c r="P137">
        <v>2.7866461847732796E-2</v>
      </c>
      <c r="Q137" t="s">
        <v>166</v>
      </c>
    </row>
    <row r="138" spans="9:22" x14ac:dyDescent="0.45">
      <c r="I138" t="s">
        <v>187</v>
      </c>
      <c r="J138" t="s">
        <v>173</v>
      </c>
      <c r="K138">
        <v>4.5083763924902509E-3</v>
      </c>
      <c r="L138" t="s">
        <v>166</v>
      </c>
      <c r="N138" t="s">
        <v>252</v>
      </c>
      <c r="O138" t="s">
        <v>173</v>
      </c>
      <c r="P138">
        <v>1.4193615168426957E-3</v>
      </c>
      <c r="Q138" t="s">
        <v>166</v>
      </c>
    </row>
    <row r="139" spans="9:22" x14ac:dyDescent="0.45">
      <c r="I139" t="s">
        <v>187</v>
      </c>
      <c r="J139" t="s">
        <v>174</v>
      </c>
      <c r="K139">
        <v>1.4168821772533543E-4</v>
      </c>
      <c r="L139" t="s">
        <v>166</v>
      </c>
      <c r="N139" t="s">
        <v>252</v>
      </c>
      <c r="O139" t="s">
        <v>174</v>
      </c>
      <c r="P139">
        <v>1.3909267187829522E-2</v>
      </c>
      <c r="Q139" t="s">
        <v>166</v>
      </c>
    </row>
    <row r="140" spans="9:22" x14ac:dyDescent="0.45">
      <c r="I140" t="s">
        <v>187</v>
      </c>
      <c r="J140" t="s">
        <v>175</v>
      </c>
      <c r="K140">
        <v>9.8656762552039992E-2</v>
      </c>
      <c r="L140" t="s">
        <v>166</v>
      </c>
      <c r="N140" t="s">
        <v>252</v>
      </c>
      <c r="O140" t="s">
        <v>175</v>
      </c>
      <c r="P140">
        <v>7.0733522398692378E-2</v>
      </c>
      <c r="Q140" t="s">
        <v>166</v>
      </c>
    </row>
    <row r="141" spans="9:22" x14ac:dyDescent="0.45">
      <c r="I141" t="s">
        <v>187</v>
      </c>
      <c r="J141" t="s">
        <v>176</v>
      </c>
      <c r="K141">
        <v>5.1881711346055751E-3</v>
      </c>
      <c r="L141" t="s">
        <v>166</v>
      </c>
      <c r="N141" t="s">
        <v>252</v>
      </c>
      <c r="O141" t="s">
        <v>176</v>
      </c>
      <c r="P141">
        <v>5.4728692383433485E-3</v>
      </c>
      <c r="Q141" t="s">
        <v>166</v>
      </c>
    </row>
    <row r="142" spans="9:22" x14ac:dyDescent="0.45">
      <c r="I142" t="s">
        <v>187</v>
      </c>
      <c r="J142" t="s">
        <v>177</v>
      </c>
      <c r="K142">
        <v>0</v>
      </c>
      <c r="L142" t="s">
        <v>166</v>
      </c>
      <c r="N142" t="s">
        <v>252</v>
      </c>
      <c r="O142" t="s">
        <v>177</v>
      </c>
      <c r="P142">
        <v>4.1006749475875619E-2</v>
      </c>
      <c r="Q142" t="s">
        <v>166</v>
      </c>
    </row>
    <row r="143" spans="9:22" x14ac:dyDescent="0.45">
      <c r="I143" t="s">
        <v>188</v>
      </c>
      <c r="J143" t="s">
        <v>165</v>
      </c>
      <c r="K143">
        <v>0.53914582040577286</v>
      </c>
      <c r="L143" t="s">
        <v>166</v>
      </c>
      <c r="N143" t="s">
        <v>253</v>
      </c>
      <c r="O143" t="s">
        <v>165</v>
      </c>
      <c r="P143">
        <v>0.47252915198426226</v>
      </c>
      <c r="Q143" t="s">
        <v>166</v>
      </c>
    </row>
    <row r="144" spans="9:22" x14ac:dyDescent="0.45">
      <c r="I144" t="s">
        <v>188</v>
      </c>
      <c r="J144" t="s">
        <v>167</v>
      </c>
      <c r="K144">
        <v>4.2620587836885673E-2</v>
      </c>
      <c r="L144" t="s">
        <v>166</v>
      </c>
      <c r="N144" t="s">
        <v>253</v>
      </c>
      <c r="O144" t="s">
        <v>167</v>
      </c>
      <c r="P144">
        <v>3.6147633809233415E-2</v>
      </c>
      <c r="Q144" t="s">
        <v>166</v>
      </c>
    </row>
    <row r="145" spans="9:17" x14ac:dyDescent="0.45">
      <c r="I145" t="s">
        <v>188</v>
      </c>
      <c r="J145" t="s">
        <v>168</v>
      </c>
      <c r="K145">
        <v>3.5333485544010577E-2</v>
      </c>
      <c r="L145" t="s">
        <v>166</v>
      </c>
      <c r="N145" t="s">
        <v>253</v>
      </c>
      <c r="O145" t="s">
        <v>168</v>
      </c>
      <c r="P145">
        <v>0.19306291976485426</v>
      </c>
      <c r="Q145" t="s">
        <v>166</v>
      </c>
    </row>
    <row r="146" spans="9:17" x14ac:dyDescent="0.45">
      <c r="I146" t="s">
        <v>188</v>
      </c>
      <c r="J146" t="s">
        <v>169</v>
      </c>
      <c r="K146">
        <v>0.16138530934013956</v>
      </c>
      <c r="L146" t="s">
        <v>166</v>
      </c>
      <c r="N146" t="s">
        <v>253</v>
      </c>
      <c r="O146" t="s">
        <v>169</v>
      </c>
      <c r="P146">
        <v>9.0945412537381212E-2</v>
      </c>
      <c r="Q146" t="s">
        <v>166</v>
      </c>
    </row>
    <row r="147" spans="9:17" x14ac:dyDescent="0.45">
      <c r="I147" t="s">
        <v>188</v>
      </c>
      <c r="J147" t="s">
        <v>170</v>
      </c>
      <c r="K147">
        <v>1.1417472567075038E-2</v>
      </c>
      <c r="L147" t="s">
        <v>166</v>
      </c>
      <c r="N147" t="s">
        <v>253</v>
      </c>
      <c r="O147" t="s">
        <v>170</v>
      </c>
      <c r="P147">
        <v>3.4806294040510026E-3</v>
      </c>
      <c r="Q147" t="s">
        <v>166</v>
      </c>
    </row>
    <row r="148" spans="9:17" x14ac:dyDescent="0.45">
      <c r="I148" t="s">
        <v>188</v>
      </c>
      <c r="J148" t="s">
        <v>171</v>
      </c>
      <c r="K148">
        <v>9.9045537013579647E-3</v>
      </c>
      <c r="L148" t="s">
        <v>166</v>
      </c>
      <c r="N148" t="s">
        <v>253</v>
      </c>
      <c r="O148" t="s">
        <v>171</v>
      </c>
      <c r="P148">
        <v>3.4938777584802919E-2</v>
      </c>
      <c r="Q148" t="s">
        <v>166</v>
      </c>
    </row>
    <row r="149" spans="9:17" x14ac:dyDescent="0.45">
      <c r="I149" t="s">
        <v>188</v>
      </c>
      <c r="J149" t="s">
        <v>172</v>
      </c>
      <c r="K149">
        <v>7.6799187003428415E-2</v>
      </c>
      <c r="L149" t="s">
        <v>166</v>
      </c>
      <c r="N149" t="s">
        <v>253</v>
      </c>
      <c r="O149" t="s">
        <v>172</v>
      </c>
      <c r="P149">
        <v>1.8655396736221453E-2</v>
      </c>
      <c r="Q149" t="s">
        <v>166</v>
      </c>
    </row>
    <row r="150" spans="9:17" x14ac:dyDescent="0.45">
      <c r="I150" t="s">
        <v>188</v>
      </c>
      <c r="J150" t="s">
        <v>173</v>
      </c>
      <c r="K150">
        <v>4.6204001370129602E-3</v>
      </c>
      <c r="L150" t="s">
        <v>166</v>
      </c>
      <c r="N150" t="s">
        <v>253</v>
      </c>
      <c r="O150" t="s">
        <v>173</v>
      </c>
      <c r="P150">
        <v>2.1504509380762351E-3</v>
      </c>
      <c r="Q150" t="s">
        <v>166</v>
      </c>
    </row>
    <row r="151" spans="9:17" x14ac:dyDescent="0.45">
      <c r="I151" t="s">
        <v>188</v>
      </c>
      <c r="J151" t="s">
        <v>174</v>
      </c>
      <c r="K151">
        <v>8.9792340856410086E-4</v>
      </c>
      <c r="L151" t="s">
        <v>166</v>
      </c>
      <c r="N151" t="s">
        <v>253</v>
      </c>
      <c r="O151" t="s">
        <v>174</v>
      </c>
      <c r="P151">
        <v>1.2806863025797144E-2</v>
      </c>
      <c r="Q151" t="s">
        <v>166</v>
      </c>
    </row>
    <row r="152" spans="9:17" x14ac:dyDescent="0.45">
      <c r="I152" t="s">
        <v>188</v>
      </c>
      <c r="J152" t="s">
        <v>175</v>
      </c>
      <c r="K152">
        <v>0.11129164359774869</v>
      </c>
      <c r="L152" t="s">
        <v>166</v>
      </c>
      <c r="N152" t="s">
        <v>253</v>
      </c>
      <c r="O152" t="s">
        <v>175</v>
      </c>
      <c r="P152">
        <v>8.8167867714406989E-2</v>
      </c>
      <c r="Q152" t="s">
        <v>166</v>
      </c>
    </row>
    <row r="153" spans="9:17" x14ac:dyDescent="0.45">
      <c r="I153" t="s">
        <v>188</v>
      </c>
      <c r="J153" t="s">
        <v>176</v>
      </c>
      <c r="K153">
        <v>6.5836164580055706E-3</v>
      </c>
      <c r="L153" t="s">
        <v>166</v>
      </c>
      <c r="N153" t="s">
        <v>253</v>
      </c>
      <c r="O153" t="s">
        <v>176</v>
      </c>
      <c r="P153">
        <v>7.5571164887860481E-3</v>
      </c>
      <c r="Q153" t="s">
        <v>166</v>
      </c>
    </row>
    <row r="154" spans="9:17" x14ac:dyDescent="0.45">
      <c r="I154" t="s">
        <v>188</v>
      </c>
      <c r="J154" t="s">
        <v>177</v>
      </c>
      <c r="K154">
        <v>0</v>
      </c>
      <c r="L154" t="s">
        <v>166</v>
      </c>
      <c r="N154" t="s">
        <v>253</v>
      </c>
      <c r="O154" t="s">
        <v>177</v>
      </c>
      <c r="P154">
        <v>3.9557780012123234E-2</v>
      </c>
      <c r="Q154" t="s">
        <v>166</v>
      </c>
    </row>
    <row r="155" spans="9:17" x14ac:dyDescent="0.45">
      <c r="I155" t="s">
        <v>189</v>
      </c>
      <c r="J155" t="s">
        <v>165</v>
      </c>
      <c r="K155">
        <v>0.53915740381490052</v>
      </c>
      <c r="L155" t="s">
        <v>166</v>
      </c>
      <c r="N155" t="s">
        <v>254</v>
      </c>
      <c r="O155" t="s">
        <v>165</v>
      </c>
      <c r="P155">
        <v>0.43885380487504366</v>
      </c>
      <c r="Q155" t="s">
        <v>166</v>
      </c>
    </row>
    <row r="156" spans="9:17" x14ac:dyDescent="0.45">
      <c r="I156" t="s">
        <v>189</v>
      </c>
      <c r="J156" t="s">
        <v>167</v>
      </c>
      <c r="K156">
        <v>4.5840451487632709E-2</v>
      </c>
      <c r="L156" t="s">
        <v>166</v>
      </c>
      <c r="N156" t="s">
        <v>254</v>
      </c>
      <c r="O156" t="s">
        <v>167</v>
      </c>
      <c r="P156">
        <v>2.2698652852948201E-2</v>
      </c>
      <c r="Q156" t="s">
        <v>166</v>
      </c>
    </row>
    <row r="157" spans="9:17" x14ac:dyDescent="0.45">
      <c r="I157" t="s">
        <v>189</v>
      </c>
      <c r="J157" t="s">
        <v>168</v>
      </c>
      <c r="K157">
        <v>3.8522254640112823E-2</v>
      </c>
      <c r="L157" t="s">
        <v>166</v>
      </c>
      <c r="N157" t="s">
        <v>254</v>
      </c>
      <c r="O157" t="s">
        <v>168</v>
      </c>
      <c r="P157">
        <v>0.18117817031104946</v>
      </c>
      <c r="Q157" t="s">
        <v>166</v>
      </c>
    </row>
    <row r="158" spans="9:17" x14ac:dyDescent="0.45">
      <c r="I158" t="s">
        <v>189</v>
      </c>
      <c r="J158" t="s">
        <v>169</v>
      </c>
      <c r="K158">
        <v>0.15954835564051545</v>
      </c>
      <c r="L158" t="s">
        <v>166</v>
      </c>
      <c r="N158" t="s">
        <v>254</v>
      </c>
      <c r="O158" t="s">
        <v>169</v>
      </c>
      <c r="P158">
        <v>0.11519355425778555</v>
      </c>
      <c r="Q158" t="s">
        <v>166</v>
      </c>
    </row>
    <row r="159" spans="9:17" x14ac:dyDescent="0.45">
      <c r="I159" t="s">
        <v>189</v>
      </c>
      <c r="J159" t="s">
        <v>170</v>
      </c>
      <c r="K159">
        <v>1.285315741357804E-2</v>
      </c>
      <c r="L159" t="s">
        <v>166</v>
      </c>
      <c r="N159" t="s">
        <v>254</v>
      </c>
      <c r="O159" t="s">
        <v>170</v>
      </c>
      <c r="P159">
        <v>2.5009675911881598E-3</v>
      </c>
      <c r="Q159" t="s">
        <v>166</v>
      </c>
    </row>
    <row r="160" spans="9:17" x14ac:dyDescent="0.45">
      <c r="I160" t="s">
        <v>189</v>
      </c>
      <c r="J160" t="s">
        <v>171</v>
      </c>
      <c r="K160">
        <v>1.0969989202116876E-2</v>
      </c>
      <c r="L160" t="s">
        <v>166</v>
      </c>
      <c r="N160" t="s">
        <v>254</v>
      </c>
      <c r="O160" t="s">
        <v>171</v>
      </c>
      <c r="P160">
        <v>3.9305202136469118E-2</v>
      </c>
      <c r="Q160" t="s">
        <v>166</v>
      </c>
    </row>
    <row r="161" spans="9:17" x14ac:dyDescent="0.45">
      <c r="I161" t="s">
        <v>189</v>
      </c>
      <c r="J161" t="s">
        <v>172</v>
      </c>
      <c r="K161">
        <v>7.2621513735676615E-2</v>
      </c>
      <c r="L161" t="s">
        <v>166</v>
      </c>
      <c r="N161" t="s">
        <v>254</v>
      </c>
      <c r="O161" t="s">
        <v>172</v>
      </c>
      <c r="P161">
        <v>4.0528827585520247E-2</v>
      </c>
      <c r="Q161" t="s">
        <v>166</v>
      </c>
    </row>
    <row r="162" spans="9:17" x14ac:dyDescent="0.45">
      <c r="I162" t="s">
        <v>189</v>
      </c>
      <c r="J162" t="s">
        <v>173</v>
      </c>
      <c r="K162">
        <v>4.7185653393322542E-3</v>
      </c>
      <c r="L162" t="s">
        <v>166</v>
      </c>
      <c r="N162" t="s">
        <v>254</v>
      </c>
      <c r="O162" t="s">
        <v>173</v>
      </c>
      <c r="P162">
        <v>1.2669103441251268E-3</v>
      </c>
      <c r="Q162" t="s">
        <v>166</v>
      </c>
    </row>
    <row r="163" spans="9:17" x14ac:dyDescent="0.45">
      <c r="I163" t="s">
        <v>189</v>
      </c>
      <c r="J163" t="s">
        <v>174</v>
      </c>
      <c r="K163">
        <v>7.7473684707031498E-4</v>
      </c>
      <c r="L163" t="s">
        <v>166</v>
      </c>
      <c r="N163" t="s">
        <v>254</v>
      </c>
      <c r="O163" t="s">
        <v>174</v>
      </c>
      <c r="P163">
        <v>1.6436004174012999E-2</v>
      </c>
      <c r="Q163" t="s">
        <v>166</v>
      </c>
    </row>
    <row r="164" spans="9:17" x14ac:dyDescent="0.45">
      <c r="I164" t="s">
        <v>189</v>
      </c>
      <c r="J164" t="s">
        <v>175</v>
      </c>
      <c r="K164">
        <v>0.1086177978231021</v>
      </c>
      <c r="L164" t="s">
        <v>166</v>
      </c>
      <c r="N164" t="s">
        <v>254</v>
      </c>
      <c r="O164" t="s">
        <v>175</v>
      </c>
      <c r="P164">
        <v>8.9254490964673458E-2</v>
      </c>
      <c r="Q164" t="s">
        <v>166</v>
      </c>
    </row>
    <row r="165" spans="9:17" x14ac:dyDescent="0.45">
      <c r="I165" t="s">
        <v>189</v>
      </c>
      <c r="J165" t="s">
        <v>176</v>
      </c>
      <c r="K165">
        <v>6.3757740559625678E-3</v>
      </c>
      <c r="L165" t="s">
        <v>166</v>
      </c>
      <c r="N165" t="s">
        <v>254</v>
      </c>
      <c r="O165" t="s">
        <v>176</v>
      </c>
      <c r="P165">
        <v>5.4468671525644136E-3</v>
      </c>
      <c r="Q165" t="s">
        <v>166</v>
      </c>
    </row>
    <row r="166" spans="9:17" x14ac:dyDescent="0.45">
      <c r="I166" t="s">
        <v>189</v>
      </c>
      <c r="J166" t="s">
        <v>177</v>
      </c>
      <c r="K166">
        <v>0</v>
      </c>
      <c r="L166" t="s">
        <v>166</v>
      </c>
      <c r="N166" t="s">
        <v>254</v>
      </c>
      <c r="O166" t="s">
        <v>177</v>
      </c>
      <c r="P166">
        <v>4.7336547754622753E-2</v>
      </c>
      <c r="Q166" t="s">
        <v>166</v>
      </c>
    </row>
    <row r="167" spans="9:17" x14ac:dyDescent="0.45">
      <c r="I167" t="s">
        <v>190</v>
      </c>
      <c r="J167" t="s">
        <v>165</v>
      </c>
      <c r="K167">
        <v>0.57192978474566214</v>
      </c>
      <c r="L167" t="s">
        <v>166</v>
      </c>
      <c r="N167" t="s">
        <v>255</v>
      </c>
      <c r="O167" t="s">
        <v>165</v>
      </c>
      <c r="P167">
        <v>0.43213677824649682</v>
      </c>
      <c r="Q167" t="s">
        <v>166</v>
      </c>
    </row>
    <row r="168" spans="9:17" x14ac:dyDescent="0.45">
      <c r="I168" t="s">
        <v>190</v>
      </c>
      <c r="J168" t="s">
        <v>167</v>
      </c>
      <c r="K168">
        <v>3.5401101743479539E-2</v>
      </c>
      <c r="L168" t="s">
        <v>166</v>
      </c>
      <c r="N168" t="s">
        <v>255</v>
      </c>
      <c r="O168" t="s">
        <v>167</v>
      </c>
      <c r="P168">
        <v>2.525065861363477E-2</v>
      </c>
      <c r="Q168" t="s">
        <v>166</v>
      </c>
    </row>
    <row r="169" spans="9:17" x14ac:dyDescent="0.45">
      <c r="I169" t="s">
        <v>190</v>
      </c>
      <c r="J169" t="s">
        <v>168</v>
      </c>
      <c r="K169">
        <v>2.2679314950754342E-2</v>
      </c>
      <c r="L169" t="s">
        <v>166</v>
      </c>
      <c r="N169" t="s">
        <v>255</v>
      </c>
      <c r="O169" t="s">
        <v>168</v>
      </c>
      <c r="P169">
        <v>0.18327532245236744</v>
      </c>
      <c r="Q169" t="s">
        <v>166</v>
      </c>
    </row>
    <row r="170" spans="9:17" x14ac:dyDescent="0.45">
      <c r="I170" t="s">
        <v>190</v>
      </c>
      <c r="J170" t="s">
        <v>169</v>
      </c>
      <c r="K170">
        <v>0.17018740599700671</v>
      </c>
      <c r="L170" t="s">
        <v>166</v>
      </c>
      <c r="N170" t="s">
        <v>255</v>
      </c>
      <c r="O170" t="s">
        <v>169</v>
      </c>
      <c r="P170">
        <v>0.10299077508195079</v>
      </c>
      <c r="Q170" t="s">
        <v>166</v>
      </c>
    </row>
    <row r="171" spans="9:17" x14ac:dyDescent="0.45">
      <c r="I171" t="s">
        <v>190</v>
      </c>
      <c r="J171" t="s">
        <v>170</v>
      </c>
      <c r="K171">
        <v>1.0493447876665167E-2</v>
      </c>
      <c r="L171" t="s">
        <v>166</v>
      </c>
      <c r="N171" t="s">
        <v>255</v>
      </c>
      <c r="O171" t="s">
        <v>170</v>
      </c>
      <c r="P171">
        <v>4.6933139350298411E-3</v>
      </c>
      <c r="Q171" t="s">
        <v>166</v>
      </c>
    </row>
    <row r="172" spans="9:17" x14ac:dyDescent="0.45">
      <c r="I172" t="s">
        <v>190</v>
      </c>
      <c r="J172" t="s">
        <v>171</v>
      </c>
      <c r="K172">
        <v>5.432253243016898E-3</v>
      </c>
      <c r="L172" t="s">
        <v>166</v>
      </c>
      <c r="N172" t="s">
        <v>255</v>
      </c>
      <c r="O172" t="s">
        <v>171</v>
      </c>
      <c r="P172">
        <v>5.2359782204117862E-2</v>
      </c>
      <c r="Q172" t="s">
        <v>166</v>
      </c>
    </row>
    <row r="173" spans="9:17" x14ac:dyDescent="0.45">
      <c r="I173" t="s">
        <v>190</v>
      </c>
      <c r="J173" t="s">
        <v>172</v>
      </c>
      <c r="K173">
        <v>7.6177883503711505E-2</v>
      </c>
      <c r="L173" t="s">
        <v>166</v>
      </c>
      <c r="N173" t="s">
        <v>255</v>
      </c>
      <c r="O173" t="s">
        <v>172</v>
      </c>
      <c r="P173">
        <v>4.3026372912396818E-2</v>
      </c>
      <c r="Q173" t="s">
        <v>166</v>
      </c>
    </row>
    <row r="174" spans="9:17" x14ac:dyDescent="0.45">
      <c r="I174" t="s">
        <v>190</v>
      </c>
      <c r="J174" t="s">
        <v>173</v>
      </c>
      <c r="K174">
        <v>3.4325572476503708E-3</v>
      </c>
      <c r="L174" t="s">
        <v>166</v>
      </c>
      <c r="N174" t="s">
        <v>255</v>
      </c>
      <c r="O174" t="s">
        <v>173</v>
      </c>
      <c r="P174">
        <v>2.542537722149163E-3</v>
      </c>
      <c r="Q174" t="s">
        <v>166</v>
      </c>
    </row>
    <row r="175" spans="9:17" x14ac:dyDescent="0.45">
      <c r="I175" t="s">
        <v>190</v>
      </c>
      <c r="J175" t="s">
        <v>174</v>
      </c>
      <c r="K175">
        <v>0</v>
      </c>
      <c r="L175" t="s">
        <v>166</v>
      </c>
      <c r="N175" t="s">
        <v>255</v>
      </c>
      <c r="O175" t="s">
        <v>174</v>
      </c>
      <c r="P175">
        <v>2.1833957940496213E-2</v>
      </c>
      <c r="Q175" t="s">
        <v>166</v>
      </c>
    </row>
    <row r="176" spans="9:17" x14ac:dyDescent="0.45">
      <c r="I176" t="s">
        <v>190</v>
      </c>
      <c r="J176" t="s">
        <v>175</v>
      </c>
      <c r="K176">
        <v>0.10381074950654544</v>
      </c>
      <c r="L176" t="s">
        <v>166</v>
      </c>
      <c r="N176" t="s">
        <v>255</v>
      </c>
      <c r="O176" t="s">
        <v>175</v>
      </c>
      <c r="P176">
        <v>8.6477490852691921E-2</v>
      </c>
      <c r="Q176" t="s">
        <v>166</v>
      </c>
    </row>
    <row r="177" spans="9:17" x14ac:dyDescent="0.45">
      <c r="I177" t="s">
        <v>190</v>
      </c>
      <c r="J177" t="s">
        <v>176</v>
      </c>
      <c r="K177">
        <v>4.5550118550860612E-4</v>
      </c>
      <c r="L177" t="s">
        <v>166</v>
      </c>
      <c r="N177" t="s">
        <v>255</v>
      </c>
      <c r="O177" t="s">
        <v>176</v>
      </c>
      <c r="P177">
        <v>5.8294613540582933E-3</v>
      </c>
      <c r="Q177" t="s">
        <v>166</v>
      </c>
    </row>
    <row r="178" spans="9:17" x14ac:dyDescent="0.45">
      <c r="I178" t="s">
        <v>190</v>
      </c>
      <c r="J178" t="s">
        <v>177</v>
      </c>
      <c r="K178">
        <v>0</v>
      </c>
      <c r="L178" t="s">
        <v>166</v>
      </c>
      <c r="N178" t="s">
        <v>255</v>
      </c>
      <c r="O178" t="s">
        <v>177</v>
      </c>
      <c r="P178">
        <v>3.9583548684612259E-2</v>
      </c>
      <c r="Q178" t="s">
        <v>166</v>
      </c>
    </row>
    <row r="179" spans="9:17" x14ac:dyDescent="0.45">
      <c r="I179" t="s">
        <v>191</v>
      </c>
      <c r="J179" t="s">
        <v>165</v>
      </c>
      <c r="K179">
        <v>0.58138809917857359</v>
      </c>
      <c r="L179" t="s">
        <v>166</v>
      </c>
      <c r="N179" t="s">
        <v>256</v>
      </c>
      <c r="O179" t="s">
        <v>165</v>
      </c>
      <c r="P179">
        <v>0.4182869845526459</v>
      </c>
      <c r="Q179" t="s">
        <v>166</v>
      </c>
    </row>
    <row r="180" spans="9:17" x14ac:dyDescent="0.45">
      <c r="I180" t="s">
        <v>191</v>
      </c>
      <c r="J180" t="s">
        <v>167</v>
      </c>
      <c r="K180">
        <v>3.3923725436648323E-2</v>
      </c>
      <c r="L180" t="s">
        <v>166</v>
      </c>
      <c r="N180" t="s">
        <v>256</v>
      </c>
      <c r="O180" t="s">
        <v>167</v>
      </c>
      <c r="P180">
        <v>3.1662021799732008E-2</v>
      </c>
      <c r="Q180" t="s">
        <v>166</v>
      </c>
    </row>
    <row r="181" spans="9:17" x14ac:dyDescent="0.45">
      <c r="I181" t="s">
        <v>191</v>
      </c>
      <c r="J181" t="s">
        <v>168</v>
      </c>
      <c r="K181">
        <v>2.1930476819089242E-2</v>
      </c>
      <c r="L181" t="s">
        <v>166</v>
      </c>
      <c r="N181" t="s">
        <v>256</v>
      </c>
      <c r="O181" t="s">
        <v>168</v>
      </c>
      <c r="P181">
        <v>0.21456396668997016</v>
      </c>
      <c r="Q181" t="s">
        <v>166</v>
      </c>
    </row>
    <row r="182" spans="9:17" x14ac:dyDescent="0.45">
      <c r="I182" t="s">
        <v>191</v>
      </c>
      <c r="J182" t="s">
        <v>169</v>
      </c>
      <c r="K182">
        <v>0.16958842267406193</v>
      </c>
      <c r="L182" t="s">
        <v>166</v>
      </c>
      <c r="N182" t="s">
        <v>256</v>
      </c>
      <c r="O182" t="s">
        <v>169</v>
      </c>
      <c r="P182">
        <v>8.8280833993735569E-2</v>
      </c>
      <c r="Q182" t="s">
        <v>166</v>
      </c>
    </row>
    <row r="183" spans="9:17" x14ac:dyDescent="0.45">
      <c r="I183" t="s">
        <v>191</v>
      </c>
      <c r="J183" t="s">
        <v>170</v>
      </c>
      <c r="K183">
        <v>9.970385163832144E-3</v>
      </c>
      <c r="L183" t="s">
        <v>166</v>
      </c>
      <c r="N183" t="s">
        <v>256</v>
      </c>
      <c r="O183" t="s">
        <v>170</v>
      </c>
      <c r="P183">
        <v>5.8978343714307111E-3</v>
      </c>
      <c r="Q183" t="s">
        <v>166</v>
      </c>
    </row>
    <row r="184" spans="9:17" x14ac:dyDescent="0.45">
      <c r="I184" t="s">
        <v>191</v>
      </c>
      <c r="J184" t="s">
        <v>171</v>
      </c>
      <c r="K184">
        <v>4.7442091572133535E-3</v>
      </c>
      <c r="L184" t="s">
        <v>166</v>
      </c>
      <c r="N184" t="s">
        <v>256</v>
      </c>
      <c r="O184" t="s">
        <v>171</v>
      </c>
      <c r="P184">
        <v>6.4434998955909137E-2</v>
      </c>
      <c r="Q184" t="s">
        <v>166</v>
      </c>
    </row>
    <row r="185" spans="9:17" x14ac:dyDescent="0.45">
      <c r="I185" t="s">
        <v>191</v>
      </c>
      <c r="J185" t="s">
        <v>172</v>
      </c>
      <c r="K185">
        <v>7.5660928829379887E-2</v>
      </c>
      <c r="L185" t="s">
        <v>166</v>
      </c>
      <c r="N185" t="s">
        <v>256</v>
      </c>
      <c r="O185" t="s">
        <v>172</v>
      </c>
      <c r="P185">
        <v>3.543688807445243E-2</v>
      </c>
      <c r="Q185" t="s">
        <v>166</v>
      </c>
    </row>
    <row r="186" spans="9:17" x14ac:dyDescent="0.45">
      <c r="I186" t="s">
        <v>191</v>
      </c>
      <c r="J186" t="s">
        <v>173</v>
      </c>
      <c r="K186">
        <v>3.0643827694389874E-3</v>
      </c>
      <c r="L186" t="s">
        <v>166</v>
      </c>
      <c r="N186" t="s">
        <v>256</v>
      </c>
      <c r="O186" t="s">
        <v>173</v>
      </c>
      <c r="P186">
        <v>3.24625791634229E-3</v>
      </c>
      <c r="Q186" t="s">
        <v>166</v>
      </c>
    </row>
    <row r="187" spans="9:17" x14ac:dyDescent="0.45">
      <c r="I187" t="s">
        <v>191</v>
      </c>
      <c r="J187" t="s">
        <v>174</v>
      </c>
      <c r="K187">
        <v>0</v>
      </c>
      <c r="L187" t="s">
        <v>166</v>
      </c>
      <c r="N187" t="s">
        <v>256</v>
      </c>
      <c r="O187" t="s">
        <v>174</v>
      </c>
      <c r="P187">
        <v>2.4564934795147233E-2</v>
      </c>
      <c r="Q187" t="s">
        <v>166</v>
      </c>
    </row>
    <row r="188" spans="9:17" x14ac:dyDescent="0.45">
      <c r="I188" t="s">
        <v>191</v>
      </c>
      <c r="J188" t="s">
        <v>175</v>
      </c>
      <c r="K188">
        <v>9.9717787717159695E-2</v>
      </c>
      <c r="L188" t="s">
        <v>166</v>
      </c>
      <c r="N188" t="s">
        <v>256</v>
      </c>
      <c r="O188" t="s">
        <v>175</v>
      </c>
      <c r="P188">
        <v>7.0193143508588934E-2</v>
      </c>
      <c r="Q188" t="s">
        <v>166</v>
      </c>
    </row>
    <row r="189" spans="9:17" x14ac:dyDescent="0.45">
      <c r="I189" t="s">
        <v>191</v>
      </c>
      <c r="J189" t="s">
        <v>176</v>
      </c>
      <c r="K189">
        <v>1.1582254602129115E-5</v>
      </c>
      <c r="L189" t="s">
        <v>166</v>
      </c>
      <c r="N189" t="s">
        <v>256</v>
      </c>
      <c r="O189" t="s">
        <v>176</v>
      </c>
      <c r="P189">
        <v>7.2168066721582397E-3</v>
      </c>
      <c r="Q189" t="s">
        <v>166</v>
      </c>
    </row>
    <row r="190" spans="9:17" x14ac:dyDescent="0.45">
      <c r="I190" t="s">
        <v>191</v>
      </c>
      <c r="J190" t="s">
        <v>177</v>
      </c>
      <c r="K190">
        <v>0</v>
      </c>
      <c r="L190" t="s">
        <v>166</v>
      </c>
      <c r="N190" t="s">
        <v>256</v>
      </c>
      <c r="O190" t="s">
        <v>177</v>
      </c>
      <c r="P190">
        <v>3.6215328669888192E-2</v>
      </c>
      <c r="Q190" t="s">
        <v>166</v>
      </c>
    </row>
    <row r="191" spans="9:17" x14ac:dyDescent="0.45">
      <c r="I191" t="s">
        <v>192</v>
      </c>
      <c r="J191" t="s">
        <v>165</v>
      </c>
      <c r="K191">
        <v>0.5839365945839966</v>
      </c>
      <c r="L191" t="s">
        <v>166</v>
      </c>
      <c r="N191" t="s">
        <v>257</v>
      </c>
      <c r="O191" t="s">
        <v>165</v>
      </c>
      <c r="P191">
        <v>0.4085589994824429</v>
      </c>
      <c r="Q191" t="s">
        <v>166</v>
      </c>
    </row>
    <row r="192" spans="9:17" x14ac:dyDescent="0.45">
      <c r="I192" t="s">
        <v>192</v>
      </c>
      <c r="J192" t="s">
        <v>167</v>
      </c>
      <c r="K192">
        <v>3.2450691946835419E-2</v>
      </c>
      <c r="L192" t="s">
        <v>166</v>
      </c>
      <c r="N192" t="s">
        <v>257</v>
      </c>
      <c r="O192" t="s">
        <v>167</v>
      </c>
      <c r="P192">
        <v>2.6240574648021729E-2</v>
      </c>
      <c r="Q192" t="s">
        <v>166</v>
      </c>
    </row>
    <row r="193" spans="9:17" x14ac:dyDescent="0.45">
      <c r="I193" t="s">
        <v>192</v>
      </c>
      <c r="J193" t="s">
        <v>168</v>
      </c>
      <c r="K193">
        <v>1.9391382660507828E-2</v>
      </c>
      <c r="L193" t="s">
        <v>166</v>
      </c>
      <c r="N193" t="s">
        <v>257</v>
      </c>
      <c r="O193" t="s">
        <v>168</v>
      </c>
      <c r="P193">
        <v>0.19282906167125544</v>
      </c>
      <c r="Q193" t="s">
        <v>166</v>
      </c>
    </row>
    <row r="194" spans="9:17" x14ac:dyDescent="0.45">
      <c r="I194" t="s">
        <v>192</v>
      </c>
      <c r="J194" t="s">
        <v>169</v>
      </c>
      <c r="K194">
        <v>0.17031235979220091</v>
      </c>
      <c r="L194" t="s">
        <v>166</v>
      </c>
      <c r="N194" t="s">
        <v>257</v>
      </c>
      <c r="O194" t="s">
        <v>169</v>
      </c>
      <c r="P194">
        <v>0.126846507455212</v>
      </c>
      <c r="Q194" t="s">
        <v>166</v>
      </c>
    </row>
    <row r="195" spans="9:17" x14ac:dyDescent="0.45">
      <c r="I195" t="s">
        <v>192</v>
      </c>
      <c r="J195" t="s">
        <v>170</v>
      </c>
      <c r="K195">
        <v>9.2579485195960296E-3</v>
      </c>
      <c r="L195" t="s">
        <v>166</v>
      </c>
      <c r="N195" t="s">
        <v>257</v>
      </c>
      <c r="O195" t="s">
        <v>170</v>
      </c>
      <c r="P195">
        <v>2.6350817428417279E-3</v>
      </c>
      <c r="Q195" t="s">
        <v>166</v>
      </c>
    </row>
    <row r="196" spans="9:17" x14ac:dyDescent="0.45">
      <c r="I196" t="s">
        <v>192</v>
      </c>
      <c r="J196" t="s">
        <v>171</v>
      </c>
      <c r="K196">
        <v>4.0833276595527365E-3</v>
      </c>
      <c r="L196" t="s">
        <v>166</v>
      </c>
      <c r="N196" t="s">
        <v>257</v>
      </c>
      <c r="O196" t="s">
        <v>171</v>
      </c>
      <c r="P196">
        <v>5.8946610400126234E-2</v>
      </c>
      <c r="Q196" t="s">
        <v>166</v>
      </c>
    </row>
    <row r="197" spans="9:17" x14ac:dyDescent="0.45">
      <c r="I197" t="s">
        <v>192</v>
      </c>
      <c r="J197" t="s">
        <v>172</v>
      </c>
      <c r="K197">
        <v>7.6265125819869162E-2</v>
      </c>
      <c r="L197" t="s">
        <v>166</v>
      </c>
      <c r="N197" t="s">
        <v>257</v>
      </c>
      <c r="O197" t="s">
        <v>172</v>
      </c>
      <c r="P197">
        <v>4.8777237877447352E-2</v>
      </c>
      <c r="Q197" t="s">
        <v>166</v>
      </c>
    </row>
    <row r="198" spans="9:17" x14ac:dyDescent="0.45">
      <c r="I198" t="s">
        <v>192</v>
      </c>
      <c r="J198" t="s">
        <v>173</v>
      </c>
      <c r="K198">
        <v>2.4357091220602086E-3</v>
      </c>
      <c r="L198" t="s">
        <v>166</v>
      </c>
      <c r="N198" t="s">
        <v>257</v>
      </c>
      <c r="O198" t="s">
        <v>173</v>
      </c>
      <c r="P198">
        <v>1.0923570020027892E-3</v>
      </c>
      <c r="Q198" t="s">
        <v>166</v>
      </c>
    </row>
    <row r="199" spans="9:17" x14ac:dyDescent="0.45">
      <c r="I199" t="s">
        <v>192</v>
      </c>
      <c r="J199" t="s">
        <v>174</v>
      </c>
      <c r="K199">
        <v>0</v>
      </c>
      <c r="L199" t="s">
        <v>166</v>
      </c>
      <c r="N199" t="s">
        <v>257</v>
      </c>
      <c r="O199" t="s">
        <v>174</v>
      </c>
      <c r="P199">
        <v>2.3236263226701914E-2</v>
      </c>
      <c r="Q199" t="s">
        <v>166</v>
      </c>
    </row>
    <row r="200" spans="9:17" x14ac:dyDescent="0.45">
      <c r="I200" t="s">
        <v>192</v>
      </c>
      <c r="J200" t="s">
        <v>175</v>
      </c>
      <c r="K200">
        <v>0.10186685989538204</v>
      </c>
      <c r="L200" t="s">
        <v>166</v>
      </c>
      <c r="N200" t="s">
        <v>257</v>
      </c>
      <c r="O200" t="s">
        <v>175</v>
      </c>
      <c r="P200">
        <v>6.6321205427774588E-2</v>
      </c>
      <c r="Q200" t="s">
        <v>166</v>
      </c>
    </row>
    <row r="201" spans="9:17" x14ac:dyDescent="0.45">
      <c r="I201" t="s">
        <v>192</v>
      </c>
      <c r="J201" t="s">
        <v>176</v>
      </c>
      <c r="K201">
        <v>0</v>
      </c>
      <c r="L201" t="s">
        <v>166</v>
      </c>
      <c r="N201" t="s">
        <v>257</v>
      </c>
      <c r="O201" t="s">
        <v>176</v>
      </c>
      <c r="P201">
        <v>4.5122681589434607E-3</v>
      </c>
      <c r="Q201" t="s">
        <v>166</v>
      </c>
    </row>
    <row r="202" spans="9:17" x14ac:dyDescent="0.45">
      <c r="I202" t="s">
        <v>192</v>
      </c>
      <c r="J202" t="s">
        <v>177</v>
      </c>
      <c r="K202">
        <v>0</v>
      </c>
      <c r="L202" t="s">
        <v>166</v>
      </c>
      <c r="N202" t="s">
        <v>257</v>
      </c>
      <c r="O202" t="s">
        <v>177</v>
      </c>
      <c r="P202">
        <v>4.0003832907227359E-2</v>
      </c>
      <c r="Q202" t="s">
        <v>166</v>
      </c>
    </row>
    <row r="203" spans="9:17" x14ac:dyDescent="0.45">
      <c r="I203" t="s">
        <v>193</v>
      </c>
      <c r="J203" t="s">
        <v>165</v>
      </c>
      <c r="K203">
        <v>0.58514550160347423</v>
      </c>
      <c r="L203" t="s">
        <v>166</v>
      </c>
      <c r="N203" t="s">
        <v>258</v>
      </c>
      <c r="O203" t="s">
        <v>165</v>
      </c>
      <c r="P203">
        <v>0.48081136490054827</v>
      </c>
      <c r="Q203" t="s">
        <v>166</v>
      </c>
    </row>
    <row r="204" spans="9:17" x14ac:dyDescent="0.45">
      <c r="I204" t="s">
        <v>193</v>
      </c>
      <c r="J204" t="s">
        <v>167</v>
      </c>
      <c r="K204">
        <v>3.0528435747985982E-2</v>
      </c>
      <c r="L204" t="s">
        <v>166</v>
      </c>
      <c r="N204" t="s">
        <v>258</v>
      </c>
      <c r="O204" t="s">
        <v>167</v>
      </c>
      <c r="P204">
        <v>3.2783422570135251E-2</v>
      </c>
      <c r="Q204" t="s">
        <v>166</v>
      </c>
    </row>
    <row r="205" spans="9:17" x14ac:dyDescent="0.45">
      <c r="I205" t="s">
        <v>193</v>
      </c>
      <c r="J205" t="s">
        <v>168</v>
      </c>
      <c r="K205">
        <v>1.765528928566594E-2</v>
      </c>
      <c r="L205" t="s">
        <v>166</v>
      </c>
      <c r="N205" t="s">
        <v>258</v>
      </c>
      <c r="O205" t="s">
        <v>168</v>
      </c>
      <c r="P205">
        <v>0.1764185666270735</v>
      </c>
      <c r="Q205" t="s">
        <v>166</v>
      </c>
    </row>
    <row r="206" spans="9:17" x14ac:dyDescent="0.45">
      <c r="I206" t="s">
        <v>193</v>
      </c>
      <c r="J206" t="s">
        <v>169</v>
      </c>
      <c r="K206">
        <v>0.16963177363591325</v>
      </c>
      <c r="L206" t="s">
        <v>166</v>
      </c>
      <c r="N206" t="s">
        <v>258</v>
      </c>
      <c r="O206" t="s">
        <v>169</v>
      </c>
      <c r="P206">
        <v>0.1078391335401406</v>
      </c>
      <c r="Q206" t="s">
        <v>166</v>
      </c>
    </row>
    <row r="207" spans="9:17" x14ac:dyDescent="0.45">
      <c r="I207" t="s">
        <v>193</v>
      </c>
      <c r="J207" t="s">
        <v>170</v>
      </c>
      <c r="K207">
        <v>8.7791578088984128E-3</v>
      </c>
      <c r="L207" t="s">
        <v>166</v>
      </c>
      <c r="N207" t="s">
        <v>258</v>
      </c>
      <c r="O207" t="s">
        <v>170</v>
      </c>
      <c r="P207">
        <v>2.7533577543670481E-3</v>
      </c>
      <c r="Q207" t="s">
        <v>166</v>
      </c>
    </row>
    <row r="208" spans="9:17" x14ac:dyDescent="0.45">
      <c r="I208" t="s">
        <v>193</v>
      </c>
      <c r="J208" t="s">
        <v>171</v>
      </c>
      <c r="K208">
        <v>3.9442476941303423E-3</v>
      </c>
      <c r="L208" t="s">
        <v>166</v>
      </c>
      <c r="N208" t="s">
        <v>258</v>
      </c>
      <c r="O208" t="s">
        <v>171</v>
      </c>
      <c r="P208">
        <v>2.7053817352761623E-2</v>
      </c>
      <c r="Q208" t="s">
        <v>166</v>
      </c>
    </row>
    <row r="209" spans="9:17" x14ac:dyDescent="0.45">
      <c r="I209" t="s">
        <v>193</v>
      </c>
      <c r="J209" t="s">
        <v>172</v>
      </c>
      <c r="K209">
        <v>7.6368319998764977E-2</v>
      </c>
      <c r="L209" t="s">
        <v>166</v>
      </c>
      <c r="N209" t="s">
        <v>258</v>
      </c>
      <c r="O209" t="s">
        <v>172</v>
      </c>
      <c r="P209">
        <v>3.836744387859533E-2</v>
      </c>
      <c r="Q209" t="s">
        <v>166</v>
      </c>
    </row>
    <row r="210" spans="9:17" x14ac:dyDescent="0.45">
      <c r="I210" t="s">
        <v>193</v>
      </c>
      <c r="J210" t="s">
        <v>173</v>
      </c>
      <c r="K210">
        <v>2.6808583588732761E-3</v>
      </c>
      <c r="L210" t="s">
        <v>166</v>
      </c>
      <c r="N210" t="s">
        <v>258</v>
      </c>
      <c r="O210" t="s">
        <v>173</v>
      </c>
      <c r="P210">
        <v>1.7955984255989749E-3</v>
      </c>
      <c r="Q210" t="s">
        <v>166</v>
      </c>
    </row>
    <row r="211" spans="9:17" x14ac:dyDescent="0.45">
      <c r="I211" t="s">
        <v>193</v>
      </c>
      <c r="J211" t="s">
        <v>174</v>
      </c>
      <c r="K211">
        <v>0</v>
      </c>
      <c r="L211" t="s">
        <v>166</v>
      </c>
      <c r="N211" t="s">
        <v>258</v>
      </c>
      <c r="O211" t="s">
        <v>174</v>
      </c>
      <c r="P211">
        <v>1.3798604525641465E-2</v>
      </c>
      <c r="Q211" t="s">
        <v>166</v>
      </c>
    </row>
    <row r="212" spans="9:17" x14ac:dyDescent="0.45">
      <c r="I212" t="s">
        <v>193</v>
      </c>
      <c r="J212" t="s">
        <v>175</v>
      </c>
      <c r="K212">
        <v>0.10526610560898109</v>
      </c>
      <c r="L212" t="s">
        <v>166</v>
      </c>
      <c r="N212" t="s">
        <v>258</v>
      </c>
      <c r="O212" t="s">
        <v>175</v>
      </c>
      <c r="P212">
        <v>7.9669460747799431E-2</v>
      </c>
      <c r="Q212" t="s">
        <v>166</v>
      </c>
    </row>
    <row r="213" spans="9:17" x14ac:dyDescent="0.45">
      <c r="I213" t="s">
        <v>193</v>
      </c>
      <c r="J213" t="s">
        <v>176</v>
      </c>
      <c r="K213">
        <v>3.1025731152527548E-7</v>
      </c>
      <c r="L213" t="s">
        <v>166</v>
      </c>
      <c r="N213" t="s">
        <v>258</v>
      </c>
      <c r="O213" t="s">
        <v>176</v>
      </c>
      <c r="P213">
        <v>5.7155823488102518E-3</v>
      </c>
      <c r="Q213" t="s">
        <v>166</v>
      </c>
    </row>
    <row r="214" spans="9:17" x14ac:dyDescent="0.45">
      <c r="I214" t="s">
        <v>193</v>
      </c>
      <c r="J214" t="s">
        <v>177</v>
      </c>
      <c r="K214">
        <v>0</v>
      </c>
      <c r="L214" t="s">
        <v>166</v>
      </c>
      <c r="N214" t="s">
        <v>258</v>
      </c>
      <c r="O214" t="s">
        <v>177</v>
      </c>
      <c r="P214">
        <v>3.2993647328530731E-2</v>
      </c>
      <c r="Q214" t="s">
        <v>166</v>
      </c>
    </row>
    <row r="215" spans="9:17" x14ac:dyDescent="0.45">
      <c r="I215" t="s">
        <v>194</v>
      </c>
      <c r="J215" t="s">
        <v>165</v>
      </c>
      <c r="K215">
        <v>0.56896697531725959</v>
      </c>
      <c r="L215" t="s">
        <v>166</v>
      </c>
      <c r="N215" t="s">
        <v>259</v>
      </c>
      <c r="O215" t="s">
        <v>165</v>
      </c>
      <c r="P215">
        <v>0.45468979228500606</v>
      </c>
      <c r="Q215" t="s">
        <v>166</v>
      </c>
    </row>
    <row r="216" spans="9:17" x14ac:dyDescent="0.45">
      <c r="I216" t="s">
        <v>194</v>
      </c>
      <c r="J216" t="s">
        <v>167</v>
      </c>
      <c r="K216">
        <v>3.6194205759441551E-2</v>
      </c>
      <c r="L216" t="s">
        <v>166</v>
      </c>
      <c r="N216" t="s">
        <v>259</v>
      </c>
      <c r="O216" t="s">
        <v>167</v>
      </c>
      <c r="P216">
        <v>4.2562462499733819E-2</v>
      </c>
      <c r="Q216" t="s">
        <v>166</v>
      </c>
    </row>
    <row r="217" spans="9:17" x14ac:dyDescent="0.45">
      <c r="I217" t="s">
        <v>194</v>
      </c>
      <c r="J217" t="s">
        <v>168</v>
      </c>
      <c r="K217">
        <v>2.0873318970759485E-2</v>
      </c>
      <c r="L217" t="s">
        <v>166</v>
      </c>
      <c r="N217" t="s">
        <v>259</v>
      </c>
      <c r="O217" t="s">
        <v>168</v>
      </c>
      <c r="P217">
        <v>0.19740090718470871</v>
      </c>
      <c r="Q217" t="s">
        <v>166</v>
      </c>
    </row>
    <row r="218" spans="9:17" x14ac:dyDescent="0.45">
      <c r="I218" t="s">
        <v>194</v>
      </c>
      <c r="J218" t="s">
        <v>169</v>
      </c>
      <c r="K218">
        <v>0.16505668096503576</v>
      </c>
      <c r="L218" t="s">
        <v>166</v>
      </c>
      <c r="N218" t="s">
        <v>259</v>
      </c>
      <c r="O218" t="s">
        <v>169</v>
      </c>
      <c r="P218">
        <v>0.10001022446115582</v>
      </c>
      <c r="Q218" t="s">
        <v>166</v>
      </c>
    </row>
    <row r="219" spans="9:17" x14ac:dyDescent="0.45">
      <c r="I219" t="s">
        <v>194</v>
      </c>
      <c r="J219" t="s">
        <v>170</v>
      </c>
      <c r="K219">
        <v>1.0060112716992465E-2</v>
      </c>
      <c r="L219" t="s">
        <v>166</v>
      </c>
      <c r="N219" t="s">
        <v>259</v>
      </c>
      <c r="O219" t="s">
        <v>170</v>
      </c>
      <c r="P219">
        <v>4.12408260177974E-3</v>
      </c>
      <c r="Q219" t="s">
        <v>166</v>
      </c>
    </row>
    <row r="220" spans="9:17" x14ac:dyDescent="0.45">
      <c r="I220" t="s">
        <v>194</v>
      </c>
      <c r="J220" t="s">
        <v>171</v>
      </c>
      <c r="K220">
        <v>4.8509017482071745E-3</v>
      </c>
      <c r="L220" t="s">
        <v>166</v>
      </c>
      <c r="N220" t="s">
        <v>259</v>
      </c>
      <c r="O220" t="s">
        <v>171</v>
      </c>
      <c r="P220">
        <v>3.9735640424967661E-2</v>
      </c>
      <c r="Q220" t="s">
        <v>166</v>
      </c>
    </row>
    <row r="221" spans="9:17" x14ac:dyDescent="0.45">
      <c r="I221" t="s">
        <v>194</v>
      </c>
      <c r="J221" t="s">
        <v>172</v>
      </c>
      <c r="K221">
        <v>7.5388522009793485E-2</v>
      </c>
      <c r="L221" t="s">
        <v>166</v>
      </c>
      <c r="N221" t="s">
        <v>259</v>
      </c>
      <c r="O221" t="s">
        <v>172</v>
      </c>
      <c r="P221">
        <v>2.7447592129166545E-2</v>
      </c>
      <c r="Q221" t="s">
        <v>166</v>
      </c>
    </row>
    <row r="222" spans="9:17" x14ac:dyDescent="0.45">
      <c r="I222" t="s">
        <v>194</v>
      </c>
      <c r="J222" t="s">
        <v>173</v>
      </c>
      <c r="K222">
        <v>3.4946004366374094E-3</v>
      </c>
      <c r="L222" t="s">
        <v>166</v>
      </c>
      <c r="N222" t="s">
        <v>259</v>
      </c>
      <c r="O222" t="s">
        <v>173</v>
      </c>
      <c r="P222">
        <v>2.2029446791394891E-3</v>
      </c>
      <c r="Q222" t="s">
        <v>166</v>
      </c>
    </row>
    <row r="223" spans="9:17" x14ac:dyDescent="0.45">
      <c r="I223" t="s">
        <v>194</v>
      </c>
      <c r="J223" t="s">
        <v>174</v>
      </c>
      <c r="K223">
        <v>0</v>
      </c>
      <c r="L223" t="s">
        <v>166</v>
      </c>
      <c r="N223" t="s">
        <v>259</v>
      </c>
      <c r="O223" t="s">
        <v>174</v>
      </c>
      <c r="P223">
        <v>1.6214488514272755E-2</v>
      </c>
      <c r="Q223" t="s">
        <v>166</v>
      </c>
    </row>
    <row r="224" spans="9:17" x14ac:dyDescent="0.45">
      <c r="I224" t="s">
        <v>194</v>
      </c>
      <c r="J224" t="s">
        <v>175</v>
      </c>
      <c r="K224">
        <v>0.11442499323414429</v>
      </c>
      <c r="L224" t="s">
        <v>166</v>
      </c>
      <c r="N224" t="s">
        <v>259</v>
      </c>
      <c r="O224" t="s">
        <v>175</v>
      </c>
      <c r="P224">
        <v>7.5311855569987637E-2</v>
      </c>
      <c r="Q224" t="s">
        <v>166</v>
      </c>
    </row>
    <row r="225" spans="9:17" x14ac:dyDescent="0.45">
      <c r="I225" t="s">
        <v>194</v>
      </c>
      <c r="J225" t="s">
        <v>176</v>
      </c>
      <c r="K225">
        <v>6.8968884173000746E-4</v>
      </c>
      <c r="L225" t="s">
        <v>166</v>
      </c>
      <c r="N225" t="s">
        <v>259</v>
      </c>
      <c r="O225" t="s">
        <v>176</v>
      </c>
      <c r="P225">
        <v>7.2561787638978021E-3</v>
      </c>
      <c r="Q225" t="s">
        <v>166</v>
      </c>
    </row>
    <row r="226" spans="9:17" x14ac:dyDescent="0.45">
      <c r="I226" t="s">
        <v>194</v>
      </c>
      <c r="J226" t="s">
        <v>177</v>
      </c>
      <c r="K226">
        <v>0</v>
      </c>
      <c r="L226" t="s">
        <v>166</v>
      </c>
      <c r="N226" t="s">
        <v>259</v>
      </c>
      <c r="O226" t="s">
        <v>177</v>
      </c>
      <c r="P226">
        <v>3.3043830886180792E-2</v>
      </c>
      <c r="Q226" t="s">
        <v>166</v>
      </c>
    </row>
    <row r="227" spans="9:17" x14ac:dyDescent="0.45">
      <c r="I227" t="s">
        <v>195</v>
      </c>
      <c r="J227" t="s">
        <v>165</v>
      </c>
      <c r="K227">
        <v>0.57039405651004638</v>
      </c>
      <c r="L227" t="s">
        <v>166</v>
      </c>
      <c r="N227" t="s">
        <v>260</v>
      </c>
      <c r="O227" t="s">
        <v>165</v>
      </c>
      <c r="P227">
        <v>0.41075205776144613</v>
      </c>
      <c r="Q227" t="s">
        <v>166</v>
      </c>
    </row>
    <row r="228" spans="9:17" x14ac:dyDescent="0.45">
      <c r="I228" t="s">
        <v>195</v>
      </c>
      <c r="J228" t="s">
        <v>167</v>
      </c>
      <c r="K228">
        <v>3.6846345391817914E-2</v>
      </c>
      <c r="L228" t="s">
        <v>166</v>
      </c>
      <c r="N228" t="s">
        <v>260</v>
      </c>
      <c r="O228" t="s">
        <v>167</v>
      </c>
      <c r="P228">
        <v>3.465245318222978E-2</v>
      </c>
      <c r="Q228" t="s">
        <v>166</v>
      </c>
    </row>
    <row r="229" spans="9:17" x14ac:dyDescent="0.45">
      <c r="I229" t="s">
        <v>195</v>
      </c>
      <c r="J229" t="s">
        <v>168</v>
      </c>
      <c r="K229">
        <v>1.9647011052891367E-2</v>
      </c>
      <c r="L229" t="s">
        <v>166</v>
      </c>
      <c r="N229" t="s">
        <v>260</v>
      </c>
      <c r="O229" t="s">
        <v>168</v>
      </c>
      <c r="P229">
        <v>0.20641251115074208</v>
      </c>
      <c r="Q229" t="s">
        <v>166</v>
      </c>
    </row>
    <row r="230" spans="9:17" x14ac:dyDescent="0.45">
      <c r="I230" t="s">
        <v>195</v>
      </c>
      <c r="J230" t="s">
        <v>169</v>
      </c>
      <c r="K230">
        <v>0.16178359954760693</v>
      </c>
      <c r="L230" t="s">
        <v>166</v>
      </c>
      <c r="N230" t="s">
        <v>260</v>
      </c>
      <c r="O230" t="s">
        <v>169</v>
      </c>
      <c r="P230">
        <v>0.11320897302881996</v>
      </c>
      <c r="Q230" t="s">
        <v>166</v>
      </c>
    </row>
    <row r="231" spans="9:17" x14ac:dyDescent="0.45">
      <c r="I231" t="s">
        <v>195</v>
      </c>
      <c r="J231" t="s">
        <v>170</v>
      </c>
      <c r="K231">
        <v>1.0323509284007536E-2</v>
      </c>
      <c r="L231" t="s">
        <v>166</v>
      </c>
      <c r="N231" t="s">
        <v>260</v>
      </c>
      <c r="O231" t="s">
        <v>170</v>
      </c>
      <c r="P231">
        <v>4.9691853024315573E-3</v>
      </c>
      <c r="Q231" t="s">
        <v>166</v>
      </c>
    </row>
    <row r="232" spans="9:17" x14ac:dyDescent="0.45">
      <c r="I232" t="s">
        <v>195</v>
      </c>
      <c r="J232" t="s">
        <v>171</v>
      </c>
      <c r="K232">
        <v>4.6402644028543487E-3</v>
      </c>
      <c r="L232" t="s">
        <v>166</v>
      </c>
      <c r="N232" t="s">
        <v>260</v>
      </c>
      <c r="O232" t="s">
        <v>171</v>
      </c>
      <c r="P232">
        <v>7.916882123842818E-2</v>
      </c>
      <c r="Q232" t="s">
        <v>166</v>
      </c>
    </row>
    <row r="233" spans="9:17" x14ac:dyDescent="0.45">
      <c r="I233" t="s">
        <v>195</v>
      </c>
      <c r="J233" t="s">
        <v>172</v>
      </c>
      <c r="K233">
        <v>7.446807029929145E-2</v>
      </c>
      <c r="L233" t="s">
        <v>166</v>
      </c>
      <c r="N233" t="s">
        <v>260</v>
      </c>
      <c r="O233" t="s">
        <v>172</v>
      </c>
      <c r="P233">
        <v>2.5578476388897604E-2</v>
      </c>
      <c r="Q233" t="s">
        <v>166</v>
      </c>
    </row>
    <row r="234" spans="9:17" x14ac:dyDescent="0.45">
      <c r="I234" t="s">
        <v>195</v>
      </c>
      <c r="J234" t="s">
        <v>173</v>
      </c>
      <c r="K234">
        <v>3.3730938215157389E-3</v>
      </c>
      <c r="L234" t="s">
        <v>166</v>
      </c>
      <c r="N234" t="s">
        <v>260</v>
      </c>
      <c r="O234" t="s">
        <v>173</v>
      </c>
      <c r="P234">
        <v>2.088503416299767E-3</v>
      </c>
      <c r="Q234" t="s">
        <v>166</v>
      </c>
    </row>
    <row r="235" spans="9:17" x14ac:dyDescent="0.45">
      <c r="I235" t="s">
        <v>195</v>
      </c>
      <c r="J235" t="s">
        <v>174</v>
      </c>
      <c r="K235">
        <v>0</v>
      </c>
      <c r="L235" t="s">
        <v>166</v>
      </c>
      <c r="N235" t="s">
        <v>260</v>
      </c>
      <c r="O235" t="s">
        <v>174</v>
      </c>
      <c r="P235">
        <v>1.9667008907253952E-2</v>
      </c>
      <c r="Q235" t="s">
        <v>166</v>
      </c>
    </row>
    <row r="236" spans="9:17" x14ac:dyDescent="0.45">
      <c r="I236" t="s">
        <v>195</v>
      </c>
      <c r="J236" t="s">
        <v>175</v>
      </c>
      <c r="K236">
        <v>0.11771100008161542</v>
      </c>
      <c r="L236" t="s">
        <v>166</v>
      </c>
      <c r="N236" t="s">
        <v>260</v>
      </c>
      <c r="O236" t="s">
        <v>175</v>
      </c>
      <c r="P236">
        <v>5.5759537017825454E-2</v>
      </c>
      <c r="Q236" t="s">
        <v>166</v>
      </c>
    </row>
    <row r="237" spans="9:17" x14ac:dyDescent="0.45">
      <c r="I237" t="s">
        <v>195</v>
      </c>
      <c r="J237" t="s">
        <v>176</v>
      </c>
      <c r="K237">
        <v>8.1304960835452056E-4</v>
      </c>
      <c r="L237" t="s">
        <v>166</v>
      </c>
      <c r="N237" t="s">
        <v>260</v>
      </c>
      <c r="O237" t="s">
        <v>176</v>
      </c>
      <c r="P237">
        <v>5.8482669462433974E-3</v>
      </c>
      <c r="Q237" t="s">
        <v>166</v>
      </c>
    </row>
    <row r="238" spans="9:17" x14ac:dyDescent="0.45">
      <c r="I238" t="s">
        <v>195</v>
      </c>
      <c r="J238" t="s">
        <v>177</v>
      </c>
      <c r="K238">
        <v>0</v>
      </c>
      <c r="L238" t="s">
        <v>166</v>
      </c>
      <c r="N238" t="s">
        <v>260</v>
      </c>
      <c r="O238" t="s">
        <v>177</v>
      </c>
      <c r="P238">
        <v>4.1894205659381782E-2</v>
      </c>
      <c r="Q238" t="s">
        <v>166</v>
      </c>
    </row>
    <row r="239" spans="9:17" x14ac:dyDescent="0.45">
      <c r="I239" t="s">
        <v>196</v>
      </c>
      <c r="J239" t="s">
        <v>165</v>
      </c>
      <c r="K239">
        <v>0.57788307426543017</v>
      </c>
      <c r="L239" t="s">
        <v>166</v>
      </c>
      <c r="N239" t="s">
        <v>261</v>
      </c>
      <c r="O239" t="s">
        <v>165</v>
      </c>
      <c r="P239">
        <v>0.39281900929864572</v>
      </c>
      <c r="Q239" t="s">
        <v>166</v>
      </c>
    </row>
    <row r="240" spans="9:17" x14ac:dyDescent="0.45">
      <c r="I240" t="s">
        <v>196</v>
      </c>
      <c r="J240" t="s">
        <v>167</v>
      </c>
      <c r="K240">
        <v>3.4145607064080034E-2</v>
      </c>
      <c r="L240" t="s">
        <v>166</v>
      </c>
      <c r="N240" t="s">
        <v>261</v>
      </c>
      <c r="O240" t="s">
        <v>167</v>
      </c>
      <c r="P240">
        <v>3.6642788793848857E-2</v>
      </c>
      <c r="Q240" t="s">
        <v>166</v>
      </c>
    </row>
    <row r="241" spans="9:17" x14ac:dyDescent="0.45">
      <c r="I241" t="s">
        <v>196</v>
      </c>
      <c r="J241" t="s">
        <v>168</v>
      </c>
      <c r="K241">
        <v>1.7014316038614717E-2</v>
      </c>
      <c r="L241" t="s">
        <v>166</v>
      </c>
      <c r="N241" t="s">
        <v>261</v>
      </c>
      <c r="O241" t="s">
        <v>168</v>
      </c>
      <c r="P241">
        <v>0.22836199233632551</v>
      </c>
      <c r="Q241" t="s">
        <v>166</v>
      </c>
    </row>
    <row r="242" spans="9:17" x14ac:dyDescent="0.45">
      <c r="I242" t="s">
        <v>196</v>
      </c>
      <c r="J242" t="s">
        <v>169</v>
      </c>
      <c r="K242">
        <v>0.16474680356943058</v>
      </c>
      <c r="L242" t="s">
        <v>166</v>
      </c>
      <c r="N242" t="s">
        <v>261</v>
      </c>
      <c r="O242" t="s">
        <v>169</v>
      </c>
      <c r="P242">
        <v>9.8257723965456845E-2</v>
      </c>
      <c r="Q242" t="s">
        <v>166</v>
      </c>
    </row>
    <row r="243" spans="9:17" x14ac:dyDescent="0.45">
      <c r="I243" t="s">
        <v>196</v>
      </c>
      <c r="J243" t="s">
        <v>170</v>
      </c>
      <c r="K243">
        <v>9.2059580786101481E-3</v>
      </c>
      <c r="L243" t="s">
        <v>166</v>
      </c>
      <c r="N243" t="s">
        <v>261</v>
      </c>
      <c r="O243" t="s">
        <v>170</v>
      </c>
      <c r="P243">
        <v>8.171972350469214E-3</v>
      </c>
      <c r="Q243" t="s">
        <v>166</v>
      </c>
    </row>
    <row r="244" spans="9:17" x14ac:dyDescent="0.45">
      <c r="I244" t="s">
        <v>196</v>
      </c>
      <c r="J244" t="s">
        <v>171</v>
      </c>
      <c r="K244">
        <v>3.8168963754738518E-3</v>
      </c>
      <c r="L244" t="s">
        <v>166</v>
      </c>
      <c r="N244" t="s">
        <v>261</v>
      </c>
      <c r="O244" t="s">
        <v>171</v>
      </c>
      <c r="P244">
        <v>8.4797300076931134E-2</v>
      </c>
      <c r="Q244" t="s">
        <v>166</v>
      </c>
    </row>
    <row r="245" spans="9:17" x14ac:dyDescent="0.45">
      <c r="I245" t="s">
        <v>196</v>
      </c>
      <c r="J245" t="s">
        <v>172</v>
      </c>
      <c r="K245">
        <v>7.4555348982208017E-2</v>
      </c>
      <c r="L245" t="s">
        <v>166</v>
      </c>
      <c r="N245" t="s">
        <v>261</v>
      </c>
      <c r="O245" t="s">
        <v>172</v>
      </c>
      <c r="P245">
        <v>2.827616242754559E-2</v>
      </c>
      <c r="Q245" t="s">
        <v>166</v>
      </c>
    </row>
    <row r="246" spans="9:17" x14ac:dyDescent="0.45">
      <c r="I246" t="s">
        <v>196</v>
      </c>
      <c r="J246" t="s">
        <v>173</v>
      </c>
      <c r="K246">
        <v>3.1122699267105186E-3</v>
      </c>
      <c r="L246" t="s">
        <v>166</v>
      </c>
      <c r="N246" t="s">
        <v>261</v>
      </c>
      <c r="O246" t="s">
        <v>173</v>
      </c>
      <c r="P246">
        <v>3.2958703661319744E-3</v>
      </c>
      <c r="Q246" t="s">
        <v>166</v>
      </c>
    </row>
    <row r="247" spans="9:17" x14ac:dyDescent="0.45">
      <c r="I247" t="s">
        <v>196</v>
      </c>
      <c r="J247" t="s">
        <v>174</v>
      </c>
      <c r="K247">
        <v>0</v>
      </c>
      <c r="L247" t="s">
        <v>166</v>
      </c>
      <c r="N247" t="s">
        <v>261</v>
      </c>
      <c r="O247" t="s">
        <v>174</v>
      </c>
      <c r="P247">
        <v>2.9926918628379956E-2</v>
      </c>
      <c r="Q247" t="s">
        <v>166</v>
      </c>
    </row>
    <row r="248" spans="9:17" x14ac:dyDescent="0.45">
      <c r="I248" t="s">
        <v>196</v>
      </c>
      <c r="J248" t="s">
        <v>175</v>
      </c>
      <c r="K248">
        <v>0.11549117586347606</v>
      </c>
      <c r="L248" t="s">
        <v>166</v>
      </c>
      <c r="N248" t="s">
        <v>261</v>
      </c>
      <c r="O248" t="s">
        <v>175</v>
      </c>
      <c r="P248">
        <v>4.4895775976719968E-2</v>
      </c>
      <c r="Q248" t="s">
        <v>166</v>
      </c>
    </row>
    <row r="249" spans="9:17" x14ac:dyDescent="0.45">
      <c r="I249" t="s">
        <v>196</v>
      </c>
      <c r="J249" t="s">
        <v>176</v>
      </c>
      <c r="K249">
        <v>2.8549835967471699E-5</v>
      </c>
      <c r="L249" t="s">
        <v>166</v>
      </c>
      <c r="N249" t="s">
        <v>261</v>
      </c>
      <c r="O249" t="s">
        <v>176</v>
      </c>
      <c r="P249">
        <v>6.4039239767937116E-3</v>
      </c>
      <c r="Q249" t="s">
        <v>166</v>
      </c>
    </row>
    <row r="250" spans="9:17" x14ac:dyDescent="0.45">
      <c r="I250" t="s">
        <v>196</v>
      </c>
      <c r="J250" t="s">
        <v>177</v>
      </c>
      <c r="K250">
        <v>0</v>
      </c>
      <c r="L250" t="s">
        <v>166</v>
      </c>
      <c r="N250" t="s">
        <v>261</v>
      </c>
      <c r="O250" t="s">
        <v>177</v>
      </c>
      <c r="P250">
        <v>3.8150561802754827E-2</v>
      </c>
      <c r="Q250" t="s">
        <v>166</v>
      </c>
    </row>
    <row r="251" spans="9:17" x14ac:dyDescent="0.45">
      <c r="I251" t="s">
        <v>197</v>
      </c>
      <c r="J251" t="s">
        <v>165</v>
      </c>
      <c r="K251">
        <v>0.56054990036650409</v>
      </c>
      <c r="L251" t="s">
        <v>166</v>
      </c>
      <c r="N251" t="s">
        <v>262</v>
      </c>
      <c r="O251" t="s">
        <v>165</v>
      </c>
      <c r="P251">
        <v>0.43539533980934236</v>
      </c>
      <c r="Q251" t="s">
        <v>166</v>
      </c>
    </row>
    <row r="252" spans="9:17" x14ac:dyDescent="0.45">
      <c r="I252" t="s">
        <v>197</v>
      </c>
      <c r="J252" t="s">
        <v>167</v>
      </c>
      <c r="K252">
        <v>3.928191025962021E-2</v>
      </c>
      <c r="L252" t="s">
        <v>166</v>
      </c>
      <c r="N252" t="s">
        <v>262</v>
      </c>
      <c r="O252" t="s">
        <v>167</v>
      </c>
      <c r="P252">
        <v>3.9089477493510993E-2</v>
      </c>
      <c r="Q252" t="s">
        <v>166</v>
      </c>
    </row>
    <row r="253" spans="9:17" x14ac:dyDescent="0.45">
      <c r="I253" t="s">
        <v>197</v>
      </c>
      <c r="J253" t="s">
        <v>168</v>
      </c>
      <c r="K253">
        <v>2.4710034764280204E-2</v>
      </c>
      <c r="L253" t="s">
        <v>166</v>
      </c>
      <c r="N253" t="s">
        <v>262</v>
      </c>
      <c r="O253" t="s">
        <v>168</v>
      </c>
      <c r="P253">
        <v>0.20536929062138148</v>
      </c>
      <c r="Q253" t="s">
        <v>166</v>
      </c>
    </row>
    <row r="254" spans="9:17" x14ac:dyDescent="0.45">
      <c r="I254" t="s">
        <v>197</v>
      </c>
      <c r="J254" t="s">
        <v>169</v>
      </c>
      <c r="K254">
        <v>0.1601173026166679</v>
      </c>
      <c r="L254" t="s">
        <v>166</v>
      </c>
      <c r="N254" t="s">
        <v>262</v>
      </c>
      <c r="O254" t="s">
        <v>169</v>
      </c>
      <c r="P254">
        <v>9.220943620203842E-2</v>
      </c>
      <c r="Q254" t="s">
        <v>166</v>
      </c>
    </row>
    <row r="255" spans="9:17" x14ac:dyDescent="0.45">
      <c r="I255" t="s">
        <v>197</v>
      </c>
      <c r="J255" t="s">
        <v>170</v>
      </c>
      <c r="K255">
        <v>1.0275364385302535E-2</v>
      </c>
      <c r="L255" t="s">
        <v>166</v>
      </c>
      <c r="N255" t="s">
        <v>262</v>
      </c>
      <c r="O255" t="s">
        <v>170</v>
      </c>
      <c r="P255">
        <v>6.9524457358225884E-3</v>
      </c>
      <c r="Q255" t="s">
        <v>166</v>
      </c>
    </row>
    <row r="256" spans="9:17" x14ac:dyDescent="0.45">
      <c r="I256" t="s">
        <v>197</v>
      </c>
      <c r="J256" t="s">
        <v>171</v>
      </c>
      <c r="K256">
        <v>6.6338152724680025E-3</v>
      </c>
      <c r="L256" t="s">
        <v>166</v>
      </c>
      <c r="N256" t="s">
        <v>262</v>
      </c>
      <c r="O256" t="s">
        <v>171</v>
      </c>
      <c r="P256">
        <v>7.0879769830449718E-2</v>
      </c>
      <c r="Q256" t="s">
        <v>166</v>
      </c>
    </row>
    <row r="257" spans="9:17" x14ac:dyDescent="0.45">
      <c r="I257" t="s">
        <v>197</v>
      </c>
      <c r="J257" t="s">
        <v>172</v>
      </c>
      <c r="K257">
        <v>7.5899194569356912E-2</v>
      </c>
      <c r="L257" t="s">
        <v>166</v>
      </c>
      <c r="N257" t="s">
        <v>262</v>
      </c>
      <c r="O257" t="s">
        <v>172</v>
      </c>
      <c r="P257">
        <v>3.6792114923793778E-2</v>
      </c>
      <c r="Q257" t="s">
        <v>166</v>
      </c>
    </row>
    <row r="258" spans="9:17" x14ac:dyDescent="0.45">
      <c r="I258" t="s">
        <v>197</v>
      </c>
      <c r="J258" t="s">
        <v>173</v>
      </c>
      <c r="K258">
        <v>3.9987077795886963E-3</v>
      </c>
      <c r="L258" t="s">
        <v>166</v>
      </c>
      <c r="N258" t="s">
        <v>262</v>
      </c>
      <c r="O258" t="s">
        <v>173</v>
      </c>
      <c r="P258">
        <v>3.0728622831022213E-3</v>
      </c>
      <c r="Q258" t="s">
        <v>166</v>
      </c>
    </row>
    <row r="259" spans="9:17" x14ac:dyDescent="0.45">
      <c r="I259" t="s">
        <v>197</v>
      </c>
      <c r="J259" t="s">
        <v>174</v>
      </c>
      <c r="K259">
        <v>0</v>
      </c>
      <c r="L259" t="s">
        <v>166</v>
      </c>
      <c r="N259" t="s">
        <v>262</v>
      </c>
      <c r="O259" t="s">
        <v>174</v>
      </c>
      <c r="P259">
        <v>2.2927780387242854E-2</v>
      </c>
      <c r="Q259" t="s">
        <v>166</v>
      </c>
    </row>
    <row r="260" spans="9:17" x14ac:dyDescent="0.45">
      <c r="I260" t="s">
        <v>197</v>
      </c>
      <c r="J260" t="s">
        <v>175</v>
      </c>
      <c r="K260">
        <v>0.11315448596317691</v>
      </c>
      <c r="L260" t="s">
        <v>166</v>
      </c>
      <c r="N260" t="s">
        <v>262</v>
      </c>
      <c r="O260" t="s">
        <v>175</v>
      </c>
      <c r="P260">
        <v>5.4107417140986311E-2</v>
      </c>
      <c r="Q260" t="s">
        <v>166</v>
      </c>
    </row>
    <row r="261" spans="9:17" x14ac:dyDescent="0.45">
      <c r="I261" t="s">
        <v>197</v>
      </c>
      <c r="J261" t="s">
        <v>176</v>
      </c>
      <c r="K261">
        <v>5.3792840230376055E-3</v>
      </c>
      <c r="L261" t="s">
        <v>166</v>
      </c>
      <c r="N261" t="s">
        <v>262</v>
      </c>
      <c r="O261" t="s">
        <v>176</v>
      </c>
      <c r="P261">
        <v>5.8665297538201145E-3</v>
      </c>
      <c r="Q261" t="s">
        <v>166</v>
      </c>
    </row>
    <row r="262" spans="9:17" x14ac:dyDescent="0.45">
      <c r="I262" t="s">
        <v>197</v>
      </c>
      <c r="J262" t="s">
        <v>177</v>
      </c>
      <c r="K262">
        <v>0</v>
      </c>
      <c r="L262" t="s">
        <v>166</v>
      </c>
      <c r="N262" t="s">
        <v>262</v>
      </c>
      <c r="O262" t="s">
        <v>177</v>
      </c>
      <c r="P262">
        <v>2.7337535818507289E-2</v>
      </c>
      <c r="Q262" t="s">
        <v>166</v>
      </c>
    </row>
    <row r="263" spans="9:17" x14ac:dyDescent="0.45">
      <c r="I263" t="s">
        <v>198</v>
      </c>
      <c r="J263" t="s">
        <v>165</v>
      </c>
      <c r="K263">
        <v>0.56661268252671404</v>
      </c>
      <c r="L263" t="s">
        <v>166</v>
      </c>
      <c r="N263" t="s">
        <v>263</v>
      </c>
      <c r="O263" t="s">
        <v>165</v>
      </c>
      <c r="P263">
        <v>0.42871195173254167</v>
      </c>
      <c r="Q263" t="s">
        <v>166</v>
      </c>
    </row>
    <row r="264" spans="9:17" x14ac:dyDescent="0.45">
      <c r="I264" t="s">
        <v>198</v>
      </c>
      <c r="J264" t="s">
        <v>167</v>
      </c>
      <c r="K264">
        <v>3.8344517581471553E-2</v>
      </c>
      <c r="L264" t="s">
        <v>166</v>
      </c>
      <c r="N264" t="s">
        <v>263</v>
      </c>
      <c r="O264" t="s">
        <v>167</v>
      </c>
      <c r="P264">
        <v>1.9350133564084025E-2</v>
      </c>
      <c r="Q264" t="s">
        <v>166</v>
      </c>
    </row>
    <row r="265" spans="9:17" x14ac:dyDescent="0.45">
      <c r="I265" t="s">
        <v>198</v>
      </c>
      <c r="J265" t="s">
        <v>168</v>
      </c>
      <c r="K265">
        <v>2.2119288680041788E-2</v>
      </c>
      <c r="L265" t="s">
        <v>166</v>
      </c>
      <c r="N265" t="s">
        <v>263</v>
      </c>
      <c r="O265" t="s">
        <v>168</v>
      </c>
      <c r="P265">
        <v>0.1308574939198032</v>
      </c>
      <c r="Q265" t="s">
        <v>166</v>
      </c>
    </row>
    <row r="266" spans="9:17" x14ac:dyDescent="0.45">
      <c r="I266" t="s">
        <v>198</v>
      </c>
      <c r="J266" t="s">
        <v>169</v>
      </c>
      <c r="K266">
        <v>0.16071385155576876</v>
      </c>
      <c r="L266" t="s">
        <v>166</v>
      </c>
      <c r="N266" t="s">
        <v>263</v>
      </c>
      <c r="O266" t="s">
        <v>169</v>
      </c>
      <c r="P266">
        <v>0.15992620569121477</v>
      </c>
      <c r="Q266" t="s">
        <v>166</v>
      </c>
    </row>
    <row r="267" spans="9:17" x14ac:dyDescent="0.45">
      <c r="I267" t="s">
        <v>198</v>
      </c>
      <c r="J267" t="s">
        <v>170</v>
      </c>
      <c r="K267">
        <v>1.0079936563694356E-2</v>
      </c>
      <c r="L267" t="s">
        <v>166</v>
      </c>
      <c r="N267" t="s">
        <v>263</v>
      </c>
      <c r="O267" t="s">
        <v>170</v>
      </c>
      <c r="P267">
        <v>5.1117863787225101E-3</v>
      </c>
      <c r="Q267" t="s">
        <v>166</v>
      </c>
    </row>
    <row r="268" spans="9:17" x14ac:dyDescent="0.45">
      <c r="I268" t="s">
        <v>198</v>
      </c>
      <c r="J268" t="s">
        <v>171</v>
      </c>
      <c r="K268">
        <v>5.4533529226046071E-3</v>
      </c>
      <c r="L268" t="s">
        <v>166</v>
      </c>
      <c r="N268" t="s">
        <v>263</v>
      </c>
      <c r="O268" t="s">
        <v>171</v>
      </c>
      <c r="P268">
        <v>4.5520681375031603E-2</v>
      </c>
      <c r="Q268" t="s">
        <v>166</v>
      </c>
    </row>
    <row r="269" spans="9:17" x14ac:dyDescent="0.45">
      <c r="I269" t="s">
        <v>198</v>
      </c>
      <c r="J269" t="s">
        <v>172</v>
      </c>
      <c r="K269">
        <v>7.4320995719757851E-2</v>
      </c>
      <c r="L269" t="s">
        <v>166</v>
      </c>
      <c r="N269" t="s">
        <v>263</v>
      </c>
      <c r="O269" t="s">
        <v>172</v>
      </c>
      <c r="P269">
        <v>4.0334160601101579E-2</v>
      </c>
      <c r="Q269" t="s">
        <v>166</v>
      </c>
    </row>
    <row r="270" spans="9:17" x14ac:dyDescent="0.45">
      <c r="I270" t="s">
        <v>198</v>
      </c>
      <c r="J270" t="s">
        <v>173</v>
      </c>
      <c r="K270">
        <v>3.6918973790022601E-3</v>
      </c>
      <c r="L270" t="s">
        <v>166</v>
      </c>
      <c r="N270" t="s">
        <v>263</v>
      </c>
      <c r="O270" t="s">
        <v>173</v>
      </c>
      <c r="P270">
        <v>8.6325448973114001E-4</v>
      </c>
      <c r="Q270" t="s">
        <v>166</v>
      </c>
    </row>
    <row r="271" spans="9:17" x14ac:dyDescent="0.45">
      <c r="I271" t="s">
        <v>198</v>
      </c>
      <c r="J271" t="s">
        <v>174</v>
      </c>
      <c r="K271">
        <v>0</v>
      </c>
      <c r="L271" t="s">
        <v>166</v>
      </c>
      <c r="N271" t="s">
        <v>263</v>
      </c>
      <c r="O271" t="s">
        <v>174</v>
      </c>
      <c r="P271">
        <v>1.2357641481742378E-2</v>
      </c>
      <c r="Q271" t="s">
        <v>166</v>
      </c>
    </row>
    <row r="272" spans="9:17" x14ac:dyDescent="0.45">
      <c r="I272" t="s">
        <v>198</v>
      </c>
      <c r="J272" t="s">
        <v>175</v>
      </c>
      <c r="K272">
        <v>0.11586043161927925</v>
      </c>
      <c r="L272" t="s">
        <v>166</v>
      </c>
      <c r="N272" t="s">
        <v>263</v>
      </c>
      <c r="O272" t="s">
        <v>175</v>
      </c>
      <c r="P272">
        <v>0.11018921335233345</v>
      </c>
      <c r="Q272" t="s">
        <v>166</v>
      </c>
    </row>
    <row r="273" spans="9:17" x14ac:dyDescent="0.45">
      <c r="I273" t="s">
        <v>198</v>
      </c>
      <c r="J273" t="s">
        <v>176</v>
      </c>
      <c r="K273">
        <v>2.8030454516670376E-3</v>
      </c>
      <c r="L273" t="s">
        <v>166</v>
      </c>
      <c r="N273" t="s">
        <v>263</v>
      </c>
      <c r="O273" t="s">
        <v>176</v>
      </c>
      <c r="P273">
        <v>4.6509789947966635E-3</v>
      </c>
      <c r="Q273" t="s">
        <v>166</v>
      </c>
    </row>
    <row r="274" spans="9:17" x14ac:dyDescent="0.45">
      <c r="I274" t="s">
        <v>198</v>
      </c>
      <c r="J274" t="s">
        <v>177</v>
      </c>
      <c r="K274">
        <v>0</v>
      </c>
      <c r="L274" t="s">
        <v>166</v>
      </c>
      <c r="N274" t="s">
        <v>263</v>
      </c>
      <c r="O274" t="s">
        <v>177</v>
      </c>
      <c r="P274">
        <v>4.2126498418901551E-2</v>
      </c>
      <c r="Q274" t="s">
        <v>166</v>
      </c>
    </row>
    <row r="275" spans="9:17" x14ac:dyDescent="0.45">
      <c r="I275" t="s">
        <v>199</v>
      </c>
      <c r="J275" t="s">
        <v>165</v>
      </c>
      <c r="K275">
        <v>0.55723592732341565</v>
      </c>
      <c r="L275" t="s">
        <v>166</v>
      </c>
      <c r="N275" t="s">
        <v>264</v>
      </c>
      <c r="O275" t="s">
        <v>165</v>
      </c>
      <c r="P275">
        <v>0.39851942225002646</v>
      </c>
      <c r="Q275" t="s">
        <v>166</v>
      </c>
    </row>
    <row r="276" spans="9:17" x14ac:dyDescent="0.45">
      <c r="I276" t="s">
        <v>199</v>
      </c>
      <c r="J276" t="s">
        <v>167</v>
      </c>
      <c r="K276">
        <v>4.0142883385650578E-2</v>
      </c>
      <c r="L276" t="s">
        <v>166</v>
      </c>
      <c r="N276" t="s">
        <v>264</v>
      </c>
      <c r="O276" t="s">
        <v>167</v>
      </c>
      <c r="P276">
        <v>1.9794083362256448E-2</v>
      </c>
      <c r="Q276" t="s">
        <v>166</v>
      </c>
    </row>
    <row r="277" spans="9:17" x14ac:dyDescent="0.45">
      <c r="I277" t="s">
        <v>199</v>
      </c>
      <c r="J277" t="s">
        <v>168</v>
      </c>
      <c r="K277">
        <v>2.4184417270217352E-2</v>
      </c>
      <c r="L277" t="s">
        <v>166</v>
      </c>
      <c r="N277" t="s">
        <v>264</v>
      </c>
      <c r="O277" t="s">
        <v>168</v>
      </c>
      <c r="P277">
        <v>0.15200216945736403</v>
      </c>
      <c r="Q277" t="s">
        <v>166</v>
      </c>
    </row>
    <row r="278" spans="9:17" x14ac:dyDescent="0.45">
      <c r="I278" t="s">
        <v>199</v>
      </c>
      <c r="J278" t="s">
        <v>169</v>
      </c>
      <c r="K278">
        <v>0.15793479865420548</v>
      </c>
      <c r="L278" t="s">
        <v>166</v>
      </c>
      <c r="N278" t="s">
        <v>264</v>
      </c>
      <c r="O278" t="s">
        <v>169</v>
      </c>
      <c r="P278">
        <v>0.15052333134224347</v>
      </c>
      <c r="Q278" t="s">
        <v>166</v>
      </c>
    </row>
    <row r="279" spans="9:17" x14ac:dyDescent="0.45">
      <c r="I279" t="s">
        <v>199</v>
      </c>
      <c r="J279" t="s">
        <v>170</v>
      </c>
      <c r="K279">
        <v>1.1002699238093303E-2</v>
      </c>
      <c r="L279" t="s">
        <v>166</v>
      </c>
      <c r="N279" t="s">
        <v>264</v>
      </c>
      <c r="O279" t="s">
        <v>170</v>
      </c>
      <c r="P279">
        <v>5.1856517697809355E-3</v>
      </c>
      <c r="Q279" t="s">
        <v>166</v>
      </c>
    </row>
    <row r="280" spans="9:17" x14ac:dyDescent="0.45">
      <c r="I280" t="s">
        <v>199</v>
      </c>
      <c r="J280" t="s">
        <v>171</v>
      </c>
      <c r="K280">
        <v>6.4957932764018568E-3</v>
      </c>
      <c r="L280" t="s">
        <v>166</v>
      </c>
      <c r="N280" t="s">
        <v>264</v>
      </c>
      <c r="O280" t="s">
        <v>171</v>
      </c>
      <c r="P280">
        <v>5.8179180449022698E-2</v>
      </c>
      <c r="Q280" t="s">
        <v>166</v>
      </c>
    </row>
    <row r="281" spans="9:17" x14ac:dyDescent="0.45">
      <c r="I281" t="s">
        <v>199</v>
      </c>
      <c r="J281" t="s">
        <v>172</v>
      </c>
      <c r="K281">
        <v>7.5394740745442362E-2</v>
      </c>
      <c r="L281" t="s">
        <v>166</v>
      </c>
      <c r="N281" t="s">
        <v>264</v>
      </c>
      <c r="O281" t="s">
        <v>172</v>
      </c>
      <c r="P281">
        <v>4.3767843266211914E-2</v>
      </c>
      <c r="Q281" t="s">
        <v>166</v>
      </c>
    </row>
    <row r="282" spans="9:17" x14ac:dyDescent="0.45">
      <c r="I282" t="s">
        <v>199</v>
      </c>
      <c r="J282" t="s">
        <v>173</v>
      </c>
      <c r="K282">
        <v>4.1789555820405527E-3</v>
      </c>
      <c r="L282" t="s">
        <v>166</v>
      </c>
      <c r="N282" t="s">
        <v>264</v>
      </c>
      <c r="O282" t="s">
        <v>173</v>
      </c>
      <c r="P282">
        <v>1.152679817349782E-3</v>
      </c>
      <c r="Q282" t="s">
        <v>166</v>
      </c>
    </row>
    <row r="283" spans="9:17" x14ac:dyDescent="0.45">
      <c r="I283" t="s">
        <v>199</v>
      </c>
      <c r="J283" t="s">
        <v>174</v>
      </c>
      <c r="K283">
        <v>0</v>
      </c>
      <c r="L283" t="s">
        <v>166</v>
      </c>
      <c r="N283" t="s">
        <v>264</v>
      </c>
      <c r="O283" t="s">
        <v>174</v>
      </c>
      <c r="P283">
        <v>1.9943928668826067E-2</v>
      </c>
      <c r="Q283" t="s">
        <v>166</v>
      </c>
    </row>
    <row r="284" spans="9:17" x14ac:dyDescent="0.45">
      <c r="I284" t="s">
        <v>199</v>
      </c>
      <c r="J284" t="s">
        <v>175</v>
      </c>
      <c r="K284">
        <v>0.11771543450488577</v>
      </c>
      <c r="L284" t="s">
        <v>166</v>
      </c>
      <c r="N284" t="s">
        <v>264</v>
      </c>
      <c r="O284" t="s">
        <v>175</v>
      </c>
      <c r="P284">
        <v>0.10301192406410122</v>
      </c>
      <c r="Q284" t="s">
        <v>166</v>
      </c>
    </row>
    <row r="285" spans="9:17" x14ac:dyDescent="0.45">
      <c r="I285" t="s">
        <v>199</v>
      </c>
      <c r="J285" t="s">
        <v>176</v>
      </c>
      <c r="K285">
        <v>5.714350019646674E-3</v>
      </c>
      <c r="L285" t="s">
        <v>166</v>
      </c>
      <c r="N285" t="s">
        <v>264</v>
      </c>
      <c r="O285" t="s">
        <v>176</v>
      </c>
      <c r="P285">
        <v>4.5113462793993087E-3</v>
      </c>
      <c r="Q285" t="s">
        <v>166</v>
      </c>
    </row>
    <row r="286" spans="9:17" x14ac:dyDescent="0.45">
      <c r="I286" t="s">
        <v>199</v>
      </c>
      <c r="J286" t="s">
        <v>177</v>
      </c>
      <c r="K286">
        <v>0</v>
      </c>
      <c r="L286" t="s">
        <v>166</v>
      </c>
      <c r="N286" t="s">
        <v>264</v>
      </c>
      <c r="O286" t="s">
        <v>177</v>
      </c>
      <c r="P286">
        <v>4.3408439273417428E-2</v>
      </c>
      <c r="Q286" t="s">
        <v>166</v>
      </c>
    </row>
    <row r="287" spans="9:17" x14ac:dyDescent="0.45">
      <c r="I287" t="s">
        <v>200</v>
      </c>
      <c r="J287" t="s">
        <v>165</v>
      </c>
      <c r="K287">
        <v>0.56262614688000778</v>
      </c>
      <c r="L287" t="s">
        <v>166</v>
      </c>
      <c r="N287" t="s">
        <v>265</v>
      </c>
      <c r="O287" t="s">
        <v>165</v>
      </c>
      <c r="P287">
        <v>0.4214626150841464</v>
      </c>
      <c r="Q287" t="s">
        <v>166</v>
      </c>
    </row>
    <row r="288" spans="9:17" x14ac:dyDescent="0.45">
      <c r="I288" t="s">
        <v>200</v>
      </c>
      <c r="J288" t="s">
        <v>167</v>
      </c>
      <c r="K288">
        <v>3.8581336715288607E-2</v>
      </c>
      <c r="L288" t="s">
        <v>166</v>
      </c>
      <c r="N288" t="s">
        <v>265</v>
      </c>
      <c r="O288" t="s">
        <v>167</v>
      </c>
      <c r="P288">
        <v>2.0938388499096607E-2</v>
      </c>
      <c r="Q288" t="s">
        <v>166</v>
      </c>
    </row>
    <row r="289" spans="9:17" x14ac:dyDescent="0.45">
      <c r="I289" t="s">
        <v>200</v>
      </c>
      <c r="J289" t="s">
        <v>168</v>
      </c>
      <c r="K289">
        <v>2.1109022694361167E-2</v>
      </c>
      <c r="L289" t="s">
        <v>166</v>
      </c>
      <c r="N289" t="s">
        <v>265</v>
      </c>
      <c r="O289" t="s">
        <v>168</v>
      </c>
      <c r="P289">
        <v>0.14639910170148557</v>
      </c>
      <c r="Q289" t="s">
        <v>166</v>
      </c>
    </row>
    <row r="290" spans="9:17" x14ac:dyDescent="0.45">
      <c r="I290" t="s">
        <v>200</v>
      </c>
      <c r="J290" t="s">
        <v>169</v>
      </c>
      <c r="K290">
        <v>0.16049318108066765</v>
      </c>
      <c r="L290" t="s">
        <v>166</v>
      </c>
      <c r="N290" t="s">
        <v>265</v>
      </c>
      <c r="O290" t="s">
        <v>169</v>
      </c>
      <c r="P290">
        <v>0.13547015245518554</v>
      </c>
      <c r="Q290" t="s">
        <v>166</v>
      </c>
    </row>
    <row r="291" spans="9:17" x14ac:dyDescent="0.45">
      <c r="I291" t="s">
        <v>200</v>
      </c>
      <c r="J291" t="s">
        <v>170</v>
      </c>
      <c r="K291">
        <v>1.0587787756773503E-2</v>
      </c>
      <c r="L291" t="s">
        <v>166</v>
      </c>
      <c r="N291" t="s">
        <v>265</v>
      </c>
      <c r="O291" t="s">
        <v>170</v>
      </c>
      <c r="P291">
        <v>5.7768174312722411E-3</v>
      </c>
      <c r="Q291" t="s">
        <v>166</v>
      </c>
    </row>
    <row r="292" spans="9:17" x14ac:dyDescent="0.45">
      <c r="I292" t="s">
        <v>200</v>
      </c>
      <c r="J292" t="s">
        <v>171</v>
      </c>
      <c r="K292">
        <v>5.1242104993654706E-3</v>
      </c>
      <c r="L292" t="s">
        <v>166</v>
      </c>
      <c r="N292" t="s">
        <v>265</v>
      </c>
      <c r="O292" t="s">
        <v>171</v>
      </c>
      <c r="P292">
        <v>5.1999056256315707E-2</v>
      </c>
      <c r="Q292" t="s">
        <v>166</v>
      </c>
    </row>
    <row r="293" spans="9:17" x14ac:dyDescent="0.45">
      <c r="I293" t="s">
        <v>200</v>
      </c>
      <c r="J293" t="s">
        <v>172</v>
      </c>
      <c r="K293">
        <v>7.511906552430285E-2</v>
      </c>
      <c r="L293" t="s">
        <v>166</v>
      </c>
      <c r="N293" t="s">
        <v>265</v>
      </c>
      <c r="O293" t="s">
        <v>172</v>
      </c>
      <c r="P293">
        <v>4.2507751273206829E-2</v>
      </c>
      <c r="Q293" t="s">
        <v>166</v>
      </c>
    </row>
    <row r="294" spans="9:17" x14ac:dyDescent="0.45">
      <c r="I294" t="s">
        <v>200</v>
      </c>
      <c r="J294" t="s">
        <v>173</v>
      </c>
      <c r="K294">
        <v>3.7808956905473093E-3</v>
      </c>
      <c r="L294" t="s">
        <v>166</v>
      </c>
      <c r="N294" t="s">
        <v>265</v>
      </c>
      <c r="O294" t="s">
        <v>173</v>
      </c>
      <c r="P294">
        <v>1.2848059888518801E-3</v>
      </c>
      <c r="Q294" t="s">
        <v>166</v>
      </c>
    </row>
    <row r="295" spans="9:17" x14ac:dyDescent="0.45">
      <c r="I295" t="s">
        <v>200</v>
      </c>
      <c r="J295" t="s">
        <v>174</v>
      </c>
      <c r="K295">
        <v>0</v>
      </c>
      <c r="L295" t="s">
        <v>166</v>
      </c>
      <c r="N295" t="s">
        <v>265</v>
      </c>
      <c r="O295" t="s">
        <v>174</v>
      </c>
      <c r="P295">
        <v>1.7487146712204516E-2</v>
      </c>
      <c r="Q295" t="s">
        <v>166</v>
      </c>
    </row>
    <row r="296" spans="9:17" x14ac:dyDescent="0.45">
      <c r="I296" t="s">
        <v>200</v>
      </c>
      <c r="J296" t="s">
        <v>175</v>
      </c>
      <c r="K296">
        <v>0.11901831095634434</v>
      </c>
      <c r="L296" t="s">
        <v>166</v>
      </c>
      <c r="N296" t="s">
        <v>265</v>
      </c>
      <c r="O296" t="s">
        <v>175</v>
      </c>
      <c r="P296">
        <v>0.10743819222779689</v>
      </c>
      <c r="Q296" t="s">
        <v>166</v>
      </c>
    </row>
    <row r="297" spans="9:17" x14ac:dyDescent="0.45">
      <c r="I297" t="s">
        <v>200</v>
      </c>
      <c r="J297" t="s">
        <v>176</v>
      </c>
      <c r="K297">
        <v>3.5600422023395516E-3</v>
      </c>
      <c r="L297" t="s">
        <v>166</v>
      </c>
      <c r="N297" t="s">
        <v>265</v>
      </c>
      <c r="O297" t="s">
        <v>176</v>
      </c>
      <c r="P297">
        <v>5.4662321188610535E-3</v>
      </c>
      <c r="Q297" t="s">
        <v>166</v>
      </c>
    </row>
    <row r="298" spans="9:17" x14ac:dyDescent="0.45">
      <c r="I298" t="s">
        <v>200</v>
      </c>
      <c r="J298" t="s">
        <v>177</v>
      </c>
      <c r="K298">
        <v>0</v>
      </c>
      <c r="L298" t="s">
        <v>166</v>
      </c>
      <c r="N298" t="s">
        <v>265</v>
      </c>
      <c r="O298" t="s">
        <v>177</v>
      </c>
      <c r="P298">
        <v>4.376974025157588E-2</v>
      </c>
      <c r="Q298" t="s">
        <v>166</v>
      </c>
    </row>
    <row r="299" spans="9:17" x14ac:dyDescent="0.45">
      <c r="I299" t="s">
        <v>201</v>
      </c>
      <c r="J299" t="s">
        <v>165</v>
      </c>
      <c r="K299">
        <v>0.55245131239789758</v>
      </c>
      <c r="L299" t="s">
        <v>166</v>
      </c>
      <c r="N299" t="s">
        <v>266</v>
      </c>
      <c r="O299" t="s">
        <v>165</v>
      </c>
      <c r="P299">
        <v>0.40840981716613495</v>
      </c>
      <c r="Q299" t="s">
        <v>166</v>
      </c>
    </row>
    <row r="300" spans="9:17" x14ac:dyDescent="0.45">
      <c r="I300" t="s">
        <v>201</v>
      </c>
      <c r="J300" t="s">
        <v>167</v>
      </c>
      <c r="K300">
        <v>3.9073409108338029E-2</v>
      </c>
      <c r="L300" t="s">
        <v>166</v>
      </c>
      <c r="N300" t="s">
        <v>266</v>
      </c>
      <c r="O300" t="s">
        <v>167</v>
      </c>
      <c r="P300">
        <v>2.2115544705354172E-2</v>
      </c>
      <c r="Q300" t="s">
        <v>166</v>
      </c>
    </row>
    <row r="301" spans="9:17" x14ac:dyDescent="0.45">
      <c r="I301" t="s">
        <v>201</v>
      </c>
      <c r="J301" t="s">
        <v>168</v>
      </c>
      <c r="K301">
        <v>2.1320204163071045E-2</v>
      </c>
      <c r="L301" t="s">
        <v>166</v>
      </c>
      <c r="N301" t="s">
        <v>266</v>
      </c>
      <c r="O301" t="s">
        <v>168</v>
      </c>
      <c r="P301">
        <v>0.17302819027881725</v>
      </c>
      <c r="Q301" t="s">
        <v>166</v>
      </c>
    </row>
    <row r="302" spans="9:17" x14ac:dyDescent="0.45">
      <c r="I302" t="s">
        <v>201</v>
      </c>
      <c r="J302" t="s">
        <v>169</v>
      </c>
      <c r="K302">
        <v>0.15931026386381072</v>
      </c>
      <c r="L302" t="s">
        <v>166</v>
      </c>
      <c r="N302" t="s">
        <v>266</v>
      </c>
      <c r="O302" t="s">
        <v>169</v>
      </c>
      <c r="P302">
        <v>0.13039364829848804</v>
      </c>
      <c r="Q302" t="s">
        <v>166</v>
      </c>
    </row>
    <row r="303" spans="9:17" x14ac:dyDescent="0.45">
      <c r="I303" t="s">
        <v>201</v>
      </c>
      <c r="J303" t="s">
        <v>170</v>
      </c>
      <c r="K303">
        <v>1.0915413510867021E-2</v>
      </c>
      <c r="L303" t="s">
        <v>166</v>
      </c>
      <c r="N303" t="s">
        <v>266</v>
      </c>
      <c r="O303" t="s">
        <v>170</v>
      </c>
      <c r="P303">
        <v>5.7737086388440105E-3</v>
      </c>
      <c r="Q303" t="s">
        <v>166</v>
      </c>
    </row>
    <row r="304" spans="9:17" x14ac:dyDescent="0.45">
      <c r="I304" t="s">
        <v>201</v>
      </c>
      <c r="J304" t="s">
        <v>171</v>
      </c>
      <c r="K304">
        <v>5.6087866241954238E-3</v>
      </c>
      <c r="L304" t="s">
        <v>166</v>
      </c>
      <c r="N304" t="s">
        <v>266</v>
      </c>
      <c r="O304" t="s">
        <v>171</v>
      </c>
      <c r="P304">
        <v>6.1282962375086993E-2</v>
      </c>
      <c r="Q304" t="s">
        <v>166</v>
      </c>
    </row>
    <row r="305" spans="9:17" x14ac:dyDescent="0.45">
      <c r="I305" t="s">
        <v>201</v>
      </c>
      <c r="J305" t="s">
        <v>172</v>
      </c>
      <c r="K305">
        <v>7.5356664803067228E-2</v>
      </c>
      <c r="L305" t="s">
        <v>166</v>
      </c>
      <c r="N305" t="s">
        <v>266</v>
      </c>
      <c r="O305" t="s">
        <v>172</v>
      </c>
      <c r="P305">
        <v>4.135381631794454E-2</v>
      </c>
      <c r="Q305" t="s">
        <v>166</v>
      </c>
    </row>
    <row r="306" spans="9:17" x14ac:dyDescent="0.45">
      <c r="I306" t="s">
        <v>201</v>
      </c>
      <c r="J306" t="s">
        <v>173</v>
      </c>
      <c r="K306">
        <v>4.0821759812591845E-3</v>
      </c>
      <c r="L306" t="s">
        <v>166</v>
      </c>
      <c r="N306" t="s">
        <v>266</v>
      </c>
      <c r="O306" t="s">
        <v>173</v>
      </c>
      <c r="P306">
        <v>1.8998833200964908E-3</v>
      </c>
      <c r="Q306" t="s">
        <v>166</v>
      </c>
    </row>
    <row r="307" spans="9:17" x14ac:dyDescent="0.45">
      <c r="I307" t="s">
        <v>201</v>
      </c>
      <c r="J307" t="s">
        <v>174</v>
      </c>
      <c r="K307">
        <v>0</v>
      </c>
      <c r="L307" t="s">
        <v>166</v>
      </c>
      <c r="N307" t="s">
        <v>266</v>
      </c>
      <c r="O307" t="s">
        <v>174</v>
      </c>
      <c r="P307">
        <v>2.3629656998307567E-2</v>
      </c>
      <c r="Q307" t="s">
        <v>166</v>
      </c>
    </row>
    <row r="308" spans="9:17" x14ac:dyDescent="0.45">
      <c r="I308" t="s">
        <v>201</v>
      </c>
      <c r="J308" t="s">
        <v>175</v>
      </c>
      <c r="K308">
        <v>0.12567777720962361</v>
      </c>
      <c r="L308" t="s">
        <v>166</v>
      </c>
      <c r="N308" t="s">
        <v>266</v>
      </c>
      <c r="O308" t="s">
        <v>175</v>
      </c>
      <c r="P308">
        <v>8.3498999986869563E-2</v>
      </c>
      <c r="Q308" t="s">
        <v>166</v>
      </c>
    </row>
    <row r="309" spans="9:17" x14ac:dyDescent="0.45">
      <c r="I309" t="s">
        <v>201</v>
      </c>
      <c r="J309" t="s">
        <v>176</v>
      </c>
      <c r="K309">
        <v>6.203992337870245E-3</v>
      </c>
      <c r="L309" t="s">
        <v>166</v>
      </c>
      <c r="N309" t="s">
        <v>266</v>
      </c>
      <c r="O309" t="s">
        <v>176</v>
      </c>
      <c r="P309">
        <v>5.362201115786073E-3</v>
      </c>
      <c r="Q309" t="s">
        <v>166</v>
      </c>
    </row>
    <row r="310" spans="9:17" x14ac:dyDescent="0.45">
      <c r="I310" t="s">
        <v>201</v>
      </c>
      <c r="J310" t="s">
        <v>177</v>
      </c>
      <c r="K310">
        <v>0</v>
      </c>
      <c r="L310" t="s">
        <v>166</v>
      </c>
      <c r="N310" t="s">
        <v>266</v>
      </c>
      <c r="O310" t="s">
        <v>177</v>
      </c>
      <c r="P310">
        <v>4.3251570798272687E-2</v>
      </c>
      <c r="Q310" t="s">
        <v>166</v>
      </c>
    </row>
    <row r="311" spans="9:17" x14ac:dyDescent="0.45">
      <c r="I311" t="s">
        <v>202</v>
      </c>
      <c r="J311" t="s">
        <v>165</v>
      </c>
      <c r="K311">
        <v>0.54887358397357944</v>
      </c>
      <c r="L311" t="s">
        <v>166</v>
      </c>
      <c r="N311" t="s">
        <v>267</v>
      </c>
      <c r="O311" t="s">
        <v>165</v>
      </c>
      <c r="P311">
        <v>0.42367432295975216</v>
      </c>
      <c r="Q311" t="s">
        <v>166</v>
      </c>
    </row>
    <row r="312" spans="9:17" x14ac:dyDescent="0.45">
      <c r="I312" t="s">
        <v>202</v>
      </c>
      <c r="J312" t="s">
        <v>167</v>
      </c>
      <c r="K312">
        <v>4.1447866188044372E-2</v>
      </c>
      <c r="L312" t="s">
        <v>166</v>
      </c>
      <c r="N312" t="s">
        <v>267</v>
      </c>
      <c r="O312" t="s">
        <v>167</v>
      </c>
      <c r="P312">
        <v>1.86293726088913E-2</v>
      </c>
      <c r="Q312" t="s">
        <v>166</v>
      </c>
    </row>
    <row r="313" spans="9:17" x14ac:dyDescent="0.45">
      <c r="I313" t="s">
        <v>202</v>
      </c>
      <c r="J313" t="s">
        <v>168</v>
      </c>
      <c r="K313">
        <v>2.622985905251279E-2</v>
      </c>
      <c r="L313" t="s">
        <v>166</v>
      </c>
      <c r="N313" t="s">
        <v>267</v>
      </c>
      <c r="O313" t="s">
        <v>168</v>
      </c>
      <c r="P313">
        <v>0.14108496171047719</v>
      </c>
      <c r="Q313" t="s">
        <v>166</v>
      </c>
    </row>
    <row r="314" spans="9:17" x14ac:dyDescent="0.45">
      <c r="I314" t="s">
        <v>202</v>
      </c>
      <c r="J314" t="s">
        <v>169</v>
      </c>
      <c r="K314">
        <v>0.15481614135602764</v>
      </c>
      <c r="L314" t="s">
        <v>166</v>
      </c>
      <c r="N314" t="s">
        <v>267</v>
      </c>
      <c r="O314" t="s">
        <v>169</v>
      </c>
      <c r="P314">
        <v>0.13902975945176399</v>
      </c>
      <c r="Q314" t="s">
        <v>166</v>
      </c>
    </row>
    <row r="315" spans="9:17" x14ac:dyDescent="0.45">
      <c r="I315" t="s">
        <v>202</v>
      </c>
      <c r="J315" t="s">
        <v>170</v>
      </c>
      <c r="K315">
        <v>1.160822486357849E-2</v>
      </c>
      <c r="L315" t="s">
        <v>166</v>
      </c>
      <c r="N315" t="s">
        <v>267</v>
      </c>
      <c r="O315" t="s">
        <v>170</v>
      </c>
      <c r="P315">
        <v>3.9659735192480918E-3</v>
      </c>
      <c r="Q315" t="s">
        <v>166</v>
      </c>
    </row>
    <row r="316" spans="9:17" x14ac:dyDescent="0.45">
      <c r="I316" t="s">
        <v>202</v>
      </c>
      <c r="J316" t="s">
        <v>171</v>
      </c>
      <c r="K316">
        <v>7.5581410321493587E-3</v>
      </c>
      <c r="L316" t="s">
        <v>166</v>
      </c>
      <c r="N316" t="s">
        <v>267</v>
      </c>
      <c r="O316" t="s">
        <v>171</v>
      </c>
      <c r="P316">
        <v>4.6351820146816984E-2</v>
      </c>
      <c r="Q316" t="s">
        <v>166</v>
      </c>
    </row>
    <row r="317" spans="9:17" x14ac:dyDescent="0.45">
      <c r="I317" t="s">
        <v>202</v>
      </c>
      <c r="J317" t="s">
        <v>172</v>
      </c>
      <c r="K317">
        <v>7.4719472342745633E-2</v>
      </c>
      <c r="L317" t="s">
        <v>166</v>
      </c>
      <c r="N317" t="s">
        <v>267</v>
      </c>
      <c r="O317" t="s">
        <v>172</v>
      </c>
      <c r="P317">
        <v>4.175780682316918E-2</v>
      </c>
      <c r="Q317" t="s">
        <v>166</v>
      </c>
    </row>
    <row r="318" spans="9:17" x14ac:dyDescent="0.45">
      <c r="I318" t="s">
        <v>202</v>
      </c>
      <c r="J318" t="s">
        <v>173</v>
      </c>
      <c r="K318">
        <v>4.7400163460573552E-3</v>
      </c>
      <c r="L318" t="s">
        <v>166</v>
      </c>
      <c r="N318" t="s">
        <v>267</v>
      </c>
      <c r="O318" t="s">
        <v>173</v>
      </c>
      <c r="P318">
        <v>1.2272620135904007E-3</v>
      </c>
      <c r="Q318" t="s">
        <v>166</v>
      </c>
    </row>
    <row r="319" spans="9:17" x14ac:dyDescent="0.45">
      <c r="I319" t="s">
        <v>202</v>
      </c>
      <c r="J319" t="s">
        <v>174</v>
      </c>
      <c r="K319">
        <v>1.7204882519144572E-4</v>
      </c>
      <c r="L319" t="s">
        <v>166</v>
      </c>
      <c r="N319" t="s">
        <v>267</v>
      </c>
      <c r="O319" t="s">
        <v>174</v>
      </c>
      <c r="P319">
        <v>1.5235271110140159E-2</v>
      </c>
      <c r="Q319" t="s">
        <v>166</v>
      </c>
    </row>
    <row r="320" spans="9:17" x14ac:dyDescent="0.45">
      <c r="I320" t="s">
        <v>202</v>
      </c>
      <c r="J320" t="s">
        <v>175</v>
      </c>
      <c r="K320">
        <v>0.12341645199075518</v>
      </c>
      <c r="L320" t="s">
        <v>166</v>
      </c>
      <c r="N320" t="s">
        <v>267</v>
      </c>
      <c r="O320" t="s">
        <v>175</v>
      </c>
      <c r="P320">
        <v>0.11599548365937425</v>
      </c>
      <c r="Q320" t="s">
        <v>166</v>
      </c>
    </row>
    <row r="321" spans="9:17" x14ac:dyDescent="0.45">
      <c r="I321" t="s">
        <v>202</v>
      </c>
      <c r="J321" t="s">
        <v>176</v>
      </c>
      <c r="K321">
        <v>6.4181940293585472E-3</v>
      </c>
      <c r="L321" t="s">
        <v>166</v>
      </c>
      <c r="N321" t="s">
        <v>267</v>
      </c>
      <c r="O321" t="s">
        <v>176</v>
      </c>
      <c r="P321">
        <v>5.0593454964231194E-3</v>
      </c>
      <c r="Q321" t="s">
        <v>166</v>
      </c>
    </row>
    <row r="322" spans="9:17" x14ac:dyDescent="0.45">
      <c r="I322" t="s">
        <v>202</v>
      </c>
      <c r="J322" t="s">
        <v>177</v>
      </c>
      <c r="K322">
        <v>0</v>
      </c>
      <c r="L322" t="s">
        <v>166</v>
      </c>
      <c r="N322" t="s">
        <v>267</v>
      </c>
      <c r="O322" t="s">
        <v>177</v>
      </c>
      <c r="P322">
        <v>4.7988620500357466E-2</v>
      </c>
      <c r="Q322" t="s">
        <v>166</v>
      </c>
    </row>
    <row r="323" spans="9:17" x14ac:dyDescent="0.45">
      <c r="I323" t="s">
        <v>203</v>
      </c>
      <c r="J323" t="s">
        <v>165</v>
      </c>
      <c r="K323">
        <v>0.54782647485561309</v>
      </c>
      <c r="L323" t="s">
        <v>166</v>
      </c>
      <c r="N323" t="s">
        <v>268</v>
      </c>
      <c r="O323" t="s">
        <v>165</v>
      </c>
      <c r="P323">
        <v>0.42687395663913258</v>
      </c>
      <c r="Q323" t="s">
        <v>166</v>
      </c>
    </row>
    <row r="324" spans="9:17" x14ac:dyDescent="0.45">
      <c r="I324" t="s">
        <v>203</v>
      </c>
      <c r="J324" t="s">
        <v>167</v>
      </c>
      <c r="K324">
        <v>4.0342789027574801E-2</v>
      </c>
      <c r="L324" t="s">
        <v>166</v>
      </c>
      <c r="N324" t="s">
        <v>268</v>
      </c>
      <c r="O324" t="s">
        <v>167</v>
      </c>
      <c r="P324">
        <v>1.8746891066671271E-2</v>
      </c>
      <c r="Q324" t="s">
        <v>166</v>
      </c>
    </row>
    <row r="325" spans="9:17" x14ac:dyDescent="0.45">
      <c r="I325" t="s">
        <v>203</v>
      </c>
      <c r="J325" t="s">
        <v>168</v>
      </c>
      <c r="K325">
        <v>2.387324572897814E-2</v>
      </c>
      <c r="L325" t="s">
        <v>166</v>
      </c>
      <c r="N325" t="s">
        <v>268</v>
      </c>
      <c r="O325" t="s">
        <v>168</v>
      </c>
      <c r="P325">
        <v>0.13208684160853257</v>
      </c>
      <c r="Q325" t="s">
        <v>166</v>
      </c>
    </row>
    <row r="326" spans="9:17" x14ac:dyDescent="0.45">
      <c r="I326" t="s">
        <v>203</v>
      </c>
      <c r="J326" t="s">
        <v>169</v>
      </c>
      <c r="K326">
        <v>0.15616832896485314</v>
      </c>
      <c r="L326" t="s">
        <v>166</v>
      </c>
      <c r="N326" t="s">
        <v>268</v>
      </c>
      <c r="O326" t="s">
        <v>169</v>
      </c>
      <c r="P326">
        <v>0.13510421345099802</v>
      </c>
      <c r="Q326" t="s">
        <v>166</v>
      </c>
    </row>
    <row r="327" spans="9:17" x14ac:dyDescent="0.45">
      <c r="I327" t="s">
        <v>203</v>
      </c>
      <c r="J327" t="s">
        <v>170</v>
      </c>
      <c r="K327">
        <v>1.1109696605966569E-2</v>
      </c>
      <c r="L327" t="s">
        <v>166</v>
      </c>
      <c r="N327" t="s">
        <v>268</v>
      </c>
      <c r="O327" t="s">
        <v>170</v>
      </c>
      <c r="P327">
        <v>4.7000094250034185E-3</v>
      </c>
      <c r="Q327" t="s">
        <v>166</v>
      </c>
    </row>
    <row r="328" spans="9:17" x14ac:dyDescent="0.45">
      <c r="I328" t="s">
        <v>203</v>
      </c>
      <c r="J328" t="s">
        <v>171</v>
      </c>
      <c r="K328">
        <v>6.8265050580269193E-3</v>
      </c>
      <c r="L328" t="s">
        <v>166</v>
      </c>
      <c r="N328" t="s">
        <v>268</v>
      </c>
      <c r="O328" t="s">
        <v>171</v>
      </c>
      <c r="P328">
        <v>4.3181063060102755E-2</v>
      </c>
      <c r="Q328" t="s">
        <v>166</v>
      </c>
    </row>
    <row r="329" spans="9:17" x14ac:dyDescent="0.45">
      <c r="I329" t="s">
        <v>203</v>
      </c>
      <c r="J329" t="s">
        <v>172</v>
      </c>
      <c r="K329">
        <v>7.4671695310299671E-2</v>
      </c>
      <c r="L329" t="s">
        <v>166</v>
      </c>
      <c r="N329" t="s">
        <v>268</v>
      </c>
      <c r="O329" t="s">
        <v>172</v>
      </c>
      <c r="P329">
        <v>3.9223166255857297E-2</v>
      </c>
      <c r="Q329" t="s">
        <v>166</v>
      </c>
    </row>
    <row r="330" spans="9:17" x14ac:dyDescent="0.45">
      <c r="I330" t="s">
        <v>203</v>
      </c>
      <c r="J330" t="s">
        <v>173</v>
      </c>
      <c r="K330">
        <v>4.3199441776102824E-3</v>
      </c>
      <c r="L330" t="s">
        <v>166</v>
      </c>
      <c r="N330" t="s">
        <v>268</v>
      </c>
      <c r="O330" t="s">
        <v>173</v>
      </c>
      <c r="P330">
        <v>1.0006954626275634E-3</v>
      </c>
      <c r="Q330" t="s">
        <v>166</v>
      </c>
    </row>
    <row r="331" spans="9:17" x14ac:dyDescent="0.45">
      <c r="I331" t="s">
        <v>203</v>
      </c>
      <c r="J331" t="s">
        <v>174</v>
      </c>
      <c r="K331">
        <v>1.2794018189141781E-4</v>
      </c>
      <c r="L331" t="s">
        <v>166</v>
      </c>
      <c r="N331" t="s">
        <v>268</v>
      </c>
      <c r="O331" t="s">
        <v>174</v>
      </c>
      <c r="P331">
        <v>1.2527366603199107E-2</v>
      </c>
      <c r="Q331" t="s">
        <v>166</v>
      </c>
    </row>
    <row r="332" spans="9:17" x14ac:dyDescent="0.45">
      <c r="I332" t="s">
        <v>203</v>
      </c>
      <c r="J332" t="s">
        <v>175</v>
      </c>
      <c r="K332">
        <v>0.12810649153837608</v>
      </c>
      <c r="L332" t="s">
        <v>166</v>
      </c>
      <c r="N332" t="s">
        <v>268</v>
      </c>
      <c r="O332" t="s">
        <v>175</v>
      </c>
      <c r="P332">
        <v>0.12986679755798253</v>
      </c>
      <c r="Q332" t="s">
        <v>166</v>
      </c>
    </row>
    <row r="333" spans="9:17" x14ac:dyDescent="0.45">
      <c r="I333" t="s">
        <v>203</v>
      </c>
      <c r="J333" t="s">
        <v>176</v>
      </c>
      <c r="K333">
        <v>6.6268885508112335E-3</v>
      </c>
      <c r="L333" t="s">
        <v>166</v>
      </c>
      <c r="N333" t="s">
        <v>268</v>
      </c>
      <c r="O333" t="s">
        <v>176</v>
      </c>
      <c r="P333">
        <v>5.9216589289236843E-3</v>
      </c>
      <c r="Q333" t="s">
        <v>166</v>
      </c>
    </row>
    <row r="334" spans="9:17" x14ac:dyDescent="0.45">
      <c r="I334" t="s">
        <v>203</v>
      </c>
      <c r="J334" t="s">
        <v>177</v>
      </c>
      <c r="K334">
        <v>0</v>
      </c>
      <c r="L334" t="s">
        <v>166</v>
      </c>
      <c r="N334" t="s">
        <v>268</v>
      </c>
      <c r="O334" t="s">
        <v>177</v>
      </c>
      <c r="P334">
        <v>5.0767339940967396E-2</v>
      </c>
      <c r="Q334" t="s">
        <v>166</v>
      </c>
    </row>
    <row r="335" spans="9:17" x14ac:dyDescent="0.45">
      <c r="I335" t="s">
        <v>204</v>
      </c>
      <c r="J335" t="s">
        <v>165</v>
      </c>
      <c r="K335">
        <v>0.54891884999304563</v>
      </c>
      <c r="L335" t="s">
        <v>166</v>
      </c>
      <c r="N335" t="s">
        <v>269</v>
      </c>
      <c r="O335" t="s">
        <v>165</v>
      </c>
      <c r="P335">
        <v>0.42223029522966371</v>
      </c>
      <c r="Q335" t="s">
        <v>166</v>
      </c>
    </row>
    <row r="336" spans="9:17" x14ac:dyDescent="0.45">
      <c r="I336" t="s">
        <v>204</v>
      </c>
      <c r="J336" t="s">
        <v>167</v>
      </c>
      <c r="K336">
        <v>3.7538969976228409E-2</v>
      </c>
      <c r="L336" t="s">
        <v>166</v>
      </c>
      <c r="N336" t="s">
        <v>269</v>
      </c>
      <c r="O336" t="s">
        <v>167</v>
      </c>
      <c r="P336">
        <v>2.1400615478113845E-2</v>
      </c>
      <c r="Q336" t="s">
        <v>166</v>
      </c>
    </row>
    <row r="337" spans="9:17" x14ac:dyDescent="0.45">
      <c r="I337" t="s">
        <v>204</v>
      </c>
      <c r="J337" t="s">
        <v>168</v>
      </c>
      <c r="K337">
        <v>1.8778564902477517E-2</v>
      </c>
      <c r="L337" t="s">
        <v>166</v>
      </c>
      <c r="N337" t="s">
        <v>269</v>
      </c>
      <c r="O337" t="s">
        <v>168</v>
      </c>
      <c r="P337">
        <v>0.15235867503266293</v>
      </c>
      <c r="Q337" t="s">
        <v>166</v>
      </c>
    </row>
    <row r="338" spans="9:17" x14ac:dyDescent="0.45">
      <c r="I338" t="s">
        <v>204</v>
      </c>
      <c r="J338" t="s">
        <v>169</v>
      </c>
      <c r="K338">
        <v>0.15959107444915804</v>
      </c>
      <c r="L338" t="s">
        <v>166</v>
      </c>
      <c r="N338" t="s">
        <v>269</v>
      </c>
      <c r="O338" t="s">
        <v>169</v>
      </c>
      <c r="P338">
        <v>0.1286448039572764</v>
      </c>
      <c r="Q338" t="s">
        <v>166</v>
      </c>
    </row>
    <row r="339" spans="9:17" x14ac:dyDescent="0.45">
      <c r="I339" t="s">
        <v>204</v>
      </c>
      <c r="J339" t="s">
        <v>170</v>
      </c>
      <c r="K339">
        <v>1.0884826982145572E-2</v>
      </c>
      <c r="L339" t="s">
        <v>166</v>
      </c>
      <c r="N339" t="s">
        <v>269</v>
      </c>
      <c r="O339" t="s">
        <v>170</v>
      </c>
      <c r="P339">
        <v>4.9743312937242023E-3</v>
      </c>
      <c r="Q339" t="s">
        <v>166</v>
      </c>
    </row>
    <row r="340" spans="9:17" x14ac:dyDescent="0.45">
      <c r="I340" t="s">
        <v>204</v>
      </c>
      <c r="J340" t="s">
        <v>171</v>
      </c>
      <c r="K340">
        <v>5.3241318776141577E-3</v>
      </c>
      <c r="L340" t="s">
        <v>166</v>
      </c>
      <c r="N340" t="s">
        <v>269</v>
      </c>
      <c r="O340" t="s">
        <v>171</v>
      </c>
      <c r="P340">
        <v>4.6217324741778212E-2</v>
      </c>
      <c r="Q340" t="s">
        <v>166</v>
      </c>
    </row>
    <row r="341" spans="9:17" x14ac:dyDescent="0.45">
      <c r="I341" t="s">
        <v>204</v>
      </c>
      <c r="J341" t="s">
        <v>172</v>
      </c>
      <c r="K341">
        <v>7.7014567822499783E-2</v>
      </c>
      <c r="L341" t="s">
        <v>166</v>
      </c>
      <c r="N341" t="s">
        <v>269</v>
      </c>
      <c r="O341" t="s">
        <v>172</v>
      </c>
      <c r="P341">
        <v>3.1622607846599447E-2</v>
      </c>
      <c r="Q341" t="s">
        <v>166</v>
      </c>
    </row>
    <row r="342" spans="9:17" x14ac:dyDescent="0.45">
      <c r="I342" t="s">
        <v>204</v>
      </c>
      <c r="J342" t="s">
        <v>173</v>
      </c>
      <c r="K342">
        <v>4.056527591821118E-3</v>
      </c>
      <c r="L342" t="s">
        <v>166</v>
      </c>
      <c r="N342" t="s">
        <v>269</v>
      </c>
      <c r="O342" t="s">
        <v>173</v>
      </c>
      <c r="P342">
        <v>8.543070267380972E-4</v>
      </c>
      <c r="Q342" t="s">
        <v>166</v>
      </c>
    </row>
    <row r="343" spans="9:17" x14ac:dyDescent="0.45">
      <c r="I343" t="s">
        <v>204</v>
      </c>
      <c r="J343" t="s">
        <v>174</v>
      </c>
      <c r="K343">
        <v>0</v>
      </c>
      <c r="L343" t="s">
        <v>166</v>
      </c>
      <c r="N343" t="s">
        <v>269</v>
      </c>
      <c r="O343" t="s">
        <v>174</v>
      </c>
      <c r="P343">
        <v>1.2318287403641884E-2</v>
      </c>
      <c r="Q343" t="s">
        <v>166</v>
      </c>
    </row>
    <row r="344" spans="9:17" x14ac:dyDescent="0.45">
      <c r="I344" t="s">
        <v>204</v>
      </c>
      <c r="J344" t="s">
        <v>175</v>
      </c>
      <c r="K344">
        <v>0.13155911332141706</v>
      </c>
      <c r="L344" t="s">
        <v>166</v>
      </c>
      <c r="N344" t="s">
        <v>269</v>
      </c>
      <c r="O344" t="s">
        <v>175</v>
      </c>
      <c r="P344">
        <v>0.1229710773670655</v>
      </c>
      <c r="Q344" t="s">
        <v>166</v>
      </c>
    </row>
    <row r="345" spans="9:17" x14ac:dyDescent="0.45">
      <c r="I345" t="s">
        <v>204</v>
      </c>
      <c r="J345" t="s">
        <v>176</v>
      </c>
      <c r="K345">
        <v>6.3333730835935503E-3</v>
      </c>
      <c r="L345" t="s">
        <v>166</v>
      </c>
      <c r="N345" t="s">
        <v>269</v>
      </c>
      <c r="O345" t="s">
        <v>176</v>
      </c>
      <c r="P345">
        <v>6.1573971144514798E-3</v>
      </c>
      <c r="Q345" t="s">
        <v>166</v>
      </c>
    </row>
    <row r="346" spans="9:17" x14ac:dyDescent="0.45">
      <c r="I346" t="s">
        <v>204</v>
      </c>
      <c r="J346" t="s">
        <v>177</v>
      </c>
      <c r="K346">
        <v>0</v>
      </c>
      <c r="L346" t="s">
        <v>166</v>
      </c>
      <c r="N346" t="s">
        <v>269</v>
      </c>
      <c r="O346" t="s">
        <v>177</v>
      </c>
      <c r="P346">
        <v>5.0250277508284313E-2</v>
      </c>
      <c r="Q346" t="s">
        <v>166</v>
      </c>
    </row>
    <row r="347" spans="9:17" x14ac:dyDescent="0.45">
      <c r="I347" t="s">
        <v>205</v>
      </c>
      <c r="J347" t="s">
        <v>165</v>
      </c>
      <c r="K347">
        <v>0.54358080512314955</v>
      </c>
      <c r="L347" t="s">
        <v>166</v>
      </c>
      <c r="N347" t="s">
        <v>270</v>
      </c>
      <c r="O347" t="s">
        <v>165</v>
      </c>
      <c r="P347">
        <v>0.42300016368935678</v>
      </c>
      <c r="Q347" t="s">
        <v>166</v>
      </c>
    </row>
    <row r="348" spans="9:17" x14ac:dyDescent="0.45">
      <c r="I348" t="s">
        <v>205</v>
      </c>
      <c r="J348" t="s">
        <v>167</v>
      </c>
      <c r="K348">
        <v>3.9443270235163981E-2</v>
      </c>
      <c r="L348" t="s">
        <v>166</v>
      </c>
      <c r="N348" t="s">
        <v>270</v>
      </c>
      <c r="O348" t="s">
        <v>167</v>
      </c>
      <c r="P348">
        <v>1.654815868192909E-2</v>
      </c>
      <c r="Q348" t="s">
        <v>166</v>
      </c>
    </row>
    <row r="349" spans="9:17" x14ac:dyDescent="0.45">
      <c r="I349" t="s">
        <v>205</v>
      </c>
      <c r="J349" t="s">
        <v>168</v>
      </c>
      <c r="K349">
        <v>2.2085323935155211E-2</v>
      </c>
      <c r="L349" t="s">
        <v>166</v>
      </c>
      <c r="N349" t="s">
        <v>270</v>
      </c>
      <c r="O349" t="s">
        <v>168</v>
      </c>
      <c r="P349">
        <v>0.15324219390454588</v>
      </c>
      <c r="Q349" t="s">
        <v>166</v>
      </c>
    </row>
    <row r="350" spans="9:17" x14ac:dyDescent="0.45">
      <c r="I350" t="s">
        <v>205</v>
      </c>
      <c r="J350" t="s">
        <v>169</v>
      </c>
      <c r="K350">
        <v>0.15581185748921089</v>
      </c>
      <c r="L350" t="s">
        <v>166</v>
      </c>
      <c r="N350" t="s">
        <v>270</v>
      </c>
      <c r="O350" t="s">
        <v>169</v>
      </c>
      <c r="P350">
        <v>0.12275551108167476</v>
      </c>
      <c r="Q350" t="s">
        <v>166</v>
      </c>
    </row>
    <row r="351" spans="9:17" x14ac:dyDescent="0.45">
      <c r="I351" t="s">
        <v>205</v>
      </c>
      <c r="J351" t="s">
        <v>170</v>
      </c>
      <c r="K351">
        <v>1.1145079727936073E-2</v>
      </c>
      <c r="L351" t="s">
        <v>166</v>
      </c>
      <c r="N351" t="s">
        <v>270</v>
      </c>
      <c r="O351" t="s">
        <v>170</v>
      </c>
      <c r="P351">
        <v>2.6346132223720817E-3</v>
      </c>
      <c r="Q351" t="s">
        <v>166</v>
      </c>
    </row>
    <row r="352" spans="9:17" x14ac:dyDescent="0.45">
      <c r="I352" t="s">
        <v>205</v>
      </c>
      <c r="J352" t="s">
        <v>171</v>
      </c>
      <c r="K352">
        <v>6.4181106434186711E-3</v>
      </c>
      <c r="L352" t="s">
        <v>166</v>
      </c>
      <c r="N352" t="s">
        <v>270</v>
      </c>
      <c r="O352" t="s">
        <v>171</v>
      </c>
      <c r="P352">
        <v>4.177474835869114E-2</v>
      </c>
      <c r="Q352" t="s">
        <v>166</v>
      </c>
    </row>
    <row r="353" spans="9:17" x14ac:dyDescent="0.45">
      <c r="I353" t="s">
        <v>205</v>
      </c>
      <c r="J353" t="s">
        <v>172</v>
      </c>
      <c r="K353">
        <v>7.6112451731524602E-2</v>
      </c>
      <c r="L353" t="s">
        <v>166</v>
      </c>
      <c r="N353" t="s">
        <v>270</v>
      </c>
      <c r="O353" t="s">
        <v>172</v>
      </c>
      <c r="P353">
        <v>6.4397408811755014E-2</v>
      </c>
      <c r="Q353" t="s">
        <v>166</v>
      </c>
    </row>
    <row r="354" spans="9:17" x14ac:dyDescent="0.45">
      <c r="I354" t="s">
        <v>205</v>
      </c>
      <c r="J354" t="s">
        <v>173</v>
      </c>
      <c r="K354">
        <v>4.2113053593197851E-3</v>
      </c>
      <c r="L354" t="s">
        <v>166</v>
      </c>
      <c r="N354" t="s">
        <v>270</v>
      </c>
      <c r="O354" t="s">
        <v>173</v>
      </c>
      <c r="P354">
        <v>1.5454328897143237E-3</v>
      </c>
      <c r="Q354" t="s">
        <v>166</v>
      </c>
    </row>
    <row r="355" spans="9:17" x14ac:dyDescent="0.45">
      <c r="I355" t="s">
        <v>205</v>
      </c>
      <c r="J355" t="s">
        <v>174</v>
      </c>
      <c r="K355">
        <v>3.2548804939965364E-5</v>
      </c>
      <c r="L355" t="s">
        <v>166</v>
      </c>
      <c r="N355" t="s">
        <v>270</v>
      </c>
      <c r="O355" t="s">
        <v>174</v>
      </c>
      <c r="P355">
        <v>2.6376165500468923E-2</v>
      </c>
      <c r="Q355" t="s">
        <v>166</v>
      </c>
    </row>
    <row r="356" spans="9:17" x14ac:dyDescent="0.45">
      <c r="I356" t="s">
        <v>205</v>
      </c>
      <c r="J356" t="s">
        <v>175</v>
      </c>
      <c r="K356">
        <v>0.13418444501371715</v>
      </c>
      <c r="L356" t="s">
        <v>166</v>
      </c>
      <c r="N356" t="s">
        <v>270</v>
      </c>
      <c r="O356" t="s">
        <v>175</v>
      </c>
      <c r="P356">
        <v>9.9886458439543246E-2</v>
      </c>
      <c r="Q356" t="s">
        <v>166</v>
      </c>
    </row>
    <row r="357" spans="9:17" x14ac:dyDescent="0.45">
      <c r="I357" t="s">
        <v>205</v>
      </c>
      <c r="J357" t="s">
        <v>176</v>
      </c>
      <c r="K357">
        <v>6.9748019364652145E-3</v>
      </c>
      <c r="L357" t="s">
        <v>166</v>
      </c>
      <c r="N357" t="s">
        <v>270</v>
      </c>
      <c r="O357" t="s">
        <v>176</v>
      </c>
      <c r="P357">
        <v>4.5620928645923103E-3</v>
      </c>
      <c r="Q357" t="s">
        <v>166</v>
      </c>
    </row>
    <row r="358" spans="9:17" x14ac:dyDescent="0.45">
      <c r="I358" t="s">
        <v>205</v>
      </c>
      <c r="J358" t="s">
        <v>177</v>
      </c>
      <c r="K358">
        <v>0</v>
      </c>
      <c r="L358" t="s">
        <v>166</v>
      </c>
      <c r="N358" t="s">
        <v>270</v>
      </c>
      <c r="O358" t="s">
        <v>177</v>
      </c>
      <c r="P358">
        <v>4.3277052555356792E-2</v>
      </c>
      <c r="Q358" t="s">
        <v>166</v>
      </c>
    </row>
    <row r="359" spans="9:17" x14ac:dyDescent="0.45">
      <c r="I359" t="s">
        <v>206</v>
      </c>
      <c r="J359" t="s">
        <v>165</v>
      </c>
      <c r="K359">
        <v>0.54613322602047487</v>
      </c>
      <c r="L359" t="s">
        <v>166</v>
      </c>
      <c r="N359" t="s">
        <v>271</v>
      </c>
      <c r="O359" t="s">
        <v>165</v>
      </c>
      <c r="P359">
        <v>0.45130058198706635</v>
      </c>
      <c r="Q359" t="s">
        <v>166</v>
      </c>
    </row>
    <row r="360" spans="9:17" x14ac:dyDescent="0.45">
      <c r="I360" t="s">
        <v>206</v>
      </c>
      <c r="J360" t="s">
        <v>167</v>
      </c>
      <c r="K360">
        <v>3.737679837360925E-2</v>
      </c>
      <c r="L360" t="s">
        <v>166</v>
      </c>
      <c r="N360" t="s">
        <v>271</v>
      </c>
      <c r="O360" t="s">
        <v>167</v>
      </c>
      <c r="P360">
        <v>1.7010436698856973E-2</v>
      </c>
      <c r="Q360" t="s">
        <v>166</v>
      </c>
    </row>
    <row r="361" spans="9:17" x14ac:dyDescent="0.45">
      <c r="I361" t="s">
        <v>206</v>
      </c>
      <c r="J361" t="s">
        <v>168</v>
      </c>
      <c r="K361">
        <v>1.7899650994941056E-2</v>
      </c>
      <c r="L361" t="s">
        <v>166</v>
      </c>
      <c r="N361" t="s">
        <v>271</v>
      </c>
      <c r="O361" t="s">
        <v>168</v>
      </c>
      <c r="P361">
        <v>0.1432269162167526</v>
      </c>
      <c r="Q361" t="s">
        <v>166</v>
      </c>
    </row>
    <row r="362" spans="9:17" x14ac:dyDescent="0.45">
      <c r="I362" t="s">
        <v>206</v>
      </c>
      <c r="J362" t="s">
        <v>169</v>
      </c>
      <c r="K362">
        <v>0.15657372911602926</v>
      </c>
      <c r="L362" t="s">
        <v>166</v>
      </c>
      <c r="N362" t="s">
        <v>271</v>
      </c>
      <c r="O362" t="s">
        <v>169</v>
      </c>
      <c r="P362">
        <v>0.10412215860086634</v>
      </c>
      <c r="Q362" t="s">
        <v>166</v>
      </c>
    </row>
    <row r="363" spans="9:17" x14ac:dyDescent="0.45">
      <c r="I363" t="s">
        <v>206</v>
      </c>
      <c r="J363" t="s">
        <v>170</v>
      </c>
      <c r="K363">
        <v>1.0520269994686237E-2</v>
      </c>
      <c r="L363" t="s">
        <v>166</v>
      </c>
      <c r="N363" t="s">
        <v>271</v>
      </c>
      <c r="O363" t="s">
        <v>170</v>
      </c>
      <c r="P363">
        <v>2.2411917903076067E-3</v>
      </c>
      <c r="Q363" t="s">
        <v>166</v>
      </c>
    </row>
    <row r="364" spans="9:17" x14ac:dyDescent="0.45">
      <c r="I364" t="s">
        <v>206</v>
      </c>
      <c r="J364" t="s">
        <v>171</v>
      </c>
      <c r="K364">
        <v>5.0844299510921084E-3</v>
      </c>
      <c r="L364" t="s">
        <v>166</v>
      </c>
      <c r="N364" t="s">
        <v>271</v>
      </c>
      <c r="O364" t="s">
        <v>171</v>
      </c>
      <c r="P364">
        <v>2.9555292771278954E-2</v>
      </c>
      <c r="Q364" t="s">
        <v>166</v>
      </c>
    </row>
    <row r="365" spans="9:17" x14ac:dyDescent="0.45">
      <c r="I365" t="s">
        <v>206</v>
      </c>
      <c r="J365" t="s">
        <v>172</v>
      </c>
      <c r="K365">
        <v>7.7523649141761311E-2</v>
      </c>
      <c r="L365" t="s">
        <v>166</v>
      </c>
      <c r="N365" t="s">
        <v>271</v>
      </c>
      <c r="O365" t="s">
        <v>172</v>
      </c>
      <c r="P365">
        <v>6.8429094221190173E-2</v>
      </c>
      <c r="Q365" t="s">
        <v>166</v>
      </c>
    </row>
    <row r="366" spans="9:17" x14ac:dyDescent="0.45">
      <c r="I366" t="s">
        <v>206</v>
      </c>
      <c r="J366" t="s">
        <v>173</v>
      </c>
      <c r="K366">
        <v>4.3614665506658736E-3</v>
      </c>
      <c r="L366" t="s">
        <v>166</v>
      </c>
      <c r="N366" t="s">
        <v>271</v>
      </c>
      <c r="O366" t="s">
        <v>173</v>
      </c>
      <c r="P366">
        <v>1.6701490314876952E-3</v>
      </c>
      <c r="Q366" t="s">
        <v>166</v>
      </c>
    </row>
    <row r="367" spans="9:17" x14ac:dyDescent="0.45">
      <c r="I367" t="s">
        <v>206</v>
      </c>
      <c r="J367" t="s">
        <v>174</v>
      </c>
      <c r="K367">
        <v>0</v>
      </c>
      <c r="L367" t="s">
        <v>166</v>
      </c>
      <c r="N367" t="s">
        <v>271</v>
      </c>
      <c r="O367" t="s">
        <v>174</v>
      </c>
      <c r="P367">
        <v>1.8745714659418773E-2</v>
      </c>
      <c r="Q367" t="s">
        <v>166</v>
      </c>
    </row>
    <row r="368" spans="9:17" x14ac:dyDescent="0.45">
      <c r="I368" t="s">
        <v>206</v>
      </c>
      <c r="J368" t="s">
        <v>175</v>
      </c>
      <c r="K368">
        <v>0.13794098693958051</v>
      </c>
      <c r="L368" t="s">
        <v>166</v>
      </c>
      <c r="N368" t="s">
        <v>271</v>
      </c>
      <c r="O368" t="s">
        <v>175</v>
      </c>
      <c r="P368">
        <v>0.11810935841270624</v>
      </c>
      <c r="Q368" t="s">
        <v>166</v>
      </c>
    </row>
    <row r="369" spans="9:17" x14ac:dyDescent="0.45">
      <c r="I369" t="s">
        <v>206</v>
      </c>
      <c r="J369" t="s">
        <v>176</v>
      </c>
      <c r="K369">
        <v>6.5857929171575357E-3</v>
      </c>
      <c r="L369" t="s">
        <v>166</v>
      </c>
      <c r="N369" t="s">
        <v>271</v>
      </c>
      <c r="O369" t="s">
        <v>176</v>
      </c>
      <c r="P369">
        <v>4.9126630845386429E-3</v>
      </c>
      <c r="Q369" t="s">
        <v>166</v>
      </c>
    </row>
    <row r="370" spans="9:17" x14ac:dyDescent="0.45">
      <c r="I370" t="s">
        <v>206</v>
      </c>
      <c r="J370" t="s">
        <v>177</v>
      </c>
      <c r="K370">
        <v>0</v>
      </c>
      <c r="L370" t="s">
        <v>166</v>
      </c>
      <c r="N370" t="s">
        <v>271</v>
      </c>
      <c r="O370" t="s">
        <v>177</v>
      </c>
      <c r="P370">
        <v>4.0676442525527309E-2</v>
      </c>
      <c r="Q370" t="s">
        <v>166</v>
      </c>
    </row>
    <row r="371" spans="9:17" x14ac:dyDescent="0.45">
      <c r="I371" t="s">
        <v>207</v>
      </c>
      <c r="J371" t="s">
        <v>165</v>
      </c>
      <c r="K371">
        <v>0.53948005852974301</v>
      </c>
      <c r="L371" t="s">
        <v>166</v>
      </c>
      <c r="N371" t="s">
        <v>272</v>
      </c>
      <c r="O371" t="s">
        <v>165</v>
      </c>
      <c r="P371">
        <v>0.45758693189563665</v>
      </c>
      <c r="Q371" t="s">
        <v>166</v>
      </c>
    </row>
    <row r="372" spans="9:17" x14ac:dyDescent="0.45">
      <c r="I372" t="s">
        <v>207</v>
      </c>
      <c r="J372" t="s">
        <v>167</v>
      </c>
      <c r="K372">
        <v>4.0004074573841031E-2</v>
      </c>
      <c r="L372" t="s">
        <v>166</v>
      </c>
      <c r="N372" t="s">
        <v>272</v>
      </c>
      <c r="O372" t="s">
        <v>167</v>
      </c>
      <c r="P372">
        <v>1.4672319278218637E-2</v>
      </c>
      <c r="Q372" t="s">
        <v>166</v>
      </c>
    </row>
    <row r="373" spans="9:17" x14ac:dyDescent="0.45">
      <c r="I373" t="s">
        <v>207</v>
      </c>
      <c r="J373" t="s">
        <v>168</v>
      </c>
      <c r="K373">
        <v>2.2761031251656728E-2</v>
      </c>
      <c r="L373" t="s">
        <v>166</v>
      </c>
      <c r="N373" t="s">
        <v>272</v>
      </c>
      <c r="O373" t="s">
        <v>168</v>
      </c>
      <c r="P373">
        <v>0.13599298903557955</v>
      </c>
      <c r="Q373" t="s">
        <v>166</v>
      </c>
    </row>
    <row r="374" spans="9:17" x14ac:dyDescent="0.45">
      <c r="I374" t="s">
        <v>207</v>
      </c>
      <c r="J374" t="s">
        <v>169</v>
      </c>
      <c r="K374">
        <v>0.15224899605084766</v>
      </c>
      <c r="L374" t="s">
        <v>166</v>
      </c>
      <c r="N374" t="s">
        <v>272</v>
      </c>
      <c r="O374" t="s">
        <v>169</v>
      </c>
      <c r="P374">
        <v>8.4278447001278733E-2</v>
      </c>
      <c r="Q374" t="s">
        <v>166</v>
      </c>
    </row>
    <row r="375" spans="9:17" x14ac:dyDescent="0.45">
      <c r="I375" t="s">
        <v>207</v>
      </c>
      <c r="J375" t="s">
        <v>170</v>
      </c>
      <c r="K375">
        <v>1.1046793198539729E-2</v>
      </c>
      <c r="L375" t="s">
        <v>166</v>
      </c>
      <c r="N375" t="s">
        <v>272</v>
      </c>
      <c r="O375" t="s">
        <v>170</v>
      </c>
      <c r="P375">
        <v>1.6025245214064383E-3</v>
      </c>
      <c r="Q375" t="s">
        <v>166</v>
      </c>
    </row>
    <row r="376" spans="9:17" x14ac:dyDescent="0.45">
      <c r="I376" t="s">
        <v>207</v>
      </c>
      <c r="J376" t="s">
        <v>171</v>
      </c>
      <c r="K376">
        <v>6.338755404081943E-3</v>
      </c>
      <c r="L376" t="s">
        <v>166</v>
      </c>
      <c r="N376" t="s">
        <v>272</v>
      </c>
      <c r="O376" t="s">
        <v>171</v>
      </c>
      <c r="P376">
        <v>2.6038574032908147E-2</v>
      </c>
      <c r="Q376" t="s">
        <v>166</v>
      </c>
    </row>
    <row r="377" spans="9:17" x14ac:dyDescent="0.45">
      <c r="I377" t="s">
        <v>207</v>
      </c>
      <c r="J377" t="s">
        <v>172</v>
      </c>
      <c r="K377">
        <v>7.6843374018224914E-2</v>
      </c>
      <c r="L377" t="s">
        <v>166</v>
      </c>
      <c r="N377" t="s">
        <v>272</v>
      </c>
      <c r="O377" t="s">
        <v>172</v>
      </c>
      <c r="P377">
        <v>7.6686730128085703E-2</v>
      </c>
      <c r="Q377" t="s">
        <v>166</v>
      </c>
    </row>
    <row r="378" spans="9:17" x14ac:dyDescent="0.45">
      <c r="I378" t="s">
        <v>207</v>
      </c>
      <c r="J378" t="s">
        <v>173</v>
      </c>
      <c r="K378">
        <v>4.614201473268389E-3</v>
      </c>
      <c r="L378" t="s">
        <v>166</v>
      </c>
      <c r="N378" t="s">
        <v>272</v>
      </c>
      <c r="O378" t="s">
        <v>173</v>
      </c>
      <c r="P378">
        <v>2.1200710501032339E-3</v>
      </c>
      <c r="Q378" t="s">
        <v>166</v>
      </c>
    </row>
    <row r="379" spans="9:17" x14ac:dyDescent="0.45">
      <c r="I379" t="s">
        <v>207</v>
      </c>
      <c r="J379" t="s">
        <v>174</v>
      </c>
      <c r="K379">
        <v>3.1935067651804095E-4</v>
      </c>
      <c r="L379" t="s">
        <v>166</v>
      </c>
      <c r="N379" t="s">
        <v>272</v>
      </c>
      <c r="O379" t="s">
        <v>174</v>
      </c>
      <c r="P379">
        <v>2.8528563615186121E-2</v>
      </c>
      <c r="Q379" t="s">
        <v>166</v>
      </c>
    </row>
    <row r="380" spans="9:17" x14ac:dyDescent="0.45">
      <c r="I380" t="s">
        <v>207</v>
      </c>
      <c r="J380" t="s">
        <v>175</v>
      </c>
      <c r="K380">
        <v>0.13863092167591645</v>
      </c>
      <c r="L380" t="s">
        <v>166</v>
      </c>
      <c r="N380" t="s">
        <v>272</v>
      </c>
      <c r="O380" t="s">
        <v>175</v>
      </c>
      <c r="P380">
        <v>0.1233058086745125</v>
      </c>
      <c r="Q380" t="s">
        <v>166</v>
      </c>
    </row>
    <row r="381" spans="9:17" x14ac:dyDescent="0.45">
      <c r="I381" t="s">
        <v>207</v>
      </c>
      <c r="J381" t="s">
        <v>176</v>
      </c>
      <c r="K381">
        <v>7.712443147365515E-3</v>
      </c>
      <c r="L381" t="s">
        <v>166</v>
      </c>
      <c r="N381" t="s">
        <v>272</v>
      </c>
      <c r="O381" t="s">
        <v>176</v>
      </c>
      <c r="P381">
        <v>4.5677444029321992E-3</v>
      </c>
      <c r="Q381" t="s">
        <v>166</v>
      </c>
    </row>
    <row r="382" spans="9:17" x14ac:dyDescent="0.45">
      <c r="I382" t="s">
        <v>207</v>
      </c>
      <c r="J382" t="s">
        <v>177</v>
      </c>
      <c r="K382">
        <v>0</v>
      </c>
      <c r="L382" t="s">
        <v>166</v>
      </c>
      <c r="N382" t="s">
        <v>272</v>
      </c>
      <c r="O382" t="s">
        <v>177</v>
      </c>
      <c r="P382">
        <v>4.4619296364149484E-2</v>
      </c>
      <c r="Q382" t="s">
        <v>166</v>
      </c>
    </row>
    <row r="383" spans="9:17" x14ac:dyDescent="0.45">
      <c r="I383" t="s">
        <v>208</v>
      </c>
      <c r="J383" t="s">
        <v>165</v>
      </c>
      <c r="K383">
        <v>0.55149606939068274</v>
      </c>
      <c r="L383" t="s">
        <v>166</v>
      </c>
      <c r="N383" t="s">
        <v>273</v>
      </c>
      <c r="O383" t="s">
        <v>165</v>
      </c>
      <c r="P383">
        <v>0.47923806472983282</v>
      </c>
      <c r="Q383" t="s">
        <v>166</v>
      </c>
    </row>
    <row r="384" spans="9:17" x14ac:dyDescent="0.45">
      <c r="I384" t="s">
        <v>208</v>
      </c>
      <c r="J384" t="s">
        <v>167</v>
      </c>
      <c r="K384">
        <v>4.1689974785681108E-2</v>
      </c>
      <c r="L384" t="s">
        <v>166</v>
      </c>
      <c r="N384" t="s">
        <v>273</v>
      </c>
      <c r="O384" t="s">
        <v>167</v>
      </c>
      <c r="P384">
        <v>1.4082790411788291E-2</v>
      </c>
      <c r="Q384" t="s">
        <v>166</v>
      </c>
    </row>
    <row r="385" spans="9:17" x14ac:dyDescent="0.45">
      <c r="I385" t="s">
        <v>208</v>
      </c>
      <c r="J385" t="s">
        <v>168</v>
      </c>
      <c r="K385">
        <v>2.8303158931359252E-2</v>
      </c>
      <c r="L385" t="s">
        <v>166</v>
      </c>
      <c r="N385" t="s">
        <v>273</v>
      </c>
      <c r="O385" t="s">
        <v>168</v>
      </c>
      <c r="P385">
        <v>0.13335480805852984</v>
      </c>
      <c r="Q385" t="s">
        <v>166</v>
      </c>
    </row>
    <row r="386" spans="9:17" x14ac:dyDescent="0.45">
      <c r="I386" t="s">
        <v>208</v>
      </c>
      <c r="J386" t="s">
        <v>169</v>
      </c>
      <c r="K386">
        <v>0.15537393626271834</v>
      </c>
      <c r="L386" t="s">
        <v>166</v>
      </c>
      <c r="N386" t="s">
        <v>273</v>
      </c>
      <c r="O386" t="s">
        <v>169</v>
      </c>
      <c r="P386">
        <v>8.563703679030886E-2</v>
      </c>
      <c r="Q386" t="s">
        <v>166</v>
      </c>
    </row>
    <row r="387" spans="9:17" x14ac:dyDescent="0.45">
      <c r="I387" t="s">
        <v>208</v>
      </c>
      <c r="J387" t="s">
        <v>170</v>
      </c>
      <c r="K387">
        <v>1.1237542456896879E-2</v>
      </c>
      <c r="L387" t="s">
        <v>166</v>
      </c>
      <c r="N387" t="s">
        <v>273</v>
      </c>
      <c r="O387" t="s">
        <v>170</v>
      </c>
      <c r="P387">
        <v>1.8043594190138492E-3</v>
      </c>
      <c r="Q387" t="s">
        <v>166</v>
      </c>
    </row>
    <row r="388" spans="9:17" x14ac:dyDescent="0.45">
      <c r="I388" t="s">
        <v>208</v>
      </c>
      <c r="J388" t="s">
        <v>171</v>
      </c>
      <c r="K388">
        <v>7.9215650424325108E-3</v>
      </c>
      <c r="L388" t="s">
        <v>166</v>
      </c>
      <c r="N388" t="s">
        <v>273</v>
      </c>
      <c r="O388" t="s">
        <v>171</v>
      </c>
      <c r="P388">
        <v>2.3758134844574851E-2</v>
      </c>
      <c r="Q388" t="s">
        <v>166</v>
      </c>
    </row>
    <row r="389" spans="9:17" x14ac:dyDescent="0.45">
      <c r="I389" t="s">
        <v>208</v>
      </c>
      <c r="J389" t="s">
        <v>172</v>
      </c>
      <c r="K389">
        <v>7.5163126531899854E-2</v>
      </c>
      <c r="L389" t="s">
        <v>166</v>
      </c>
      <c r="N389" t="s">
        <v>273</v>
      </c>
      <c r="O389" t="s">
        <v>172</v>
      </c>
      <c r="P389">
        <v>6.8871450145953403E-2</v>
      </c>
      <c r="Q389" t="s">
        <v>166</v>
      </c>
    </row>
    <row r="390" spans="9:17" x14ac:dyDescent="0.45">
      <c r="I390" t="s">
        <v>208</v>
      </c>
      <c r="J390" t="s">
        <v>173</v>
      </c>
      <c r="K390">
        <v>4.5119863518880325E-3</v>
      </c>
      <c r="L390" t="s">
        <v>166</v>
      </c>
      <c r="N390" t="s">
        <v>273</v>
      </c>
      <c r="O390" t="s">
        <v>173</v>
      </c>
      <c r="P390">
        <v>1.7041922074666105E-3</v>
      </c>
      <c r="Q390" t="s">
        <v>166</v>
      </c>
    </row>
    <row r="391" spans="9:17" x14ac:dyDescent="0.45">
      <c r="I391" t="s">
        <v>208</v>
      </c>
      <c r="J391" t="s">
        <v>174</v>
      </c>
      <c r="K391">
        <v>2.5471486608971678E-4</v>
      </c>
      <c r="L391" t="s">
        <v>166</v>
      </c>
      <c r="N391" t="s">
        <v>273</v>
      </c>
      <c r="O391" t="s">
        <v>174</v>
      </c>
      <c r="P391">
        <v>1.6986583377029022E-2</v>
      </c>
      <c r="Q391" t="s">
        <v>166</v>
      </c>
    </row>
    <row r="392" spans="9:17" x14ac:dyDescent="0.45">
      <c r="I392" t="s">
        <v>208</v>
      </c>
      <c r="J392" t="s">
        <v>175</v>
      </c>
      <c r="K392">
        <v>0.11768701599117119</v>
      </c>
      <c r="L392" t="s">
        <v>166</v>
      </c>
      <c r="N392" t="s">
        <v>273</v>
      </c>
      <c r="O392" t="s">
        <v>175</v>
      </c>
      <c r="P392">
        <v>0.12835912058190094</v>
      </c>
      <c r="Q392" t="s">
        <v>166</v>
      </c>
    </row>
    <row r="393" spans="9:17" x14ac:dyDescent="0.45">
      <c r="I393" t="s">
        <v>208</v>
      </c>
      <c r="J393" t="s">
        <v>176</v>
      </c>
      <c r="K393">
        <v>6.3609093891790975E-3</v>
      </c>
      <c r="L393" t="s">
        <v>166</v>
      </c>
      <c r="N393" t="s">
        <v>273</v>
      </c>
      <c r="O393" t="s">
        <v>176</v>
      </c>
      <c r="P393">
        <v>4.2041171471278276E-3</v>
      </c>
      <c r="Q393" t="s">
        <v>166</v>
      </c>
    </row>
    <row r="394" spans="9:17" x14ac:dyDescent="0.45">
      <c r="I394" t="s">
        <v>208</v>
      </c>
      <c r="J394" t="s">
        <v>177</v>
      </c>
      <c r="K394">
        <v>0</v>
      </c>
      <c r="L394" t="s">
        <v>166</v>
      </c>
      <c r="N394" t="s">
        <v>273</v>
      </c>
      <c r="O394" t="s">
        <v>177</v>
      </c>
      <c r="P394">
        <v>4.1999342286476324E-2</v>
      </c>
      <c r="Q394" t="s">
        <v>166</v>
      </c>
    </row>
    <row r="395" spans="9:17" x14ac:dyDescent="0.45">
      <c r="I395" t="s">
        <v>209</v>
      </c>
      <c r="J395" t="s">
        <v>165</v>
      </c>
      <c r="K395">
        <v>0.53700340356856457</v>
      </c>
      <c r="L395" t="s">
        <v>166</v>
      </c>
      <c r="N395" t="s">
        <v>274</v>
      </c>
      <c r="O395" t="s">
        <v>165</v>
      </c>
      <c r="P395">
        <v>0.46682102949985027</v>
      </c>
      <c r="Q395" t="s">
        <v>166</v>
      </c>
    </row>
    <row r="396" spans="9:17" x14ac:dyDescent="0.45">
      <c r="I396" t="s">
        <v>209</v>
      </c>
      <c r="J396" t="s">
        <v>167</v>
      </c>
      <c r="K396">
        <v>4.4696092573785047E-2</v>
      </c>
      <c r="L396" t="s">
        <v>166</v>
      </c>
      <c r="N396" t="s">
        <v>274</v>
      </c>
      <c r="O396" t="s">
        <v>167</v>
      </c>
      <c r="P396">
        <v>1.7659159541681381E-2</v>
      </c>
      <c r="Q396" t="s">
        <v>166</v>
      </c>
    </row>
    <row r="397" spans="9:17" x14ac:dyDescent="0.45">
      <c r="I397" t="s">
        <v>209</v>
      </c>
      <c r="J397" t="s">
        <v>168</v>
      </c>
      <c r="K397">
        <v>3.7027966967672479E-2</v>
      </c>
      <c r="L397" t="s">
        <v>166</v>
      </c>
      <c r="N397" t="s">
        <v>274</v>
      </c>
      <c r="O397" t="s">
        <v>168</v>
      </c>
      <c r="P397">
        <v>0.13656286282721214</v>
      </c>
      <c r="Q397" t="s">
        <v>166</v>
      </c>
    </row>
    <row r="398" spans="9:17" x14ac:dyDescent="0.45">
      <c r="I398" t="s">
        <v>209</v>
      </c>
      <c r="J398" t="s">
        <v>169</v>
      </c>
      <c r="K398">
        <v>0.14617360101436178</v>
      </c>
      <c r="L398" t="s">
        <v>166</v>
      </c>
      <c r="N398" t="s">
        <v>274</v>
      </c>
      <c r="O398" t="s">
        <v>169</v>
      </c>
      <c r="P398">
        <v>9.2412199123735508E-2</v>
      </c>
      <c r="Q398" t="s">
        <v>166</v>
      </c>
    </row>
    <row r="399" spans="9:17" x14ac:dyDescent="0.45">
      <c r="I399" t="s">
        <v>209</v>
      </c>
      <c r="J399" t="s">
        <v>170</v>
      </c>
      <c r="K399">
        <v>1.1573966008641927E-2</v>
      </c>
      <c r="L399" t="s">
        <v>166</v>
      </c>
      <c r="N399" t="s">
        <v>274</v>
      </c>
      <c r="O399" t="s">
        <v>170</v>
      </c>
      <c r="P399">
        <v>1.6751646413188576E-3</v>
      </c>
      <c r="Q399" t="s">
        <v>166</v>
      </c>
    </row>
    <row r="400" spans="9:17" x14ac:dyDescent="0.45">
      <c r="I400" t="s">
        <v>209</v>
      </c>
      <c r="J400" t="s">
        <v>171</v>
      </c>
      <c r="K400">
        <v>9.7637715279036159E-3</v>
      </c>
      <c r="L400" t="s">
        <v>166</v>
      </c>
      <c r="N400" t="s">
        <v>274</v>
      </c>
      <c r="O400" t="s">
        <v>171</v>
      </c>
      <c r="P400">
        <v>2.3148926973668684E-2</v>
      </c>
      <c r="Q400" t="s">
        <v>166</v>
      </c>
    </row>
    <row r="401" spans="9:17" x14ac:dyDescent="0.45">
      <c r="I401" t="s">
        <v>209</v>
      </c>
      <c r="J401" t="s">
        <v>172</v>
      </c>
      <c r="K401">
        <v>7.2773531734782057E-2</v>
      </c>
      <c r="L401" t="s">
        <v>166</v>
      </c>
      <c r="N401" t="s">
        <v>274</v>
      </c>
      <c r="O401" t="s">
        <v>172</v>
      </c>
      <c r="P401">
        <v>7.1044955757695788E-2</v>
      </c>
      <c r="Q401" t="s">
        <v>166</v>
      </c>
    </row>
    <row r="402" spans="9:17" x14ac:dyDescent="0.45">
      <c r="I402" t="s">
        <v>209</v>
      </c>
      <c r="J402" t="s">
        <v>173</v>
      </c>
      <c r="K402">
        <v>4.8473211758155955E-3</v>
      </c>
      <c r="L402" t="s">
        <v>166</v>
      </c>
      <c r="N402" t="s">
        <v>274</v>
      </c>
      <c r="O402" t="s">
        <v>173</v>
      </c>
      <c r="P402">
        <v>1.6796081086925239E-3</v>
      </c>
      <c r="Q402" t="s">
        <v>166</v>
      </c>
    </row>
    <row r="403" spans="9:17" x14ac:dyDescent="0.45">
      <c r="I403" t="s">
        <v>209</v>
      </c>
      <c r="J403" t="s">
        <v>174</v>
      </c>
      <c r="K403">
        <v>1.6182710218959515E-3</v>
      </c>
      <c r="L403" t="s">
        <v>166</v>
      </c>
      <c r="N403" t="s">
        <v>274</v>
      </c>
      <c r="O403" t="s">
        <v>174</v>
      </c>
      <c r="P403">
        <v>1.4604272678382053E-2</v>
      </c>
      <c r="Q403" t="s">
        <v>166</v>
      </c>
    </row>
    <row r="404" spans="9:17" x14ac:dyDescent="0.45">
      <c r="I404" t="s">
        <v>209</v>
      </c>
      <c r="J404" t="s">
        <v>175</v>
      </c>
      <c r="K404">
        <v>0.12601496544625995</v>
      </c>
      <c r="L404" t="s">
        <v>166</v>
      </c>
      <c r="N404" t="s">
        <v>274</v>
      </c>
      <c r="O404" t="s">
        <v>175</v>
      </c>
      <c r="P404">
        <v>0.12673141622396791</v>
      </c>
      <c r="Q404" t="s">
        <v>166</v>
      </c>
    </row>
    <row r="405" spans="9:17" x14ac:dyDescent="0.45">
      <c r="I405" t="s">
        <v>209</v>
      </c>
      <c r="J405" t="s">
        <v>176</v>
      </c>
      <c r="K405">
        <v>8.5071089603178229E-3</v>
      </c>
      <c r="L405" t="s">
        <v>166</v>
      </c>
      <c r="N405" t="s">
        <v>274</v>
      </c>
      <c r="O405" t="s">
        <v>176</v>
      </c>
      <c r="P405">
        <v>5.3925879669679076E-3</v>
      </c>
      <c r="Q405" t="s">
        <v>166</v>
      </c>
    </row>
    <row r="406" spans="9:17" x14ac:dyDescent="0.45">
      <c r="I406" t="s">
        <v>209</v>
      </c>
      <c r="J406" t="s">
        <v>177</v>
      </c>
      <c r="K406">
        <v>0</v>
      </c>
      <c r="L406" t="s">
        <v>166</v>
      </c>
      <c r="N406" t="s">
        <v>274</v>
      </c>
      <c r="O406" t="s">
        <v>177</v>
      </c>
      <c r="P406">
        <v>4.226781665683263E-2</v>
      </c>
      <c r="Q406" t="s">
        <v>166</v>
      </c>
    </row>
    <row r="407" spans="9:17" x14ac:dyDescent="0.45">
      <c r="I407" t="s">
        <v>210</v>
      </c>
      <c r="J407" t="s">
        <v>165</v>
      </c>
      <c r="K407">
        <v>0.54457829268075875</v>
      </c>
      <c r="L407" t="s">
        <v>166</v>
      </c>
      <c r="N407" t="s">
        <v>275</v>
      </c>
      <c r="O407" t="s">
        <v>165</v>
      </c>
      <c r="P407">
        <v>0.45898933398229319</v>
      </c>
      <c r="Q407" t="s">
        <v>166</v>
      </c>
    </row>
    <row r="408" spans="9:17" x14ac:dyDescent="0.45">
      <c r="I408" t="s">
        <v>210</v>
      </c>
      <c r="J408" t="s">
        <v>167</v>
      </c>
      <c r="K408">
        <v>4.2956183969989938E-2</v>
      </c>
      <c r="L408" t="s">
        <v>166</v>
      </c>
      <c r="N408" t="s">
        <v>275</v>
      </c>
      <c r="O408" t="s">
        <v>167</v>
      </c>
      <c r="P408">
        <v>2.3837372003368818E-2</v>
      </c>
      <c r="Q408" t="s">
        <v>166</v>
      </c>
    </row>
    <row r="409" spans="9:17" x14ac:dyDescent="0.45">
      <c r="I409" t="s">
        <v>210</v>
      </c>
      <c r="J409" t="s">
        <v>168</v>
      </c>
      <c r="K409">
        <v>3.3218954119779869E-2</v>
      </c>
      <c r="L409" t="s">
        <v>166</v>
      </c>
      <c r="N409" t="s">
        <v>275</v>
      </c>
      <c r="O409" t="s">
        <v>168</v>
      </c>
      <c r="P409">
        <v>0.18195492512609707</v>
      </c>
      <c r="Q409" t="s">
        <v>166</v>
      </c>
    </row>
    <row r="410" spans="9:17" x14ac:dyDescent="0.45">
      <c r="I410" t="s">
        <v>210</v>
      </c>
      <c r="J410" t="s">
        <v>169</v>
      </c>
      <c r="K410">
        <v>0.15114470684733028</v>
      </c>
      <c r="L410" t="s">
        <v>166</v>
      </c>
      <c r="N410" t="s">
        <v>275</v>
      </c>
      <c r="O410" t="s">
        <v>169</v>
      </c>
      <c r="P410">
        <v>0.11625693777950553</v>
      </c>
      <c r="Q410" t="s">
        <v>166</v>
      </c>
    </row>
    <row r="411" spans="9:17" x14ac:dyDescent="0.45">
      <c r="I411" t="s">
        <v>210</v>
      </c>
      <c r="J411" t="s">
        <v>170</v>
      </c>
      <c r="K411">
        <v>1.1365381008221273E-2</v>
      </c>
      <c r="L411" t="s">
        <v>166</v>
      </c>
      <c r="N411" t="s">
        <v>275</v>
      </c>
      <c r="O411" t="s">
        <v>170</v>
      </c>
      <c r="P411">
        <v>1.4001907708610895E-3</v>
      </c>
      <c r="Q411" t="s">
        <v>166</v>
      </c>
    </row>
    <row r="412" spans="9:17" x14ac:dyDescent="0.45">
      <c r="I412" t="s">
        <v>210</v>
      </c>
      <c r="J412" t="s">
        <v>171</v>
      </c>
      <c r="K412">
        <v>8.762073799481282E-3</v>
      </c>
      <c r="L412" t="s">
        <v>166</v>
      </c>
      <c r="N412" t="s">
        <v>275</v>
      </c>
      <c r="O412" t="s">
        <v>171</v>
      </c>
      <c r="P412">
        <v>3.4919672107730788E-2</v>
      </c>
      <c r="Q412" t="s">
        <v>166</v>
      </c>
    </row>
    <row r="413" spans="9:17" x14ac:dyDescent="0.45">
      <c r="I413" t="s">
        <v>210</v>
      </c>
      <c r="J413" t="s">
        <v>172</v>
      </c>
      <c r="K413">
        <v>7.590081904967183E-2</v>
      </c>
      <c r="L413" t="s">
        <v>166</v>
      </c>
      <c r="N413" t="s">
        <v>275</v>
      </c>
      <c r="O413" t="s">
        <v>172</v>
      </c>
      <c r="P413">
        <v>4.477079051148819E-2</v>
      </c>
      <c r="Q413" t="s">
        <v>166</v>
      </c>
    </row>
    <row r="414" spans="9:17" x14ac:dyDescent="0.45">
      <c r="I414" t="s">
        <v>210</v>
      </c>
      <c r="J414" t="s">
        <v>173</v>
      </c>
      <c r="K414">
        <v>4.8784787337446591E-3</v>
      </c>
      <c r="L414" t="s">
        <v>166</v>
      </c>
      <c r="N414" t="s">
        <v>275</v>
      </c>
      <c r="O414" t="s">
        <v>173</v>
      </c>
      <c r="P414">
        <v>8.7827322698082167E-4</v>
      </c>
      <c r="Q414" t="s">
        <v>166</v>
      </c>
    </row>
    <row r="415" spans="9:17" x14ac:dyDescent="0.45">
      <c r="I415" t="s">
        <v>210</v>
      </c>
      <c r="J415" t="s">
        <v>174</v>
      </c>
      <c r="K415">
        <v>8.255332157892371E-4</v>
      </c>
      <c r="L415" t="s">
        <v>166</v>
      </c>
      <c r="N415" t="s">
        <v>275</v>
      </c>
      <c r="O415" t="s">
        <v>174</v>
      </c>
      <c r="P415">
        <v>1.3549246855251993E-2</v>
      </c>
      <c r="Q415" t="s">
        <v>166</v>
      </c>
    </row>
    <row r="416" spans="9:17" x14ac:dyDescent="0.45">
      <c r="I416" t="s">
        <v>210</v>
      </c>
      <c r="J416" t="s">
        <v>175</v>
      </c>
      <c r="K416">
        <v>0.11902854652706488</v>
      </c>
      <c r="L416" t="s">
        <v>166</v>
      </c>
      <c r="N416" t="s">
        <v>275</v>
      </c>
      <c r="O416" t="s">
        <v>175</v>
      </c>
      <c r="P416">
        <v>8.0054449610777373E-2</v>
      </c>
      <c r="Q416" t="s">
        <v>166</v>
      </c>
    </row>
    <row r="417" spans="9:17" x14ac:dyDescent="0.45">
      <c r="I417" t="s">
        <v>210</v>
      </c>
      <c r="J417" t="s">
        <v>176</v>
      </c>
      <c r="K417">
        <v>7.3410300481666158E-3</v>
      </c>
      <c r="L417" t="s">
        <v>166</v>
      </c>
      <c r="N417" t="s">
        <v>275</v>
      </c>
      <c r="O417" t="s">
        <v>176</v>
      </c>
      <c r="P417">
        <v>3.993741874064931E-3</v>
      </c>
      <c r="Q417" t="s">
        <v>166</v>
      </c>
    </row>
    <row r="418" spans="9:17" x14ac:dyDescent="0.45">
      <c r="I418" t="s">
        <v>210</v>
      </c>
      <c r="J418" t="s">
        <v>177</v>
      </c>
      <c r="K418">
        <v>0</v>
      </c>
      <c r="L418" t="s">
        <v>166</v>
      </c>
      <c r="N418" t="s">
        <v>275</v>
      </c>
      <c r="O418" t="s">
        <v>177</v>
      </c>
      <c r="P418">
        <v>3.9395066151576855E-2</v>
      </c>
      <c r="Q418" t="s">
        <v>166</v>
      </c>
    </row>
    <row r="419" spans="9:17" x14ac:dyDescent="0.45">
      <c r="I419" t="s">
        <v>211</v>
      </c>
      <c r="J419" t="s">
        <v>165</v>
      </c>
      <c r="K419">
        <v>0.54289498044572571</v>
      </c>
      <c r="L419" t="s">
        <v>166</v>
      </c>
      <c r="N419" t="s">
        <v>276</v>
      </c>
      <c r="O419" t="s">
        <v>165</v>
      </c>
      <c r="P419">
        <v>0.42270376053930708</v>
      </c>
      <c r="Q419" t="s">
        <v>166</v>
      </c>
    </row>
    <row r="420" spans="9:17" x14ac:dyDescent="0.45">
      <c r="I420" t="s">
        <v>211</v>
      </c>
      <c r="J420" t="s">
        <v>167</v>
      </c>
      <c r="K420">
        <v>4.3354122297251371E-2</v>
      </c>
      <c r="L420" t="s">
        <v>166</v>
      </c>
      <c r="N420" t="s">
        <v>276</v>
      </c>
      <c r="O420" t="s">
        <v>167</v>
      </c>
      <c r="P420">
        <v>2.5104231131537889E-2</v>
      </c>
      <c r="Q420" t="s">
        <v>166</v>
      </c>
    </row>
    <row r="421" spans="9:17" x14ac:dyDescent="0.45">
      <c r="I421" t="s">
        <v>211</v>
      </c>
      <c r="J421" t="s">
        <v>168</v>
      </c>
      <c r="K421">
        <v>3.1874937487036521E-2</v>
      </c>
      <c r="L421" t="s">
        <v>166</v>
      </c>
      <c r="N421" t="s">
        <v>276</v>
      </c>
      <c r="O421" t="s">
        <v>168</v>
      </c>
      <c r="P421">
        <v>0.18778555994789736</v>
      </c>
      <c r="Q421" t="s">
        <v>166</v>
      </c>
    </row>
    <row r="422" spans="9:17" x14ac:dyDescent="0.45">
      <c r="I422" t="s">
        <v>211</v>
      </c>
      <c r="J422" t="s">
        <v>169</v>
      </c>
      <c r="K422">
        <v>0.14997780155843002</v>
      </c>
      <c r="L422" t="s">
        <v>166</v>
      </c>
      <c r="N422" t="s">
        <v>276</v>
      </c>
      <c r="O422" t="s">
        <v>169</v>
      </c>
      <c r="P422">
        <v>0.12208553370641423</v>
      </c>
      <c r="Q422" t="s">
        <v>166</v>
      </c>
    </row>
    <row r="423" spans="9:17" x14ac:dyDescent="0.45">
      <c r="I423" t="s">
        <v>211</v>
      </c>
      <c r="J423" t="s">
        <v>170</v>
      </c>
      <c r="K423">
        <v>1.1812872060317921E-2</v>
      </c>
      <c r="L423" t="s">
        <v>166</v>
      </c>
      <c r="N423" t="s">
        <v>276</v>
      </c>
      <c r="O423" t="s">
        <v>170</v>
      </c>
      <c r="P423">
        <v>2.6027784488269414E-3</v>
      </c>
      <c r="Q423" t="s">
        <v>166</v>
      </c>
    </row>
    <row r="424" spans="9:17" x14ac:dyDescent="0.45">
      <c r="I424" t="s">
        <v>211</v>
      </c>
      <c r="J424" t="s">
        <v>171</v>
      </c>
      <c r="K424">
        <v>8.7940318080421114E-3</v>
      </c>
      <c r="L424" t="s">
        <v>166</v>
      </c>
      <c r="N424" t="s">
        <v>276</v>
      </c>
      <c r="O424" t="s">
        <v>171</v>
      </c>
      <c r="P424">
        <v>4.8267098658498285E-2</v>
      </c>
      <c r="Q424" t="s">
        <v>166</v>
      </c>
    </row>
    <row r="425" spans="9:17" x14ac:dyDescent="0.45">
      <c r="I425" t="s">
        <v>211</v>
      </c>
      <c r="J425" t="s">
        <v>172</v>
      </c>
      <c r="K425">
        <v>7.3940271736337909E-2</v>
      </c>
      <c r="L425" t="s">
        <v>166</v>
      </c>
      <c r="N425" t="s">
        <v>276</v>
      </c>
      <c r="O425" t="s">
        <v>172</v>
      </c>
      <c r="P425">
        <v>3.5172859520379858E-2</v>
      </c>
      <c r="Q425" t="s">
        <v>166</v>
      </c>
    </row>
    <row r="426" spans="9:17" x14ac:dyDescent="0.45">
      <c r="I426" t="s">
        <v>211</v>
      </c>
      <c r="J426" t="s">
        <v>173</v>
      </c>
      <c r="K426">
        <v>4.7771925786183507E-3</v>
      </c>
      <c r="L426" t="s">
        <v>166</v>
      </c>
      <c r="N426" t="s">
        <v>276</v>
      </c>
      <c r="O426" t="s">
        <v>173</v>
      </c>
      <c r="P426">
        <v>1.3308158933173352E-3</v>
      </c>
      <c r="Q426" t="s">
        <v>166</v>
      </c>
    </row>
    <row r="427" spans="9:17" x14ac:dyDescent="0.45">
      <c r="I427" t="s">
        <v>211</v>
      </c>
      <c r="J427" t="s">
        <v>174</v>
      </c>
      <c r="K427">
        <v>7.6053292078612678E-4</v>
      </c>
      <c r="L427" t="s">
        <v>166</v>
      </c>
      <c r="N427" t="s">
        <v>276</v>
      </c>
      <c r="O427" t="s">
        <v>174</v>
      </c>
      <c r="P427">
        <v>1.5395532696290695E-2</v>
      </c>
      <c r="Q427" t="s">
        <v>166</v>
      </c>
    </row>
    <row r="428" spans="9:17" x14ac:dyDescent="0.45">
      <c r="I428" t="s">
        <v>211</v>
      </c>
      <c r="J428" t="s">
        <v>175</v>
      </c>
      <c r="K428">
        <v>0.1242715170960601</v>
      </c>
      <c r="L428" t="s">
        <v>166</v>
      </c>
      <c r="N428" t="s">
        <v>276</v>
      </c>
      <c r="O428" t="s">
        <v>175</v>
      </c>
      <c r="P428">
        <v>8.4129398584348078E-2</v>
      </c>
      <c r="Q428" t="s">
        <v>166</v>
      </c>
    </row>
    <row r="429" spans="9:17" x14ac:dyDescent="0.45">
      <c r="I429" t="s">
        <v>211</v>
      </c>
      <c r="J429" t="s">
        <v>176</v>
      </c>
      <c r="K429">
        <v>7.5417400113918726E-3</v>
      </c>
      <c r="L429" t="s">
        <v>166</v>
      </c>
      <c r="N429" t="s">
        <v>276</v>
      </c>
      <c r="O429" t="s">
        <v>176</v>
      </c>
      <c r="P429">
        <v>5.2274748071869893E-3</v>
      </c>
      <c r="Q429" t="s">
        <v>166</v>
      </c>
    </row>
    <row r="430" spans="9:17" x14ac:dyDescent="0.45">
      <c r="I430" t="s">
        <v>211</v>
      </c>
      <c r="J430" t="s">
        <v>177</v>
      </c>
      <c r="K430">
        <v>0</v>
      </c>
      <c r="L430" t="s">
        <v>166</v>
      </c>
      <c r="N430" t="s">
        <v>276</v>
      </c>
      <c r="O430" t="s">
        <v>177</v>
      </c>
      <c r="P430">
        <v>5.0194956065992488E-2</v>
      </c>
      <c r="Q430" t="s">
        <v>166</v>
      </c>
    </row>
    <row r="431" spans="9:17" x14ac:dyDescent="0.45">
      <c r="I431" t="s">
        <v>212</v>
      </c>
      <c r="J431" t="s">
        <v>165</v>
      </c>
      <c r="K431">
        <v>0.53006929124924451</v>
      </c>
      <c r="L431" t="s">
        <v>166</v>
      </c>
      <c r="N431" t="s">
        <v>277</v>
      </c>
      <c r="O431" t="s">
        <v>165</v>
      </c>
      <c r="P431">
        <v>0.45341628558343161</v>
      </c>
      <c r="Q431" t="s">
        <v>166</v>
      </c>
    </row>
    <row r="432" spans="9:17" x14ac:dyDescent="0.45">
      <c r="I432" t="s">
        <v>212</v>
      </c>
      <c r="J432" t="s">
        <v>167</v>
      </c>
      <c r="K432">
        <v>4.2722576003708032E-2</v>
      </c>
      <c r="L432" t="s">
        <v>166</v>
      </c>
      <c r="N432" t="s">
        <v>277</v>
      </c>
      <c r="O432" t="s">
        <v>167</v>
      </c>
      <c r="P432">
        <v>1.8019079135387198E-2</v>
      </c>
      <c r="Q432" t="s">
        <v>166</v>
      </c>
    </row>
    <row r="433" spans="9:17" x14ac:dyDescent="0.45">
      <c r="I433" t="s">
        <v>212</v>
      </c>
      <c r="J433" t="s">
        <v>168</v>
      </c>
      <c r="K433">
        <v>2.8602871217006665E-2</v>
      </c>
      <c r="L433" t="s">
        <v>166</v>
      </c>
      <c r="N433" t="s">
        <v>277</v>
      </c>
      <c r="O433" t="s">
        <v>168</v>
      </c>
      <c r="P433">
        <v>0.16414709899462235</v>
      </c>
      <c r="Q433" t="s">
        <v>166</v>
      </c>
    </row>
    <row r="434" spans="9:17" x14ac:dyDescent="0.45">
      <c r="I434" t="s">
        <v>212</v>
      </c>
      <c r="J434" t="s">
        <v>169</v>
      </c>
      <c r="K434">
        <v>0.14860239196752012</v>
      </c>
      <c r="L434" t="s">
        <v>166</v>
      </c>
      <c r="N434" t="s">
        <v>277</v>
      </c>
      <c r="O434" t="s">
        <v>169</v>
      </c>
      <c r="P434">
        <v>0.10418957647130808</v>
      </c>
      <c r="Q434" t="s">
        <v>166</v>
      </c>
    </row>
    <row r="435" spans="9:17" x14ac:dyDescent="0.45">
      <c r="I435" t="s">
        <v>212</v>
      </c>
      <c r="J435" t="s">
        <v>170</v>
      </c>
      <c r="K435">
        <v>1.1493897323281569E-2</v>
      </c>
      <c r="L435" t="s">
        <v>166</v>
      </c>
      <c r="N435" t="s">
        <v>277</v>
      </c>
      <c r="O435" t="s">
        <v>170</v>
      </c>
      <c r="P435">
        <v>1.2779602024637527E-3</v>
      </c>
      <c r="Q435" t="s">
        <v>166</v>
      </c>
    </row>
    <row r="436" spans="9:17" x14ac:dyDescent="0.45">
      <c r="I436" t="s">
        <v>212</v>
      </c>
      <c r="J436" t="s">
        <v>171</v>
      </c>
      <c r="K436">
        <v>7.620238947237637E-3</v>
      </c>
      <c r="L436" t="s">
        <v>166</v>
      </c>
      <c r="N436" t="s">
        <v>277</v>
      </c>
      <c r="O436" t="s">
        <v>171</v>
      </c>
      <c r="P436">
        <v>2.4704271566776063E-2</v>
      </c>
      <c r="Q436" t="s">
        <v>166</v>
      </c>
    </row>
    <row r="437" spans="9:17" x14ac:dyDescent="0.45">
      <c r="I437" t="s">
        <v>212</v>
      </c>
      <c r="J437" t="s">
        <v>172</v>
      </c>
      <c r="K437">
        <v>7.5642609546602596E-2</v>
      </c>
      <c r="L437" t="s">
        <v>166</v>
      </c>
      <c r="N437" t="s">
        <v>277</v>
      </c>
      <c r="O437" t="s">
        <v>172</v>
      </c>
      <c r="P437">
        <v>6.7416793341735365E-2</v>
      </c>
      <c r="Q437" t="s">
        <v>166</v>
      </c>
    </row>
    <row r="438" spans="9:17" x14ac:dyDescent="0.45">
      <c r="I438" t="s">
        <v>212</v>
      </c>
      <c r="J438" t="s">
        <v>173</v>
      </c>
      <c r="K438">
        <v>5.2648712473069674E-3</v>
      </c>
      <c r="L438" t="s">
        <v>166</v>
      </c>
      <c r="N438" t="s">
        <v>277</v>
      </c>
      <c r="O438" t="s">
        <v>173</v>
      </c>
      <c r="P438">
        <v>1.0273360415117251E-3</v>
      </c>
      <c r="Q438" t="s">
        <v>166</v>
      </c>
    </row>
    <row r="439" spans="9:17" x14ac:dyDescent="0.45">
      <c r="I439" t="s">
        <v>212</v>
      </c>
      <c r="J439" t="s">
        <v>174</v>
      </c>
      <c r="K439">
        <v>1.5333254096179907E-3</v>
      </c>
      <c r="L439" t="s">
        <v>166</v>
      </c>
      <c r="N439" t="s">
        <v>277</v>
      </c>
      <c r="O439" t="s">
        <v>174</v>
      </c>
      <c r="P439">
        <v>1.3171604265580913E-2</v>
      </c>
      <c r="Q439" t="s">
        <v>166</v>
      </c>
    </row>
    <row r="440" spans="9:17" x14ac:dyDescent="0.45">
      <c r="I440" t="s">
        <v>212</v>
      </c>
      <c r="J440" t="s">
        <v>175</v>
      </c>
      <c r="K440">
        <v>0.13951447180452109</v>
      </c>
      <c r="L440" t="s">
        <v>166</v>
      </c>
      <c r="N440" t="s">
        <v>277</v>
      </c>
      <c r="O440" t="s">
        <v>175</v>
      </c>
      <c r="P440">
        <v>0.10868057234587178</v>
      </c>
      <c r="Q440" t="s">
        <v>166</v>
      </c>
    </row>
    <row r="441" spans="9:17" x14ac:dyDescent="0.45">
      <c r="I441" t="s">
        <v>212</v>
      </c>
      <c r="J441" t="s">
        <v>176</v>
      </c>
      <c r="K441">
        <v>8.9334552839558171E-3</v>
      </c>
      <c r="L441" t="s">
        <v>166</v>
      </c>
      <c r="N441" t="s">
        <v>277</v>
      </c>
      <c r="O441" t="s">
        <v>176</v>
      </c>
      <c r="P441">
        <v>4.3986730303478888E-3</v>
      </c>
      <c r="Q441" t="s">
        <v>166</v>
      </c>
    </row>
    <row r="442" spans="9:17" x14ac:dyDescent="0.45">
      <c r="I442" t="s">
        <v>212</v>
      </c>
      <c r="J442" t="s">
        <v>177</v>
      </c>
      <c r="K442">
        <v>0</v>
      </c>
      <c r="L442" t="s">
        <v>166</v>
      </c>
      <c r="N442" t="s">
        <v>277</v>
      </c>
      <c r="O442" t="s">
        <v>177</v>
      </c>
      <c r="P442">
        <v>3.9550749020964594E-2</v>
      </c>
      <c r="Q442" t="s">
        <v>166</v>
      </c>
    </row>
    <row r="443" spans="9:17" x14ac:dyDescent="0.45">
      <c r="I443" t="s">
        <v>213</v>
      </c>
      <c r="J443" t="s">
        <v>165</v>
      </c>
      <c r="K443">
        <v>0.53941581623323098</v>
      </c>
      <c r="L443" t="s">
        <v>166</v>
      </c>
      <c r="N443" t="s">
        <v>278</v>
      </c>
      <c r="O443" t="s">
        <v>165</v>
      </c>
      <c r="P443">
        <v>0.43636258295425862</v>
      </c>
      <c r="Q443" t="s">
        <v>166</v>
      </c>
    </row>
    <row r="444" spans="9:17" x14ac:dyDescent="0.45">
      <c r="I444" t="s">
        <v>213</v>
      </c>
      <c r="J444" t="s">
        <v>167</v>
      </c>
      <c r="K444">
        <v>4.3353923525418343E-2</v>
      </c>
      <c r="L444" t="s">
        <v>166</v>
      </c>
      <c r="N444" t="s">
        <v>278</v>
      </c>
      <c r="O444" t="s">
        <v>167</v>
      </c>
      <c r="P444">
        <v>1.7452284956031332E-2</v>
      </c>
      <c r="Q444" t="s">
        <v>166</v>
      </c>
    </row>
    <row r="445" spans="9:17" x14ac:dyDescent="0.45">
      <c r="I445" t="s">
        <v>213</v>
      </c>
      <c r="J445" t="s">
        <v>168</v>
      </c>
      <c r="K445">
        <v>3.0098733515733011E-2</v>
      </c>
      <c r="L445" t="s">
        <v>166</v>
      </c>
      <c r="N445" t="s">
        <v>278</v>
      </c>
      <c r="O445" t="s">
        <v>168</v>
      </c>
      <c r="P445">
        <v>0.16860446963865691</v>
      </c>
      <c r="Q445" t="s">
        <v>166</v>
      </c>
    </row>
    <row r="446" spans="9:17" x14ac:dyDescent="0.45">
      <c r="I446" t="s">
        <v>213</v>
      </c>
      <c r="J446" t="s">
        <v>169</v>
      </c>
      <c r="K446">
        <v>0.15141233170596499</v>
      </c>
      <c r="L446" t="s">
        <v>166</v>
      </c>
      <c r="N446" t="s">
        <v>278</v>
      </c>
      <c r="O446" t="s">
        <v>169</v>
      </c>
      <c r="P446">
        <v>9.7885999257448467E-2</v>
      </c>
      <c r="Q446" t="s">
        <v>166</v>
      </c>
    </row>
    <row r="447" spans="9:17" x14ac:dyDescent="0.45">
      <c r="I447" t="s">
        <v>213</v>
      </c>
      <c r="J447" t="s">
        <v>170</v>
      </c>
      <c r="K447">
        <v>1.1943067306593445E-2</v>
      </c>
      <c r="L447" t="s">
        <v>166</v>
      </c>
      <c r="N447" t="s">
        <v>278</v>
      </c>
      <c r="O447" t="s">
        <v>170</v>
      </c>
      <c r="P447">
        <v>1.7818641350817934E-3</v>
      </c>
      <c r="Q447" t="s">
        <v>166</v>
      </c>
    </row>
    <row r="448" spans="9:17" x14ac:dyDescent="0.45">
      <c r="I448" t="s">
        <v>213</v>
      </c>
      <c r="J448" t="s">
        <v>171</v>
      </c>
      <c r="K448">
        <v>8.4760066197468609E-3</v>
      </c>
      <c r="L448" t="s">
        <v>166</v>
      </c>
      <c r="N448" t="s">
        <v>278</v>
      </c>
      <c r="O448" t="s">
        <v>171</v>
      </c>
      <c r="P448">
        <v>2.7539254578074036E-2</v>
      </c>
      <c r="Q448" t="s">
        <v>166</v>
      </c>
    </row>
    <row r="449" spans="9:17" x14ac:dyDescent="0.45">
      <c r="I449" t="s">
        <v>213</v>
      </c>
      <c r="J449" t="s">
        <v>172</v>
      </c>
      <c r="K449">
        <v>7.380351897079844E-2</v>
      </c>
      <c r="L449" t="s">
        <v>166</v>
      </c>
      <c r="N449" t="s">
        <v>278</v>
      </c>
      <c r="O449" t="s">
        <v>172</v>
      </c>
      <c r="P449">
        <v>6.3377961784356202E-2</v>
      </c>
      <c r="Q449" t="s">
        <v>166</v>
      </c>
    </row>
    <row r="450" spans="9:17" x14ac:dyDescent="0.45">
      <c r="I450" t="s">
        <v>213</v>
      </c>
      <c r="J450" t="s">
        <v>173</v>
      </c>
      <c r="K450">
        <v>4.880338836615432E-3</v>
      </c>
      <c r="L450" t="s">
        <v>166</v>
      </c>
      <c r="N450" t="s">
        <v>278</v>
      </c>
      <c r="O450" t="s">
        <v>173</v>
      </c>
      <c r="P450">
        <v>1.8507284527118234E-3</v>
      </c>
      <c r="Q450" t="s">
        <v>166</v>
      </c>
    </row>
    <row r="451" spans="9:17" x14ac:dyDescent="0.45">
      <c r="I451" t="s">
        <v>213</v>
      </c>
      <c r="J451" t="s">
        <v>174</v>
      </c>
      <c r="K451">
        <v>7.6655471696541154E-4</v>
      </c>
      <c r="L451" t="s">
        <v>166</v>
      </c>
      <c r="N451" t="s">
        <v>278</v>
      </c>
      <c r="O451" t="s">
        <v>174</v>
      </c>
      <c r="P451">
        <v>2.0535336352301248E-2</v>
      </c>
      <c r="Q451" t="s">
        <v>166</v>
      </c>
    </row>
    <row r="452" spans="9:17" x14ac:dyDescent="0.45">
      <c r="I452" t="s">
        <v>213</v>
      </c>
      <c r="J452" t="s">
        <v>175</v>
      </c>
      <c r="K452">
        <v>0.12813271831407996</v>
      </c>
      <c r="L452" t="s">
        <v>166</v>
      </c>
      <c r="N452" t="s">
        <v>278</v>
      </c>
      <c r="O452" t="s">
        <v>175</v>
      </c>
      <c r="P452">
        <v>0.11393536955535509</v>
      </c>
      <c r="Q452" t="s">
        <v>166</v>
      </c>
    </row>
    <row r="453" spans="9:17" x14ac:dyDescent="0.45">
      <c r="I453" t="s">
        <v>213</v>
      </c>
      <c r="J453" t="s">
        <v>176</v>
      </c>
      <c r="K453">
        <v>7.7169902548519971E-3</v>
      </c>
      <c r="L453" t="s">
        <v>166</v>
      </c>
      <c r="N453" t="s">
        <v>278</v>
      </c>
      <c r="O453" t="s">
        <v>176</v>
      </c>
      <c r="P453">
        <v>4.3521428126528042E-3</v>
      </c>
      <c r="Q453" t="s">
        <v>166</v>
      </c>
    </row>
    <row r="454" spans="9:17" x14ac:dyDescent="0.45">
      <c r="I454" t="s">
        <v>213</v>
      </c>
      <c r="J454" t="s">
        <v>177</v>
      </c>
      <c r="K454">
        <v>0</v>
      </c>
      <c r="L454" t="s">
        <v>166</v>
      </c>
      <c r="N454" t="s">
        <v>278</v>
      </c>
      <c r="O454" t="s">
        <v>177</v>
      </c>
      <c r="P454">
        <v>4.6322005523070774E-2</v>
      </c>
      <c r="Q454" t="s">
        <v>166</v>
      </c>
    </row>
    <row r="455" spans="9:17" x14ac:dyDescent="0.45">
      <c r="I455" t="s">
        <v>214</v>
      </c>
      <c r="J455" t="s">
        <v>165</v>
      </c>
      <c r="K455">
        <v>0.53544945738523686</v>
      </c>
      <c r="L455" t="s">
        <v>166</v>
      </c>
      <c r="N455" t="s">
        <v>279</v>
      </c>
      <c r="O455" t="s">
        <v>165</v>
      </c>
      <c r="P455">
        <v>0.44390223750803159</v>
      </c>
      <c r="Q455" t="s">
        <v>166</v>
      </c>
    </row>
    <row r="456" spans="9:17" x14ac:dyDescent="0.45">
      <c r="I456" t="s">
        <v>214</v>
      </c>
      <c r="J456" t="s">
        <v>167</v>
      </c>
      <c r="K456">
        <v>4.2659871540141871E-2</v>
      </c>
      <c r="L456" t="s">
        <v>166</v>
      </c>
      <c r="N456" t="s">
        <v>279</v>
      </c>
      <c r="O456" t="s">
        <v>167</v>
      </c>
      <c r="P456">
        <v>1.6282868897886528E-2</v>
      </c>
      <c r="Q456" t="s">
        <v>166</v>
      </c>
    </row>
    <row r="457" spans="9:17" x14ac:dyDescent="0.45">
      <c r="I457" t="s">
        <v>214</v>
      </c>
      <c r="J457" t="s">
        <v>168</v>
      </c>
      <c r="K457">
        <v>2.8103216128766855E-2</v>
      </c>
      <c r="L457" t="s">
        <v>166</v>
      </c>
      <c r="N457" t="s">
        <v>279</v>
      </c>
      <c r="O457" t="s">
        <v>168</v>
      </c>
      <c r="P457">
        <v>0.13754700143882881</v>
      </c>
      <c r="Q457" t="s">
        <v>166</v>
      </c>
    </row>
    <row r="458" spans="9:17" x14ac:dyDescent="0.45">
      <c r="I458" t="s">
        <v>214</v>
      </c>
      <c r="J458" t="s">
        <v>169</v>
      </c>
      <c r="K458">
        <v>0.15144834754465597</v>
      </c>
      <c r="L458" t="s">
        <v>166</v>
      </c>
      <c r="N458" t="s">
        <v>279</v>
      </c>
      <c r="O458" t="s">
        <v>169</v>
      </c>
      <c r="P458">
        <v>0.13327715931794429</v>
      </c>
      <c r="Q458" t="s">
        <v>166</v>
      </c>
    </row>
    <row r="459" spans="9:17" x14ac:dyDescent="0.45">
      <c r="I459" t="s">
        <v>214</v>
      </c>
      <c r="J459" t="s">
        <v>170</v>
      </c>
      <c r="K459">
        <v>1.1906130985554665E-2</v>
      </c>
      <c r="L459" t="s">
        <v>166</v>
      </c>
      <c r="N459" t="s">
        <v>279</v>
      </c>
      <c r="O459" t="s">
        <v>170</v>
      </c>
      <c r="P459">
        <v>2.3686654866539626E-3</v>
      </c>
      <c r="Q459" t="s">
        <v>166</v>
      </c>
    </row>
    <row r="460" spans="9:17" x14ac:dyDescent="0.45">
      <c r="I460" t="s">
        <v>214</v>
      </c>
      <c r="J460" t="s">
        <v>171</v>
      </c>
      <c r="K460">
        <v>7.988757889090866E-3</v>
      </c>
      <c r="L460" t="s">
        <v>166</v>
      </c>
      <c r="N460" t="s">
        <v>279</v>
      </c>
      <c r="O460" t="s">
        <v>171</v>
      </c>
      <c r="P460">
        <v>3.0848737985170016E-2</v>
      </c>
      <c r="Q460" t="s">
        <v>166</v>
      </c>
    </row>
    <row r="461" spans="9:17" x14ac:dyDescent="0.45">
      <c r="I461" t="s">
        <v>214</v>
      </c>
      <c r="J461" t="s">
        <v>172</v>
      </c>
      <c r="K461">
        <v>7.493877278108689E-2</v>
      </c>
      <c r="L461" t="s">
        <v>166</v>
      </c>
      <c r="N461" t="s">
        <v>279</v>
      </c>
      <c r="O461" t="s">
        <v>172</v>
      </c>
      <c r="P461">
        <v>4.3507526299940584E-2</v>
      </c>
      <c r="Q461" t="s">
        <v>166</v>
      </c>
    </row>
    <row r="462" spans="9:17" x14ac:dyDescent="0.45">
      <c r="I462" t="s">
        <v>214</v>
      </c>
      <c r="J462" t="s">
        <v>173</v>
      </c>
      <c r="K462">
        <v>5.061229251937316E-3</v>
      </c>
      <c r="L462" t="s">
        <v>166</v>
      </c>
      <c r="N462" t="s">
        <v>279</v>
      </c>
      <c r="O462" t="s">
        <v>173</v>
      </c>
      <c r="P462">
        <v>1.0488838693812142E-3</v>
      </c>
      <c r="Q462" t="s">
        <v>166</v>
      </c>
    </row>
    <row r="463" spans="9:17" x14ac:dyDescent="0.45">
      <c r="I463" t="s">
        <v>214</v>
      </c>
      <c r="J463" t="s">
        <v>174</v>
      </c>
      <c r="K463">
        <v>9.7262788479305837E-4</v>
      </c>
      <c r="L463" t="s">
        <v>166</v>
      </c>
      <c r="N463" t="s">
        <v>279</v>
      </c>
      <c r="O463" t="s">
        <v>174</v>
      </c>
      <c r="P463">
        <v>1.1375232975659526E-2</v>
      </c>
      <c r="Q463" t="s">
        <v>166</v>
      </c>
    </row>
    <row r="464" spans="9:17" x14ac:dyDescent="0.45">
      <c r="I464" t="s">
        <v>214</v>
      </c>
      <c r="J464" t="s">
        <v>175</v>
      </c>
      <c r="K464">
        <v>0.13343268545382961</v>
      </c>
      <c r="L464" t="s">
        <v>166</v>
      </c>
      <c r="N464" t="s">
        <v>279</v>
      </c>
      <c r="O464" t="s">
        <v>175</v>
      </c>
      <c r="P464">
        <v>0.12664545233983376</v>
      </c>
      <c r="Q464" t="s">
        <v>166</v>
      </c>
    </row>
    <row r="465" spans="9:17" x14ac:dyDescent="0.45">
      <c r="I465" t="s">
        <v>214</v>
      </c>
      <c r="J465" t="s">
        <v>176</v>
      </c>
      <c r="K465">
        <v>8.0389031549077134E-3</v>
      </c>
      <c r="L465" t="s">
        <v>166</v>
      </c>
      <c r="N465" t="s">
        <v>279</v>
      </c>
      <c r="O465" t="s">
        <v>176</v>
      </c>
      <c r="P465">
        <v>4.4114384265278748E-3</v>
      </c>
      <c r="Q465" t="s">
        <v>166</v>
      </c>
    </row>
    <row r="466" spans="9:17" x14ac:dyDescent="0.45">
      <c r="I466" t="s">
        <v>214</v>
      </c>
      <c r="J466" t="s">
        <v>177</v>
      </c>
      <c r="K466">
        <v>0</v>
      </c>
      <c r="L466" t="s">
        <v>166</v>
      </c>
      <c r="N466" t="s">
        <v>279</v>
      </c>
      <c r="O466" t="s">
        <v>177</v>
      </c>
      <c r="P466">
        <v>4.8784795454141855E-2</v>
      </c>
      <c r="Q466" t="s">
        <v>166</v>
      </c>
    </row>
    <row r="467" spans="9:17" x14ac:dyDescent="0.45">
      <c r="I467" t="s">
        <v>215</v>
      </c>
      <c r="J467" t="s">
        <v>165</v>
      </c>
      <c r="K467">
        <v>0.53113858453214369</v>
      </c>
      <c r="L467" t="s">
        <v>166</v>
      </c>
      <c r="N467" t="s">
        <v>280</v>
      </c>
      <c r="O467" t="s">
        <v>165</v>
      </c>
      <c r="P467">
        <v>0.45412727652778384</v>
      </c>
      <c r="Q467" t="s">
        <v>166</v>
      </c>
    </row>
    <row r="468" spans="9:17" x14ac:dyDescent="0.45">
      <c r="I468" t="s">
        <v>215</v>
      </c>
      <c r="J468" t="s">
        <v>167</v>
      </c>
      <c r="K468">
        <v>4.4859484790213129E-2</v>
      </c>
      <c r="L468" t="s">
        <v>166</v>
      </c>
      <c r="N468" t="s">
        <v>280</v>
      </c>
      <c r="O468" t="s">
        <v>167</v>
      </c>
      <c r="P468">
        <v>1.7472573832574476E-2</v>
      </c>
      <c r="Q468" t="s">
        <v>166</v>
      </c>
    </row>
    <row r="469" spans="9:17" x14ac:dyDescent="0.45">
      <c r="I469" t="s">
        <v>215</v>
      </c>
      <c r="J469" t="s">
        <v>168</v>
      </c>
      <c r="K469">
        <v>3.4804841066624695E-2</v>
      </c>
      <c r="L469" t="s">
        <v>166</v>
      </c>
      <c r="N469" t="s">
        <v>280</v>
      </c>
      <c r="O469" t="s">
        <v>168</v>
      </c>
      <c r="P469">
        <v>0.15920778821934439</v>
      </c>
      <c r="Q469" t="s">
        <v>166</v>
      </c>
    </row>
    <row r="470" spans="9:17" x14ac:dyDescent="0.45">
      <c r="I470" t="s">
        <v>215</v>
      </c>
      <c r="J470" t="s">
        <v>169</v>
      </c>
      <c r="K470">
        <v>0.14842322292694984</v>
      </c>
      <c r="L470" t="s">
        <v>166</v>
      </c>
      <c r="N470" t="s">
        <v>280</v>
      </c>
      <c r="O470" t="s">
        <v>169</v>
      </c>
      <c r="P470">
        <v>0.11545942259009381</v>
      </c>
      <c r="Q470" t="s">
        <v>166</v>
      </c>
    </row>
    <row r="471" spans="9:17" x14ac:dyDescent="0.45">
      <c r="I471" t="s">
        <v>215</v>
      </c>
      <c r="J471" t="s">
        <v>170</v>
      </c>
      <c r="K471">
        <v>1.2278144515904013E-2</v>
      </c>
      <c r="L471" t="s">
        <v>166</v>
      </c>
      <c r="N471" t="s">
        <v>280</v>
      </c>
      <c r="O471" t="s">
        <v>170</v>
      </c>
      <c r="P471">
        <v>1.429745881911437E-3</v>
      </c>
      <c r="Q471" t="s">
        <v>166</v>
      </c>
    </row>
    <row r="472" spans="9:17" x14ac:dyDescent="0.45">
      <c r="I472" t="s">
        <v>215</v>
      </c>
      <c r="J472" t="s">
        <v>171</v>
      </c>
      <c r="K472">
        <v>9.6137301981723579E-3</v>
      </c>
      <c r="L472" t="s">
        <v>166</v>
      </c>
      <c r="N472" t="s">
        <v>280</v>
      </c>
      <c r="O472" t="s">
        <v>171</v>
      </c>
      <c r="P472">
        <v>2.9250614451997232E-2</v>
      </c>
      <c r="Q472" t="s">
        <v>166</v>
      </c>
    </row>
    <row r="473" spans="9:17" x14ac:dyDescent="0.45">
      <c r="I473" t="s">
        <v>215</v>
      </c>
      <c r="J473" t="s">
        <v>172</v>
      </c>
      <c r="K473">
        <v>7.1271542031508053E-2</v>
      </c>
      <c r="L473" t="s">
        <v>166</v>
      </c>
      <c r="N473" t="s">
        <v>280</v>
      </c>
      <c r="O473" t="s">
        <v>172</v>
      </c>
      <c r="P473">
        <v>4.6860594639285019E-2</v>
      </c>
      <c r="Q473" t="s">
        <v>166</v>
      </c>
    </row>
    <row r="474" spans="9:17" x14ac:dyDescent="0.45">
      <c r="I474" t="s">
        <v>215</v>
      </c>
      <c r="J474" t="s">
        <v>173</v>
      </c>
      <c r="K474">
        <v>4.9121997598568995E-3</v>
      </c>
      <c r="L474" t="s">
        <v>166</v>
      </c>
      <c r="N474" t="s">
        <v>280</v>
      </c>
      <c r="O474" t="s">
        <v>173</v>
      </c>
      <c r="P474">
        <v>9.0801296927783251E-4</v>
      </c>
      <c r="Q474" t="s">
        <v>166</v>
      </c>
    </row>
    <row r="475" spans="9:17" x14ac:dyDescent="0.45">
      <c r="I475" t="s">
        <v>215</v>
      </c>
      <c r="J475" t="s">
        <v>174</v>
      </c>
      <c r="K475">
        <v>1.8346892985585429E-3</v>
      </c>
      <c r="L475" t="s">
        <v>166</v>
      </c>
      <c r="N475" t="s">
        <v>280</v>
      </c>
      <c r="O475" t="s">
        <v>174</v>
      </c>
      <c r="P475">
        <v>1.2435608404614967E-2</v>
      </c>
      <c r="Q475" t="s">
        <v>166</v>
      </c>
    </row>
    <row r="476" spans="9:17" x14ac:dyDescent="0.45">
      <c r="I476" t="s">
        <v>215</v>
      </c>
      <c r="J476" t="s">
        <v>175</v>
      </c>
      <c r="K476">
        <v>0.1317413752855883</v>
      </c>
      <c r="L476" t="s">
        <v>166</v>
      </c>
      <c r="N476" t="s">
        <v>280</v>
      </c>
      <c r="O476" t="s">
        <v>175</v>
      </c>
      <c r="P476">
        <v>0.11372816258131463</v>
      </c>
      <c r="Q476" t="s">
        <v>166</v>
      </c>
    </row>
    <row r="477" spans="9:17" x14ac:dyDescent="0.45">
      <c r="I477" t="s">
        <v>215</v>
      </c>
      <c r="J477" t="s">
        <v>176</v>
      </c>
      <c r="K477">
        <v>9.1221855944804055E-3</v>
      </c>
      <c r="L477" t="s">
        <v>166</v>
      </c>
      <c r="N477" t="s">
        <v>280</v>
      </c>
      <c r="O477" t="s">
        <v>176</v>
      </c>
      <c r="P477">
        <v>3.9668131979495947E-3</v>
      </c>
      <c r="Q477" t="s">
        <v>166</v>
      </c>
    </row>
    <row r="478" spans="9:17" x14ac:dyDescent="0.45">
      <c r="I478" t="s">
        <v>215</v>
      </c>
      <c r="J478" t="s">
        <v>177</v>
      </c>
      <c r="K478">
        <v>0</v>
      </c>
      <c r="L478" t="s">
        <v>166</v>
      </c>
      <c r="N478" t="s">
        <v>280</v>
      </c>
      <c r="O478" t="s">
        <v>177</v>
      </c>
      <c r="P478">
        <v>4.5153386703850031E-2</v>
      </c>
      <c r="Q478" t="s">
        <v>166</v>
      </c>
    </row>
    <row r="479" spans="9:17" x14ac:dyDescent="0.45">
      <c r="I479" t="s">
        <v>216</v>
      </c>
      <c r="J479" t="s">
        <v>165</v>
      </c>
      <c r="K479">
        <v>0.53482001270008772</v>
      </c>
      <c r="L479" t="s">
        <v>166</v>
      </c>
      <c r="N479" t="s">
        <v>281</v>
      </c>
      <c r="O479" t="s">
        <v>165</v>
      </c>
      <c r="P479">
        <v>0.43483816424618044</v>
      </c>
      <c r="Q479" t="s">
        <v>166</v>
      </c>
    </row>
    <row r="480" spans="9:17" x14ac:dyDescent="0.45">
      <c r="I480" t="s">
        <v>216</v>
      </c>
      <c r="J480" t="s">
        <v>167</v>
      </c>
      <c r="K480">
        <v>4.5215357077163759E-2</v>
      </c>
      <c r="L480" t="s">
        <v>166</v>
      </c>
      <c r="N480" t="s">
        <v>281</v>
      </c>
      <c r="O480" t="s">
        <v>167</v>
      </c>
      <c r="P480">
        <v>2.1332366204161284E-2</v>
      </c>
      <c r="Q480" t="s">
        <v>166</v>
      </c>
    </row>
    <row r="481" spans="9:17" x14ac:dyDescent="0.45">
      <c r="I481" t="s">
        <v>216</v>
      </c>
      <c r="J481" t="s">
        <v>168</v>
      </c>
      <c r="K481">
        <v>3.5711031535273191E-2</v>
      </c>
      <c r="L481" t="s">
        <v>166</v>
      </c>
      <c r="N481" t="s">
        <v>281</v>
      </c>
      <c r="O481" t="s">
        <v>168</v>
      </c>
      <c r="P481">
        <v>0.14304057195166039</v>
      </c>
      <c r="Q481" t="s">
        <v>166</v>
      </c>
    </row>
    <row r="482" spans="9:17" x14ac:dyDescent="0.45">
      <c r="I482" t="s">
        <v>216</v>
      </c>
      <c r="J482" t="s">
        <v>169</v>
      </c>
      <c r="K482">
        <v>0.14656328467402388</v>
      </c>
      <c r="L482" t="s">
        <v>166</v>
      </c>
      <c r="N482" t="s">
        <v>281</v>
      </c>
      <c r="O482" t="s">
        <v>169</v>
      </c>
      <c r="P482">
        <v>0.1332708964302928</v>
      </c>
      <c r="Q482" t="s">
        <v>166</v>
      </c>
    </row>
    <row r="483" spans="9:17" x14ac:dyDescent="0.45">
      <c r="I483" t="s">
        <v>216</v>
      </c>
      <c r="J483" t="s">
        <v>170</v>
      </c>
      <c r="K483">
        <v>1.2068148360504908E-2</v>
      </c>
      <c r="L483" t="s">
        <v>166</v>
      </c>
      <c r="N483" t="s">
        <v>281</v>
      </c>
      <c r="O483" t="s">
        <v>170</v>
      </c>
      <c r="P483">
        <v>5.2399322084200808E-3</v>
      </c>
      <c r="Q483" t="s">
        <v>166</v>
      </c>
    </row>
    <row r="484" spans="9:17" x14ac:dyDescent="0.45">
      <c r="I484" t="s">
        <v>216</v>
      </c>
      <c r="J484" t="s">
        <v>171</v>
      </c>
      <c r="K484">
        <v>9.7194097293607368E-3</v>
      </c>
      <c r="L484" t="s">
        <v>166</v>
      </c>
      <c r="N484" t="s">
        <v>281</v>
      </c>
      <c r="O484" t="s">
        <v>171</v>
      </c>
      <c r="P484">
        <v>4.412043586763207E-2</v>
      </c>
      <c r="Q484" t="s">
        <v>166</v>
      </c>
    </row>
    <row r="485" spans="9:17" x14ac:dyDescent="0.45">
      <c r="I485" t="s">
        <v>216</v>
      </c>
      <c r="J485" t="s">
        <v>172</v>
      </c>
      <c r="K485">
        <v>7.1279617305198301E-2</v>
      </c>
      <c r="L485" t="s">
        <v>166</v>
      </c>
      <c r="N485" t="s">
        <v>281</v>
      </c>
      <c r="O485" t="s">
        <v>172</v>
      </c>
      <c r="P485">
        <v>3.0593406775819572E-2</v>
      </c>
      <c r="Q485" t="s">
        <v>166</v>
      </c>
    </row>
    <row r="486" spans="9:17" x14ac:dyDescent="0.45">
      <c r="I486" t="s">
        <v>216</v>
      </c>
      <c r="J486" t="s">
        <v>173</v>
      </c>
      <c r="K486">
        <v>4.9801744537099806E-3</v>
      </c>
      <c r="L486" t="s">
        <v>166</v>
      </c>
      <c r="N486" t="s">
        <v>281</v>
      </c>
      <c r="O486" t="s">
        <v>173</v>
      </c>
      <c r="P486">
        <v>9.6672556632573651E-4</v>
      </c>
      <c r="Q486" t="s">
        <v>166</v>
      </c>
    </row>
    <row r="487" spans="9:17" x14ac:dyDescent="0.45">
      <c r="I487" t="s">
        <v>216</v>
      </c>
      <c r="J487" t="s">
        <v>174</v>
      </c>
      <c r="K487">
        <v>1.6323719370438116E-3</v>
      </c>
      <c r="L487" t="s">
        <v>166</v>
      </c>
      <c r="N487" t="s">
        <v>281</v>
      </c>
      <c r="O487" t="s">
        <v>174</v>
      </c>
      <c r="P487">
        <v>1.0687030077774841E-2</v>
      </c>
      <c r="Q487" t="s">
        <v>166</v>
      </c>
    </row>
    <row r="488" spans="9:17" x14ac:dyDescent="0.45">
      <c r="I488" t="s">
        <v>216</v>
      </c>
      <c r="J488" t="s">
        <v>175</v>
      </c>
      <c r="K488">
        <v>0.12929443454683132</v>
      </c>
      <c r="L488" t="s">
        <v>166</v>
      </c>
      <c r="N488" t="s">
        <v>281</v>
      </c>
      <c r="O488" t="s">
        <v>175</v>
      </c>
      <c r="P488">
        <v>0.12413503925857684</v>
      </c>
      <c r="Q488" t="s">
        <v>166</v>
      </c>
    </row>
    <row r="489" spans="9:17" x14ac:dyDescent="0.45">
      <c r="I489" t="s">
        <v>216</v>
      </c>
      <c r="J489" t="s">
        <v>176</v>
      </c>
      <c r="K489">
        <v>8.7161576808015145E-3</v>
      </c>
      <c r="L489" t="s">
        <v>166</v>
      </c>
      <c r="N489" t="s">
        <v>281</v>
      </c>
      <c r="O489" t="s">
        <v>176</v>
      </c>
      <c r="P489">
        <v>5.8630819923936725E-3</v>
      </c>
      <c r="Q489" t="s">
        <v>166</v>
      </c>
    </row>
    <row r="490" spans="9:17" x14ac:dyDescent="0.45">
      <c r="I490" t="s">
        <v>216</v>
      </c>
      <c r="J490" t="s">
        <v>177</v>
      </c>
      <c r="K490">
        <v>0</v>
      </c>
      <c r="L490" t="s">
        <v>166</v>
      </c>
      <c r="N490" t="s">
        <v>281</v>
      </c>
      <c r="O490" t="s">
        <v>177</v>
      </c>
      <c r="P490">
        <v>4.5912349420764123E-2</v>
      </c>
      <c r="Q490" t="s">
        <v>166</v>
      </c>
    </row>
    <row r="491" spans="9:17" x14ac:dyDescent="0.45">
      <c r="I491" t="s">
        <v>217</v>
      </c>
      <c r="J491" t="s">
        <v>165</v>
      </c>
      <c r="K491">
        <v>0.51652819969657904</v>
      </c>
      <c r="L491" t="s">
        <v>166</v>
      </c>
      <c r="N491" t="s">
        <v>282</v>
      </c>
      <c r="O491" t="s">
        <v>165</v>
      </c>
      <c r="P491">
        <v>0.43630018860019898</v>
      </c>
      <c r="Q491" t="s">
        <v>166</v>
      </c>
    </row>
    <row r="492" spans="9:17" x14ac:dyDescent="0.45">
      <c r="I492" t="s">
        <v>217</v>
      </c>
      <c r="J492" t="s">
        <v>167</v>
      </c>
      <c r="K492">
        <v>4.4242694060518818E-2</v>
      </c>
      <c r="L492" t="s">
        <v>166</v>
      </c>
      <c r="N492" t="s">
        <v>282</v>
      </c>
      <c r="O492" t="s">
        <v>167</v>
      </c>
      <c r="P492">
        <v>2.077836344688884E-2</v>
      </c>
      <c r="Q492" t="s">
        <v>166</v>
      </c>
    </row>
    <row r="493" spans="9:17" x14ac:dyDescent="0.45">
      <c r="I493" t="s">
        <v>217</v>
      </c>
      <c r="J493" t="s">
        <v>168</v>
      </c>
      <c r="K493">
        <v>3.5393552934747982E-2</v>
      </c>
      <c r="L493" t="s">
        <v>166</v>
      </c>
      <c r="N493" t="s">
        <v>282</v>
      </c>
      <c r="O493" t="s">
        <v>168</v>
      </c>
      <c r="P493">
        <v>0.14321159092418859</v>
      </c>
      <c r="Q493" t="s">
        <v>166</v>
      </c>
    </row>
    <row r="494" spans="9:17" x14ac:dyDescent="0.45">
      <c r="I494" t="s">
        <v>217</v>
      </c>
      <c r="J494" t="s">
        <v>169</v>
      </c>
      <c r="K494">
        <v>0.15052859804334393</v>
      </c>
      <c r="L494" t="s">
        <v>166</v>
      </c>
      <c r="N494" t="s">
        <v>282</v>
      </c>
      <c r="O494" t="s">
        <v>169</v>
      </c>
      <c r="P494">
        <v>0.12738887463998541</v>
      </c>
      <c r="Q494" t="s">
        <v>166</v>
      </c>
    </row>
    <row r="495" spans="9:17" x14ac:dyDescent="0.45">
      <c r="I495" t="s">
        <v>217</v>
      </c>
      <c r="J495" t="s">
        <v>170</v>
      </c>
      <c r="K495">
        <v>1.2639658110701987E-2</v>
      </c>
      <c r="L495" t="s">
        <v>166</v>
      </c>
      <c r="N495" t="s">
        <v>282</v>
      </c>
      <c r="O495" t="s">
        <v>170</v>
      </c>
      <c r="P495">
        <v>6.8392932651198503E-3</v>
      </c>
      <c r="Q495" t="s">
        <v>166</v>
      </c>
    </row>
    <row r="496" spans="9:17" x14ac:dyDescent="0.45">
      <c r="I496" t="s">
        <v>217</v>
      </c>
      <c r="J496" t="s">
        <v>171</v>
      </c>
      <c r="K496">
        <v>9.9099759951660569E-3</v>
      </c>
      <c r="L496" t="s">
        <v>166</v>
      </c>
      <c r="N496" t="s">
        <v>282</v>
      </c>
      <c r="O496" t="s">
        <v>171</v>
      </c>
      <c r="P496">
        <v>4.8346427655027391E-2</v>
      </c>
      <c r="Q496" t="s">
        <v>166</v>
      </c>
    </row>
    <row r="497" spans="9:17" x14ac:dyDescent="0.45">
      <c r="I497" t="s">
        <v>217</v>
      </c>
      <c r="J497" t="s">
        <v>172</v>
      </c>
      <c r="K497">
        <v>7.891656267879861E-2</v>
      </c>
      <c r="L497" t="s">
        <v>166</v>
      </c>
      <c r="N497" t="s">
        <v>282</v>
      </c>
      <c r="O497" t="s">
        <v>172</v>
      </c>
      <c r="P497">
        <v>3.7675477151939987E-2</v>
      </c>
      <c r="Q497" t="s">
        <v>166</v>
      </c>
    </row>
    <row r="498" spans="9:17" x14ac:dyDescent="0.45">
      <c r="I498" t="s">
        <v>217</v>
      </c>
      <c r="J498" t="s">
        <v>173</v>
      </c>
      <c r="K498">
        <v>6.0104626778186843E-3</v>
      </c>
      <c r="L498" t="s">
        <v>166</v>
      </c>
      <c r="N498" t="s">
        <v>282</v>
      </c>
      <c r="O498" t="s">
        <v>173</v>
      </c>
      <c r="P498">
        <v>1.7509462889268453E-3</v>
      </c>
      <c r="Q498" t="s">
        <v>166</v>
      </c>
    </row>
    <row r="499" spans="9:17" x14ac:dyDescent="0.45">
      <c r="I499" t="s">
        <v>217</v>
      </c>
      <c r="J499" t="s">
        <v>174</v>
      </c>
      <c r="K499">
        <v>2.9785702785373081E-3</v>
      </c>
      <c r="L499" t="s">
        <v>166</v>
      </c>
      <c r="N499" t="s">
        <v>282</v>
      </c>
      <c r="O499" t="s">
        <v>174</v>
      </c>
      <c r="P499">
        <v>1.4999754196083239E-2</v>
      </c>
      <c r="Q499" t="s">
        <v>166</v>
      </c>
    </row>
    <row r="500" spans="9:17" x14ac:dyDescent="0.45">
      <c r="I500" t="s">
        <v>217</v>
      </c>
      <c r="J500" t="s">
        <v>175</v>
      </c>
      <c r="K500">
        <v>0.13309773652075071</v>
      </c>
      <c r="L500" t="s">
        <v>166</v>
      </c>
      <c r="N500" t="s">
        <v>282</v>
      </c>
      <c r="O500" t="s">
        <v>175</v>
      </c>
      <c r="P500">
        <v>0.11565767176287878</v>
      </c>
      <c r="Q500" t="s">
        <v>166</v>
      </c>
    </row>
    <row r="501" spans="9:17" x14ac:dyDescent="0.45">
      <c r="I501" t="s">
        <v>217</v>
      </c>
      <c r="J501" t="s">
        <v>176</v>
      </c>
      <c r="K501">
        <v>9.7123429483140147E-3</v>
      </c>
      <c r="L501" t="s">
        <v>166</v>
      </c>
      <c r="N501" t="s">
        <v>282</v>
      </c>
      <c r="O501" t="s">
        <v>176</v>
      </c>
      <c r="P501">
        <v>5.1729304175434105E-3</v>
      </c>
      <c r="Q501" t="s">
        <v>166</v>
      </c>
    </row>
    <row r="502" spans="9:17" x14ac:dyDescent="0.45">
      <c r="I502" t="s">
        <v>217</v>
      </c>
      <c r="J502" t="s">
        <v>177</v>
      </c>
      <c r="K502">
        <v>4.164605472389321E-5</v>
      </c>
      <c r="L502" t="s">
        <v>166</v>
      </c>
      <c r="N502" t="s">
        <v>282</v>
      </c>
      <c r="O502" t="s">
        <v>177</v>
      </c>
      <c r="P502">
        <v>4.1878481651215139E-2</v>
      </c>
      <c r="Q502" t="s">
        <v>166</v>
      </c>
    </row>
    <row r="503" spans="9:17" x14ac:dyDescent="0.45">
      <c r="I503" t="s">
        <v>218</v>
      </c>
      <c r="J503" t="s">
        <v>165</v>
      </c>
      <c r="K503">
        <v>0.52716350635032927</v>
      </c>
      <c r="L503" t="s">
        <v>166</v>
      </c>
      <c r="N503" t="s">
        <v>283</v>
      </c>
      <c r="O503" t="s">
        <v>165</v>
      </c>
      <c r="P503">
        <v>0.43961291344573689</v>
      </c>
      <c r="Q503" t="s">
        <v>166</v>
      </c>
    </row>
    <row r="504" spans="9:17" x14ac:dyDescent="0.45">
      <c r="I504" t="s">
        <v>218</v>
      </c>
      <c r="J504" t="s">
        <v>167</v>
      </c>
      <c r="K504">
        <v>4.468378456357408E-2</v>
      </c>
      <c r="L504" t="s">
        <v>166</v>
      </c>
      <c r="N504" t="s">
        <v>283</v>
      </c>
      <c r="O504" t="s">
        <v>167</v>
      </c>
      <c r="P504">
        <v>1.9234793100720932E-2</v>
      </c>
      <c r="Q504" t="s">
        <v>166</v>
      </c>
    </row>
    <row r="505" spans="9:17" x14ac:dyDescent="0.45">
      <c r="I505" t="s">
        <v>218</v>
      </c>
      <c r="J505" t="s">
        <v>168</v>
      </c>
      <c r="K505">
        <v>3.3666402938904098E-2</v>
      </c>
      <c r="L505" t="s">
        <v>166</v>
      </c>
      <c r="N505" t="s">
        <v>283</v>
      </c>
      <c r="O505" t="s">
        <v>168</v>
      </c>
      <c r="P505">
        <v>0.13732291804733607</v>
      </c>
      <c r="Q505" t="s">
        <v>166</v>
      </c>
    </row>
    <row r="506" spans="9:17" x14ac:dyDescent="0.45">
      <c r="I506" t="s">
        <v>218</v>
      </c>
      <c r="J506" t="s">
        <v>169</v>
      </c>
      <c r="K506">
        <v>0.14889011630743798</v>
      </c>
      <c r="L506" t="s">
        <v>166</v>
      </c>
      <c r="N506" t="s">
        <v>283</v>
      </c>
      <c r="O506" t="s">
        <v>169</v>
      </c>
      <c r="P506">
        <v>0.12849925040605903</v>
      </c>
      <c r="Q506" t="s">
        <v>166</v>
      </c>
    </row>
    <row r="507" spans="9:17" x14ac:dyDescent="0.45">
      <c r="I507" t="s">
        <v>218</v>
      </c>
      <c r="J507" t="s">
        <v>170</v>
      </c>
      <c r="K507">
        <v>1.2317846087794203E-2</v>
      </c>
      <c r="L507" t="s">
        <v>166</v>
      </c>
      <c r="N507" t="s">
        <v>283</v>
      </c>
      <c r="O507" t="s">
        <v>170</v>
      </c>
      <c r="P507">
        <v>5.8235386140033088E-3</v>
      </c>
      <c r="Q507" t="s">
        <v>166</v>
      </c>
    </row>
    <row r="508" spans="9:17" x14ac:dyDescent="0.45">
      <c r="I508" t="s">
        <v>218</v>
      </c>
      <c r="J508" t="s">
        <v>171</v>
      </c>
      <c r="K508">
        <v>9.3918190317443841E-3</v>
      </c>
      <c r="L508" t="s">
        <v>166</v>
      </c>
      <c r="N508" t="s">
        <v>283</v>
      </c>
      <c r="O508" t="s">
        <v>171</v>
      </c>
      <c r="P508">
        <v>4.6297203892094838E-2</v>
      </c>
      <c r="Q508" t="s">
        <v>166</v>
      </c>
    </row>
    <row r="509" spans="9:17" x14ac:dyDescent="0.45">
      <c r="I509" t="s">
        <v>218</v>
      </c>
      <c r="J509" t="s">
        <v>172</v>
      </c>
      <c r="K509">
        <v>7.3773137491004961E-2</v>
      </c>
      <c r="L509" t="s">
        <v>166</v>
      </c>
      <c r="N509" t="s">
        <v>283</v>
      </c>
      <c r="O509" t="s">
        <v>172</v>
      </c>
      <c r="P509">
        <v>3.5771007220516543E-2</v>
      </c>
      <c r="Q509" t="s">
        <v>166</v>
      </c>
    </row>
    <row r="510" spans="9:17" x14ac:dyDescent="0.45">
      <c r="I510" t="s">
        <v>218</v>
      </c>
      <c r="J510" t="s">
        <v>173</v>
      </c>
      <c r="K510">
        <v>5.3114123851581135E-3</v>
      </c>
      <c r="L510" t="s">
        <v>166</v>
      </c>
      <c r="N510" t="s">
        <v>283</v>
      </c>
      <c r="O510" t="s">
        <v>173</v>
      </c>
      <c r="P510">
        <v>9.4423950804190318E-4</v>
      </c>
      <c r="Q510" t="s">
        <v>166</v>
      </c>
    </row>
    <row r="511" spans="9:17" x14ac:dyDescent="0.45">
      <c r="I511" t="s">
        <v>218</v>
      </c>
      <c r="J511" t="s">
        <v>174</v>
      </c>
      <c r="K511">
        <v>2.1191090132003142E-3</v>
      </c>
      <c r="L511" t="s">
        <v>166</v>
      </c>
      <c r="N511" t="s">
        <v>283</v>
      </c>
      <c r="O511" t="s">
        <v>174</v>
      </c>
      <c r="P511">
        <v>1.3202868873878967E-2</v>
      </c>
      <c r="Q511" t="s">
        <v>166</v>
      </c>
    </row>
    <row r="512" spans="9:17" x14ac:dyDescent="0.45">
      <c r="I512" t="s">
        <v>218</v>
      </c>
      <c r="J512" t="s">
        <v>175</v>
      </c>
      <c r="K512">
        <v>0.13343522800372867</v>
      </c>
      <c r="L512" t="s">
        <v>166</v>
      </c>
      <c r="N512" t="s">
        <v>283</v>
      </c>
      <c r="O512" t="s">
        <v>175</v>
      </c>
      <c r="P512">
        <v>0.12415117177226807</v>
      </c>
      <c r="Q512" t="s">
        <v>166</v>
      </c>
    </row>
    <row r="513" spans="9:17" x14ac:dyDescent="0.45">
      <c r="I513" t="s">
        <v>218</v>
      </c>
      <c r="J513" t="s">
        <v>176</v>
      </c>
      <c r="K513">
        <v>9.2470410740989155E-3</v>
      </c>
      <c r="L513" t="s">
        <v>166</v>
      </c>
      <c r="N513" t="s">
        <v>283</v>
      </c>
      <c r="O513" t="s">
        <v>176</v>
      </c>
      <c r="P513">
        <v>5.6684507109189949E-3</v>
      </c>
      <c r="Q513" t="s">
        <v>166</v>
      </c>
    </row>
    <row r="514" spans="9:17" x14ac:dyDescent="0.45">
      <c r="I514" t="s">
        <v>218</v>
      </c>
      <c r="J514" t="s">
        <v>177</v>
      </c>
      <c r="K514">
        <v>5.9675302274017254E-7</v>
      </c>
      <c r="L514" t="s">
        <v>166</v>
      </c>
      <c r="N514" t="s">
        <v>283</v>
      </c>
      <c r="O514" t="s">
        <v>177</v>
      </c>
      <c r="P514">
        <v>4.3471644408428392E-2</v>
      </c>
      <c r="Q514" t="s">
        <v>166</v>
      </c>
    </row>
    <row r="515" spans="9:17" x14ac:dyDescent="0.45">
      <c r="I515" t="s">
        <v>219</v>
      </c>
      <c r="J515" t="s">
        <v>165</v>
      </c>
      <c r="K515">
        <v>0.53999980203536757</v>
      </c>
      <c r="L515" t="s">
        <v>166</v>
      </c>
      <c r="N515" t="s">
        <v>284</v>
      </c>
      <c r="O515" t="s">
        <v>165</v>
      </c>
      <c r="P515">
        <v>0.41295803065085568</v>
      </c>
      <c r="Q515" t="s">
        <v>166</v>
      </c>
    </row>
    <row r="516" spans="9:17" x14ac:dyDescent="0.45">
      <c r="I516" t="s">
        <v>219</v>
      </c>
      <c r="J516" t="s">
        <v>167</v>
      </c>
      <c r="K516">
        <v>3.8505079646128183E-2</v>
      </c>
      <c r="L516" t="s">
        <v>166</v>
      </c>
      <c r="N516" t="s">
        <v>284</v>
      </c>
      <c r="O516" t="s">
        <v>167</v>
      </c>
      <c r="P516">
        <v>2.2599908177288814E-2</v>
      </c>
      <c r="Q516" t="s">
        <v>166</v>
      </c>
    </row>
    <row r="517" spans="9:17" x14ac:dyDescent="0.45">
      <c r="I517" t="s">
        <v>219</v>
      </c>
      <c r="J517" t="s">
        <v>168</v>
      </c>
      <c r="K517">
        <v>1.8895768482242128E-2</v>
      </c>
      <c r="L517" t="s">
        <v>166</v>
      </c>
      <c r="N517" t="s">
        <v>284</v>
      </c>
      <c r="O517" t="s">
        <v>168</v>
      </c>
      <c r="P517">
        <v>0.18008151734798597</v>
      </c>
      <c r="Q517" t="s">
        <v>166</v>
      </c>
    </row>
    <row r="518" spans="9:17" x14ac:dyDescent="0.45">
      <c r="I518" t="s">
        <v>219</v>
      </c>
      <c r="J518" t="s">
        <v>169</v>
      </c>
      <c r="K518">
        <v>0.14758120271485406</v>
      </c>
      <c r="L518" t="s">
        <v>166</v>
      </c>
      <c r="N518" t="s">
        <v>284</v>
      </c>
      <c r="O518" t="s">
        <v>169</v>
      </c>
      <c r="P518">
        <v>0.11891282913400493</v>
      </c>
      <c r="Q518" t="s">
        <v>166</v>
      </c>
    </row>
    <row r="519" spans="9:17" x14ac:dyDescent="0.45">
      <c r="I519" t="s">
        <v>219</v>
      </c>
      <c r="J519" t="s">
        <v>170</v>
      </c>
      <c r="K519">
        <v>9.8492205355362687E-3</v>
      </c>
      <c r="L519" t="s">
        <v>166</v>
      </c>
      <c r="N519" t="s">
        <v>284</v>
      </c>
      <c r="O519" t="s">
        <v>170</v>
      </c>
      <c r="P519">
        <v>7.5769110772403968E-3</v>
      </c>
      <c r="Q519" t="s">
        <v>166</v>
      </c>
    </row>
    <row r="520" spans="9:17" x14ac:dyDescent="0.45">
      <c r="I520" t="s">
        <v>219</v>
      </c>
      <c r="J520" t="s">
        <v>171</v>
      </c>
      <c r="K520">
        <v>5.3531374057530275E-3</v>
      </c>
      <c r="L520" t="s">
        <v>166</v>
      </c>
      <c r="N520" t="s">
        <v>284</v>
      </c>
      <c r="O520" t="s">
        <v>171</v>
      </c>
      <c r="P520">
        <v>4.8445139545628207E-2</v>
      </c>
      <c r="Q520" t="s">
        <v>166</v>
      </c>
    </row>
    <row r="521" spans="9:17" x14ac:dyDescent="0.45">
      <c r="I521" t="s">
        <v>219</v>
      </c>
      <c r="J521" t="s">
        <v>172</v>
      </c>
      <c r="K521">
        <v>7.8724842025864356E-2</v>
      </c>
      <c r="L521" t="s">
        <v>166</v>
      </c>
      <c r="N521" t="s">
        <v>284</v>
      </c>
      <c r="O521" t="s">
        <v>172</v>
      </c>
      <c r="P521">
        <v>4.1653332147063737E-2</v>
      </c>
      <c r="Q521" t="s">
        <v>166</v>
      </c>
    </row>
    <row r="522" spans="9:17" x14ac:dyDescent="0.45">
      <c r="I522" t="s">
        <v>219</v>
      </c>
      <c r="J522" t="s">
        <v>173</v>
      </c>
      <c r="K522">
        <v>4.7630275603207182E-3</v>
      </c>
      <c r="L522" t="s">
        <v>166</v>
      </c>
      <c r="N522" t="s">
        <v>284</v>
      </c>
      <c r="O522" t="s">
        <v>173</v>
      </c>
      <c r="P522">
        <v>3.29808051143583E-3</v>
      </c>
      <c r="Q522" t="s">
        <v>166</v>
      </c>
    </row>
    <row r="523" spans="9:17" x14ac:dyDescent="0.45">
      <c r="I523" t="s">
        <v>219</v>
      </c>
      <c r="J523" t="s">
        <v>174</v>
      </c>
      <c r="K523">
        <v>1.4602807891996825E-4</v>
      </c>
      <c r="L523" t="s">
        <v>166</v>
      </c>
      <c r="N523" t="s">
        <v>284</v>
      </c>
      <c r="O523" t="s">
        <v>174</v>
      </c>
      <c r="P523">
        <v>2.1318925635853657E-2</v>
      </c>
      <c r="Q523" t="s">
        <v>166</v>
      </c>
    </row>
    <row r="524" spans="9:17" x14ac:dyDescent="0.45">
      <c r="I524" t="s">
        <v>219</v>
      </c>
      <c r="J524" t="s">
        <v>175</v>
      </c>
      <c r="K524">
        <v>0.14819250016859273</v>
      </c>
      <c r="L524" t="s">
        <v>166</v>
      </c>
      <c r="N524" t="s">
        <v>284</v>
      </c>
      <c r="O524" t="s">
        <v>175</v>
      </c>
      <c r="P524">
        <v>9.6216703689148059E-2</v>
      </c>
      <c r="Q524" t="s">
        <v>166</v>
      </c>
    </row>
    <row r="525" spans="9:17" x14ac:dyDescent="0.45">
      <c r="I525" t="s">
        <v>219</v>
      </c>
      <c r="J525" t="s">
        <v>176</v>
      </c>
      <c r="K525">
        <v>7.9893913464195686E-3</v>
      </c>
      <c r="L525" t="s">
        <v>166</v>
      </c>
      <c r="N525" t="s">
        <v>284</v>
      </c>
      <c r="O525" t="s">
        <v>176</v>
      </c>
      <c r="P525">
        <v>4.6888548626091327E-3</v>
      </c>
      <c r="Q525" t="s">
        <v>166</v>
      </c>
    </row>
    <row r="526" spans="9:17" x14ac:dyDescent="0.45">
      <c r="I526" t="s">
        <v>219</v>
      </c>
      <c r="J526" t="s">
        <v>177</v>
      </c>
      <c r="K526">
        <v>0</v>
      </c>
      <c r="L526" t="s">
        <v>166</v>
      </c>
      <c r="N526" t="s">
        <v>284</v>
      </c>
      <c r="O526" t="s">
        <v>177</v>
      </c>
      <c r="P526">
        <v>4.2249767220883291E-2</v>
      </c>
      <c r="Q526" t="s">
        <v>166</v>
      </c>
    </row>
    <row r="527" spans="9:17" x14ac:dyDescent="0.45">
      <c r="I527" t="s">
        <v>220</v>
      </c>
      <c r="J527" t="s">
        <v>165</v>
      </c>
      <c r="K527">
        <v>0.53771108486638186</v>
      </c>
      <c r="L527" t="s">
        <v>166</v>
      </c>
      <c r="N527" t="s">
        <v>285</v>
      </c>
      <c r="O527" t="s">
        <v>165</v>
      </c>
      <c r="P527">
        <v>0.43198410764692824</v>
      </c>
      <c r="Q527" t="s">
        <v>166</v>
      </c>
    </row>
    <row r="528" spans="9:17" x14ac:dyDescent="0.45">
      <c r="I528" t="s">
        <v>220</v>
      </c>
      <c r="J528" t="s">
        <v>167</v>
      </c>
      <c r="K528">
        <v>4.0044332839240082E-2</v>
      </c>
      <c r="L528" t="s">
        <v>166</v>
      </c>
      <c r="N528" t="s">
        <v>285</v>
      </c>
      <c r="O528" t="s">
        <v>167</v>
      </c>
      <c r="P528">
        <v>1.9730123530489297E-2</v>
      </c>
      <c r="Q528" t="s">
        <v>166</v>
      </c>
    </row>
    <row r="529" spans="9:17" x14ac:dyDescent="0.45">
      <c r="I529" t="s">
        <v>220</v>
      </c>
      <c r="J529" t="s">
        <v>168</v>
      </c>
      <c r="K529">
        <v>2.2912546987589232E-2</v>
      </c>
      <c r="L529" t="s">
        <v>166</v>
      </c>
      <c r="N529" t="s">
        <v>285</v>
      </c>
      <c r="O529" t="s">
        <v>168</v>
      </c>
      <c r="P529">
        <v>0.16263096147852651</v>
      </c>
      <c r="Q529" t="s">
        <v>166</v>
      </c>
    </row>
    <row r="530" spans="9:17" x14ac:dyDescent="0.45">
      <c r="I530" t="s">
        <v>220</v>
      </c>
      <c r="J530" t="s">
        <v>169</v>
      </c>
      <c r="K530">
        <v>0.14825113543861088</v>
      </c>
      <c r="L530" t="s">
        <v>166</v>
      </c>
      <c r="N530" t="s">
        <v>285</v>
      </c>
      <c r="O530" t="s">
        <v>169</v>
      </c>
      <c r="P530">
        <v>0.11990669943220965</v>
      </c>
      <c r="Q530" t="s">
        <v>166</v>
      </c>
    </row>
    <row r="531" spans="9:17" x14ac:dyDescent="0.45">
      <c r="I531" t="s">
        <v>220</v>
      </c>
      <c r="J531" t="s">
        <v>170</v>
      </c>
      <c r="K531">
        <v>1.0496275861751619E-2</v>
      </c>
      <c r="L531" t="s">
        <v>166</v>
      </c>
      <c r="N531" t="s">
        <v>285</v>
      </c>
      <c r="O531" t="s">
        <v>170</v>
      </c>
      <c r="P531">
        <v>7.3024257594511309E-3</v>
      </c>
      <c r="Q531" t="s">
        <v>166</v>
      </c>
    </row>
    <row r="532" spans="9:17" x14ac:dyDescent="0.45">
      <c r="I532" t="s">
        <v>220</v>
      </c>
      <c r="J532" t="s">
        <v>171</v>
      </c>
      <c r="K532">
        <v>5.8708385717590236E-3</v>
      </c>
      <c r="L532" t="s">
        <v>166</v>
      </c>
      <c r="N532" t="s">
        <v>285</v>
      </c>
      <c r="O532" t="s">
        <v>171</v>
      </c>
      <c r="P532">
        <v>4.890661384981658E-2</v>
      </c>
      <c r="Q532" t="s">
        <v>166</v>
      </c>
    </row>
    <row r="533" spans="9:17" x14ac:dyDescent="0.45">
      <c r="I533" t="s">
        <v>220</v>
      </c>
      <c r="J533" t="s">
        <v>172</v>
      </c>
      <c r="K533">
        <v>7.7625836904193182E-2</v>
      </c>
      <c r="L533" t="s">
        <v>166</v>
      </c>
      <c r="N533" t="s">
        <v>285</v>
      </c>
      <c r="O533" t="s">
        <v>172</v>
      </c>
      <c r="P533">
        <v>4.9446165624230425E-2</v>
      </c>
      <c r="Q533" t="s">
        <v>166</v>
      </c>
    </row>
    <row r="534" spans="9:17" x14ac:dyDescent="0.45">
      <c r="I534" t="s">
        <v>220</v>
      </c>
      <c r="J534" t="s">
        <v>173</v>
      </c>
      <c r="K534">
        <v>4.9279059519540015E-3</v>
      </c>
      <c r="L534" t="s">
        <v>166</v>
      </c>
      <c r="N534" t="s">
        <v>285</v>
      </c>
      <c r="O534" t="s">
        <v>173</v>
      </c>
      <c r="P534">
        <v>4.0283411878533504E-3</v>
      </c>
      <c r="Q534" t="s">
        <v>166</v>
      </c>
    </row>
    <row r="535" spans="9:17" x14ac:dyDescent="0.45">
      <c r="I535" t="s">
        <v>220</v>
      </c>
      <c r="J535" t="s">
        <v>174</v>
      </c>
      <c r="K535">
        <v>4.7532587161076394E-4</v>
      </c>
      <c r="L535" t="s">
        <v>166</v>
      </c>
      <c r="N535" t="s">
        <v>285</v>
      </c>
      <c r="O535" t="s">
        <v>174</v>
      </c>
      <c r="P535">
        <v>2.3222081887428397E-2</v>
      </c>
      <c r="Q535" t="s">
        <v>166</v>
      </c>
    </row>
    <row r="536" spans="9:17" x14ac:dyDescent="0.45">
      <c r="I536" t="s">
        <v>220</v>
      </c>
      <c r="J536" t="s">
        <v>175</v>
      </c>
      <c r="K536">
        <v>0.14331727482999959</v>
      </c>
      <c r="L536" t="s">
        <v>166</v>
      </c>
      <c r="N536" t="s">
        <v>285</v>
      </c>
      <c r="O536" t="s">
        <v>175</v>
      </c>
      <c r="P536">
        <v>9.0184135511008415E-2</v>
      </c>
      <c r="Q536" t="s">
        <v>166</v>
      </c>
    </row>
    <row r="537" spans="9:17" x14ac:dyDescent="0.45">
      <c r="I537" t="s">
        <v>220</v>
      </c>
      <c r="J537" t="s">
        <v>176</v>
      </c>
      <c r="K537">
        <v>8.3674418769109186E-3</v>
      </c>
      <c r="L537" t="s">
        <v>166</v>
      </c>
      <c r="N537" t="s">
        <v>285</v>
      </c>
      <c r="O537" t="s">
        <v>176</v>
      </c>
      <c r="P537">
        <v>4.5964947528555891E-3</v>
      </c>
      <c r="Q537" t="s">
        <v>166</v>
      </c>
    </row>
    <row r="538" spans="9:17" x14ac:dyDescent="0.45">
      <c r="I538" t="s">
        <v>220</v>
      </c>
      <c r="J538" t="s">
        <v>177</v>
      </c>
      <c r="K538">
        <v>0</v>
      </c>
      <c r="L538" t="s">
        <v>166</v>
      </c>
      <c r="N538" t="s">
        <v>285</v>
      </c>
      <c r="O538" t="s">
        <v>177</v>
      </c>
      <c r="P538">
        <v>3.8061849339204125E-2</v>
      </c>
      <c r="Q538" t="s">
        <v>166</v>
      </c>
    </row>
    <row r="539" spans="9:17" x14ac:dyDescent="0.45">
      <c r="I539" t="s">
        <v>221</v>
      </c>
      <c r="J539" t="s">
        <v>165</v>
      </c>
      <c r="K539">
        <v>0.5474438919647302</v>
      </c>
      <c r="L539" t="s">
        <v>166</v>
      </c>
      <c r="N539" t="s">
        <v>286</v>
      </c>
      <c r="O539" t="s">
        <v>165</v>
      </c>
      <c r="P539">
        <v>0.40608084745939993</v>
      </c>
      <c r="Q539" t="s">
        <v>166</v>
      </c>
    </row>
    <row r="540" spans="9:17" x14ac:dyDescent="0.45">
      <c r="I540" t="s">
        <v>221</v>
      </c>
      <c r="J540" t="s">
        <v>167</v>
      </c>
      <c r="K540">
        <v>3.6983691408740998E-2</v>
      </c>
      <c r="L540" t="s">
        <v>166</v>
      </c>
      <c r="N540" t="s">
        <v>286</v>
      </c>
      <c r="O540" t="s">
        <v>167</v>
      </c>
      <c r="P540">
        <v>2.7056025678832481E-2</v>
      </c>
      <c r="Q540" t="s">
        <v>166</v>
      </c>
    </row>
    <row r="541" spans="9:17" x14ac:dyDescent="0.45">
      <c r="I541" t="s">
        <v>221</v>
      </c>
      <c r="J541" t="s">
        <v>168</v>
      </c>
      <c r="K541">
        <v>1.6572407646253586E-2</v>
      </c>
      <c r="L541" t="s">
        <v>166</v>
      </c>
      <c r="N541" t="s">
        <v>286</v>
      </c>
      <c r="O541" t="s">
        <v>168</v>
      </c>
      <c r="P541">
        <v>0.20482243356844734</v>
      </c>
      <c r="Q541" t="s">
        <v>166</v>
      </c>
    </row>
    <row r="542" spans="9:17" x14ac:dyDescent="0.45">
      <c r="I542" t="s">
        <v>221</v>
      </c>
      <c r="J542" t="s">
        <v>169</v>
      </c>
      <c r="K542">
        <v>0.15082840412956727</v>
      </c>
      <c r="L542" t="s">
        <v>166</v>
      </c>
      <c r="N542" t="s">
        <v>286</v>
      </c>
      <c r="O542" t="s">
        <v>169</v>
      </c>
      <c r="P542">
        <v>9.7405650955532413E-2</v>
      </c>
      <c r="Q542" t="s">
        <v>166</v>
      </c>
    </row>
    <row r="543" spans="9:17" x14ac:dyDescent="0.45">
      <c r="I543" t="s">
        <v>221</v>
      </c>
      <c r="J543" t="s">
        <v>170</v>
      </c>
      <c r="K543">
        <v>9.3108458241885871E-3</v>
      </c>
      <c r="L543" t="s">
        <v>166</v>
      </c>
      <c r="N543" t="s">
        <v>286</v>
      </c>
      <c r="O543" t="s">
        <v>170</v>
      </c>
      <c r="P543">
        <v>7.9777529073692087E-3</v>
      </c>
      <c r="Q543" t="s">
        <v>166</v>
      </c>
    </row>
    <row r="544" spans="9:17" x14ac:dyDescent="0.45">
      <c r="I544" t="s">
        <v>221</v>
      </c>
      <c r="J544" t="s">
        <v>171</v>
      </c>
      <c r="K544">
        <v>4.474008032965486E-3</v>
      </c>
      <c r="L544" t="s">
        <v>166</v>
      </c>
      <c r="N544" t="s">
        <v>286</v>
      </c>
      <c r="O544" t="s">
        <v>171</v>
      </c>
      <c r="P544">
        <v>4.8494084042152323E-2</v>
      </c>
      <c r="Q544" t="s">
        <v>166</v>
      </c>
    </row>
    <row r="545" spans="9:17" x14ac:dyDescent="0.45">
      <c r="I545" t="s">
        <v>221</v>
      </c>
      <c r="J545" t="s">
        <v>172</v>
      </c>
      <c r="K545">
        <v>7.8741791283956766E-2</v>
      </c>
      <c r="L545" t="s">
        <v>166</v>
      </c>
      <c r="N545" t="s">
        <v>286</v>
      </c>
      <c r="O545" t="s">
        <v>172</v>
      </c>
      <c r="P545">
        <v>3.2960600361219644E-2</v>
      </c>
      <c r="Q545" t="s">
        <v>166</v>
      </c>
    </row>
    <row r="546" spans="9:17" x14ac:dyDescent="0.45">
      <c r="I546" t="s">
        <v>221</v>
      </c>
      <c r="J546" t="s">
        <v>173</v>
      </c>
      <c r="K546">
        <v>4.5263126511991729E-3</v>
      </c>
      <c r="L546" t="s">
        <v>166</v>
      </c>
      <c r="N546" t="s">
        <v>286</v>
      </c>
      <c r="O546" t="s">
        <v>173</v>
      </c>
      <c r="P546">
        <v>3.0623668996393534E-3</v>
      </c>
      <c r="Q546" t="s">
        <v>166</v>
      </c>
    </row>
    <row r="547" spans="9:17" x14ac:dyDescent="0.45">
      <c r="I547" t="s">
        <v>221</v>
      </c>
      <c r="J547" t="s">
        <v>174</v>
      </c>
      <c r="K547">
        <v>0</v>
      </c>
      <c r="L547" t="s">
        <v>166</v>
      </c>
      <c r="N547" t="s">
        <v>286</v>
      </c>
      <c r="O547" t="s">
        <v>174</v>
      </c>
      <c r="P547">
        <v>2.2234859759671245E-2</v>
      </c>
      <c r="Q547" t="s">
        <v>166</v>
      </c>
    </row>
    <row r="548" spans="9:17" x14ac:dyDescent="0.45">
      <c r="I548" t="s">
        <v>221</v>
      </c>
      <c r="J548" t="s">
        <v>175</v>
      </c>
      <c r="K548">
        <v>0.14387144525795426</v>
      </c>
      <c r="L548" t="s">
        <v>166</v>
      </c>
      <c r="N548" t="s">
        <v>286</v>
      </c>
      <c r="O548" t="s">
        <v>175</v>
      </c>
      <c r="P548">
        <v>0.10436881352151911</v>
      </c>
      <c r="Q548" t="s">
        <v>166</v>
      </c>
    </row>
    <row r="549" spans="9:17" x14ac:dyDescent="0.45">
      <c r="I549" t="s">
        <v>221</v>
      </c>
      <c r="J549" t="s">
        <v>176</v>
      </c>
      <c r="K549">
        <v>7.2472018004427798E-3</v>
      </c>
      <c r="L549" t="s">
        <v>166</v>
      </c>
      <c r="N549" t="s">
        <v>286</v>
      </c>
      <c r="O549" t="s">
        <v>176</v>
      </c>
      <c r="P549">
        <v>5.0786861311524611E-3</v>
      </c>
      <c r="Q549" t="s">
        <v>166</v>
      </c>
    </row>
    <row r="550" spans="9:17" x14ac:dyDescent="0.45">
      <c r="I550" t="s">
        <v>221</v>
      </c>
      <c r="J550" t="s">
        <v>177</v>
      </c>
      <c r="K550">
        <v>0</v>
      </c>
      <c r="L550" t="s">
        <v>166</v>
      </c>
      <c r="N550" t="s">
        <v>286</v>
      </c>
      <c r="O550" t="s">
        <v>177</v>
      </c>
      <c r="P550">
        <v>4.0457878715061825E-2</v>
      </c>
      <c r="Q550" t="s">
        <v>166</v>
      </c>
    </row>
    <row r="551" spans="9:17" x14ac:dyDescent="0.45">
      <c r="I551" t="s">
        <v>222</v>
      </c>
      <c r="J551" t="s">
        <v>165</v>
      </c>
      <c r="K551">
        <v>0.54599735540822125</v>
      </c>
      <c r="L551" t="s">
        <v>166</v>
      </c>
      <c r="N551" t="s">
        <v>287</v>
      </c>
      <c r="O551" t="s">
        <v>165</v>
      </c>
      <c r="P551">
        <v>0.43104929242238443</v>
      </c>
      <c r="Q551" t="s">
        <v>166</v>
      </c>
    </row>
    <row r="552" spans="9:17" x14ac:dyDescent="0.45">
      <c r="I552" t="s">
        <v>222</v>
      </c>
      <c r="J552" t="s">
        <v>167</v>
      </c>
      <c r="K552">
        <v>3.3556090518263429E-2</v>
      </c>
      <c r="L552" t="s">
        <v>166</v>
      </c>
      <c r="N552" t="s">
        <v>287</v>
      </c>
      <c r="O552" t="s">
        <v>167</v>
      </c>
      <c r="P552">
        <v>2.1862177851992754E-2</v>
      </c>
      <c r="Q552" t="s">
        <v>166</v>
      </c>
    </row>
    <row r="553" spans="9:17" x14ac:dyDescent="0.45">
      <c r="I553" t="s">
        <v>222</v>
      </c>
      <c r="J553" t="s">
        <v>168</v>
      </c>
      <c r="K553">
        <v>1.1678425050855196E-2</v>
      </c>
      <c r="L553" t="s">
        <v>166</v>
      </c>
      <c r="N553" t="s">
        <v>287</v>
      </c>
      <c r="O553" t="s">
        <v>168</v>
      </c>
      <c r="P553">
        <v>0.16904681895542692</v>
      </c>
      <c r="Q553" t="s">
        <v>166</v>
      </c>
    </row>
    <row r="554" spans="9:17" x14ac:dyDescent="0.45">
      <c r="I554" t="s">
        <v>222</v>
      </c>
      <c r="J554" t="s">
        <v>169</v>
      </c>
      <c r="K554">
        <v>0.15579295208313884</v>
      </c>
      <c r="L554" t="s">
        <v>166</v>
      </c>
      <c r="N554" t="s">
        <v>287</v>
      </c>
      <c r="O554" t="s">
        <v>169</v>
      </c>
      <c r="P554">
        <v>0.1190552936577266</v>
      </c>
      <c r="Q554" t="s">
        <v>166</v>
      </c>
    </row>
    <row r="555" spans="9:17" x14ac:dyDescent="0.45">
      <c r="I555" t="s">
        <v>222</v>
      </c>
      <c r="J555" t="s">
        <v>170</v>
      </c>
      <c r="K555">
        <v>9.1581666882550403E-3</v>
      </c>
      <c r="L555" t="s">
        <v>166</v>
      </c>
      <c r="N555" t="s">
        <v>287</v>
      </c>
      <c r="O555" t="s">
        <v>170</v>
      </c>
      <c r="P555">
        <v>6.1657005209031432E-3</v>
      </c>
      <c r="Q555" t="s">
        <v>166</v>
      </c>
    </row>
    <row r="556" spans="9:17" x14ac:dyDescent="0.45">
      <c r="I556" t="s">
        <v>222</v>
      </c>
      <c r="J556" t="s">
        <v>171</v>
      </c>
      <c r="K556">
        <v>3.2458259673153744E-3</v>
      </c>
      <c r="L556" t="s">
        <v>166</v>
      </c>
      <c r="N556" t="s">
        <v>287</v>
      </c>
      <c r="O556" t="s">
        <v>171</v>
      </c>
      <c r="P556">
        <v>4.4369176844237544E-2</v>
      </c>
      <c r="Q556" t="s">
        <v>166</v>
      </c>
    </row>
    <row r="557" spans="9:17" x14ac:dyDescent="0.45">
      <c r="I557" t="s">
        <v>222</v>
      </c>
      <c r="J557" t="s">
        <v>172</v>
      </c>
      <c r="K557">
        <v>8.1946149082385664E-2</v>
      </c>
      <c r="L557" t="s">
        <v>166</v>
      </c>
      <c r="N557" t="s">
        <v>287</v>
      </c>
      <c r="O557" t="s">
        <v>172</v>
      </c>
      <c r="P557">
        <v>2.9413717764066136E-2</v>
      </c>
      <c r="Q557" t="s">
        <v>166</v>
      </c>
    </row>
    <row r="558" spans="9:17" x14ac:dyDescent="0.45">
      <c r="I558" t="s">
        <v>222</v>
      </c>
      <c r="J558" t="s">
        <v>173</v>
      </c>
      <c r="K558">
        <v>3.8628439635743726E-3</v>
      </c>
      <c r="L558" t="s">
        <v>166</v>
      </c>
      <c r="N558" t="s">
        <v>287</v>
      </c>
      <c r="O558" t="s">
        <v>173</v>
      </c>
      <c r="P558">
        <v>1.6827903912189587E-3</v>
      </c>
      <c r="Q558" t="s">
        <v>166</v>
      </c>
    </row>
    <row r="559" spans="9:17" x14ac:dyDescent="0.45">
      <c r="I559" t="s">
        <v>222</v>
      </c>
      <c r="J559" t="s">
        <v>174</v>
      </c>
      <c r="K559">
        <v>0</v>
      </c>
      <c r="L559" t="s">
        <v>166</v>
      </c>
      <c r="N559" t="s">
        <v>287</v>
      </c>
      <c r="O559" t="s">
        <v>174</v>
      </c>
      <c r="P559">
        <v>1.4801299127140724E-2</v>
      </c>
      <c r="Q559" t="s">
        <v>166</v>
      </c>
    </row>
    <row r="560" spans="9:17" x14ac:dyDescent="0.45">
      <c r="I560" t="s">
        <v>222</v>
      </c>
      <c r="J560" t="s">
        <v>175</v>
      </c>
      <c r="K560">
        <v>0.14800975322767618</v>
      </c>
      <c r="L560" t="s">
        <v>166</v>
      </c>
      <c r="N560" t="s">
        <v>287</v>
      </c>
      <c r="O560" t="s">
        <v>175</v>
      </c>
      <c r="P560">
        <v>0.11441816406375445</v>
      </c>
      <c r="Q560" t="s">
        <v>166</v>
      </c>
    </row>
    <row r="561" spans="9:17" x14ac:dyDescent="0.45">
      <c r="I561" t="s">
        <v>222</v>
      </c>
      <c r="J561" t="s">
        <v>176</v>
      </c>
      <c r="K561">
        <v>6.7524380103141423E-3</v>
      </c>
      <c r="L561" t="s">
        <v>166</v>
      </c>
      <c r="N561" t="s">
        <v>287</v>
      </c>
      <c r="O561" t="s">
        <v>176</v>
      </c>
      <c r="P561">
        <v>5.1049613798552921E-3</v>
      </c>
      <c r="Q561" t="s">
        <v>166</v>
      </c>
    </row>
    <row r="562" spans="9:17" x14ac:dyDescent="0.45">
      <c r="I562" t="s">
        <v>222</v>
      </c>
      <c r="J562" t="s">
        <v>177</v>
      </c>
      <c r="K562">
        <v>0</v>
      </c>
      <c r="L562" t="s">
        <v>166</v>
      </c>
      <c r="N562" t="s">
        <v>287</v>
      </c>
      <c r="O562" t="s">
        <v>177</v>
      </c>
      <c r="P562">
        <v>4.3030607021294687E-2</v>
      </c>
      <c r="Q562" t="s">
        <v>166</v>
      </c>
    </row>
    <row r="563" spans="9:17" x14ac:dyDescent="0.45">
      <c r="I563" t="s">
        <v>223</v>
      </c>
      <c r="J563" t="s">
        <v>165</v>
      </c>
      <c r="K563">
        <v>0.53911471544370837</v>
      </c>
      <c r="L563" t="s">
        <v>166</v>
      </c>
      <c r="N563" t="s">
        <v>288</v>
      </c>
      <c r="O563" t="s">
        <v>165</v>
      </c>
      <c r="P563">
        <v>0.4284744647676072</v>
      </c>
      <c r="Q563" t="s">
        <v>166</v>
      </c>
    </row>
    <row r="564" spans="9:17" x14ac:dyDescent="0.45">
      <c r="I564" t="s">
        <v>223</v>
      </c>
      <c r="J564" t="s">
        <v>167</v>
      </c>
      <c r="K564">
        <v>3.6401431763337502E-2</v>
      </c>
      <c r="L564" t="s">
        <v>166</v>
      </c>
      <c r="N564" t="s">
        <v>288</v>
      </c>
      <c r="O564" t="s">
        <v>167</v>
      </c>
      <c r="P564">
        <v>2.201824256574568E-2</v>
      </c>
      <c r="Q564" t="s">
        <v>166</v>
      </c>
    </row>
    <row r="565" spans="9:17" x14ac:dyDescent="0.45">
      <c r="I565" t="s">
        <v>223</v>
      </c>
      <c r="J565" t="s">
        <v>168</v>
      </c>
      <c r="K565">
        <v>1.5822906006103261E-2</v>
      </c>
      <c r="L565" t="s">
        <v>166</v>
      </c>
      <c r="N565" t="s">
        <v>288</v>
      </c>
      <c r="O565" t="s">
        <v>168</v>
      </c>
      <c r="P565">
        <v>0.16023428894190089</v>
      </c>
      <c r="Q565" t="s">
        <v>166</v>
      </c>
    </row>
    <row r="566" spans="9:17" x14ac:dyDescent="0.45">
      <c r="I566" t="s">
        <v>223</v>
      </c>
      <c r="J566" t="s">
        <v>169</v>
      </c>
      <c r="K566">
        <v>0.15049531867278676</v>
      </c>
      <c r="L566" t="s">
        <v>166</v>
      </c>
      <c r="N566" t="s">
        <v>288</v>
      </c>
      <c r="O566" t="s">
        <v>169</v>
      </c>
      <c r="P566">
        <v>0.11928478832614554</v>
      </c>
      <c r="Q566" t="s">
        <v>166</v>
      </c>
    </row>
    <row r="567" spans="9:17" x14ac:dyDescent="0.45">
      <c r="I567" t="s">
        <v>223</v>
      </c>
      <c r="J567" t="s">
        <v>170</v>
      </c>
      <c r="K567">
        <v>9.7307729953251439E-3</v>
      </c>
      <c r="L567" t="s">
        <v>166</v>
      </c>
      <c r="N567" t="s">
        <v>288</v>
      </c>
      <c r="O567" t="s">
        <v>170</v>
      </c>
      <c r="P567">
        <v>5.4010743268176464E-3</v>
      </c>
      <c r="Q567" t="s">
        <v>166</v>
      </c>
    </row>
    <row r="568" spans="9:17" x14ac:dyDescent="0.45">
      <c r="I568" t="s">
        <v>223</v>
      </c>
      <c r="J568" t="s">
        <v>171</v>
      </c>
      <c r="K568">
        <v>4.5654213069797585E-3</v>
      </c>
      <c r="L568" t="s">
        <v>166</v>
      </c>
      <c r="N568" t="s">
        <v>288</v>
      </c>
      <c r="O568" t="s">
        <v>171</v>
      </c>
      <c r="P568">
        <v>4.5375822247903423E-2</v>
      </c>
      <c r="Q568" t="s">
        <v>166</v>
      </c>
    </row>
    <row r="569" spans="9:17" x14ac:dyDescent="0.45">
      <c r="I569" t="s">
        <v>223</v>
      </c>
      <c r="J569" t="s">
        <v>172</v>
      </c>
      <c r="K569">
        <v>8.1164848928070785E-2</v>
      </c>
      <c r="L569" t="s">
        <v>166</v>
      </c>
      <c r="N569" t="s">
        <v>288</v>
      </c>
      <c r="O569" t="s">
        <v>172</v>
      </c>
      <c r="P569">
        <v>3.0868439010210379E-2</v>
      </c>
      <c r="Q569" t="s">
        <v>166</v>
      </c>
    </row>
    <row r="570" spans="9:17" x14ac:dyDescent="0.45">
      <c r="I570" t="s">
        <v>223</v>
      </c>
      <c r="J570" t="s">
        <v>173</v>
      </c>
      <c r="K570">
        <v>4.5497312040760083E-3</v>
      </c>
      <c r="L570" t="s">
        <v>166</v>
      </c>
      <c r="N570" t="s">
        <v>288</v>
      </c>
      <c r="O570" t="s">
        <v>173</v>
      </c>
      <c r="P570">
        <v>1.2825526260822177E-3</v>
      </c>
      <c r="Q570" t="s">
        <v>166</v>
      </c>
    </row>
    <row r="571" spans="9:17" x14ac:dyDescent="0.45">
      <c r="I571" t="s">
        <v>223</v>
      </c>
      <c r="J571" t="s">
        <v>174</v>
      </c>
      <c r="K571">
        <v>0</v>
      </c>
      <c r="L571" t="s">
        <v>166</v>
      </c>
      <c r="N571" t="s">
        <v>288</v>
      </c>
      <c r="O571" t="s">
        <v>174</v>
      </c>
      <c r="P571">
        <v>1.4230439313396268E-2</v>
      </c>
      <c r="Q571" t="s">
        <v>166</v>
      </c>
    </row>
    <row r="572" spans="9:17" x14ac:dyDescent="0.45">
      <c r="I572" t="s">
        <v>223</v>
      </c>
      <c r="J572" t="s">
        <v>175</v>
      </c>
      <c r="K572">
        <v>0.15065718944729298</v>
      </c>
      <c r="L572" t="s">
        <v>166</v>
      </c>
      <c r="N572" t="s">
        <v>288</v>
      </c>
      <c r="O572" t="s">
        <v>175</v>
      </c>
      <c r="P572">
        <v>0.11907388110472433</v>
      </c>
      <c r="Q572" t="s">
        <v>166</v>
      </c>
    </row>
    <row r="573" spans="9:17" x14ac:dyDescent="0.45">
      <c r="I573" t="s">
        <v>223</v>
      </c>
      <c r="J573" t="s">
        <v>176</v>
      </c>
      <c r="K573">
        <v>7.4976642323193411E-3</v>
      </c>
      <c r="L573" t="s">
        <v>166</v>
      </c>
      <c r="N573" t="s">
        <v>288</v>
      </c>
      <c r="O573" t="s">
        <v>176</v>
      </c>
      <c r="P573">
        <v>5.6788541157725509E-3</v>
      </c>
      <c r="Q573" t="s">
        <v>166</v>
      </c>
    </row>
    <row r="574" spans="9:17" x14ac:dyDescent="0.45">
      <c r="I574" t="s">
        <v>223</v>
      </c>
      <c r="J574" t="s">
        <v>177</v>
      </c>
      <c r="K574">
        <v>0</v>
      </c>
      <c r="L574" t="s">
        <v>166</v>
      </c>
      <c r="N574" t="s">
        <v>288</v>
      </c>
      <c r="O574" t="s">
        <v>177</v>
      </c>
      <c r="P574">
        <v>4.8077152653692744E-2</v>
      </c>
      <c r="Q574" t="s">
        <v>166</v>
      </c>
    </row>
    <row r="575" spans="9:17" x14ac:dyDescent="0.45">
      <c r="I575" t="s">
        <v>224</v>
      </c>
      <c r="J575" t="s">
        <v>165</v>
      </c>
      <c r="K575">
        <v>0.54609415797409278</v>
      </c>
      <c r="L575" t="s">
        <v>166</v>
      </c>
      <c r="N575" t="s">
        <v>289</v>
      </c>
      <c r="O575" t="s">
        <v>165</v>
      </c>
      <c r="P575">
        <v>0.43087738289356531</v>
      </c>
      <c r="Q575" t="s">
        <v>166</v>
      </c>
    </row>
    <row r="576" spans="9:17" x14ac:dyDescent="0.45">
      <c r="I576" t="s">
        <v>224</v>
      </c>
      <c r="J576" t="s">
        <v>167</v>
      </c>
      <c r="K576">
        <v>3.5286188938664718E-2</v>
      </c>
      <c r="L576" t="s">
        <v>166</v>
      </c>
      <c r="N576" t="s">
        <v>289</v>
      </c>
      <c r="O576" t="s">
        <v>167</v>
      </c>
      <c r="P576">
        <v>2.2065640348335046E-2</v>
      </c>
      <c r="Q576" t="s">
        <v>166</v>
      </c>
    </row>
    <row r="577" spans="9:17" x14ac:dyDescent="0.45">
      <c r="I577" t="s">
        <v>224</v>
      </c>
      <c r="J577" t="s">
        <v>168</v>
      </c>
      <c r="K577">
        <v>1.4396321540979529E-2</v>
      </c>
      <c r="L577" t="s">
        <v>166</v>
      </c>
      <c r="N577" t="s">
        <v>289</v>
      </c>
      <c r="O577" t="s">
        <v>168</v>
      </c>
      <c r="P577">
        <v>0.18580859394624577</v>
      </c>
      <c r="Q577" t="s">
        <v>166</v>
      </c>
    </row>
    <row r="578" spans="9:17" x14ac:dyDescent="0.45">
      <c r="I578" t="s">
        <v>224</v>
      </c>
      <c r="J578" t="s">
        <v>169</v>
      </c>
      <c r="K578">
        <v>0.15132189062612075</v>
      </c>
      <c r="L578" t="s">
        <v>166</v>
      </c>
      <c r="N578" t="s">
        <v>289</v>
      </c>
      <c r="O578" t="s">
        <v>169</v>
      </c>
      <c r="P578">
        <v>9.7628294951836114E-2</v>
      </c>
      <c r="Q578" t="s">
        <v>166</v>
      </c>
    </row>
    <row r="579" spans="9:17" x14ac:dyDescent="0.45">
      <c r="I579" t="s">
        <v>224</v>
      </c>
      <c r="J579" t="s">
        <v>170</v>
      </c>
      <c r="K579">
        <v>9.1160637650320644E-3</v>
      </c>
      <c r="L579" t="s">
        <v>166</v>
      </c>
      <c r="N579" t="s">
        <v>289</v>
      </c>
      <c r="O579" t="s">
        <v>170</v>
      </c>
      <c r="P579">
        <v>5.7832484506988918E-3</v>
      </c>
      <c r="Q579" t="s">
        <v>166</v>
      </c>
    </row>
    <row r="580" spans="9:17" x14ac:dyDescent="0.45">
      <c r="I580" t="s">
        <v>224</v>
      </c>
      <c r="J580" t="s">
        <v>171</v>
      </c>
      <c r="K580">
        <v>3.980931295347369E-3</v>
      </c>
      <c r="L580" t="s">
        <v>166</v>
      </c>
      <c r="N580" t="s">
        <v>289</v>
      </c>
      <c r="O580" t="s">
        <v>171</v>
      </c>
      <c r="P580">
        <v>4.6080163109658956E-2</v>
      </c>
      <c r="Q580" t="s">
        <v>166</v>
      </c>
    </row>
    <row r="581" spans="9:17" x14ac:dyDescent="0.45">
      <c r="I581" t="s">
        <v>224</v>
      </c>
      <c r="J581" t="s">
        <v>172</v>
      </c>
      <c r="K581">
        <v>7.9724883345740571E-2</v>
      </c>
      <c r="L581" t="s">
        <v>166</v>
      </c>
      <c r="N581" t="s">
        <v>289</v>
      </c>
      <c r="O581" t="s">
        <v>172</v>
      </c>
      <c r="P581">
        <v>3.3791932712988776E-2</v>
      </c>
      <c r="Q581" t="s">
        <v>166</v>
      </c>
    </row>
    <row r="582" spans="9:17" x14ac:dyDescent="0.45">
      <c r="I582" t="s">
        <v>224</v>
      </c>
      <c r="J582" t="s">
        <v>173</v>
      </c>
      <c r="K582">
        <v>4.0955349660021009E-3</v>
      </c>
      <c r="L582" t="s">
        <v>166</v>
      </c>
      <c r="N582" t="s">
        <v>289</v>
      </c>
      <c r="O582" t="s">
        <v>173</v>
      </c>
      <c r="P582">
        <v>1.5052279940180955E-3</v>
      </c>
      <c r="Q582" t="s">
        <v>166</v>
      </c>
    </row>
    <row r="583" spans="9:17" x14ac:dyDescent="0.45">
      <c r="I583" t="s">
        <v>224</v>
      </c>
      <c r="J583" t="s">
        <v>174</v>
      </c>
      <c r="K583">
        <v>0</v>
      </c>
      <c r="L583" t="s">
        <v>166</v>
      </c>
      <c r="N583" t="s">
        <v>289</v>
      </c>
      <c r="O583" t="s">
        <v>174</v>
      </c>
      <c r="P583">
        <v>1.5144459889884544E-2</v>
      </c>
      <c r="Q583" t="s">
        <v>166</v>
      </c>
    </row>
    <row r="584" spans="9:17" x14ac:dyDescent="0.45">
      <c r="I584" t="s">
        <v>224</v>
      </c>
      <c r="J584" t="s">
        <v>175</v>
      </c>
      <c r="K584">
        <v>0.1489483036805023</v>
      </c>
      <c r="L584" t="s">
        <v>166</v>
      </c>
      <c r="N584" t="s">
        <v>289</v>
      </c>
      <c r="O584" t="s">
        <v>175</v>
      </c>
      <c r="P584">
        <v>0.11345214585777702</v>
      </c>
      <c r="Q584" t="s">
        <v>166</v>
      </c>
    </row>
    <row r="585" spans="9:17" x14ac:dyDescent="0.45">
      <c r="I585" t="s">
        <v>224</v>
      </c>
      <c r="J585" t="s">
        <v>176</v>
      </c>
      <c r="K585">
        <v>7.0357238675171317E-3</v>
      </c>
      <c r="L585" t="s">
        <v>166</v>
      </c>
      <c r="N585" t="s">
        <v>289</v>
      </c>
      <c r="O585" t="s">
        <v>176</v>
      </c>
      <c r="P585">
        <v>5.2099088108597995E-3</v>
      </c>
      <c r="Q585" t="s">
        <v>166</v>
      </c>
    </row>
    <row r="586" spans="9:17" x14ac:dyDescent="0.45">
      <c r="I586" t="s">
        <v>224</v>
      </c>
      <c r="J586" t="s">
        <v>177</v>
      </c>
      <c r="K586">
        <v>0</v>
      </c>
      <c r="L586" t="s">
        <v>166</v>
      </c>
      <c r="N586" t="s">
        <v>289</v>
      </c>
      <c r="O586" t="s">
        <v>177</v>
      </c>
      <c r="P586">
        <v>4.2653001034132401E-2</v>
      </c>
      <c r="Q586" t="s">
        <v>166</v>
      </c>
    </row>
    <row r="587" spans="9:17" x14ac:dyDescent="0.45">
      <c r="I587" t="s">
        <v>225</v>
      </c>
      <c r="J587" t="s">
        <v>165</v>
      </c>
      <c r="K587">
        <v>0.55778549936559307</v>
      </c>
      <c r="L587" t="s">
        <v>166</v>
      </c>
      <c r="N587" t="s">
        <v>290</v>
      </c>
      <c r="O587" t="s">
        <v>165</v>
      </c>
      <c r="P587">
        <v>0.43412555982620649</v>
      </c>
      <c r="Q587" t="s">
        <v>166</v>
      </c>
    </row>
    <row r="588" spans="9:17" x14ac:dyDescent="0.45">
      <c r="I588" t="s">
        <v>225</v>
      </c>
      <c r="J588" t="s">
        <v>167</v>
      </c>
      <c r="K588">
        <v>3.0310442569314974E-2</v>
      </c>
      <c r="L588" t="s">
        <v>166</v>
      </c>
      <c r="N588" t="s">
        <v>290</v>
      </c>
      <c r="O588" t="s">
        <v>167</v>
      </c>
      <c r="P588">
        <v>2.0623252265179755E-2</v>
      </c>
      <c r="Q588" t="s">
        <v>166</v>
      </c>
    </row>
    <row r="589" spans="9:17" x14ac:dyDescent="0.45">
      <c r="I589" t="s">
        <v>225</v>
      </c>
      <c r="J589" t="s">
        <v>168</v>
      </c>
      <c r="K589">
        <v>7.6371511876463455E-3</v>
      </c>
      <c r="L589" t="s">
        <v>166</v>
      </c>
      <c r="N589" t="s">
        <v>290</v>
      </c>
      <c r="O589" t="s">
        <v>168</v>
      </c>
      <c r="P589">
        <v>0.15826870401149923</v>
      </c>
      <c r="Q589" t="s">
        <v>166</v>
      </c>
    </row>
    <row r="590" spans="9:17" x14ac:dyDescent="0.45">
      <c r="I590" t="s">
        <v>225</v>
      </c>
      <c r="J590" t="s">
        <v>169</v>
      </c>
      <c r="K590">
        <v>0.16058113814830696</v>
      </c>
      <c r="L590" t="s">
        <v>166</v>
      </c>
      <c r="N590" t="s">
        <v>290</v>
      </c>
      <c r="O590" t="s">
        <v>169</v>
      </c>
      <c r="P590">
        <v>0.12028617021614442</v>
      </c>
      <c r="Q590" t="s">
        <v>166</v>
      </c>
    </row>
    <row r="591" spans="9:17" x14ac:dyDescent="0.45">
      <c r="I591" t="s">
        <v>225</v>
      </c>
      <c r="J591" t="s">
        <v>170</v>
      </c>
      <c r="K591">
        <v>8.2992902657789067E-3</v>
      </c>
      <c r="L591" t="s">
        <v>166</v>
      </c>
      <c r="N591" t="s">
        <v>290</v>
      </c>
      <c r="O591" t="s">
        <v>170</v>
      </c>
      <c r="P591">
        <v>3.6145228385249671E-3</v>
      </c>
      <c r="Q591" t="s">
        <v>166</v>
      </c>
    </row>
    <row r="592" spans="9:17" x14ac:dyDescent="0.45">
      <c r="I592" t="s">
        <v>225</v>
      </c>
      <c r="J592" t="s">
        <v>171</v>
      </c>
      <c r="K592">
        <v>2.1018044235771916E-3</v>
      </c>
      <c r="L592" t="s">
        <v>166</v>
      </c>
      <c r="N592" t="s">
        <v>290</v>
      </c>
      <c r="O592" t="s">
        <v>171</v>
      </c>
      <c r="P592">
        <v>4.9792548223596127E-2</v>
      </c>
      <c r="Q592" t="s">
        <v>166</v>
      </c>
    </row>
    <row r="593" spans="9:17" x14ac:dyDescent="0.45">
      <c r="I593" t="s">
        <v>225</v>
      </c>
      <c r="J593" t="s">
        <v>172</v>
      </c>
      <c r="K593">
        <v>8.3587829632534333E-2</v>
      </c>
      <c r="L593" t="s">
        <v>166</v>
      </c>
      <c r="N593" t="s">
        <v>290</v>
      </c>
      <c r="O593" t="s">
        <v>172</v>
      </c>
      <c r="P593">
        <v>6.6824162080772909E-2</v>
      </c>
      <c r="Q593" t="s">
        <v>166</v>
      </c>
    </row>
    <row r="594" spans="9:17" x14ac:dyDescent="0.45">
      <c r="I594" t="s">
        <v>225</v>
      </c>
      <c r="J594" t="s">
        <v>173</v>
      </c>
      <c r="K594">
        <v>3.4004803479794096E-3</v>
      </c>
      <c r="L594" t="s">
        <v>166</v>
      </c>
      <c r="N594" t="s">
        <v>290</v>
      </c>
      <c r="O594" t="s">
        <v>173</v>
      </c>
      <c r="P594">
        <v>1.354830938991088E-3</v>
      </c>
      <c r="Q594" t="s">
        <v>166</v>
      </c>
    </row>
    <row r="595" spans="9:17" x14ac:dyDescent="0.45">
      <c r="I595" t="s">
        <v>225</v>
      </c>
      <c r="J595" t="s">
        <v>174</v>
      </c>
      <c r="K595">
        <v>0</v>
      </c>
      <c r="L595" t="s">
        <v>166</v>
      </c>
      <c r="N595" t="s">
        <v>290</v>
      </c>
      <c r="O595" t="s">
        <v>174</v>
      </c>
      <c r="P595">
        <v>2.2047949863801521E-2</v>
      </c>
      <c r="Q595" t="s">
        <v>166</v>
      </c>
    </row>
    <row r="596" spans="9:17" x14ac:dyDescent="0.45">
      <c r="I596" t="s">
        <v>225</v>
      </c>
      <c r="J596" t="s">
        <v>175</v>
      </c>
      <c r="K596">
        <v>0.144296776081385</v>
      </c>
      <c r="L596" t="s">
        <v>166</v>
      </c>
      <c r="N596" t="s">
        <v>290</v>
      </c>
      <c r="O596" t="s">
        <v>175</v>
      </c>
      <c r="P596">
        <v>8.5042906293377768E-2</v>
      </c>
      <c r="Q596" t="s">
        <v>166</v>
      </c>
    </row>
    <row r="597" spans="9:17" x14ac:dyDescent="0.45">
      <c r="I597" t="s">
        <v>225</v>
      </c>
      <c r="J597" t="s">
        <v>176</v>
      </c>
      <c r="K597">
        <v>1.9995879778837836E-3</v>
      </c>
      <c r="L597" t="s">
        <v>166</v>
      </c>
      <c r="N597" t="s">
        <v>290</v>
      </c>
      <c r="O597" t="s">
        <v>176</v>
      </c>
      <c r="P597">
        <v>4.2613983572054792E-3</v>
      </c>
      <c r="Q597" t="s">
        <v>166</v>
      </c>
    </row>
    <row r="598" spans="9:17" x14ac:dyDescent="0.45">
      <c r="I598" t="s">
        <v>225</v>
      </c>
      <c r="J598" t="s">
        <v>177</v>
      </c>
      <c r="K598">
        <v>0</v>
      </c>
      <c r="L598" t="s">
        <v>166</v>
      </c>
      <c r="N598" t="s">
        <v>290</v>
      </c>
      <c r="O598" t="s">
        <v>177</v>
      </c>
      <c r="P598">
        <v>3.3757995084704118E-2</v>
      </c>
      <c r="Q598" t="s">
        <v>166</v>
      </c>
    </row>
    <row r="599" spans="9:17" x14ac:dyDescent="0.45">
      <c r="I599" t="s">
        <v>226</v>
      </c>
      <c r="J599" t="s">
        <v>165</v>
      </c>
      <c r="K599">
        <v>0.56166713489789699</v>
      </c>
      <c r="L599" t="s">
        <v>166</v>
      </c>
      <c r="N599" t="s">
        <v>291</v>
      </c>
      <c r="O599" t="s">
        <v>165</v>
      </c>
      <c r="P599">
        <v>0.39977060516353508</v>
      </c>
      <c r="Q599" t="s">
        <v>166</v>
      </c>
    </row>
    <row r="600" spans="9:17" x14ac:dyDescent="0.45">
      <c r="I600" t="s">
        <v>226</v>
      </c>
      <c r="J600" t="s">
        <v>167</v>
      </c>
      <c r="K600">
        <v>3.1801768972128171E-2</v>
      </c>
      <c r="L600" t="s">
        <v>166</v>
      </c>
      <c r="N600" t="s">
        <v>291</v>
      </c>
      <c r="O600" t="s">
        <v>167</v>
      </c>
      <c r="P600">
        <v>1.9009729054605622E-2</v>
      </c>
      <c r="Q600" t="s">
        <v>166</v>
      </c>
    </row>
    <row r="601" spans="9:17" x14ac:dyDescent="0.45">
      <c r="I601" t="s">
        <v>226</v>
      </c>
      <c r="J601" t="s">
        <v>168</v>
      </c>
      <c r="K601">
        <v>9.652059715612428E-3</v>
      </c>
      <c r="L601" t="s">
        <v>166</v>
      </c>
      <c r="N601" t="s">
        <v>291</v>
      </c>
      <c r="O601" t="s">
        <v>168</v>
      </c>
      <c r="P601">
        <v>0.16936419558103649</v>
      </c>
      <c r="Q601" t="s">
        <v>166</v>
      </c>
    </row>
    <row r="602" spans="9:17" x14ac:dyDescent="0.45">
      <c r="I602" t="s">
        <v>226</v>
      </c>
      <c r="J602" t="s">
        <v>169</v>
      </c>
      <c r="K602">
        <v>0.1621552445385091</v>
      </c>
      <c r="L602" t="s">
        <v>166</v>
      </c>
      <c r="N602" t="s">
        <v>291</v>
      </c>
      <c r="O602" t="s">
        <v>169</v>
      </c>
      <c r="P602">
        <v>0.12215783983211495</v>
      </c>
      <c r="Q602" t="s">
        <v>166</v>
      </c>
    </row>
    <row r="603" spans="9:17" x14ac:dyDescent="0.45">
      <c r="I603" t="s">
        <v>226</v>
      </c>
      <c r="J603" t="s">
        <v>170</v>
      </c>
      <c r="K603">
        <v>9.0449166773005282E-3</v>
      </c>
      <c r="L603" t="s">
        <v>166</v>
      </c>
      <c r="N603" t="s">
        <v>291</v>
      </c>
      <c r="O603" t="s">
        <v>170</v>
      </c>
      <c r="P603">
        <v>3.9527583772112421E-3</v>
      </c>
      <c r="Q603" t="s">
        <v>166</v>
      </c>
    </row>
    <row r="604" spans="9:17" x14ac:dyDescent="0.45">
      <c r="I604" t="s">
        <v>226</v>
      </c>
      <c r="J604" t="s">
        <v>171</v>
      </c>
      <c r="K604">
        <v>2.7934267448001559E-3</v>
      </c>
      <c r="L604" t="s">
        <v>166</v>
      </c>
      <c r="N604" t="s">
        <v>291</v>
      </c>
      <c r="O604" t="s">
        <v>171</v>
      </c>
      <c r="P604">
        <v>5.6441973156299355E-2</v>
      </c>
      <c r="Q604" t="s">
        <v>166</v>
      </c>
    </row>
    <row r="605" spans="9:17" x14ac:dyDescent="0.45">
      <c r="I605" t="s">
        <v>226</v>
      </c>
      <c r="J605" t="s">
        <v>172</v>
      </c>
      <c r="K605">
        <v>7.9686499650333323E-2</v>
      </c>
      <c r="L605" t="s">
        <v>166</v>
      </c>
      <c r="N605" t="s">
        <v>291</v>
      </c>
      <c r="O605" t="s">
        <v>172</v>
      </c>
      <c r="P605">
        <v>6.5218053461573736E-2</v>
      </c>
      <c r="Q605" t="s">
        <v>166</v>
      </c>
    </row>
    <row r="606" spans="9:17" x14ac:dyDescent="0.45">
      <c r="I606" t="s">
        <v>226</v>
      </c>
      <c r="J606" t="s">
        <v>173</v>
      </c>
      <c r="K606">
        <v>3.3035552515409362E-3</v>
      </c>
      <c r="L606" t="s">
        <v>166</v>
      </c>
      <c r="N606" t="s">
        <v>291</v>
      </c>
      <c r="O606" t="s">
        <v>173</v>
      </c>
      <c r="P606">
        <v>2.3531637949740837E-3</v>
      </c>
      <c r="Q606" t="s">
        <v>166</v>
      </c>
    </row>
    <row r="607" spans="9:17" x14ac:dyDescent="0.45">
      <c r="I607" t="s">
        <v>226</v>
      </c>
      <c r="J607" t="s">
        <v>174</v>
      </c>
      <c r="K607">
        <v>0</v>
      </c>
      <c r="L607" t="s">
        <v>166</v>
      </c>
      <c r="N607" t="s">
        <v>291</v>
      </c>
      <c r="O607" t="s">
        <v>174</v>
      </c>
      <c r="P607">
        <v>3.0980319186149179E-2</v>
      </c>
      <c r="Q607" t="s">
        <v>166</v>
      </c>
    </row>
    <row r="608" spans="9:17" x14ac:dyDescent="0.45">
      <c r="I608" t="s">
        <v>226</v>
      </c>
      <c r="J608" t="s">
        <v>175</v>
      </c>
      <c r="K608">
        <v>0.13892568998211435</v>
      </c>
      <c r="L608" t="s">
        <v>166</v>
      </c>
      <c r="N608" t="s">
        <v>291</v>
      </c>
      <c r="O608" t="s">
        <v>175</v>
      </c>
      <c r="P608">
        <v>8.4388540497097139E-2</v>
      </c>
      <c r="Q608" t="s">
        <v>166</v>
      </c>
    </row>
    <row r="609" spans="9:17" x14ac:dyDescent="0.45">
      <c r="I609" t="s">
        <v>226</v>
      </c>
      <c r="J609" t="s">
        <v>176</v>
      </c>
      <c r="K609">
        <v>9.6970356976482639E-4</v>
      </c>
      <c r="L609" t="s">
        <v>166</v>
      </c>
      <c r="N609" t="s">
        <v>291</v>
      </c>
      <c r="O609" t="s">
        <v>176</v>
      </c>
      <c r="P609">
        <v>4.6619039939053558E-3</v>
      </c>
      <c r="Q609" t="s">
        <v>166</v>
      </c>
    </row>
    <row r="610" spans="9:17" x14ac:dyDescent="0.45">
      <c r="I610" t="s">
        <v>226</v>
      </c>
      <c r="J610" t="s">
        <v>177</v>
      </c>
      <c r="K610">
        <v>0</v>
      </c>
      <c r="L610" t="s">
        <v>166</v>
      </c>
      <c r="N610" t="s">
        <v>291</v>
      </c>
      <c r="O610" t="s">
        <v>177</v>
      </c>
      <c r="P610">
        <v>4.1700917901493384E-2</v>
      </c>
      <c r="Q610" t="s">
        <v>166</v>
      </c>
    </row>
    <row r="611" spans="9:17" x14ac:dyDescent="0.45">
      <c r="I611" t="s">
        <v>227</v>
      </c>
      <c r="J611" t="s">
        <v>165</v>
      </c>
      <c r="K611">
        <v>0.55860870155830089</v>
      </c>
      <c r="L611" t="s">
        <v>166</v>
      </c>
      <c r="N611" t="s">
        <v>292</v>
      </c>
      <c r="O611" t="s">
        <v>165</v>
      </c>
      <c r="P611">
        <v>0.43745046771782586</v>
      </c>
      <c r="Q611" t="s">
        <v>166</v>
      </c>
    </row>
    <row r="612" spans="9:17" x14ac:dyDescent="0.45">
      <c r="I612" t="s">
        <v>227</v>
      </c>
      <c r="J612" t="s">
        <v>167</v>
      </c>
      <c r="K612">
        <v>3.1174049755876666E-2</v>
      </c>
      <c r="L612" t="s">
        <v>166</v>
      </c>
      <c r="N612" t="s">
        <v>292</v>
      </c>
      <c r="O612" t="s">
        <v>167</v>
      </c>
      <c r="P612">
        <v>2.0524728581702133E-2</v>
      </c>
      <c r="Q612" t="s">
        <v>166</v>
      </c>
    </row>
    <row r="613" spans="9:17" x14ac:dyDescent="0.45">
      <c r="I613" t="s">
        <v>227</v>
      </c>
      <c r="J613" t="s">
        <v>168</v>
      </c>
      <c r="K613">
        <v>9.6758649565772438E-3</v>
      </c>
      <c r="L613" t="s">
        <v>166</v>
      </c>
      <c r="N613" t="s">
        <v>292</v>
      </c>
      <c r="O613" t="s">
        <v>168</v>
      </c>
      <c r="P613">
        <v>0.16880893913380354</v>
      </c>
      <c r="Q613" t="s">
        <v>166</v>
      </c>
    </row>
    <row r="614" spans="9:17" x14ac:dyDescent="0.45">
      <c r="I614" t="s">
        <v>227</v>
      </c>
      <c r="J614" t="s">
        <v>169</v>
      </c>
      <c r="K614">
        <v>0.15886800231791501</v>
      </c>
      <c r="L614" t="s">
        <v>166</v>
      </c>
      <c r="N614" t="s">
        <v>292</v>
      </c>
      <c r="O614" t="s">
        <v>169</v>
      </c>
      <c r="P614">
        <v>0.1295213979853885</v>
      </c>
      <c r="Q614" t="s">
        <v>166</v>
      </c>
    </row>
    <row r="615" spans="9:17" x14ac:dyDescent="0.45">
      <c r="I615" t="s">
        <v>227</v>
      </c>
      <c r="J615" t="s">
        <v>170</v>
      </c>
      <c r="K615">
        <v>8.1989984954861667E-3</v>
      </c>
      <c r="L615" t="s">
        <v>166</v>
      </c>
      <c r="N615" t="s">
        <v>292</v>
      </c>
      <c r="O615" t="s">
        <v>170</v>
      </c>
      <c r="P615">
        <v>5.2638739633682373E-3</v>
      </c>
      <c r="Q615" t="s">
        <v>166</v>
      </c>
    </row>
    <row r="616" spans="9:17" x14ac:dyDescent="0.45">
      <c r="I616" t="s">
        <v>227</v>
      </c>
      <c r="J616" t="s">
        <v>171</v>
      </c>
      <c r="K616">
        <v>2.6845453551612992E-3</v>
      </c>
      <c r="L616" t="s">
        <v>166</v>
      </c>
      <c r="N616" t="s">
        <v>292</v>
      </c>
      <c r="O616" t="s">
        <v>171</v>
      </c>
      <c r="P616">
        <v>5.624369080218139E-2</v>
      </c>
      <c r="Q616" t="s">
        <v>166</v>
      </c>
    </row>
    <row r="617" spans="9:17" x14ac:dyDescent="0.45">
      <c r="I617" t="s">
        <v>227</v>
      </c>
      <c r="J617" t="s">
        <v>172</v>
      </c>
      <c r="K617">
        <v>8.0326081857687998E-2</v>
      </c>
      <c r="L617" t="s">
        <v>166</v>
      </c>
      <c r="N617" t="s">
        <v>292</v>
      </c>
      <c r="O617" t="s">
        <v>172</v>
      </c>
      <c r="P617">
        <v>4.1662353842502005E-2</v>
      </c>
      <c r="Q617" t="s">
        <v>166</v>
      </c>
    </row>
    <row r="618" spans="9:17" x14ac:dyDescent="0.45">
      <c r="I618" t="s">
        <v>227</v>
      </c>
      <c r="J618" t="s">
        <v>173</v>
      </c>
      <c r="K618">
        <v>3.5439594455519011E-3</v>
      </c>
      <c r="L618" t="s">
        <v>166</v>
      </c>
      <c r="N618" t="s">
        <v>292</v>
      </c>
      <c r="O618" t="s">
        <v>173</v>
      </c>
      <c r="P618">
        <v>1.2687628999962326E-3</v>
      </c>
      <c r="Q618" t="s">
        <v>166</v>
      </c>
    </row>
    <row r="619" spans="9:17" x14ac:dyDescent="0.45">
      <c r="I619" t="s">
        <v>227</v>
      </c>
      <c r="J619" t="s">
        <v>174</v>
      </c>
      <c r="K619">
        <v>0</v>
      </c>
      <c r="L619" t="s">
        <v>166</v>
      </c>
      <c r="N619" t="s">
        <v>292</v>
      </c>
      <c r="O619" t="s">
        <v>174</v>
      </c>
      <c r="P619">
        <v>1.8401309638553714E-2</v>
      </c>
      <c r="Q619" t="s">
        <v>166</v>
      </c>
    </row>
    <row r="620" spans="9:17" x14ac:dyDescent="0.45">
      <c r="I620" t="s">
        <v>227</v>
      </c>
      <c r="J620" t="s">
        <v>175</v>
      </c>
      <c r="K620">
        <v>0.1430587561995387</v>
      </c>
      <c r="L620" t="s">
        <v>166</v>
      </c>
      <c r="N620" t="s">
        <v>292</v>
      </c>
      <c r="O620" t="s">
        <v>175</v>
      </c>
      <c r="P620">
        <v>7.8994585642640211E-2</v>
      </c>
      <c r="Q620" t="s">
        <v>166</v>
      </c>
    </row>
    <row r="621" spans="9:17" x14ac:dyDescent="0.45">
      <c r="I621" t="s">
        <v>227</v>
      </c>
      <c r="J621" t="s">
        <v>176</v>
      </c>
      <c r="K621">
        <v>3.8610400579017767E-3</v>
      </c>
      <c r="L621" t="s">
        <v>166</v>
      </c>
      <c r="N621" t="s">
        <v>292</v>
      </c>
      <c r="O621" t="s">
        <v>176</v>
      </c>
      <c r="P621">
        <v>4.5988329446719533E-3</v>
      </c>
      <c r="Q621" t="s">
        <v>166</v>
      </c>
    </row>
    <row r="622" spans="9:17" x14ac:dyDescent="0.45">
      <c r="I622" t="s">
        <v>227</v>
      </c>
      <c r="J622" t="s">
        <v>177</v>
      </c>
      <c r="K622">
        <v>0</v>
      </c>
      <c r="L622" t="s">
        <v>166</v>
      </c>
      <c r="N622" t="s">
        <v>292</v>
      </c>
      <c r="O622" t="s">
        <v>177</v>
      </c>
      <c r="P622">
        <v>3.7261056847362493E-2</v>
      </c>
      <c r="Q622" t="s">
        <v>166</v>
      </c>
    </row>
    <row r="623" spans="9:17" x14ac:dyDescent="0.45">
      <c r="I623" t="s">
        <v>228</v>
      </c>
      <c r="J623" t="s">
        <v>165</v>
      </c>
      <c r="K623">
        <v>0.55223699602456988</v>
      </c>
      <c r="L623" t="s">
        <v>166</v>
      </c>
      <c r="N623" t="s">
        <v>293</v>
      </c>
      <c r="O623" t="s">
        <v>165</v>
      </c>
      <c r="P623">
        <v>0.44845435484481916</v>
      </c>
      <c r="Q623" t="s">
        <v>166</v>
      </c>
    </row>
    <row r="624" spans="9:17" x14ac:dyDescent="0.45">
      <c r="I624" t="s">
        <v>228</v>
      </c>
      <c r="J624" t="s">
        <v>167</v>
      </c>
      <c r="K624">
        <v>3.4473499456281052E-2</v>
      </c>
      <c r="L624" t="s">
        <v>166</v>
      </c>
      <c r="N624" t="s">
        <v>293</v>
      </c>
      <c r="O624" t="s">
        <v>167</v>
      </c>
      <c r="P624">
        <v>2.2674805671397229E-2</v>
      </c>
      <c r="Q624" t="s">
        <v>166</v>
      </c>
    </row>
    <row r="625" spans="9:17" x14ac:dyDescent="0.45">
      <c r="I625" t="s">
        <v>228</v>
      </c>
      <c r="J625" t="s">
        <v>168</v>
      </c>
      <c r="K625">
        <v>1.3759802681862908E-2</v>
      </c>
      <c r="L625" t="s">
        <v>166</v>
      </c>
      <c r="N625" t="s">
        <v>293</v>
      </c>
      <c r="O625" t="s">
        <v>168</v>
      </c>
      <c r="P625">
        <v>0.16889523511344373</v>
      </c>
      <c r="Q625" t="s">
        <v>166</v>
      </c>
    </row>
    <row r="626" spans="9:17" x14ac:dyDescent="0.45">
      <c r="I626" t="s">
        <v>228</v>
      </c>
      <c r="J626" t="s">
        <v>169</v>
      </c>
      <c r="K626">
        <v>0.14909026503135125</v>
      </c>
      <c r="L626" t="s">
        <v>166</v>
      </c>
      <c r="N626" t="s">
        <v>293</v>
      </c>
      <c r="O626" t="s">
        <v>169</v>
      </c>
      <c r="P626">
        <v>0.11875999511420049</v>
      </c>
      <c r="Q626" t="s">
        <v>166</v>
      </c>
    </row>
    <row r="627" spans="9:17" x14ac:dyDescent="0.45">
      <c r="I627" t="s">
        <v>228</v>
      </c>
      <c r="J627" t="s">
        <v>170</v>
      </c>
      <c r="K627">
        <v>7.9801425579245373E-3</v>
      </c>
      <c r="L627" t="s">
        <v>166</v>
      </c>
      <c r="N627" t="s">
        <v>293</v>
      </c>
      <c r="O627" t="s">
        <v>170</v>
      </c>
      <c r="P627">
        <v>6.0929875975715047E-3</v>
      </c>
      <c r="Q627" t="s">
        <v>166</v>
      </c>
    </row>
    <row r="628" spans="9:17" x14ac:dyDescent="0.45">
      <c r="I628" t="s">
        <v>228</v>
      </c>
      <c r="J628" t="s">
        <v>171</v>
      </c>
      <c r="K628">
        <v>3.4607111569273019E-3</v>
      </c>
      <c r="L628" t="s">
        <v>166</v>
      </c>
      <c r="N628" t="s">
        <v>293</v>
      </c>
      <c r="O628" t="s">
        <v>171</v>
      </c>
      <c r="P628">
        <v>5.2652373975922179E-2</v>
      </c>
      <c r="Q628" t="s">
        <v>166</v>
      </c>
    </row>
    <row r="629" spans="9:17" x14ac:dyDescent="0.45">
      <c r="I629" t="s">
        <v>228</v>
      </c>
      <c r="J629" t="s">
        <v>172</v>
      </c>
      <c r="K629">
        <v>7.9275584929101833E-2</v>
      </c>
      <c r="L629" t="s">
        <v>166</v>
      </c>
      <c r="N629" t="s">
        <v>293</v>
      </c>
      <c r="O629" t="s">
        <v>172</v>
      </c>
      <c r="P629">
        <v>3.1445381557181747E-2</v>
      </c>
      <c r="Q629" t="s">
        <v>166</v>
      </c>
    </row>
    <row r="630" spans="9:17" x14ac:dyDescent="0.45">
      <c r="I630" t="s">
        <v>228</v>
      </c>
      <c r="J630" t="s">
        <v>173</v>
      </c>
      <c r="K630">
        <v>4.0216214558960557E-3</v>
      </c>
      <c r="L630" t="s">
        <v>166</v>
      </c>
      <c r="N630" t="s">
        <v>293</v>
      </c>
      <c r="O630" t="s">
        <v>173</v>
      </c>
      <c r="P630">
        <v>1.3803082263464921E-3</v>
      </c>
      <c r="Q630" t="s">
        <v>166</v>
      </c>
    </row>
    <row r="631" spans="9:17" x14ac:dyDescent="0.45">
      <c r="I631" t="s">
        <v>228</v>
      </c>
      <c r="J631" t="s">
        <v>174</v>
      </c>
      <c r="K631">
        <v>0</v>
      </c>
      <c r="L631" t="s">
        <v>166</v>
      </c>
      <c r="N631" t="s">
        <v>293</v>
      </c>
      <c r="O631" t="s">
        <v>174</v>
      </c>
      <c r="P631">
        <v>1.8190119732498209E-2</v>
      </c>
      <c r="Q631" t="s">
        <v>166</v>
      </c>
    </row>
    <row r="632" spans="9:17" x14ac:dyDescent="0.45">
      <c r="I632" t="s">
        <v>228</v>
      </c>
      <c r="J632" t="s">
        <v>175</v>
      </c>
      <c r="K632">
        <v>0.14876994522841958</v>
      </c>
      <c r="L632" t="s">
        <v>166</v>
      </c>
      <c r="N632" t="s">
        <v>293</v>
      </c>
      <c r="O632" t="s">
        <v>175</v>
      </c>
      <c r="P632">
        <v>9.2507861134681915E-2</v>
      </c>
      <c r="Q632" t="s">
        <v>166</v>
      </c>
    </row>
    <row r="633" spans="9:17" x14ac:dyDescent="0.45">
      <c r="I633" t="s">
        <v>228</v>
      </c>
      <c r="J633" t="s">
        <v>176</v>
      </c>
      <c r="K633">
        <v>6.9314314776657716E-3</v>
      </c>
      <c r="L633" t="s">
        <v>166</v>
      </c>
      <c r="N633" t="s">
        <v>293</v>
      </c>
      <c r="O633" t="s">
        <v>176</v>
      </c>
      <c r="P633">
        <v>4.9572990685882523E-3</v>
      </c>
      <c r="Q633" t="s">
        <v>166</v>
      </c>
    </row>
    <row r="634" spans="9:17" x14ac:dyDescent="0.45">
      <c r="I634" t="s">
        <v>228</v>
      </c>
      <c r="J634" t="s">
        <v>177</v>
      </c>
      <c r="K634">
        <v>0</v>
      </c>
      <c r="L634" t="s">
        <v>166</v>
      </c>
      <c r="N634" t="s">
        <v>293</v>
      </c>
      <c r="O634" t="s">
        <v>177</v>
      </c>
      <c r="P634">
        <v>3.3989277963351189E-2</v>
      </c>
      <c r="Q634" t="s">
        <v>166</v>
      </c>
    </row>
    <row r="635" spans="9:17" x14ac:dyDescent="0.45">
      <c r="I635" t="s">
        <v>229</v>
      </c>
      <c r="J635" t="s">
        <v>165</v>
      </c>
      <c r="K635">
        <v>0.55291976452485048</v>
      </c>
      <c r="L635" t="s">
        <v>166</v>
      </c>
      <c r="N635" t="s">
        <v>294</v>
      </c>
      <c r="O635" t="s">
        <v>165</v>
      </c>
      <c r="P635">
        <v>0.46690428637376602</v>
      </c>
      <c r="Q635" t="s">
        <v>166</v>
      </c>
    </row>
    <row r="636" spans="9:17" x14ac:dyDescent="0.45">
      <c r="I636" t="s">
        <v>229</v>
      </c>
      <c r="J636" t="s">
        <v>167</v>
      </c>
      <c r="K636">
        <v>3.1933809610337781E-2</v>
      </c>
      <c r="L636" t="s">
        <v>166</v>
      </c>
      <c r="N636" t="s">
        <v>294</v>
      </c>
      <c r="O636" t="s">
        <v>167</v>
      </c>
      <c r="P636">
        <v>2.1546615724744759E-2</v>
      </c>
      <c r="Q636" t="s">
        <v>166</v>
      </c>
    </row>
    <row r="637" spans="9:17" x14ac:dyDescent="0.45">
      <c r="I637" t="s">
        <v>229</v>
      </c>
      <c r="J637" t="s">
        <v>168</v>
      </c>
      <c r="K637">
        <v>1.0473150329817315E-2</v>
      </c>
      <c r="L637" t="s">
        <v>166</v>
      </c>
      <c r="N637" t="s">
        <v>294</v>
      </c>
      <c r="O637" t="s">
        <v>168</v>
      </c>
      <c r="P637">
        <v>0.17201375048229389</v>
      </c>
      <c r="Q637" t="s">
        <v>166</v>
      </c>
    </row>
    <row r="638" spans="9:17" x14ac:dyDescent="0.45">
      <c r="I638" t="s">
        <v>229</v>
      </c>
      <c r="J638" t="s">
        <v>169</v>
      </c>
      <c r="K638">
        <v>0.15678393383787939</v>
      </c>
      <c r="L638" t="s">
        <v>166</v>
      </c>
      <c r="N638" t="s">
        <v>294</v>
      </c>
      <c r="O638" t="s">
        <v>169</v>
      </c>
      <c r="P638">
        <v>0.11524705468041298</v>
      </c>
      <c r="Q638" t="s">
        <v>166</v>
      </c>
    </row>
    <row r="639" spans="9:17" x14ac:dyDescent="0.45">
      <c r="I639" t="s">
        <v>229</v>
      </c>
      <c r="J639" t="s">
        <v>170</v>
      </c>
      <c r="K639">
        <v>8.2655704812232347E-3</v>
      </c>
      <c r="L639" t="s">
        <v>166</v>
      </c>
      <c r="N639" t="s">
        <v>294</v>
      </c>
      <c r="O639" t="s">
        <v>170</v>
      </c>
      <c r="P639">
        <v>3.6156420774603043E-3</v>
      </c>
      <c r="Q639" t="s">
        <v>166</v>
      </c>
    </row>
    <row r="640" spans="9:17" x14ac:dyDescent="0.45">
      <c r="I640" t="s">
        <v>229</v>
      </c>
      <c r="J640" t="s">
        <v>171</v>
      </c>
      <c r="K640">
        <v>2.8132576136556966E-3</v>
      </c>
      <c r="L640" t="s">
        <v>166</v>
      </c>
      <c r="N640" t="s">
        <v>294</v>
      </c>
      <c r="O640" t="s">
        <v>171</v>
      </c>
      <c r="P640">
        <v>4.6689799484336471E-2</v>
      </c>
      <c r="Q640" t="s">
        <v>166</v>
      </c>
    </row>
    <row r="641" spans="9:17" x14ac:dyDescent="0.45">
      <c r="I641" t="s">
        <v>229</v>
      </c>
      <c r="J641" t="s">
        <v>172</v>
      </c>
      <c r="K641">
        <v>8.0212644903222829E-2</v>
      </c>
      <c r="L641" t="s">
        <v>166</v>
      </c>
      <c r="N641" t="s">
        <v>294</v>
      </c>
      <c r="O641" t="s">
        <v>172</v>
      </c>
      <c r="P641">
        <v>4.0475621000658053E-2</v>
      </c>
      <c r="Q641" t="s">
        <v>166</v>
      </c>
    </row>
    <row r="642" spans="9:17" x14ac:dyDescent="0.45">
      <c r="I642" t="s">
        <v>229</v>
      </c>
      <c r="J642" t="s">
        <v>173</v>
      </c>
      <c r="K642">
        <v>3.7331755378451239E-3</v>
      </c>
      <c r="L642" t="s">
        <v>166</v>
      </c>
      <c r="N642" t="s">
        <v>294</v>
      </c>
      <c r="O642" t="s">
        <v>173</v>
      </c>
      <c r="P642">
        <v>5.7684205328319312E-4</v>
      </c>
      <c r="Q642" t="s">
        <v>166</v>
      </c>
    </row>
    <row r="643" spans="9:17" x14ac:dyDescent="0.45">
      <c r="I643" t="s">
        <v>229</v>
      </c>
      <c r="J643" t="s">
        <v>174</v>
      </c>
      <c r="K643">
        <v>0</v>
      </c>
      <c r="L643" t="s">
        <v>166</v>
      </c>
      <c r="N643" t="s">
        <v>294</v>
      </c>
      <c r="O643" t="s">
        <v>174</v>
      </c>
      <c r="P643">
        <v>1.3640441530894304E-2</v>
      </c>
      <c r="Q643" t="s">
        <v>166</v>
      </c>
    </row>
    <row r="644" spans="9:17" x14ac:dyDescent="0.45">
      <c r="I644" t="s">
        <v>229</v>
      </c>
      <c r="J644" t="s">
        <v>175</v>
      </c>
      <c r="K644">
        <v>0.14651930466046786</v>
      </c>
      <c r="L644" t="s">
        <v>166</v>
      </c>
      <c r="N644" t="s">
        <v>294</v>
      </c>
      <c r="O644" t="s">
        <v>175</v>
      </c>
      <c r="P644">
        <v>8.0219213769725864E-2</v>
      </c>
      <c r="Q644" t="s">
        <v>166</v>
      </c>
    </row>
    <row r="645" spans="9:17" x14ac:dyDescent="0.45">
      <c r="I645" t="s">
        <v>229</v>
      </c>
      <c r="J645" t="s">
        <v>176</v>
      </c>
      <c r="K645">
        <v>6.3453885007014564E-3</v>
      </c>
      <c r="L645" t="s">
        <v>166</v>
      </c>
      <c r="N645" t="s">
        <v>294</v>
      </c>
      <c r="O645" t="s">
        <v>176</v>
      </c>
      <c r="P645">
        <v>4.374242314935075E-3</v>
      </c>
      <c r="Q645" t="s">
        <v>166</v>
      </c>
    </row>
    <row r="646" spans="9:17" x14ac:dyDescent="0.45">
      <c r="I646" t="s">
        <v>229</v>
      </c>
      <c r="J646" t="s">
        <v>177</v>
      </c>
      <c r="K646">
        <v>0</v>
      </c>
      <c r="L646" t="s">
        <v>166</v>
      </c>
      <c r="N646" t="s">
        <v>294</v>
      </c>
      <c r="O646" t="s">
        <v>177</v>
      </c>
      <c r="P646">
        <v>3.4696490507489075E-2</v>
      </c>
      <c r="Q646" t="s">
        <v>166</v>
      </c>
    </row>
    <row r="647" spans="9:17" x14ac:dyDescent="0.45">
      <c r="I647" t="s">
        <v>230</v>
      </c>
      <c r="J647" t="s">
        <v>165</v>
      </c>
      <c r="K647">
        <v>0.56763529891677178</v>
      </c>
      <c r="L647" t="s">
        <v>166</v>
      </c>
      <c r="N647" t="s">
        <v>295</v>
      </c>
      <c r="O647" t="s">
        <v>165</v>
      </c>
      <c r="P647">
        <v>0.466239445337848</v>
      </c>
      <c r="Q647" t="s">
        <v>166</v>
      </c>
    </row>
    <row r="648" spans="9:17" x14ac:dyDescent="0.45">
      <c r="I648" t="s">
        <v>230</v>
      </c>
      <c r="J648" t="s">
        <v>167</v>
      </c>
      <c r="K648">
        <v>3.6755382378119324E-2</v>
      </c>
      <c r="L648" t="s">
        <v>166</v>
      </c>
      <c r="N648" t="s">
        <v>295</v>
      </c>
      <c r="O648" t="s">
        <v>167</v>
      </c>
      <c r="P648">
        <v>2.157650981911793E-2</v>
      </c>
      <c r="Q648" t="s">
        <v>166</v>
      </c>
    </row>
    <row r="649" spans="9:17" x14ac:dyDescent="0.45">
      <c r="I649" t="s">
        <v>230</v>
      </c>
      <c r="J649" t="s">
        <v>168</v>
      </c>
      <c r="K649">
        <v>1.497673432982718E-2</v>
      </c>
      <c r="L649" t="s">
        <v>166</v>
      </c>
      <c r="N649" t="s">
        <v>295</v>
      </c>
      <c r="O649" t="s">
        <v>168</v>
      </c>
      <c r="P649">
        <v>0.17272532657279857</v>
      </c>
      <c r="Q649" t="s">
        <v>166</v>
      </c>
    </row>
    <row r="650" spans="9:17" x14ac:dyDescent="0.45">
      <c r="I650" t="s">
        <v>230</v>
      </c>
      <c r="J650" t="s">
        <v>169</v>
      </c>
      <c r="K650">
        <v>0.15566370444480845</v>
      </c>
      <c r="L650" t="s">
        <v>166</v>
      </c>
      <c r="N650" t="s">
        <v>295</v>
      </c>
      <c r="O650" t="s">
        <v>169</v>
      </c>
      <c r="P650">
        <v>0.11791173214772453</v>
      </c>
      <c r="Q650" t="s">
        <v>166</v>
      </c>
    </row>
    <row r="651" spans="9:17" x14ac:dyDescent="0.45">
      <c r="I651" t="s">
        <v>230</v>
      </c>
      <c r="J651" t="s">
        <v>170</v>
      </c>
      <c r="K651">
        <v>9.2331223592934854E-3</v>
      </c>
      <c r="L651" t="s">
        <v>166</v>
      </c>
      <c r="N651" t="s">
        <v>295</v>
      </c>
      <c r="O651" t="s">
        <v>170</v>
      </c>
      <c r="P651">
        <v>4.8667087180165229E-3</v>
      </c>
      <c r="Q651" t="s">
        <v>166</v>
      </c>
    </row>
    <row r="652" spans="9:17" x14ac:dyDescent="0.45">
      <c r="I652" t="s">
        <v>230</v>
      </c>
      <c r="J652" t="s">
        <v>171</v>
      </c>
      <c r="K652">
        <v>3.5433797931302387E-3</v>
      </c>
      <c r="L652" t="s">
        <v>166</v>
      </c>
      <c r="N652" t="s">
        <v>295</v>
      </c>
      <c r="O652" t="s">
        <v>171</v>
      </c>
      <c r="P652">
        <v>4.7243968628523238E-2</v>
      </c>
      <c r="Q652" t="s">
        <v>166</v>
      </c>
    </row>
    <row r="653" spans="9:17" x14ac:dyDescent="0.45">
      <c r="I653" t="s">
        <v>230</v>
      </c>
      <c r="J653" t="s">
        <v>172</v>
      </c>
      <c r="K653">
        <v>7.5062191896796429E-2</v>
      </c>
      <c r="L653" t="s">
        <v>166</v>
      </c>
      <c r="N653" t="s">
        <v>295</v>
      </c>
      <c r="O653" t="s">
        <v>172</v>
      </c>
      <c r="P653">
        <v>3.044478251746769E-2</v>
      </c>
      <c r="Q653" t="s">
        <v>166</v>
      </c>
    </row>
    <row r="654" spans="9:17" x14ac:dyDescent="0.45">
      <c r="I654" t="s">
        <v>230</v>
      </c>
      <c r="J654" t="s">
        <v>173</v>
      </c>
      <c r="K654">
        <v>3.6040479855143706E-3</v>
      </c>
      <c r="L654" t="s">
        <v>166</v>
      </c>
      <c r="N654" t="s">
        <v>295</v>
      </c>
      <c r="O654" t="s">
        <v>173</v>
      </c>
      <c r="P654">
        <v>8.201754814278258E-4</v>
      </c>
      <c r="Q654" t="s">
        <v>166</v>
      </c>
    </row>
    <row r="655" spans="9:17" x14ac:dyDescent="0.45">
      <c r="I655" t="s">
        <v>230</v>
      </c>
      <c r="J655" t="s">
        <v>174</v>
      </c>
      <c r="K655">
        <v>0</v>
      </c>
      <c r="L655" t="s">
        <v>166</v>
      </c>
      <c r="N655" t="s">
        <v>295</v>
      </c>
      <c r="O655" t="s">
        <v>174</v>
      </c>
      <c r="P655">
        <v>1.3157150057125604E-2</v>
      </c>
      <c r="Q655" t="s">
        <v>166</v>
      </c>
    </row>
    <row r="656" spans="9:17" x14ac:dyDescent="0.45">
      <c r="I656" t="s">
        <v>230</v>
      </c>
      <c r="J656" t="s">
        <v>175</v>
      </c>
      <c r="K656">
        <v>0.13080591185121054</v>
      </c>
      <c r="L656" t="s">
        <v>166</v>
      </c>
      <c r="N656" t="s">
        <v>295</v>
      </c>
      <c r="O656" t="s">
        <v>175</v>
      </c>
      <c r="P656">
        <v>8.7544279456774579E-2</v>
      </c>
      <c r="Q656" t="s">
        <v>166</v>
      </c>
    </row>
    <row r="657" spans="9:17" x14ac:dyDescent="0.45">
      <c r="I657" t="s">
        <v>230</v>
      </c>
      <c r="J657" t="s">
        <v>176</v>
      </c>
      <c r="K657">
        <v>2.7202260445317985E-3</v>
      </c>
      <c r="L657" t="s">
        <v>166</v>
      </c>
      <c r="N657" t="s">
        <v>295</v>
      </c>
      <c r="O657" t="s">
        <v>176</v>
      </c>
      <c r="P657">
        <v>4.2792633263546509E-3</v>
      </c>
      <c r="Q657" t="s">
        <v>166</v>
      </c>
    </row>
    <row r="658" spans="9:17" x14ac:dyDescent="0.45">
      <c r="I658" t="s">
        <v>230</v>
      </c>
      <c r="J658" t="s">
        <v>177</v>
      </c>
      <c r="K658">
        <v>0</v>
      </c>
      <c r="L658" t="s">
        <v>166</v>
      </c>
      <c r="N658" t="s">
        <v>295</v>
      </c>
      <c r="O658" t="s">
        <v>177</v>
      </c>
      <c r="P658">
        <v>3.3190657936824214E-2</v>
      </c>
      <c r="Q658" t="s">
        <v>166</v>
      </c>
    </row>
    <row r="659" spans="9:17" x14ac:dyDescent="0.45">
      <c r="I659" t="s">
        <v>231</v>
      </c>
      <c r="J659" t="s">
        <v>165</v>
      </c>
      <c r="K659">
        <v>0.56969977441304287</v>
      </c>
      <c r="L659" t="s">
        <v>166</v>
      </c>
      <c r="N659" t="s">
        <v>296</v>
      </c>
      <c r="O659" t="s">
        <v>165</v>
      </c>
      <c r="P659">
        <v>0.46539435998470324</v>
      </c>
      <c r="Q659" t="s">
        <v>166</v>
      </c>
    </row>
    <row r="660" spans="9:17" x14ac:dyDescent="0.45">
      <c r="I660" t="s">
        <v>231</v>
      </c>
      <c r="J660" t="s">
        <v>167</v>
      </c>
      <c r="K660">
        <v>3.531515605382133E-2</v>
      </c>
      <c r="L660" t="s">
        <v>166</v>
      </c>
      <c r="N660" t="s">
        <v>296</v>
      </c>
      <c r="O660" t="s">
        <v>167</v>
      </c>
      <c r="P660">
        <v>2.2298328744901608E-2</v>
      </c>
      <c r="Q660" t="s">
        <v>166</v>
      </c>
    </row>
    <row r="661" spans="9:17" x14ac:dyDescent="0.45">
      <c r="I661" t="s">
        <v>231</v>
      </c>
      <c r="J661" t="s">
        <v>168</v>
      </c>
      <c r="K661">
        <v>1.3257559818166904E-2</v>
      </c>
      <c r="L661" t="s">
        <v>166</v>
      </c>
      <c r="N661" t="s">
        <v>296</v>
      </c>
      <c r="O661" t="s">
        <v>168</v>
      </c>
      <c r="P661">
        <v>0.17510804843299885</v>
      </c>
      <c r="Q661" t="s">
        <v>166</v>
      </c>
    </row>
    <row r="662" spans="9:17" x14ac:dyDescent="0.45">
      <c r="I662" t="s">
        <v>231</v>
      </c>
      <c r="J662" t="s">
        <v>169</v>
      </c>
      <c r="K662">
        <v>0.15402467898945738</v>
      </c>
      <c r="L662" t="s">
        <v>166</v>
      </c>
      <c r="N662" t="s">
        <v>296</v>
      </c>
      <c r="O662" t="s">
        <v>169</v>
      </c>
      <c r="P662">
        <v>0.10223375247933768</v>
      </c>
      <c r="Q662" t="s">
        <v>166</v>
      </c>
    </row>
    <row r="663" spans="9:17" x14ac:dyDescent="0.45">
      <c r="I663" t="s">
        <v>231</v>
      </c>
      <c r="J663" t="s">
        <v>170</v>
      </c>
      <c r="K663">
        <v>8.7959432643493138E-3</v>
      </c>
      <c r="L663" t="s">
        <v>166</v>
      </c>
      <c r="N663" t="s">
        <v>296</v>
      </c>
      <c r="O663" t="s">
        <v>170</v>
      </c>
      <c r="P663">
        <v>4.339136172146635E-3</v>
      </c>
      <c r="Q663" t="s">
        <v>166</v>
      </c>
    </row>
    <row r="664" spans="9:17" x14ac:dyDescent="0.45">
      <c r="I664" t="s">
        <v>231</v>
      </c>
      <c r="J664" t="s">
        <v>171</v>
      </c>
      <c r="K664">
        <v>3.3819851721571923E-3</v>
      </c>
      <c r="L664" t="s">
        <v>166</v>
      </c>
      <c r="N664" t="s">
        <v>296</v>
      </c>
      <c r="O664" t="s">
        <v>171</v>
      </c>
      <c r="P664">
        <v>4.308841393391008E-2</v>
      </c>
      <c r="Q664" t="s">
        <v>166</v>
      </c>
    </row>
    <row r="665" spans="9:17" x14ac:dyDescent="0.45">
      <c r="I665" t="s">
        <v>231</v>
      </c>
      <c r="J665" t="s">
        <v>172</v>
      </c>
      <c r="K665">
        <v>7.4924962673351775E-2</v>
      </c>
      <c r="L665" t="s">
        <v>166</v>
      </c>
      <c r="N665" t="s">
        <v>296</v>
      </c>
      <c r="O665" t="s">
        <v>172</v>
      </c>
      <c r="P665">
        <v>2.9688180079667458E-2</v>
      </c>
      <c r="Q665" t="s">
        <v>166</v>
      </c>
    </row>
    <row r="666" spans="9:17" x14ac:dyDescent="0.45">
      <c r="I666" t="s">
        <v>231</v>
      </c>
      <c r="J666" t="s">
        <v>173</v>
      </c>
      <c r="K666">
        <v>3.4682403138133863E-3</v>
      </c>
      <c r="L666" t="s">
        <v>166</v>
      </c>
      <c r="N666" t="s">
        <v>296</v>
      </c>
      <c r="O666" t="s">
        <v>173</v>
      </c>
      <c r="P666">
        <v>1.1539646184950962E-3</v>
      </c>
      <c r="Q666" t="s">
        <v>166</v>
      </c>
    </row>
    <row r="667" spans="9:17" x14ac:dyDescent="0.45">
      <c r="I667" t="s">
        <v>231</v>
      </c>
      <c r="J667" t="s">
        <v>174</v>
      </c>
      <c r="K667">
        <v>0</v>
      </c>
      <c r="L667" t="s">
        <v>166</v>
      </c>
      <c r="N667" t="s">
        <v>296</v>
      </c>
      <c r="O667" t="s">
        <v>174</v>
      </c>
      <c r="P667">
        <v>1.5175892362655548E-2</v>
      </c>
      <c r="Q667" t="s">
        <v>166</v>
      </c>
    </row>
    <row r="668" spans="9:17" x14ac:dyDescent="0.45">
      <c r="I668" t="s">
        <v>231</v>
      </c>
      <c r="J668" t="s">
        <v>175</v>
      </c>
      <c r="K668">
        <v>0.13387888341608029</v>
      </c>
      <c r="L668" t="s">
        <v>166</v>
      </c>
      <c r="N668" t="s">
        <v>296</v>
      </c>
      <c r="O668" t="s">
        <v>175</v>
      </c>
      <c r="P668">
        <v>0.10401912745339117</v>
      </c>
      <c r="Q668" t="s">
        <v>166</v>
      </c>
    </row>
    <row r="669" spans="9:17" x14ac:dyDescent="0.45">
      <c r="I669" t="s">
        <v>231</v>
      </c>
      <c r="J669" t="s">
        <v>176</v>
      </c>
      <c r="K669">
        <v>3.252815885758124E-3</v>
      </c>
      <c r="L669" t="s">
        <v>166</v>
      </c>
      <c r="N669" t="s">
        <v>296</v>
      </c>
      <c r="O669" t="s">
        <v>176</v>
      </c>
      <c r="P669">
        <v>4.2959372666497358E-3</v>
      </c>
      <c r="Q669" t="s">
        <v>166</v>
      </c>
    </row>
    <row r="670" spans="9:17" x14ac:dyDescent="0.45">
      <c r="I670" t="s">
        <v>231</v>
      </c>
      <c r="J670" t="s">
        <v>177</v>
      </c>
      <c r="K670">
        <v>0</v>
      </c>
      <c r="L670" t="s">
        <v>166</v>
      </c>
      <c r="N670" t="s">
        <v>296</v>
      </c>
      <c r="O670" t="s">
        <v>177</v>
      </c>
      <c r="P670">
        <v>3.3204858471147396E-2</v>
      </c>
      <c r="Q670" t="s">
        <v>166</v>
      </c>
    </row>
    <row r="671" spans="9:17" x14ac:dyDescent="0.45">
      <c r="I671" t="s">
        <v>232</v>
      </c>
      <c r="J671" t="s">
        <v>165</v>
      </c>
      <c r="K671">
        <v>0.5719342690089616</v>
      </c>
      <c r="L671" t="s">
        <v>166</v>
      </c>
      <c r="N671" t="s">
        <v>297</v>
      </c>
      <c r="O671" t="s">
        <v>165</v>
      </c>
      <c r="P671">
        <v>0.48197906936096646</v>
      </c>
      <c r="Q671" t="s">
        <v>166</v>
      </c>
    </row>
    <row r="672" spans="9:17" x14ac:dyDescent="0.45">
      <c r="I672" t="s">
        <v>232</v>
      </c>
      <c r="J672" t="s">
        <v>167</v>
      </c>
      <c r="K672">
        <v>3.3938308138298547E-2</v>
      </c>
      <c r="L672" t="s">
        <v>166</v>
      </c>
      <c r="N672" t="s">
        <v>297</v>
      </c>
      <c r="O672" t="s">
        <v>167</v>
      </c>
      <c r="P672">
        <v>3.0867579861116108E-2</v>
      </c>
      <c r="Q672" t="s">
        <v>166</v>
      </c>
    </row>
    <row r="673" spans="9:17" x14ac:dyDescent="0.45">
      <c r="I673" t="s">
        <v>232</v>
      </c>
      <c r="J673" t="s">
        <v>168</v>
      </c>
      <c r="K673">
        <v>1.1770043285670715E-2</v>
      </c>
      <c r="L673" t="s">
        <v>166</v>
      </c>
      <c r="N673" t="s">
        <v>297</v>
      </c>
      <c r="O673" t="s">
        <v>168</v>
      </c>
      <c r="P673">
        <v>0.18072095286884871</v>
      </c>
      <c r="Q673" t="s">
        <v>166</v>
      </c>
    </row>
    <row r="674" spans="9:17" x14ac:dyDescent="0.45">
      <c r="I674" t="s">
        <v>232</v>
      </c>
      <c r="J674" t="s">
        <v>169</v>
      </c>
      <c r="K674">
        <v>0.15563278858700183</v>
      </c>
      <c r="L674" t="s">
        <v>166</v>
      </c>
      <c r="N674" t="s">
        <v>297</v>
      </c>
      <c r="O674" t="s">
        <v>169</v>
      </c>
      <c r="P674">
        <v>8.0347319307337906E-2</v>
      </c>
      <c r="Q674" t="s">
        <v>166</v>
      </c>
    </row>
    <row r="675" spans="9:17" x14ac:dyDescent="0.45">
      <c r="I675" t="s">
        <v>232</v>
      </c>
      <c r="J675" t="s">
        <v>170</v>
      </c>
      <c r="K675">
        <v>8.624931298454739E-3</v>
      </c>
      <c r="L675" t="s">
        <v>166</v>
      </c>
      <c r="N675" t="s">
        <v>297</v>
      </c>
      <c r="O675" t="s">
        <v>170</v>
      </c>
      <c r="P675">
        <v>6.9991510395927756E-3</v>
      </c>
      <c r="Q675" t="s">
        <v>166</v>
      </c>
    </row>
    <row r="676" spans="9:17" x14ac:dyDescent="0.45">
      <c r="I676" t="s">
        <v>232</v>
      </c>
      <c r="J676" t="s">
        <v>171</v>
      </c>
      <c r="K676">
        <v>3.0149095333978611E-3</v>
      </c>
      <c r="L676" t="s">
        <v>166</v>
      </c>
      <c r="N676" t="s">
        <v>297</v>
      </c>
      <c r="O676" t="s">
        <v>171</v>
      </c>
      <c r="P676">
        <v>3.8536279529900623E-2</v>
      </c>
      <c r="Q676" t="s">
        <v>166</v>
      </c>
    </row>
    <row r="677" spans="9:17" x14ac:dyDescent="0.45">
      <c r="I677" t="s">
        <v>232</v>
      </c>
      <c r="J677" t="s">
        <v>172</v>
      </c>
      <c r="K677">
        <v>7.5481308816079465E-2</v>
      </c>
      <c r="L677" t="s">
        <v>166</v>
      </c>
      <c r="N677" t="s">
        <v>297</v>
      </c>
      <c r="O677" t="s">
        <v>172</v>
      </c>
      <c r="P677">
        <v>3.3509695166438494E-2</v>
      </c>
      <c r="Q677" t="s">
        <v>166</v>
      </c>
    </row>
    <row r="678" spans="9:17" x14ac:dyDescent="0.45">
      <c r="I678" t="s">
        <v>232</v>
      </c>
      <c r="J678" t="s">
        <v>173</v>
      </c>
      <c r="K678">
        <v>3.2479831641813658E-3</v>
      </c>
      <c r="L678" t="s">
        <v>166</v>
      </c>
      <c r="N678" t="s">
        <v>297</v>
      </c>
      <c r="O678" t="s">
        <v>173</v>
      </c>
      <c r="P678">
        <v>2.9891050373062732E-3</v>
      </c>
      <c r="Q678" t="s">
        <v>166</v>
      </c>
    </row>
    <row r="679" spans="9:17" x14ac:dyDescent="0.45">
      <c r="I679" t="s">
        <v>232</v>
      </c>
      <c r="J679" t="s">
        <v>174</v>
      </c>
      <c r="K679">
        <v>0</v>
      </c>
      <c r="L679" t="s">
        <v>166</v>
      </c>
      <c r="N679" t="s">
        <v>297</v>
      </c>
      <c r="O679" t="s">
        <v>174</v>
      </c>
      <c r="P679">
        <v>1.3164939987860311E-2</v>
      </c>
      <c r="Q679" t="s">
        <v>166</v>
      </c>
    </row>
    <row r="680" spans="9:17" x14ac:dyDescent="0.45">
      <c r="I680" t="s">
        <v>232</v>
      </c>
      <c r="J680" t="s">
        <v>175</v>
      </c>
      <c r="K680">
        <v>0.13605704211122657</v>
      </c>
      <c r="L680" t="s">
        <v>166</v>
      </c>
      <c r="N680" t="s">
        <v>297</v>
      </c>
      <c r="O680" t="s">
        <v>175</v>
      </c>
      <c r="P680">
        <v>9.0146804260363991E-2</v>
      </c>
      <c r="Q680" t="s">
        <v>166</v>
      </c>
    </row>
    <row r="681" spans="9:17" x14ac:dyDescent="0.45">
      <c r="I681" t="s">
        <v>232</v>
      </c>
      <c r="J681" t="s">
        <v>176</v>
      </c>
      <c r="K681">
        <v>2.98416056727077E-4</v>
      </c>
      <c r="L681" t="s">
        <v>166</v>
      </c>
      <c r="N681" t="s">
        <v>297</v>
      </c>
      <c r="O681" t="s">
        <v>176</v>
      </c>
      <c r="P681">
        <v>5.3882166313516371E-3</v>
      </c>
      <c r="Q681" t="s">
        <v>166</v>
      </c>
    </row>
    <row r="682" spans="9:17" x14ac:dyDescent="0.45">
      <c r="I682" t="s">
        <v>232</v>
      </c>
      <c r="J682" t="s">
        <v>177</v>
      </c>
      <c r="K682">
        <v>0</v>
      </c>
      <c r="L682" t="s">
        <v>166</v>
      </c>
      <c r="N682" t="s">
        <v>297</v>
      </c>
      <c r="O682" t="s">
        <v>177</v>
      </c>
      <c r="P682">
        <v>3.5350886948915937E-2</v>
      </c>
      <c r="Q682" t="s">
        <v>166</v>
      </c>
    </row>
    <row r="683" spans="9:17" x14ac:dyDescent="0.45">
      <c r="I683" t="s">
        <v>233</v>
      </c>
      <c r="J683" t="s">
        <v>165</v>
      </c>
      <c r="K683">
        <v>0.57424935979300817</v>
      </c>
      <c r="L683" t="s">
        <v>166</v>
      </c>
      <c r="N683" t="s">
        <v>298</v>
      </c>
      <c r="O683" t="s">
        <v>165</v>
      </c>
      <c r="P683">
        <v>0.46838926345531046</v>
      </c>
      <c r="Q683" t="s">
        <v>166</v>
      </c>
    </row>
    <row r="684" spans="9:17" x14ac:dyDescent="0.45">
      <c r="I684" t="s">
        <v>233</v>
      </c>
      <c r="J684" t="s">
        <v>167</v>
      </c>
      <c r="K684">
        <v>3.1795781413418892E-2</v>
      </c>
      <c r="L684" t="s">
        <v>166</v>
      </c>
      <c r="N684" t="s">
        <v>298</v>
      </c>
      <c r="O684" t="s">
        <v>167</v>
      </c>
      <c r="P684">
        <v>2.2241163787057362E-2</v>
      </c>
      <c r="Q684" t="s">
        <v>166</v>
      </c>
    </row>
    <row r="685" spans="9:17" x14ac:dyDescent="0.45">
      <c r="I685" t="s">
        <v>233</v>
      </c>
      <c r="J685" t="s">
        <v>168</v>
      </c>
      <c r="K685">
        <v>1.0630698180668179E-2</v>
      </c>
      <c r="L685" t="s">
        <v>166</v>
      </c>
      <c r="N685" t="s">
        <v>298</v>
      </c>
      <c r="O685" t="s">
        <v>168</v>
      </c>
      <c r="P685">
        <v>0.17131712172580665</v>
      </c>
      <c r="Q685" t="s">
        <v>166</v>
      </c>
    </row>
    <row r="686" spans="9:17" x14ac:dyDescent="0.45">
      <c r="I686" t="s">
        <v>233</v>
      </c>
      <c r="J686" t="s">
        <v>169</v>
      </c>
      <c r="K686">
        <v>0.15504274063728232</v>
      </c>
      <c r="L686" t="s">
        <v>166</v>
      </c>
      <c r="N686" t="s">
        <v>298</v>
      </c>
      <c r="O686" t="s">
        <v>169</v>
      </c>
      <c r="P686">
        <v>0.10081638136376093</v>
      </c>
      <c r="Q686" t="s">
        <v>166</v>
      </c>
    </row>
    <row r="687" spans="9:17" x14ac:dyDescent="0.45">
      <c r="I687" t="s">
        <v>233</v>
      </c>
      <c r="J687" t="s">
        <v>170</v>
      </c>
      <c r="K687">
        <v>8.3308867072859772E-3</v>
      </c>
      <c r="L687" t="s">
        <v>166</v>
      </c>
      <c r="N687" t="s">
        <v>298</v>
      </c>
      <c r="O687" t="s">
        <v>170</v>
      </c>
      <c r="P687">
        <v>7.119208463622022E-3</v>
      </c>
      <c r="Q687" t="s">
        <v>166</v>
      </c>
    </row>
    <row r="688" spans="9:17" x14ac:dyDescent="0.45">
      <c r="I688" t="s">
        <v>233</v>
      </c>
      <c r="J688" t="s">
        <v>171</v>
      </c>
      <c r="K688">
        <v>2.6968258263947898E-3</v>
      </c>
      <c r="L688" t="s">
        <v>166</v>
      </c>
      <c r="N688" t="s">
        <v>298</v>
      </c>
      <c r="O688" t="s">
        <v>171</v>
      </c>
      <c r="P688">
        <v>4.6377890065378166E-2</v>
      </c>
      <c r="Q688" t="s">
        <v>166</v>
      </c>
    </row>
    <row r="689" spans="9:17" x14ac:dyDescent="0.45">
      <c r="I689" t="s">
        <v>233</v>
      </c>
      <c r="J689" t="s">
        <v>172</v>
      </c>
      <c r="K689">
        <v>7.6333352842153437E-2</v>
      </c>
      <c r="L689" t="s">
        <v>166</v>
      </c>
      <c r="N689" t="s">
        <v>298</v>
      </c>
      <c r="O689" t="s">
        <v>172</v>
      </c>
      <c r="P689">
        <v>4.4835543943638249E-2</v>
      </c>
      <c r="Q689" t="s">
        <v>166</v>
      </c>
    </row>
    <row r="690" spans="9:17" x14ac:dyDescent="0.45">
      <c r="I690" t="s">
        <v>233</v>
      </c>
      <c r="J690" t="s">
        <v>173</v>
      </c>
      <c r="K690">
        <v>2.9164230859052326E-3</v>
      </c>
      <c r="L690" t="s">
        <v>166</v>
      </c>
      <c r="N690" t="s">
        <v>298</v>
      </c>
      <c r="O690" t="s">
        <v>173</v>
      </c>
      <c r="P690">
        <v>3.7958418270617579E-3</v>
      </c>
      <c r="Q690" t="s">
        <v>166</v>
      </c>
    </row>
    <row r="691" spans="9:17" x14ac:dyDescent="0.45">
      <c r="I691" t="s">
        <v>233</v>
      </c>
      <c r="J691" t="s">
        <v>174</v>
      </c>
      <c r="K691">
        <v>0</v>
      </c>
      <c r="L691" t="s">
        <v>166</v>
      </c>
      <c r="N691" t="s">
        <v>298</v>
      </c>
      <c r="O691" t="s">
        <v>174</v>
      </c>
      <c r="P691">
        <v>2.040787656316112E-2</v>
      </c>
      <c r="Q691" t="s">
        <v>166</v>
      </c>
    </row>
    <row r="692" spans="9:17" x14ac:dyDescent="0.45">
      <c r="I692" t="s">
        <v>233</v>
      </c>
      <c r="J692" t="s">
        <v>175</v>
      </c>
      <c r="K692">
        <v>0.13800393151388557</v>
      </c>
      <c r="L692" t="s">
        <v>166</v>
      </c>
      <c r="N692" t="s">
        <v>298</v>
      </c>
      <c r="O692" t="s">
        <v>175</v>
      </c>
      <c r="P692">
        <v>7.716070700771871E-2</v>
      </c>
      <c r="Q692" t="s">
        <v>166</v>
      </c>
    </row>
    <row r="693" spans="9:17" x14ac:dyDescent="0.45">
      <c r="I693" t="s">
        <v>233</v>
      </c>
      <c r="J693" t="s">
        <v>176</v>
      </c>
      <c r="K693">
        <v>0</v>
      </c>
      <c r="L693" t="s">
        <v>166</v>
      </c>
      <c r="N693" t="s">
        <v>298</v>
      </c>
      <c r="O693" t="s">
        <v>176</v>
      </c>
      <c r="P693">
        <v>4.2078630717906022E-3</v>
      </c>
      <c r="Q693" t="s">
        <v>166</v>
      </c>
    </row>
    <row r="694" spans="9:17" x14ac:dyDescent="0.45">
      <c r="I694" t="s">
        <v>233</v>
      </c>
      <c r="J694" t="s">
        <v>177</v>
      </c>
      <c r="K694">
        <v>0</v>
      </c>
      <c r="L694" t="s">
        <v>166</v>
      </c>
      <c r="N694" t="s">
        <v>298</v>
      </c>
      <c r="O694" t="s">
        <v>177</v>
      </c>
      <c r="P694">
        <v>3.3331138725693779E-2</v>
      </c>
      <c r="Q694" t="s">
        <v>166</v>
      </c>
    </row>
    <row r="695" spans="9:17" x14ac:dyDescent="0.45">
      <c r="I695" t="s">
        <v>234</v>
      </c>
      <c r="J695" t="s">
        <v>165</v>
      </c>
      <c r="K695">
        <v>0.57160104787931809</v>
      </c>
      <c r="L695" t="s">
        <v>166</v>
      </c>
      <c r="N695" t="s">
        <v>299</v>
      </c>
      <c r="O695" t="s">
        <v>165</v>
      </c>
      <c r="P695">
        <v>0.46328788453340397</v>
      </c>
      <c r="Q695" t="s">
        <v>166</v>
      </c>
    </row>
    <row r="696" spans="9:17" x14ac:dyDescent="0.45">
      <c r="I696" t="s">
        <v>234</v>
      </c>
      <c r="J696" t="s">
        <v>167</v>
      </c>
      <c r="K696">
        <v>3.0566686643498441E-2</v>
      </c>
      <c r="L696" t="s">
        <v>166</v>
      </c>
      <c r="N696" t="s">
        <v>299</v>
      </c>
      <c r="O696" t="s">
        <v>167</v>
      </c>
      <c r="P696">
        <v>2.248882978119298E-2</v>
      </c>
      <c r="Q696" t="s">
        <v>166</v>
      </c>
    </row>
    <row r="697" spans="9:17" x14ac:dyDescent="0.45">
      <c r="I697" t="s">
        <v>234</v>
      </c>
      <c r="J697" t="s">
        <v>168</v>
      </c>
      <c r="K697">
        <v>8.6691592997841464E-3</v>
      </c>
      <c r="L697" t="s">
        <v>166</v>
      </c>
      <c r="N697" t="s">
        <v>299</v>
      </c>
      <c r="O697" t="s">
        <v>168</v>
      </c>
      <c r="P697">
        <v>0.17103160100976209</v>
      </c>
      <c r="Q697" t="s">
        <v>166</v>
      </c>
    </row>
    <row r="698" spans="9:17" x14ac:dyDescent="0.45">
      <c r="I698" t="s">
        <v>234</v>
      </c>
      <c r="J698" t="s">
        <v>169</v>
      </c>
      <c r="K698">
        <v>0.15830500470122738</v>
      </c>
      <c r="L698" t="s">
        <v>166</v>
      </c>
      <c r="N698" t="s">
        <v>299</v>
      </c>
      <c r="O698" t="s">
        <v>169</v>
      </c>
      <c r="P698">
        <v>0.10269114055073041</v>
      </c>
      <c r="Q698" t="s">
        <v>166</v>
      </c>
    </row>
    <row r="699" spans="9:17" x14ac:dyDescent="0.45">
      <c r="I699" t="s">
        <v>234</v>
      </c>
      <c r="J699" t="s">
        <v>170</v>
      </c>
      <c r="K699">
        <v>8.0573783900245461E-3</v>
      </c>
      <c r="L699" t="s">
        <v>166</v>
      </c>
      <c r="N699" t="s">
        <v>299</v>
      </c>
      <c r="O699" t="s">
        <v>170</v>
      </c>
      <c r="P699">
        <v>4.5952666726270059E-3</v>
      </c>
      <c r="Q699" t="s">
        <v>166</v>
      </c>
    </row>
    <row r="700" spans="9:17" x14ac:dyDescent="0.45">
      <c r="I700" t="s">
        <v>234</v>
      </c>
      <c r="J700" t="s">
        <v>171</v>
      </c>
      <c r="K700">
        <v>2.2929183422056932E-3</v>
      </c>
      <c r="L700" t="s">
        <v>166</v>
      </c>
      <c r="N700" t="s">
        <v>299</v>
      </c>
      <c r="O700" t="s">
        <v>171</v>
      </c>
      <c r="P700">
        <v>4.0087102957805702E-2</v>
      </c>
      <c r="Q700" t="s">
        <v>166</v>
      </c>
    </row>
    <row r="701" spans="9:17" x14ac:dyDescent="0.45">
      <c r="I701" t="s">
        <v>234</v>
      </c>
      <c r="J701" t="s">
        <v>172</v>
      </c>
      <c r="K701">
        <v>7.6393434831372301E-2</v>
      </c>
      <c r="L701" t="s">
        <v>166</v>
      </c>
      <c r="N701" t="s">
        <v>299</v>
      </c>
      <c r="O701" t="s">
        <v>172</v>
      </c>
      <c r="P701">
        <v>3.5185339595788769E-2</v>
      </c>
      <c r="Q701" t="s">
        <v>166</v>
      </c>
    </row>
    <row r="702" spans="9:17" x14ac:dyDescent="0.45">
      <c r="I702" t="s">
        <v>234</v>
      </c>
      <c r="J702" t="s">
        <v>173</v>
      </c>
      <c r="K702">
        <v>2.8212570515653971E-3</v>
      </c>
      <c r="L702" t="s">
        <v>166</v>
      </c>
      <c r="N702" t="s">
        <v>299</v>
      </c>
      <c r="O702" t="s">
        <v>173</v>
      </c>
      <c r="P702">
        <v>1.7948804270332861E-3</v>
      </c>
      <c r="Q702" t="s">
        <v>166</v>
      </c>
    </row>
    <row r="703" spans="9:17" x14ac:dyDescent="0.45">
      <c r="I703" t="s">
        <v>234</v>
      </c>
      <c r="J703" t="s">
        <v>174</v>
      </c>
      <c r="K703">
        <v>0</v>
      </c>
      <c r="L703" t="s">
        <v>166</v>
      </c>
      <c r="N703" t="s">
        <v>299</v>
      </c>
      <c r="O703" t="s">
        <v>174</v>
      </c>
      <c r="P703">
        <v>1.7135794940070951E-2</v>
      </c>
      <c r="Q703" t="s">
        <v>166</v>
      </c>
    </row>
    <row r="704" spans="9:17" x14ac:dyDescent="0.45">
      <c r="I704" t="s">
        <v>234</v>
      </c>
      <c r="J704" t="s">
        <v>175</v>
      </c>
      <c r="K704">
        <v>0.14097726845030337</v>
      </c>
      <c r="L704" t="s">
        <v>166</v>
      </c>
      <c r="N704" t="s">
        <v>299</v>
      </c>
      <c r="O704" t="s">
        <v>175</v>
      </c>
      <c r="P704">
        <v>0.10208985052545086</v>
      </c>
      <c r="Q704" t="s">
        <v>166</v>
      </c>
    </row>
    <row r="705" spans="9:17" x14ac:dyDescent="0.45">
      <c r="I705" t="s">
        <v>234</v>
      </c>
      <c r="J705" t="s">
        <v>176</v>
      </c>
      <c r="K705">
        <v>3.1584441069944783E-4</v>
      </c>
      <c r="L705" t="s">
        <v>166</v>
      </c>
      <c r="N705" t="s">
        <v>299</v>
      </c>
      <c r="O705" t="s">
        <v>176</v>
      </c>
      <c r="P705">
        <v>3.9841095632194706E-3</v>
      </c>
      <c r="Q705" t="s">
        <v>166</v>
      </c>
    </row>
    <row r="706" spans="9:17" x14ac:dyDescent="0.45">
      <c r="I706" t="s">
        <v>234</v>
      </c>
      <c r="J706" t="s">
        <v>177</v>
      </c>
      <c r="K706">
        <v>0</v>
      </c>
      <c r="L706" t="s">
        <v>166</v>
      </c>
      <c r="N706" t="s">
        <v>299</v>
      </c>
      <c r="O706" t="s">
        <v>177</v>
      </c>
      <c r="P706">
        <v>3.5628199442917431E-2</v>
      </c>
      <c r="Q706" t="s">
        <v>166</v>
      </c>
    </row>
    <row r="707" spans="9:17" x14ac:dyDescent="0.45">
      <c r="I707" t="s">
        <v>235</v>
      </c>
      <c r="J707" t="s">
        <v>165</v>
      </c>
      <c r="K707">
        <v>0.57608445964676513</v>
      </c>
      <c r="L707" t="s">
        <v>166</v>
      </c>
      <c r="N707" t="s">
        <v>300</v>
      </c>
      <c r="O707" t="s">
        <v>165</v>
      </c>
      <c r="P707">
        <v>0.46760784725367993</v>
      </c>
      <c r="Q707" t="s">
        <v>166</v>
      </c>
    </row>
    <row r="708" spans="9:17" x14ac:dyDescent="0.45">
      <c r="I708" t="s">
        <v>235</v>
      </c>
      <c r="J708" t="s">
        <v>167</v>
      </c>
      <c r="K708">
        <v>3.405620842092294E-2</v>
      </c>
      <c r="L708" t="s">
        <v>166</v>
      </c>
      <c r="N708" t="s">
        <v>300</v>
      </c>
      <c r="O708" t="s">
        <v>167</v>
      </c>
      <c r="P708">
        <v>1.8481528145169405E-2</v>
      </c>
      <c r="Q708" t="s">
        <v>166</v>
      </c>
    </row>
    <row r="709" spans="9:17" x14ac:dyDescent="0.45">
      <c r="I709" t="s">
        <v>235</v>
      </c>
      <c r="J709" t="s">
        <v>168</v>
      </c>
      <c r="K709">
        <v>1.2109084175390417E-2</v>
      </c>
      <c r="L709" t="s">
        <v>166</v>
      </c>
      <c r="N709" t="s">
        <v>300</v>
      </c>
      <c r="O709" t="s">
        <v>168</v>
      </c>
      <c r="P709">
        <v>0.14271600456085612</v>
      </c>
      <c r="Q709" t="s">
        <v>166</v>
      </c>
    </row>
    <row r="710" spans="9:17" x14ac:dyDescent="0.45">
      <c r="I710" t="s">
        <v>235</v>
      </c>
      <c r="J710" t="s">
        <v>169</v>
      </c>
      <c r="K710">
        <v>0.16635684453001909</v>
      </c>
      <c r="L710" t="s">
        <v>166</v>
      </c>
      <c r="N710" t="s">
        <v>300</v>
      </c>
      <c r="O710" t="s">
        <v>169</v>
      </c>
      <c r="P710">
        <v>0.11570855689537077</v>
      </c>
      <c r="Q710" t="s">
        <v>166</v>
      </c>
    </row>
    <row r="711" spans="9:17" x14ac:dyDescent="0.45">
      <c r="I711" t="s">
        <v>235</v>
      </c>
      <c r="J711" t="s">
        <v>170</v>
      </c>
      <c r="K711">
        <v>9.7487809184516171E-3</v>
      </c>
      <c r="L711" t="s">
        <v>166</v>
      </c>
      <c r="N711" t="s">
        <v>300</v>
      </c>
      <c r="O711" t="s">
        <v>170</v>
      </c>
      <c r="P711">
        <v>4.825689191287807E-3</v>
      </c>
      <c r="Q711" t="s">
        <v>166</v>
      </c>
    </row>
    <row r="712" spans="9:17" x14ac:dyDescent="0.45">
      <c r="I712" t="s">
        <v>235</v>
      </c>
      <c r="J712" t="s">
        <v>171</v>
      </c>
      <c r="K712">
        <v>3.4338484131156101E-3</v>
      </c>
      <c r="L712" t="s">
        <v>166</v>
      </c>
      <c r="N712" t="s">
        <v>300</v>
      </c>
      <c r="O712" t="s">
        <v>171</v>
      </c>
      <c r="P712">
        <v>3.864187842676841E-2</v>
      </c>
      <c r="Q712" t="s">
        <v>166</v>
      </c>
    </row>
    <row r="713" spans="9:17" x14ac:dyDescent="0.45">
      <c r="I713" t="s">
        <v>235</v>
      </c>
      <c r="J713" t="s">
        <v>172</v>
      </c>
      <c r="K713">
        <v>7.6492041155548363E-2</v>
      </c>
      <c r="L713" t="s">
        <v>166</v>
      </c>
      <c r="N713" t="s">
        <v>300</v>
      </c>
      <c r="O713" t="s">
        <v>172</v>
      </c>
      <c r="P713">
        <v>4.3030043821439309E-2</v>
      </c>
      <c r="Q713" t="s">
        <v>166</v>
      </c>
    </row>
    <row r="714" spans="9:17" x14ac:dyDescent="0.45">
      <c r="I714" t="s">
        <v>235</v>
      </c>
      <c r="J714" t="s">
        <v>173</v>
      </c>
      <c r="K714">
        <v>2.8237218280088216E-3</v>
      </c>
      <c r="L714" t="s">
        <v>166</v>
      </c>
      <c r="N714" t="s">
        <v>300</v>
      </c>
      <c r="O714" t="s">
        <v>173</v>
      </c>
      <c r="P714">
        <v>1.4717641521513607E-3</v>
      </c>
      <c r="Q714" t="s">
        <v>166</v>
      </c>
    </row>
    <row r="715" spans="9:17" x14ac:dyDescent="0.45">
      <c r="I715" t="s">
        <v>235</v>
      </c>
      <c r="J715" t="s">
        <v>174</v>
      </c>
      <c r="K715">
        <v>0</v>
      </c>
      <c r="L715" t="s">
        <v>166</v>
      </c>
      <c r="N715" t="s">
        <v>300</v>
      </c>
      <c r="O715" t="s">
        <v>174</v>
      </c>
      <c r="P715">
        <v>1.6589478114270962E-2</v>
      </c>
      <c r="Q715" t="s">
        <v>166</v>
      </c>
    </row>
    <row r="716" spans="9:17" x14ac:dyDescent="0.45">
      <c r="I716" t="s">
        <v>235</v>
      </c>
      <c r="J716" t="s">
        <v>175</v>
      </c>
      <c r="K716">
        <v>0.11884310115283211</v>
      </c>
      <c r="L716" t="s">
        <v>166</v>
      </c>
      <c r="N716" t="s">
        <v>300</v>
      </c>
      <c r="O716" t="s">
        <v>175</v>
      </c>
      <c r="P716">
        <v>0.11194069745963944</v>
      </c>
      <c r="Q716" t="s">
        <v>166</v>
      </c>
    </row>
    <row r="717" spans="9:17" x14ac:dyDescent="0.45">
      <c r="I717" t="s">
        <v>235</v>
      </c>
      <c r="J717" t="s">
        <v>176</v>
      </c>
      <c r="K717">
        <v>5.1909758944287082E-5</v>
      </c>
      <c r="L717" t="s">
        <v>166</v>
      </c>
      <c r="N717" t="s">
        <v>300</v>
      </c>
      <c r="O717" t="s">
        <v>176</v>
      </c>
      <c r="P717">
        <v>4.1839755252110105E-3</v>
      </c>
      <c r="Q717" t="s">
        <v>166</v>
      </c>
    </row>
    <row r="718" spans="9:17" x14ac:dyDescent="0.45">
      <c r="I718" t="s">
        <v>235</v>
      </c>
      <c r="J718" t="s">
        <v>177</v>
      </c>
      <c r="K718">
        <v>0</v>
      </c>
      <c r="L718" t="s">
        <v>166</v>
      </c>
      <c r="N718" t="s">
        <v>300</v>
      </c>
      <c r="O718" t="s">
        <v>177</v>
      </c>
      <c r="P718">
        <v>3.4802536454157033E-2</v>
      </c>
      <c r="Q718" t="s">
        <v>166</v>
      </c>
    </row>
    <row r="719" spans="9:17" x14ac:dyDescent="0.45">
      <c r="I719" t="s">
        <v>236</v>
      </c>
      <c r="J719" t="s">
        <v>165</v>
      </c>
      <c r="K719">
        <v>0.56271093524216531</v>
      </c>
      <c r="L719" t="s">
        <v>166</v>
      </c>
      <c r="N719" t="s">
        <v>301</v>
      </c>
      <c r="O719" t="s">
        <v>165</v>
      </c>
      <c r="P719">
        <v>0.49826519820784804</v>
      </c>
      <c r="Q719" t="s">
        <v>166</v>
      </c>
    </row>
    <row r="720" spans="9:17" x14ac:dyDescent="0.45">
      <c r="I720" t="s">
        <v>236</v>
      </c>
      <c r="J720" t="s">
        <v>167</v>
      </c>
      <c r="K720">
        <v>3.6777695001378792E-2</v>
      </c>
      <c r="L720" t="s">
        <v>166</v>
      </c>
      <c r="N720" t="s">
        <v>301</v>
      </c>
      <c r="O720" t="s">
        <v>167</v>
      </c>
      <c r="P720">
        <v>2.4559823206396318E-2</v>
      </c>
      <c r="Q720" t="s">
        <v>166</v>
      </c>
    </row>
    <row r="721" spans="9:17" x14ac:dyDescent="0.45">
      <c r="I721" t="s">
        <v>236</v>
      </c>
      <c r="J721" t="s">
        <v>168</v>
      </c>
      <c r="K721">
        <v>1.6746662458390103E-2</v>
      </c>
      <c r="L721" t="s">
        <v>166</v>
      </c>
      <c r="N721" t="s">
        <v>301</v>
      </c>
      <c r="O721" t="s">
        <v>168</v>
      </c>
      <c r="P721">
        <v>0.19061015319227881</v>
      </c>
      <c r="Q721" t="s">
        <v>166</v>
      </c>
    </row>
    <row r="722" spans="9:17" x14ac:dyDescent="0.45">
      <c r="I722" t="s">
        <v>236</v>
      </c>
      <c r="J722" t="s">
        <v>169</v>
      </c>
      <c r="K722">
        <v>0.16354379665913232</v>
      </c>
      <c r="L722" t="s">
        <v>166</v>
      </c>
      <c r="N722" t="s">
        <v>301</v>
      </c>
      <c r="O722" t="s">
        <v>169</v>
      </c>
      <c r="P722">
        <v>9.0791975459270327E-2</v>
      </c>
      <c r="Q722" t="s">
        <v>166</v>
      </c>
    </row>
    <row r="723" spans="9:17" x14ac:dyDescent="0.45">
      <c r="I723" t="s">
        <v>236</v>
      </c>
      <c r="J723" t="s">
        <v>170</v>
      </c>
      <c r="K723">
        <v>1.0580491527909021E-2</v>
      </c>
      <c r="L723" t="s">
        <v>166</v>
      </c>
      <c r="N723" t="s">
        <v>301</v>
      </c>
      <c r="O723" t="s">
        <v>170</v>
      </c>
      <c r="P723">
        <v>2.8102074101688003E-3</v>
      </c>
      <c r="Q723" t="s">
        <v>166</v>
      </c>
    </row>
    <row r="724" spans="9:17" x14ac:dyDescent="0.45">
      <c r="I724" t="s">
        <v>236</v>
      </c>
      <c r="J724" t="s">
        <v>171</v>
      </c>
      <c r="K724">
        <v>4.5581795731623152E-3</v>
      </c>
      <c r="L724" t="s">
        <v>166</v>
      </c>
      <c r="N724" t="s">
        <v>301</v>
      </c>
      <c r="O724" t="s">
        <v>171</v>
      </c>
      <c r="P724">
        <v>3.3177825955674485E-2</v>
      </c>
      <c r="Q724" t="s">
        <v>166</v>
      </c>
    </row>
    <row r="725" spans="9:17" x14ac:dyDescent="0.45">
      <c r="I725" t="s">
        <v>236</v>
      </c>
      <c r="J725" t="s">
        <v>172</v>
      </c>
      <c r="K725">
        <v>7.5838873207040275E-2</v>
      </c>
      <c r="L725" t="s">
        <v>166</v>
      </c>
      <c r="N725" t="s">
        <v>301</v>
      </c>
      <c r="O725" t="s">
        <v>172</v>
      </c>
      <c r="P725">
        <v>2.7278674621048611E-2</v>
      </c>
      <c r="Q725" t="s">
        <v>166</v>
      </c>
    </row>
    <row r="726" spans="9:17" x14ac:dyDescent="0.45">
      <c r="I726" t="s">
        <v>236</v>
      </c>
      <c r="J726" t="s">
        <v>173</v>
      </c>
      <c r="K726">
        <v>3.4342899183313906E-3</v>
      </c>
      <c r="L726" t="s">
        <v>166</v>
      </c>
      <c r="N726" t="s">
        <v>301</v>
      </c>
      <c r="O726" t="s">
        <v>173</v>
      </c>
      <c r="P726">
        <v>7.7173028257995833E-4</v>
      </c>
      <c r="Q726" t="s">
        <v>166</v>
      </c>
    </row>
    <row r="727" spans="9:17" x14ac:dyDescent="0.45">
      <c r="I727" t="s">
        <v>236</v>
      </c>
      <c r="J727" t="s">
        <v>174</v>
      </c>
      <c r="K727">
        <v>0</v>
      </c>
      <c r="L727" t="s">
        <v>166</v>
      </c>
      <c r="N727" t="s">
        <v>301</v>
      </c>
      <c r="O727" t="s">
        <v>174</v>
      </c>
      <c r="P727">
        <v>1.2228989467455967E-2</v>
      </c>
      <c r="Q727" t="s">
        <v>166</v>
      </c>
    </row>
    <row r="728" spans="9:17" x14ac:dyDescent="0.45">
      <c r="I728" t="s">
        <v>236</v>
      </c>
      <c r="J728" t="s">
        <v>175</v>
      </c>
      <c r="K728">
        <v>0.12355317801676062</v>
      </c>
      <c r="L728" t="s">
        <v>166</v>
      </c>
      <c r="N728" t="s">
        <v>301</v>
      </c>
      <c r="O728" t="s">
        <v>175</v>
      </c>
      <c r="P728">
        <v>8.5154776824334463E-2</v>
      </c>
      <c r="Q728" t="s">
        <v>166</v>
      </c>
    </row>
    <row r="729" spans="9:17" x14ac:dyDescent="0.45">
      <c r="I729" t="s">
        <v>236</v>
      </c>
      <c r="J729" t="s">
        <v>176</v>
      </c>
      <c r="K729">
        <v>2.2558983957292264E-3</v>
      </c>
      <c r="L729" t="s">
        <v>166</v>
      </c>
      <c r="N729" t="s">
        <v>301</v>
      </c>
      <c r="O729" t="s">
        <v>176</v>
      </c>
      <c r="P729">
        <v>4.3443473478031727E-3</v>
      </c>
      <c r="Q729" t="s">
        <v>166</v>
      </c>
    </row>
    <row r="730" spans="9:17" x14ac:dyDescent="0.45">
      <c r="I730" t="s">
        <v>236</v>
      </c>
      <c r="J730" t="s">
        <v>177</v>
      </c>
      <c r="K730">
        <v>0</v>
      </c>
      <c r="L730" t="s">
        <v>166</v>
      </c>
      <c r="N730" t="s">
        <v>301</v>
      </c>
      <c r="O730" t="s">
        <v>177</v>
      </c>
      <c r="P730">
        <v>3.0006298025139395E-2</v>
      </c>
      <c r="Q730" t="s">
        <v>166</v>
      </c>
    </row>
    <row r="731" spans="9:17" x14ac:dyDescent="0.45">
      <c r="I731" t="s">
        <v>237</v>
      </c>
      <c r="J731" t="s">
        <v>165</v>
      </c>
      <c r="K731">
        <v>0.57147380981241813</v>
      </c>
      <c r="L731" t="s">
        <v>166</v>
      </c>
      <c r="N731" t="s">
        <v>302</v>
      </c>
      <c r="O731" t="s">
        <v>165</v>
      </c>
      <c r="P731">
        <v>0.49102185794431702</v>
      </c>
      <c r="Q731" t="s">
        <v>166</v>
      </c>
    </row>
    <row r="732" spans="9:17" x14ac:dyDescent="0.45">
      <c r="I732" t="s">
        <v>237</v>
      </c>
      <c r="J732" t="s">
        <v>167</v>
      </c>
      <c r="K732">
        <v>3.606364636743175E-2</v>
      </c>
      <c r="L732" t="s">
        <v>166</v>
      </c>
      <c r="N732" t="s">
        <v>302</v>
      </c>
      <c r="O732" t="s">
        <v>167</v>
      </c>
      <c r="P732">
        <v>2.1242333032156439E-2</v>
      </c>
      <c r="Q732" t="s">
        <v>166</v>
      </c>
    </row>
    <row r="733" spans="9:17" x14ac:dyDescent="0.45">
      <c r="I733" t="s">
        <v>237</v>
      </c>
      <c r="J733" t="s">
        <v>168</v>
      </c>
      <c r="K733">
        <v>1.6332314877787475E-2</v>
      </c>
      <c r="L733" t="s">
        <v>166</v>
      </c>
      <c r="N733" t="s">
        <v>302</v>
      </c>
      <c r="O733" t="s">
        <v>168</v>
      </c>
      <c r="P733">
        <v>0.17249529720900761</v>
      </c>
      <c r="Q733" t="s">
        <v>166</v>
      </c>
    </row>
    <row r="734" spans="9:17" x14ac:dyDescent="0.45">
      <c r="I734" t="s">
        <v>237</v>
      </c>
      <c r="J734" t="s">
        <v>169</v>
      </c>
      <c r="K734">
        <v>0.16447101625802907</v>
      </c>
      <c r="L734" t="s">
        <v>166</v>
      </c>
      <c r="N734" t="s">
        <v>302</v>
      </c>
      <c r="O734" t="s">
        <v>169</v>
      </c>
      <c r="P734">
        <v>0.10720222980501813</v>
      </c>
      <c r="Q734" t="s">
        <v>166</v>
      </c>
    </row>
    <row r="735" spans="9:17" x14ac:dyDescent="0.45">
      <c r="I735" t="s">
        <v>237</v>
      </c>
      <c r="J735" t="s">
        <v>170</v>
      </c>
      <c r="K735">
        <v>1.0056337614966831E-2</v>
      </c>
      <c r="L735" t="s">
        <v>166</v>
      </c>
      <c r="N735" t="s">
        <v>302</v>
      </c>
      <c r="O735" t="s">
        <v>170</v>
      </c>
      <c r="P735">
        <v>3.258130885878389E-3</v>
      </c>
      <c r="Q735" t="s">
        <v>166</v>
      </c>
    </row>
    <row r="736" spans="9:17" x14ac:dyDescent="0.45">
      <c r="I736" t="s">
        <v>237</v>
      </c>
      <c r="J736" t="s">
        <v>171</v>
      </c>
      <c r="K736">
        <v>4.0885321735452985E-3</v>
      </c>
      <c r="L736" t="s">
        <v>166</v>
      </c>
      <c r="N736" t="s">
        <v>302</v>
      </c>
      <c r="O736" t="s">
        <v>171</v>
      </c>
      <c r="P736">
        <v>3.707662009158276E-2</v>
      </c>
      <c r="Q736" t="s">
        <v>166</v>
      </c>
    </row>
    <row r="737" spans="9:17" x14ac:dyDescent="0.45">
      <c r="I737" t="s">
        <v>237</v>
      </c>
      <c r="J737" t="s">
        <v>172</v>
      </c>
      <c r="K737">
        <v>7.4910913981632507E-2</v>
      </c>
      <c r="L737" t="s">
        <v>166</v>
      </c>
      <c r="N737" t="s">
        <v>302</v>
      </c>
      <c r="O737" t="s">
        <v>172</v>
      </c>
      <c r="P737">
        <v>3.5408239864616567E-2</v>
      </c>
      <c r="Q737" t="s">
        <v>166</v>
      </c>
    </row>
    <row r="738" spans="9:17" x14ac:dyDescent="0.45">
      <c r="I738" t="s">
        <v>237</v>
      </c>
      <c r="J738" t="s">
        <v>173</v>
      </c>
      <c r="K738">
        <v>3.2629972716903444E-3</v>
      </c>
      <c r="L738" t="s">
        <v>166</v>
      </c>
      <c r="N738" t="s">
        <v>302</v>
      </c>
      <c r="O738" t="s">
        <v>173</v>
      </c>
      <c r="P738">
        <v>7.6210588359092808E-4</v>
      </c>
      <c r="Q738" t="s">
        <v>166</v>
      </c>
    </row>
    <row r="739" spans="9:17" x14ac:dyDescent="0.45">
      <c r="I739" t="s">
        <v>237</v>
      </c>
      <c r="J739" t="s">
        <v>174</v>
      </c>
      <c r="K739">
        <v>0</v>
      </c>
      <c r="L739" t="s">
        <v>166</v>
      </c>
      <c r="N739" t="s">
        <v>302</v>
      </c>
      <c r="O739" t="s">
        <v>174</v>
      </c>
      <c r="P739">
        <v>1.351753322530147E-2</v>
      </c>
      <c r="Q739" t="s">
        <v>166</v>
      </c>
    </row>
    <row r="740" spans="9:17" x14ac:dyDescent="0.45">
      <c r="I740" t="s">
        <v>237</v>
      </c>
      <c r="J740" t="s">
        <v>175</v>
      </c>
      <c r="K740">
        <v>0.11891011348007001</v>
      </c>
      <c r="L740" t="s">
        <v>166</v>
      </c>
      <c r="N740" t="s">
        <v>302</v>
      </c>
      <c r="O740" t="s">
        <v>175</v>
      </c>
      <c r="P740">
        <v>8.3229890102187065E-2</v>
      </c>
      <c r="Q740" t="s">
        <v>166</v>
      </c>
    </row>
    <row r="741" spans="9:17" x14ac:dyDescent="0.45">
      <c r="I741" t="s">
        <v>237</v>
      </c>
      <c r="J741" t="s">
        <v>176</v>
      </c>
      <c r="K741">
        <v>4.3031816242497723E-4</v>
      </c>
      <c r="L741" t="s">
        <v>166</v>
      </c>
      <c r="N741" t="s">
        <v>302</v>
      </c>
      <c r="O741" t="s">
        <v>176</v>
      </c>
      <c r="P741">
        <v>3.8292964090256894E-3</v>
      </c>
      <c r="Q741" t="s">
        <v>166</v>
      </c>
    </row>
    <row r="742" spans="9:17" x14ac:dyDescent="0.45">
      <c r="I742" t="s">
        <v>237</v>
      </c>
      <c r="J742" t="s">
        <v>177</v>
      </c>
      <c r="K742">
        <v>0</v>
      </c>
      <c r="L742" t="s">
        <v>166</v>
      </c>
      <c r="N742" t="s">
        <v>302</v>
      </c>
      <c r="O742" t="s">
        <v>177</v>
      </c>
      <c r="P742">
        <v>3.0956465547315508E-2</v>
      </c>
      <c r="Q742" t="s">
        <v>166</v>
      </c>
    </row>
    <row r="743" spans="9:17" x14ac:dyDescent="0.45">
      <c r="I743" t="s">
        <v>238</v>
      </c>
      <c r="J743" t="s">
        <v>165</v>
      </c>
      <c r="K743">
        <v>0.56880634068378422</v>
      </c>
      <c r="L743" t="s">
        <v>166</v>
      </c>
      <c r="N743" t="s">
        <v>303</v>
      </c>
      <c r="O743" t="s">
        <v>165</v>
      </c>
      <c r="P743">
        <v>0.47643001004178159</v>
      </c>
      <c r="Q743" t="s">
        <v>166</v>
      </c>
    </row>
    <row r="744" spans="9:17" x14ac:dyDescent="0.45">
      <c r="I744" t="s">
        <v>238</v>
      </c>
      <c r="J744" t="s">
        <v>167</v>
      </c>
      <c r="K744">
        <v>3.2393845750111283E-2</v>
      </c>
      <c r="L744" t="s">
        <v>166</v>
      </c>
      <c r="N744" t="s">
        <v>303</v>
      </c>
      <c r="O744" t="s">
        <v>167</v>
      </c>
      <c r="P744">
        <v>2.1271082163931733E-2</v>
      </c>
      <c r="Q744" t="s">
        <v>166</v>
      </c>
    </row>
    <row r="745" spans="9:17" x14ac:dyDescent="0.45">
      <c r="I745" t="s">
        <v>238</v>
      </c>
      <c r="J745" t="s">
        <v>168</v>
      </c>
      <c r="K745">
        <v>1.0364152168704295E-2</v>
      </c>
      <c r="L745" t="s">
        <v>166</v>
      </c>
      <c r="N745" t="s">
        <v>303</v>
      </c>
      <c r="O745" t="s">
        <v>168</v>
      </c>
      <c r="P745">
        <v>0.17859645196156246</v>
      </c>
      <c r="Q745" t="s">
        <v>166</v>
      </c>
    </row>
    <row r="746" spans="9:17" x14ac:dyDescent="0.45">
      <c r="I746" t="s">
        <v>238</v>
      </c>
      <c r="J746" t="s">
        <v>169</v>
      </c>
      <c r="K746">
        <v>0.16388220565601139</v>
      </c>
      <c r="L746" t="s">
        <v>166</v>
      </c>
      <c r="N746" t="s">
        <v>303</v>
      </c>
      <c r="O746" t="s">
        <v>169</v>
      </c>
      <c r="P746">
        <v>9.1737152789968981E-2</v>
      </c>
      <c r="Q746" t="s">
        <v>166</v>
      </c>
    </row>
    <row r="747" spans="9:17" x14ac:dyDescent="0.45">
      <c r="I747" t="s">
        <v>238</v>
      </c>
      <c r="J747" t="s">
        <v>170</v>
      </c>
      <c r="K747">
        <v>9.2611150034212688E-3</v>
      </c>
      <c r="L747" t="s">
        <v>166</v>
      </c>
      <c r="N747" t="s">
        <v>303</v>
      </c>
      <c r="O747" t="s">
        <v>170</v>
      </c>
      <c r="P747">
        <v>3.3621730064090326E-3</v>
      </c>
      <c r="Q747" t="s">
        <v>166</v>
      </c>
    </row>
    <row r="748" spans="9:17" x14ac:dyDescent="0.45">
      <c r="I748" t="s">
        <v>238</v>
      </c>
      <c r="J748" t="s">
        <v>171</v>
      </c>
      <c r="K748">
        <v>2.9789143363681851E-3</v>
      </c>
      <c r="L748" t="s">
        <v>166</v>
      </c>
      <c r="N748" t="s">
        <v>303</v>
      </c>
      <c r="O748" t="s">
        <v>171</v>
      </c>
      <c r="P748">
        <v>3.8817101344807474E-2</v>
      </c>
      <c r="Q748" t="s">
        <v>166</v>
      </c>
    </row>
    <row r="749" spans="9:17" x14ac:dyDescent="0.45">
      <c r="I749" t="s">
        <v>238</v>
      </c>
      <c r="J749" t="s">
        <v>172</v>
      </c>
      <c r="K749">
        <v>7.8421320120697149E-2</v>
      </c>
      <c r="L749" t="s">
        <v>166</v>
      </c>
      <c r="N749" t="s">
        <v>303</v>
      </c>
      <c r="O749" t="s">
        <v>172</v>
      </c>
      <c r="P749">
        <v>2.8099552394148186E-2</v>
      </c>
      <c r="Q749" t="s">
        <v>166</v>
      </c>
    </row>
    <row r="750" spans="9:17" x14ac:dyDescent="0.45">
      <c r="I750" t="s">
        <v>238</v>
      </c>
      <c r="J750" t="s">
        <v>173</v>
      </c>
      <c r="K750">
        <v>2.9826542808186673E-3</v>
      </c>
      <c r="L750" t="s">
        <v>166</v>
      </c>
      <c r="N750" t="s">
        <v>303</v>
      </c>
      <c r="O750" t="s">
        <v>173</v>
      </c>
      <c r="P750">
        <v>1.3043479862195392E-3</v>
      </c>
      <c r="Q750" t="s">
        <v>166</v>
      </c>
    </row>
    <row r="751" spans="9:17" x14ac:dyDescent="0.45">
      <c r="I751" t="s">
        <v>238</v>
      </c>
      <c r="J751" t="s">
        <v>174</v>
      </c>
      <c r="K751">
        <v>0</v>
      </c>
      <c r="L751" t="s">
        <v>166</v>
      </c>
      <c r="N751" t="s">
        <v>303</v>
      </c>
      <c r="O751" t="s">
        <v>174</v>
      </c>
      <c r="P751">
        <v>1.6679277490713844E-2</v>
      </c>
      <c r="Q751" t="s">
        <v>166</v>
      </c>
    </row>
    <row r="752" spans="9:17" x14ac:dyDescent="0.45">
      <c r="I752" t="s">
        <v>238</v>
      </c>
      <c r="J752" t="s">
        <v>175</v>
      </c>
      <c r="K752">
        <v>0.13054698492083552</v>
      </c>
      <c r="L752" t="s">
        <v>166</v>
      </c>
      <c r="N752" t="s">
        <v>303</v>
      </c>
      <c r="O752" t="s">
        <v>175</v>
      </c>
      <c r="P752">
        <v>0.10560091531536783</v>
      </c>
      <c r="Q752" t="s">
        <v>166</v>
      </c>
    </row>
    <row r="753" spans="9:17" x14ac:dyDescent="0.45">
      <c r="I753" t="s">
        <v>238</v>
      </c>
      <c r="J753" t="s">
        <v>176</v>
      </c>
      <c r="K753">
        <v>3.6246707924945487E-4</v>
      </c>
      <c r="L753" t="s">
        <v>166</v>
      </c>
      <c r="N753" t="s">
        <v>303</v>
      </c>
      <c r="O753" t="s">
        <v>176</v>
      </c>
      <c r="P753">
        <v>4.1039049568756753E-3</v>
      </c>
      <c r="Q753" t="s">
        <v>166</v>
      </c>
    </row>
    <row r="754" spans="9:17" x14ac:dyDescent="0.45">
      <c r="I754" t="s">
        <v>238</v>
      </c>
      <c r="J754" t="s">
        <v>177</v>
      </c>
      <c r="K754">
        <v>0</v>
      </c>
      <c r="L754" t="s">
        <v>166</v>
      </c>
      <c r="N754" t="s">
        <v>303</v>
      </c>
      <c r="O754" t="s">
        <v>177</v>
      </c>
      <c r="P754">
        <v>3.3998030548214535E-2</v>
      </c>
      <c r="Q754" t="s">
        <v>166</v>
      </c>
    </row>
    <row r="755" spans="9:17" x14ac:dyDescent="0.45">
      <c r="I755" t="s">
        <v>239</v>
      </c>
      <c r="J755" t="s">
        <v>165</v>
      </c>
      <c r="K755">
        <v>0.55318908975957748</v>
      </c>
      <c r="L755" t="s">
        <v>166</v>
      </c>
      <c r="N755" t="s">
        <v>304</v>
      </c>
      <c r="O755" t="s">
        <v>165</v>
      </c>
      <c r="P755">
        <v>0.47087533903825413</v>
      </c>
      <c r="Q755" t="s">
        <v>166</v>
      </c>
    </row>
    <row r="756" spans="9:17" x14ac:dyDescent="0.45">
      <c r="I756" t="s">
        <v>239</v>
      </c>
      <c r="J756" t="s">
        <v>167</v>
      </c>
      <c r="K756">
        <v>3.443119426658011E-2</v>
      </c>
      <c r="L756" t="s">
        <v>166</v>
      </c>
      <c r="N756" t="s">
        <v>304</v>
      </c>
      <c r="O756" t="s">
        <v>167</v>
      </c>
      <c r="P756">
        <v>2.6037763382627803E-2</v>
      </c>
      <c r="Q756" t="s">
        <v>166</v>
      </c>
    </row>
    <row r="757" spans="9:17" x14ac:dyDescent="0.45">
      <c r="I757" t="s">
        <v>239</v>
      </c>
      <c r="J757" t="s">
        <v>168</v>
      </c>
      <c r="K757">
        <v>1.2949876688702337E-2</v>
      </c>
      <c r="L757" t="s">
        <v>166</v>
      </c>
      <c r="N757" t="s">
        <v>304</v>
      </c>
      <c r="O757" t="s">
        <v>168</v>
      </c>
      <c r="P757">
        <v>0.17908361092626313</v>
      </c>
      <c r="Q757" t="s">
        <v>166</v>
      </c>
    </row>
    <row r="758" spans="9:17" x14ac:dyDescent="0.45">
      <c r="I758" t="s">
        <v>239</v>
      </c>
      <c r="J758" t="s">
        <v>169</v>
      </c>
      <c r="K758">
        <v>0.15805697589928838</v>
      </c>
      <c r="L758" t="s">
        <v>166</v>
      </c>
      <c r="N758" t="s">
        <v>304</v>
      </c>
      <c r="O758" t="s">
        <v>169</v>
      </c>
      <c r="P758">
        <v>8.1635070806547957E-2</v>
      </c>
      <c r="Q758" t="s">
        <v>166</v>
      </c>
    </row>
    <row r="759" spans="9:17" x14ac:dyDescent="0.45">
      <c r="I759" t="s">
        <v>239</v>
      </c>
      <c r="J759" t="s">
        <v>170</v>
      </c>
      <c r="K759">
        <v>9.5037024669969803E-3</v>
      </c>
      <c r="L759" t="s">
        <v>166</v>
      </c>
      <c r="N759" t="s">
        <v>304</v>
      </c>
      <c r="O759" t="s">
        <v>170</v>
      </c>
      <c r="P759">
        <v>4.7933937664271743E-3</v>
      </c>
      <c r="Q759" t="s">
        <v>166</v>
      </c>
    </row>
    <row r="760" spans="9:17" x14ac:dyDescent="0.45">
      <c r="I760" t="s">
        <v>239</v>
      </c>
      <c r="J760" t="s">
        <v>171</v>
      </c>
      <c r="K760">
        <v>3.8933342340325538E-3</v>
      </c>
      <c r="L760" t="s">
        <v>166</v>
      </c>
      <c r="N760" t="s">
        <v>304</v>
      </c>
      <c r="O760" t="s">
        <v>171</v>
      </c>
      <c r="P760">
        <v>3.6990210105782358E-2</v>
      </c>
      <c r="Q760" t="s">
        <v>166</v>
      </c>
    </row>
    <row r="761" spans="9:17" x14ac:dyDescent="0.45">
      <c r="I761" t="s">
        <v>239</v>
      </c>
      <c r="J761" t="s">
        <v>172</v>
      </c>
      <c r="K761">
        <v>7.7932422429096579E-2</v>
      </c>
      <c r="L761" t="s">
        <v>166</v>
      </c>
      <c r="N761" t="s">
        <v>304</v>
      </c>
      <c r="O761" t="s">
        <v>172</v>
      </c>
      <c r="P761">
        <v>2.8672683638953537E-2</v>
      </c>
      <c r="Q761" t="s">
        <v>166</v>
      </c>
    </row>
    <row r="762" spans="9:17" x14ac:dyDescent="0.45">
      <c r="I762" t="s">
        <v>239</v>
      </c>
      <c r="J762" t="s">
        <v>173</v>
      </c>
      <c r="K762">
        <v>3.7559635290314022E-3</v>
      </c>
      <c r="L762" t="s">
        <v>166</v>
      </c>
      <c r="N762" t="s">
        <v>304</v>
      </c>
      <c r="O762" t="s">
        <v>173</v>
      </c>
      <c r="P762">
        <v>1.8164670947223554E-3</v>
      </c>
      <c r="Q762" t="s">
        <v>166</v>
      </c>
    </row>
    <row r="763" spans="9:17" x14ac:dyDescent="0.45">
      <c r="I763" t="s">
        <v>239</v>
      </c>
      <c r="J763" t="s">
        <v>174</v>
      </c>
      <c r="K763">
        <v>0</v>
      </c>
      <c r="L763" t="s">
        <v>166</v>
      </c>
      <c r="N763" t="s">
        <v>304</v>
      </c>
      <c r="O763" t="s">
        <v>174</v>
      </c>
      <c r="P763">
        <v>1.3919229597413003E-2</v>
      </c>
      <c r="Q763" t="s">
        <v>166</v>
      </c>
    </row>
    <row r="764" spans="9:17" x14ac:dyDescent="0.45">
      <c r="I764" t="s">
        <v>239</v>
      </c>
      <c r="J764" t="s">
        <v>175</v>
      </c>
      <c r="K764">
        <v>0.1404695276670338</v>
      </c>
      <c r="L764" t="s">
        <v>166</v>
      </c>
      <c r="N764" t="s">
        <v>304</v>
      </c>
      <c r="O764" t="s">
        <v>175</v>
      </c>
      <c r="P764">
        <v>0.11091686454465932</v>
      </c>
      <c r="Q764" t="s">
        <v>166</v>
      </c>
    </row>
    <row r="765" spans="9:17" x14ac:dyDescent="0.45">
      <c r="I765" t="s">
        <v>239</v>
      </c>
      <c r="J765" t="s">
        <v>176</v>
      </c>
      <c r="K765">
        <v>5.8179130596579297E-3</v>
      </c>
      <c r="L765" t="s">
        <v>166</v>
      </c>
      <c r="N765" t="s">
        <v>304</v>
      </c>
      <c r="O765" t="s">
        <v>176</v>
      </c>
      <c r="P765">
        <v>5.6646199480788915E-3</v>
      </c>
      <c r="Q765" t="s">
        <v>166</v>
      </c>
    </row>
    <row r="766" spans="9:17" x14ac:dyDescent="0.45">
      <c r="I766" t="s">
        <v>239</v>
      </c>
      <c r="J766" t="s">
        <v>177</v>
      </c>
      <c r="K766">
        <v>0</v>
      </c>
      <c r="L766" t="s">
        <v>166</v>
      </c>
      <c r="N766" t="s">
        <v>304</v>
      </c>
      <c r="O766" t="s">
        <v>177</v>
      </c>
      <c r="P766">
        <v>3.9594747150269408E-2</v>
      </c>
      <c r="Q766" t="s">
        <v>166</v>
      </c>
    </row>
    <row r="767" spans="9:17" x14ac:dyDescent="0.45">
      <c r="I767" t="s">
        <v>240</v>
      </c>
      <c r="J767" t="s">
        <v>165</v>
      </c>
      <c r="K767">
        <v>0.56464205833346648</v>
      </c>
      <c r="L767" t="s">
        <v>166</v>
      </c>
      <c r="N767" t="s">
        <v>305</v>
      </c>
      <c r="O767" t="s">
        <v>165</v>
      </c>
      <c r="P767">
        <v>0.47520417114290159</v>
      </c>
      <c r="Q767" t="s">
        <v>166</v>
      </c>
    </row>
    <row r="768" spans="9:17" x14ac:dyDescent="0.45">
      <c r="I768" t="s">
        <v>240</v>
      </c>
      <c r="J768" t="s">
        <v>167</v>
      </c>
      <c r="K768">
        <v>3.4778352135850434E-2</v>
      </c>
      <c r="L768" t="s">
        <v>166</v>
      </c>
      <c r="N768" t="s">
        <v>305</v>
      </c>
      <c r="O768" t="s">
        <v>167</v>
      </c>
      <c r="P768">
        <v>3.0512135056066685E-2</v>
      </c>
      <c r="Q768" t="s">
        <v>166</v>
      </c>
    </row>
    <row r="769" spans="9:17" x14ac:dyDescent="0.45">
      <c r="I769" t="s">
        <v>240</v>
      </c>
      <c r="J769" t="s">
        <v>168</v>
      </c>
      <c r="K769">
        <v>1.281359109338324E-2</v>
      </c>
      <c r="L769" t="s">
        <v>166</v>
      </c>
      <c r="N769" t="s">
        <v>305</v>
      </c>
      <c r="O769" t="s">
        <v>168</v>
      </c>
      <c r="P769">
        <v>0.1695766171722769</v>
      </c>
      <c r="Q769" t="s">
        <v>166</v>
      </c>
    </row>
    <row r="770" spans="9:17" x14ac:dyDescent="0.45">
      <c r="I770" t="s">
        <v>240</v>
      </c>
      <c r="J770" t="s">
        <v>169</v>
      </c>
      <c r="K770">
        <v>0.16440125239218331</v>
      </c>
      <c r="L770" t="s">
        <v>166</v>
      </c>
      <c r="N770" t="s">
        <v>305</v>
      </c>
      <c r="O770" t="s">
        <v>169</v>
      </c>
      <c r="P770">
        <v>7.6205510009149297E-2</v>
      </c>
      <c r="Q770" t="s">
        <v>166</v>
      </c>
    </row>
    <row r="771" spans="9:17" x14ac:dyDescent="0.45">
      <c r="I771" t="s">
        <v>240</v>
      </c>
      <c r="J771" t="s">
        <v>170</v>
      </c>
      <c r="K771">
        <v>1.020119563702028E-2</v>
      </c>
      <c r="L771" t="s">
        <v>166</v>
      </c>
      <c r="N771" t="s">
        <v>305</v>
      </c>
      <c r="O771" t="s">
        <v>170</v>
      </c>
      <c r="P771">
        <v>4.6692216020900691E-3</v>
      </c>
      <c r="Q771" t="s">
        <v>166</v>
      </c>
    </row>
    <row r="772" spans="9:17" x14ac:dyDescent="0.45">
      <c r="I772" t="s">
        <v>240</v>
      </c>
      <c r="J772" t="s">
        <v>171</v>
      </c>
      <c r="K772">
        <v>3.9122336884764002E-3</v>
      </c>
      <c r="L772" t="s">
        <v>166</v>
      </c>
      <c r="N772" t="s">
        <v>305</v>
      </c>
      <c r="O772" t="s">
        <v>171</v>
      </c>
      <c r="P772">
        <v>2.6742521560718057E-2</v>
      </c>
      <c r="Q772" t="s">
        <v>166</v>
      </c>
    </row>
    <row r="773" spans="9:17" x14ac:dyDescent="0.45">
      <c r="I773" t="s">
        <v>240</v>
      </c>
      <c r="J773" t="s">
        <v>172</v>
      </c>
      <c r="K773">
        <v>7.690759403328408E-2</v>
      </c>
      <c r="L773" t="s">
        <v>166</v>
      </c>
      <c r="N773" t="s">
        <v>305</v>
      </c>
      <c r="O773" t="s">
        <v>172</v>
      </c>
      <c r="P773">
        <v>2.534458292807094E-2</v>
      </c>
      <c r="Q773" t="s">
        <v>166</v>
      </c>
    </row>
    <row r="774" spans="9:17" x14ac:dyDescent="0.45">
      <c r="I774" t="s">
        <v>240</v>
      </c>
      <c r="J774" t="s">
        <v>173</v>
      </c>
      <c r="K774">
        <v>3.2857145871593709E-3</v>
      </c>
      <c r="L774" t="s">
        <v>166</v>
      </c>
      <c r="N774" t="s">
        <v>305</v>
      </c>
      <c r="O774" t="s">
        <v>173</v>
      </c>
      <c r="P774">
        <v>1.7182509247138391E-3</v>
      </c>
      <c r="Q774" t="s">
        <v>166</v>
      </c>
    </row>
    <row r="775" spans="9:17" x14ac:dyDescent="0.45">
      <c r="I775" t="s">
        <v>240</v>
      </c>
      <c r="J775" t="s">
        <v>174</v>
      </c>
      <c r="K775">
        <v>0</v>
      </c>
      <c r="L775" t="s">
        <v>166</v>
      </c>
      <c r="N775" t="s">
        <v>305</v>
      </c>
      <c r="O775" t="s">
        <v>174</v>
      </c>
      <c r="P775">
        <v>9.2556796735947175E-3</v>
      </c>
      <c r="Q775" t="s">
        <v>166</v>
      </c>
    </row>
    <row r="776" spans="9:17" x14ac:dyDescent="0.45">
      <c r="I776" t="s">
        <v>240</v>
      </c>
      <c r="J776" t="s">
        <v>175</v>
      </c>
      <c r="K776">
        <v>0.12766915374360951</v>
      </c>
      <c r="L776" t="s">
        <v>166</v>
      </c>
      <c r="N776" t="s">
        <v>305</v>
      </c>
      <c r="O776" t="s">
        <v>175</v>
      </c>
      <c r="P776">
        <v>0.13379026253230281</v>
      </c>
      <c r="Q776" t="s">
        <v>166</v>
      </c>
    </row>
    <row r="777" spans="9:17" x14ac:dyDescent="0.45">
      <c r="I777" t="s">
        <v>240</v>
      </c>
      <c r="J777" t="s">
        <v>176</v>
      </c>
      <c r="K777">
        <v>1.3888543555647338E-3</v>
      </c>
      <c r="L777" t="s">
        <v>166</v>
      </c>
      <c r="N777" t="s">
        <v>305</v>
      </c>
      <c r="O777" t="s">
        <v>176</v>
      </c>
      <c r="P777">
        <v>6.3034587350683114E-3</v>
      </c>
      <c r="Q777" t="s">
        <v>166</v>
      </c>
    </row>
    <row r="778" spans="9:17" x14ac:dyDescent="0.45">
      <c r="I778" t="s">
        <v>240</v>
      </c>
      <c r="J778" t="s">
        <v>177</v>
      </c>
      <c r="K778">
        <v>0</v>
      </c>
      <c r="L778" t="s">
        <v>166</v>
      </c>
      <c r="N778" t="s">
        <v>305</v>
      </c>
      <c r="O778" t="s">
        <v>177</v>
      </c>
      <c r="P778">
        <v>4.0677588663051802E-2</v>
      </c>
      <c r="Q778" t="s">
        <v>166</v>
      </c>
    </row>
    <row r="779" spans="9:17" x14ac:dyDescent="0.45">
      <c r="I779" t="s">
        <v>241</v>
      </c>
      <c r="J779" t="s">
        <v>165</v>
      </c>
      <c r="K779">
        <v>0.55368162061777382</v>
      </c>
      <c r="L779" t="s">
        <v>166</v>
      </c>
      <c r="N779" t="s">
        <v>306</v>
      </c>
      <c r="O779" t="s">
        <v>165</v>
      </c>
      <c r="P779">
        <v>0.46252482538920631</v>
      </c>
      <c r="Q779" t="s">
        <v>166</v>
      </c>
    </row>
    <row r="780" spans="9:17" x14ac:dyDescent="0.45">
      <c r="I780" t="s">
        <v>241</v>
      </c>
      <c r="J780" t="s">
        <v>167</v>
      </c>
      <c r="K780">
        <v>3.5833750385257303E-2</v>
      </c>
      <c r="L780" t="s">
        <v>166</v>
      </c>
      <c r="N780" t="s">
        <v>306</v>
      </c>
      <c r="O780" t="s">
        <v>167</v>
      </c>
      <c r="P780">
        <v>2.8992482917211571E-2</v>
      </c>
      <c r="Q780" t="s">
        <v>166</v>
      </c>
    </row>
    <row r="781" spans="9:17" x14ac:dyDescent="0.45">
      <c r="I781" t="s">
        <v>241</v>
      </c>
      <c r="J781" t="s">
        <v>168</v>
      </c>
      <c r="K781">
        <v>1.4984179257257984E-2</v>
      </c>
      <c r="L781" t="s">
        <v>166</v>
      </c>
      <c r="N781" t="s">
        <v>306</v>
      </c>
      <c r="O781" t="s">
        <v>168</v>
      </c>
      <c r="P781">
        <v>0.19721146397791436</v>
      </c>
      <c r="Q781" t="s">
        <v>166</v>
      </c>
    </row>
    <row r="782" spans="9:17" x14ac:dyDescent="0.45">
      <c r="I782" t="s">
        <v>241</v>
      </c>
      <c r="J782" t="s">
        <v>169</v>
      </c>
      <c r="K782">
        <v>0.16127762635184933</v>
      </c>
      <c r="L782" t="s">
        <v>166</v>
      </c>
      <c r="N782" t="s">
        <v>306</v>
      </c>
      <c r="O782" t="s">
        <v>169</v>
      </c>
      <c r="P782">
        <v>6.6402041943815007E-2</v>
      </c>
      <c r="Q782" t="s">
        <v>166</v>
      </c>
    </row>
    <row r="783" spans="9:17" x14ac:dyDescent="0.45">
      <c r="I783" t="s">
        <v>241</v>
      </c>
      <c r="J783" t="s">
        <v>170</v>
      </c>
      <c r="K783">
        <v>1.0649449787372015E-2</v>
      </c>
      <c r="L783" t="s">
        <v>166</v>
      </c>
      <c r="N783" t="s">
        <v>306</v>
      </c>
      <c r="O783" t="s">
        <v>170</v>
      </c>
      <c r="P783">
        <v>4.1662780908773914E-3</v>
      </c>
      <c r="Q783" t="s">
        <v>166</v>
      </c>
    </row>
    <row r="784" spans="9:17" x14ac:dyDescent="0.45">
      <c r="I784" t="s">
        <v>241</v>
      </c>
      <c r="J784" t="s">
        <v>171</v>
      </c>
      <c r="K784">
        <v>4.5643532893644995E-3</v>
      </c>
      <c r="L784" t="s">
        <v>166</v>
      </c>
      <c r="N784" t="s">
        <v>306</v>
      </c>
      <c r="O784" t="s">
        <v>171</v>
      </c>
      <c r="P784">
        <v>3.6670905541250777E-2</v>
      </c>
      <c r="Q784" t="s">
        <v>166</v>
      </c>
    </row>
    <row r="785" spans="9:17" x14ac:dyDescent="0.45">
      <c r="I785" t="s">
        <v>241</v>
      </c>
      <c r="J785" t="s">
        <v>172</v>
      </c>
      <c r="K785">
        <v>7.7275724640674767E-2</v>
      </c>
      <c r="L785" t="s">
        <v>166</v>
      </c>
      <c r="N785" t="s">
        <v>306</v>
      </c>
      <c r="O785" t="s">
        <v>172</v>
      </c>
      <c r="P785">
        <v>2.10556990904575E-2</v>
      </c>
      <c r="Q785" t="s">
        <v>166</v>
      </c>
    </row>
    <row r="786" spans="9:17" x14ac:dyDescent="0.45">
      <c r="I786" t="s">
        <v>241</v>
      </c>
      <c r="J786" t="s">
        <v>173</v>
      </c>
      <c r="K786">
        <v>3.7635498823871973E-3</v>
      </c>
      <c r="L786" t="s">
        <v>166</v>
      </c>
      <c r="N786" t="s">
        <v>306</v>
      </c>
      <c r="O786" t="s">
        <v>173</v>
      </c>
      <c r="P786">
        <v>1.7383058818745615E-3</v>
      </c>
      <c r="Q786" t="s">
        <v>166</v>
      </c>
    </row>
    <row r="787" spans="9:17" x14ac:dyDescent="0.45">
      <c r="I787" t="s">
        <v>241</v>
      </c>
      <c r="J787" t="s">
        <v>174</v>
      </c>
      <c r="K787">
        <v>0</v>
      </c>
      <c r="L787" t="s">
        <v>166</v>
      </c>
      <c r="N787" t="s">
        <v>306</v>
      </c>
      <c r="O787" t="s">
        <v>174</v>
      </c>
      <c r="P787">
        <v>1.2619249970500707E-2</v>
      </c>
      <c r="Q787" t="s">
        <v>166</v>
      </c>
    </row>
    <row r="788" spans="9:17" x14ac:dyDescent="0.45">
      <c r="I788" t="s">
        <v>241</v>
      </c>
      <c r="J788" t="s">
        <v>175</v>
      </c>
      <c r="K788">
        <v>0.13275417876292347</v>
      </c>
      <c r="L788" t="s">
        <v>166</v>
      </c>
      <c r="N788" t="s">
        <v>306</v>
      </c>
      <c r="O788" t="s">
        <v>175</v>
      </c>
      <c r="P788">
        <v>0.11954197555384204</v>
      </c>
      <c r="Q788" t="s">
        <v>166</v>
      </c>
    </row>
    <row r="789" spans="9:17" x14ac:dyDescent="0.45">
      <c r="I789" t="s">
        <v>241</v>
      </c>
      <c r="J789" t="s">
        <v>176</v>
      </c>
      <c r="K789">
        <v>5.2155670251378457E-3</v>
      </c>
      <c r="L789" t="s">
        <v>166</v>
      </c>
      <c r="N789" t="s">
        <v>306</v>
      </c>
      <c r="O789" t="s">
        <v>176</v>
      </c>
      <c r="P789">
        <v>6.3932583001711047E-3</v>
      </c>
      <c r="Q789" t="s">
        <v>166</v>
      </c>
    </row>
    <row r="790" spans="9:17" x14ac:dyDescent="0.45">
      <c r="I790" t="s">
        <v>241</v>
      </c>
      <c r="J790" t="s">
        <v>177</v>
      </c>
      <c r="K790">
        <v>0</v>
      </c>
      <c r="L790" t="s">
        <v>166</v>
      </c>
      <c r="N790" t="s">
        <v>306</v>
      </c>
      <c r="O790" t="s">
        <v>177</v>
      </c>
      <c r="P790">
        <v>4.2683513342873673E-2</v>
      </c>
      <c r="Q790" t="s">
        <v>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5A060-788C-4135-ABD9-F7F1104902E4}">
  <dimension ref="A9:AN274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127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163</v>
      </c>
      <c r="L10" t="s">
        <v>30</v>
      </c>
      <c r="N10" t="s">
        <v>13</v>
      </c>
      <c r="O10" t="s">
        <v>122</v>
      </c>
      <c r="P10" t="s">
        <v>163</v>
      </c>
      <c r="Q10" t="s">
        <v>30</v>
      </c>
      <c r="S10" t="s">
        <v>13</v>
      </c>
      <c r="T10" t="s">
        <v>122</v>
      </c>
      <c r="U10" t="s">
        <v>163</v>
      </c>
      <c r="V10" t="s">
        <v>30</v>
      </c>
      <c r="X10" t="s">
        <v>317</v>
      </c>
      <c r="Y10" t="s">
        <v>163</v>
      </c>
      <c r="Z10" t="s">
        <v>122</v>
      </c>
      <c r="AA10" t="s">
        <v>13</v>
      </c>
      <c r="AC10" t="s">
        <v>13</v>
      </c>
      <c r="AD10" t="s">
        <v>122</v>
      </c>
      <c r="AE10" t="s">
        <v>163</v>
      </c>
      <c r="AG10" t="s">
        <v>13</v>
      </c>
      <c r="AH10" t="s">
        <v>122</v>
      </c>
      <c r="AI10" t="s">
        <v>323</v>
      </c>
      <c r="AK10" t="s">
        <v>47</v>
      </c>
      <c r="AL10" t="s">
        <v>122</v>
      </c>
      <c r="AM10" t="s">
        <v>324</v>
      </c>
      <c r="AN10" t="s">
        <v>325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156</v>
      </c>
      <c r="F11" t="s">
        <v>326</v>
      </c>
      <c r="G11" t="s">
        <v>155</v>
      </c>
      <c r="I11" t="s">
        <v>164</v>
      </c>
      <c r="J11" t="s">
        <v>165</v>
      </c>
      <c r="K11">
        <v>3.943801743351958E-2</v>
      </c>
      <c r="L11" t="s">
        <v>166</v>
      </c>
      <c r="N11" t="s">
        <v>242</v>
      </c>
      <c r="O11" t="s">
        <v>165</v>
      </c>
      <c r="P11">
        <v>0.17782540685289119</v>
      </c>
      <c r="Q11" t="s">
        <v>166</v>
      </c>
      <c r="S11" t="s">
        <v>307</v>
      </c>
      <c r="T11" t="s">
        <v>165</v>
      </c>
      <c r="U11">
        <v>0.16282135603482562</v>
      </c>
      <c r="V11" t="s">
        <v>166</v>
      </c>
      <c r="X11">
        <v>0.10273972602739725</v>
      </c>
      <c r="Y11">
        <v>7.1690326430151927E-2</v>
      </c>
      <c r="Z11" t="s">
        <v>165</v>
      </c>
      <c r="AA11" t="s">
        <v>25</v>
      </c>
      <c r="AC11" t="s">
        <v>22</v>
      </c>
      <c r="AD11" t="s">
        <v>165</v>
      </c>
      <c r="AE11">
        <v>7.8314886466420999E-2</v>
      </c>
      <c r="AG11" t="s">
        <v>97</v>
      </c>
      <c r="AH11" t="s">
        <v>165</v>
      </c>
      <c r="AI11">
        <v>0.27002346732701521</v>
      </c>
    </row>
    <row r="12" spans="1:40" x14ac:dyDescent="0.45">
      <c r="C12" t="s">
        <v>158</v>
      </c>
      <c r="E12" t="s">
        <v>159</v>
      </c>
      <c r="G12" t="s">
        <v>155</v>
      </c>
      <c r="I12" t="s">
        <v>164</v>
      </c>
      <c r="J12" t="s">
        <v>167</v>
      </c>
      <c r="K12">
        <v>2.4042520566996402E-2</v>
      </c>
      <c r="L12" t="s">
        <v>166</v>
      </c>
      <c r="N12" t="s">
        <v>242</v>
      </c>
      <c r="O12" t="s">
        <v>167</v>
      </c>
      <c r="P12">
        <v>1.9837939767168977E-2</v>
      </c>
      <c r="Q12" t="s">
        <v>166</v>
      </c>
      <c r="S12" t="s">
        <v>307</v>
      </c>
      <c r="T12" t="s">
        <v>167</v>
      </c>
      <c r="U12">
        <v>1.6907790256906193E-2</v>
      </c>
      <c r="V12" t="s">
        <v>166</v>
      </c>
      <c r="X12">
        <v>1.0273972602739725E-2</v>
      </c>
      <c r="Y12">
        <v>1.2679312830967361E-2</v>
      </c>
      <c r="Z12" t="s">
        <v>167</v>
      </c>
      <c r="AA12" t="s">
        <v>25</v>
      </c>
      <c r="AC12" t="s">
        <v>22</v>
      </c>
      <c r="AD12" t="s">
        <v>167</v>
      </c>
      <c r="AE12">
        <v>1.0764385328919794E-2</v>
      </c>
      <c r="AG12" t="s">
        <v>97</v>
      </c>
      <c r="AH12" t="s">
        <v>167</v>
      </c>
      <c r="AI12">
        <v>7.0469630955572127E-2</v>
      </c>
    </row>
    <row r="13" spans="1:40" x14ac:dyDescent="0.45">
      <c r="C13" t="s">
        <v>160</v>
      </c>
      <c r="E13" t="s">
        <v>161</v>
      </c>
      <c r="G13" t="s">
        <v>155</v>
      </c>
      <c r="I13" t="s">
        <v>164</v>
      </c>
      <c r="J13" t="s">
        <v>168</v>
      </c>
      <c r="K13">
        <v>0.12947195226414501</v>
      </c>
      <c r="L13" t="s">
        <v>166</v>
      </c>
      <c r="N13" t="s">
        <v>242</v>
      </c>
      <c r="O13" t="s">
        <v>168</v>
      </c>
      <c r="P13">
        <v>0.13314248866525469</v>
      </c>
      <c r="Q13" t="s">
        <v>166</v>
      </c>
      <c r="S13" t="s">
        <v>307</v>
      </c>
      <c r="T13" t="s">
        <v>168</v>
      </c>
      <c r="U13">
        <v>0.10981228312646836</v>
      </c>
      <c r="V13" t="s">
        <v>166</v>
      </c>
      <c r="X13">
        <v>6.1643835616438353E-2</v>
      </c>
      <c r="Y13">
        <v>8.7919846853790132E-2</v>
      </c>
      <c r="Z13" t="s">
        <v>168</v>
      </c>
      <c r="AA13" t="s">
        <v>25</v>
      </c>
      <c r="AC13" t="s">
        <v>22</v>
      </c>
      <c r="AD13" t="s">
        <v>168</v>
      </c>
      <c r="AE13">
        <v>6.5025106978734121E-2</v>
      </c>
      <c r="AG13" t="s">
        <v>97</v>
      </c>
      <c r="AH13" t="s">
        <v>168</v>
      </c>
      <c r="AI13">
        <v>0.11334866492538631</v>
      </c>
    </row>
    <row r="14" spans="1:40" x14ac:dyDescent="0.45">
      <c r="C14" t="s">
        <v>162</v>
      </c>
      <c r="E14" t="s">
        <v>327</v>
      </c>
      <c r="G14" t="s">
        <v>155</v>
      </c>
      <c r="I14" t="s">
        <v>164</v>
      </c>
      <c r="J14" t="s">
        <v>333</v>
      </c>
      <c r="K14">
        <v>1.24624429905166E-2</v>
      </c>
      <c r="L14" t="s">
        <v>166</v>
      </c>
      <c r="N14" t="s">
        <v>242</v>
      </c>
      <c r="O14" t="s">
        <v>333</v>
      </c>
      <c r="P14">
        <v>1.9836666755478651E-2</v>
      </c>
      <c r="Q14" t="s">
        <v>166</v>
      </c>
      <c r="S14" t="s">
        <v>307</v>
      </c>
      <c r="T14" t="s">
        <v>333</v>
      </c>
      <c r="U14">
        <v>1.8460559174423866E-2</v>
      </c>
      <c r="V14" t="s">
        <v>166</v>
      </c>
      <c r="X14">
        <v>1.0273972602739725E-2</v>
      </c>
      <c r="Y14">
        <v>1.9988563757054423E-2</v>
      </c>
      <c r="Z14" t="s">
        <v>333</v>
      </c>
      <c r="AA14" t="s">
        <v>25</v>
      </c>
      <c r="AC14" t="s">
        <v>22</v>
      </c>
      <c r="AD14" t="s">
        <v>333</v>
      </c>
      <c r="AE14">
        <v>1.2508915993143322E-2</v>
      </c>
      <c r="AG14" t="s">
        <v>97</v>
      </c>
      <c r="AH14" t="s">
        <v>333</v>
      </c>
      <c r="AI14">
        <v>6.3431447913308681E-2</v>
      </c>
    </row>
    <row r="15" spans="1:40" x14ac:dyDescent="0.45">
      <c r="C15" t="s">
        <v>328</v>
      </c>
      <c r="E15" t="s">
        <v>329</v>
      </c>
      <c r="G15" t="s">
        <v>155</v>
      </c>
      <c r="I15" t="s">
        <v>164</v>
      </c>
      <c r="J15" t="s">
        <v>334</v>
      </c>
      <c r="K15">
        <v>3.1864484860348388E-3</v>
      </c>
      <c r="L15" t="s">
        <v>166</v>
      </c>
      <c r="N15" t="s">
        <v>242</v>
      </c>
      <c r="O15" t="s">
        <v>334</v>
      </c>
      <c r="P15">
        <v>1.8570980625051053E-2</v>
      </c>
      <c r="Q15" t="s">
        <v>166</v>
      </c>
      <c r="S15" t="s">
        <v>307</v>
      </c>
      <c r="T15" t="s">
        <v>334</v>
      </c>
      <c r="U15">
        <v>1.8126011736512296E-2</v>
      </c>
      <c r="V15" t="s">
        <v>166</v>
      </c>
      <c r="X15">
        <v>1.0273972602739725E-2</v>
      </c>
      <c r="Y15">
        <v>1.5513512169654176E-2</v>
      </c>
      <c r="Z15" t="s">
        <v>334</v>
      </c>
      <c r="AA15" t="s">
        <v>25</v>
      </c>
      <c r="AC15" t="s">
        <v>22</v>
      </c>
      <c r="AD15" t="s">
        <v>334</v>
      </c>
      <c r="AE15">
        <v>1.2884309806141296E-2</v>
      </c>
      <c r="AG15" t="s">
        <v>97</v>
      </c>
      <c r="AH15" t="s">
        <v>334</v>
      </c>
      <c r="AI15">
        <v>6.2569223609081792E-2</v>
      </c>
    </row>
    <row r="16" spans="1:40" x14ac:dyDescent="0.45">
      <c r="C16" t="s">
        <v>330</v>
      </c>
      <c r="E16" t="s">
        <v>331</v>
      </c>
      <c r="G16" t="s">
        <v>155</v>
      </c>
      <c r="I16" t="s">
        <v>164</v>
      </c>
      <c r="J16" t="s">
        <v>335</v>
      </c>
      <c r="K16">
        <v>0</v>
      </c>
      <c r="L16" t="s">
        <v>166</v>
      </c>
      <c r="N16" t="s">
        <v>242</v>
      </c>
      <c r="O16" t="s">
        <v>335</v>
      </c>
      <c r="P16">
        <v>8.7535190798374671E-2</v>
      </c>
      <c r="Q16" t="s">
        <v>166</v>
      </c>
      <c r="S16" t="s">
        <v>307</v>
      </c>
      <c r="T16" t="s">
        <v>335</v>
      </c>
      <c r="U16">
        <v>8.5581941598582706E-2</v>
      </c>
      <c r="V16" t="s">
        <v>166</v>
      </c>
      <c r="X16">
        <v>5.1369863013698627E-2</v>
      </c>
      <c r="Y16">
        <v>3.8783780424135446E-2</v>
      </c>
      <c r="Z16" t="s">
        <v>335</v>
      </c>
      <c r="AA16" t="s">
        <v>25</v>
      </c>
      <c r="AC16" t="s">
        <v>22</v>
      </c>
      <c r="AD16" t="s">
        <v>335</v>
      </c>
      <c r="AE16">
        <v>5.5306082933934318E-2</v>
      </c>
      <c r="AG16" t="s">
        <v>97</v>
      </c>
      <c r="AH16" t="s">
        <v>335</v>
      </c>
      <c r="AI16">
        <v>0.17982937557924128</v>
      </c>
    </row>
    <row r="17" spans="3:35" x14ac:dyDescent="0.45">
      <c r="C17" t="s">
        <v>332</v>
      </c>
      <c r="I17" t="s">
        <v>164</v>
      </c>
      <c r="J17" t="s">
        <v>169</v>
      </c>
      <c r="K17">
        <v>5.1830907789100461E-2</v>
      </c>
      <c r="L17" t="s">
        <v>166</v>
      </c>
      <c r="N17" t="s">
        <v>242</v>
      </c>
      <c r="O17" t="s">
        <v>169</v>
      </c>
      <c r="P17">
        <v>4.6169953288480559E-2</v>
      </c>
      <c r="Q17" t="s">
        <v>166</v>
      </c>
      <c r="S17" t="s">
        <v>307</v>
      </c>
      <c r="T17" t="s">
        <v>169</v>
      </c>
      <c r="U17">
        <v>5.9225634664311765E-2</v>
      </c>
      <c r="V17" t="s">
        <v>166</v>
      </c>
      <c r="X17">
        <v>6.9634703196347028E-2</v>
      </c>
      <c r="Y17">
        <v>4.8590110135991856E-2</v>
      </c>
      <c r="Z17" t="s">
        <v>169</v>
      </c>
      <c r="AA17" t="s">
        <v>25</v>
      </c>
      <c r="AC17" t="s">
        <v>22</v>
      </c>
      <c r="AD17" t="s">
        <v>169</v>
      </c>
      <c r="AE17">
        <v>5.6013093601761994E-2</v>
      </c>
      <c r="AG17" t="s">
        <v>97</v>
      </c>
      <c r="AH17" t="s">
        <v>169</v>
      </c>
      <c r="AI17">
        <v>0.23724491790736413</v>
      </c>
    </row>
    <row r="18" spans="3:35" x14ac:dyDescent="0.45">
      <c r="I18" t="s">
        <v>164</v>
      </c>
      <c r="J18" t="s">
        <v>170</v>
      </c>
      <c r="K18">
        <v>1.9752976951936733E-2</v>
      </c>
      <c r="L18" t="s">
        <v>166</v>
      </c>
      <c r="N18" t="s">
        <v>242</v>
      </c>
      <c r="O18" t="s">
        <v>170</v>
      </c>
      <c r="P18">
        <v>5.5277194733899292E-3</v>
      </c>
      <c r="Q18" t="s">
        <v>166</v>
      </c>
      <c r="S18" t="s">
        <v>307</v>
      </c>
      <c r="T18" t="s">
        <v>170</v>
      </c>
      <c r="U18">
        <v>5.2641572655100629E-3</v>
      </c>
      <c r="V18" t="s">
        <v>166</v>
      </c>
      <c r="X18">
        <v>6.9634703196347035E-3</v>
      </c>
      <c r="Y18">
        <v>8.593756474322322E-3</v>
      </c>
      <c r="Z18" t="s">
        <v>170</v>
      </c>
      <c r="AA18" t="s">
        <v>25</v>
      </c>
      <c r="AC18" t="s">
        <v>22</v>
      </c>
      <c r="AD18" t="s">
        <v>170</v>
      </c>
      <c r="AE18">
        <v>7.6374471900750246E-3</v>
      </c>
      <c r="AG18" t="s">
        <v>97</v>
      </c>
      <c r="AH18" t="s">
        <v>170</v>
      </c>
      <c r="AI18">
        <v>3.9465878079278482E-2</v>
      </c>
    </row>
    <row r="19" spans="3:35" x14ac:dyDescent="0.45">
      <c r="I19" t="s">
        <v>164</v>
      </c>
      <c r="J19" t="s">
        <v>171</v>
      </c>
      <c r="K19">
        <v>0.11006446210199088</v>
      </c>
      <c r="L19" t="s">
        <v>166</v>
      </c>
      <c r="N19" t="s">
        <v>242</v>
      </c>
      <c r="O19" t="s">
        <v>171</v>
      </c>
      <c r="P19">
        <v>4.7556641577128148E-2</v>
      </c>
      <c r="Q19" t="s">
        <v>166</v>
      </c>
      <c r="S19" t="s">
        <v>307</v>
      </c>
      <c r="T19" t="s">
        <v>171</v>
      </c>
      <c r="U19">
        <v>4.0577693049493185E-2</v>
      </c>
      <c r="V19" t="s">
        <v>166</v>
      </c>
      <c r="X19">
        <v>4.1780821917808221E-2</v>
      </c>
      <c r="Y19">
        <v>5.9590118423124429E-2</v>
      </c>
      <c r="Z19" t="s">
        <v>171</v>
      </c>
      <c r="AA19" t="s">
        <v>25</v>
      </c>
      <c r="AC19" t="s">
        <v>22</v>
      </c>
      <c r="AD19" t="s">
        <v>171</v>
      </c>
      <c r="AE19">
        <v>4.5930873351842177E-2</v>
      </c>
      <c r="AG19" t="s">
        <v>97</v>
      </c>
      <c r="AH19" t="s">
        <v>171</v>
      </c>
      <c r="AI19">
        <v>4.1777906241720064E-2</v>
      </c>
    </row>
    <row r="20" spans="3:35" x14ac:dyDescent="0.45">
      <c r="I20" t="s">
        <v>164</v>
      </c>
      <c r="J20" t="s">
        <v>336</v>
      </c>
      <c r="K20">
        <v>1.2130850430385908E-2</v>
      </c>
      <c r="L20" t="s">
        <v>166</v>
      </c>
      <c r="N20" t="s">
        <v>242</v>
      </c>
      <c r="O20" t="s">
        <v>336</v>
      </c>
      <c r="P20">
        <v>7.7710554805679177E-3</v>
      </c>
      <c r="Q20" t="s">
        <v>166</v>
      </c>
      <c r="S20" t="s">
        <v>307</v>
      </c>
      <c r="T20" t="s">
        <v>336</v>
      </c>
      <c r="U20">
        <v>7.4660780092741267E-3</v>
      </c>
      <c r="V20" t="s">
        <v>166</v>
      </c>
      <c r="X20">
        <v>6.9634703196347035E-3</v>
      </c>
      <c r="Y20">
        <v>1.354780432422577E-2</v>
      </c>
      <c r="Z20" t="s">
        <v>336</v>
      </c>
      <c r="AA20" t="s">
        <v>25</v>
      </c>
      <c r="AC20" t="s">
        <v>22</v>
      </c>
      <c r="AD20" t="s">
        <v>336</v>
      </c>
      <c r="AE20">
        <v>8.0639004371478324E-3</v>
      </c>
      <c r="AG20" t="s">
        <v>97</v>
      </c>
      <c r="AH20" t="s">
        <v>336</v>
      </c>
      <c r="AI20">
        <v>5.8361924825899525E-2</v>
      </c>
    </row>
    <row r="21" spans="3:35" x14ac:dyDescent="0.45">
      <c r="I21" t="s">
        <v>164</v>
      </c>
      <c r="J21" t="s">
        <v>337</v>
      </c>
      <c r="K21">
        <v>7.6041687133608744E-3</v>
      </c>
      <c r="L21" t="s">
        <v>166</v>
      </c>
      <c r="N21" t="s">
        <v>242</v>
      </c>
      <c r="O21" t="s">
        <v>337</v>
      </c>
      <c r="P21">
        <v>7.0573378151745662E-3</v>
      </c>
      <c r="Q21" t="s">
        <v>166</v>
      </c>
      <c r="S21" t="s">
        <v>307</v>
      </c>
      <c r="T21" t="s">
        <v>337</v>
      </c>
      <c r="U21">
        <v>7.2786570719980776E-3</v>
      </c>
      <c r="V21" t="s">
        <v>166</v>
      </c>
      <c r="X21">
        <v>6.9634703196347035E-3</v>
      </c>
      <c r="Y21">
        <v>1.0514713803876726E-2</v>
      </c>
      <c r="Z21" t="s">
        <v>337</v>
      </c>
      <c r="AA21" t="s">
        <v>25</v>
      </c>
      <c r="AC21" t="s">
        <v>22</v>
      </c>
      <c r="AD21" t="s">
        <v>337</v>
      </c>
      <c r="AE21">
        <v>8.1217294772413448E-3</v>
      </c>
      <c r="AG21" t="s">
        <v>97</v>
      </c>
      <c r="AH21" t="s">
        <v>337</v>
      </c>
      <c r="AI21">
        <v>6.3347184715900395E-2</v>
      </c>
    </row>
    <row r="22" spans="3:35" x14ac:dyDescent="0.45">
      <c r="I22" t="s">
        <v>164</v>
      </c>
      <c r="J22" t="s">
        <v>338</v>
      </c>
      <c r="K22">
        <v>1.1686947965251664E-3</v>
      </c>
      <c r="L22" t="s">
        <v>166</v>
      </c>
      <c r="N22" t="s">
        <v>242</v>
      </c>
      <c r="O22" t="s">
        <v>338</v>
      </c>
      <c r="P22">
        <v>2.8078892682307097E-2</v>
      </c>
      <c r="Q22" t="s">
        <v>166</v>
      </c>
      <c r="S22" t="s">
        <v>307</v>
      </c>
      <c r="T22" t="s">
        <v>338</v>
      </c>
      <c r="U22">
        <v>3.3777083564264135E-2</v>
      </c>
      <c r="V22" t="s">
        <v>166</v>
      </c>
      <c r="X22">
        <v>3.4817351598173514E-2</v>
      </c>
      <c r="Y22">
        <v>2.6286784509691803E-2</v>
      </c>
      <c r="Z22" t="s">
        <v>338</v>
      </c>
      <c r="AA22" t="s">
        <v>25</v>
      </c>
      <c r="AC22" t="s">
        <v>22</v>
      </c>
      <c r="AD22" t="s">
        <v>338</v>
      </c>
      <c r="AE22">
        <v>3.7167835466694672E-2</v>
      </c>
      <c r="AG22" t="s">
        <v>97</v>
      </c>
      <c r="AH22" t="s">
        <v>338</v>
      </c>
      <c r="AI22">
        <v>0.1131992011365055</v>
      </c>
    </row>
    <row r="23" spans="3:35" x14ac:dyDescent="0.45">
      <c r="I23" t="s">
        <v>164</v>
      </c>
      <c r="J23" t="s">
        <v>172</v>
      </c>
      <c r="K23">
        <v>2.7951945344680363E-2</v>
      </c>
      <c r="L23" t="s">
        <v>166</v>
      </c>
      <c r="N23" t="s">
        <v>242</v>
      </c>
      <c r="O23" t="s">
        <v>172</v>
      </c>
      <c r="P23">
        <v>1.1810955007724104E-2</v>
      </c>
      <c r="Q23" t="s">
        <v>166</v>
      </c>
      <c r="S23" t="s">
        <v>307</v>
      </c>
      <c r="T23" t="s">
        <v>172</v>
      </c>
      <c r="U23">
        <v>2.2263267277597861E-2</v>
      </c>
      <c r="V23" t="s">
        <v>166</v>
      </c>
      <c r="X23">
        <v>3.4246575342465752E-2</v>
      </c>
      <c r="Y23">
        <v>2.3896775476717307E-2</v>
      </c>
      <c r="Z23" t="s">
        <v>172</v>
      </c>
      <c r="AA23" t="s">
        <v>25</v>
      </c>
      <c r="AC23" t="s">
        <v>22</v>
      </c>
      <c r="AD23" t="s">
        <v>172</v>
      </c>
      <c r="AE23">
        <v>2.780235820220648E-2</v>
      </c>
      <c r="AG23" t="s">
        <v>97</v>
      </c>
      <c r="AH23" t="s">
        <v>172</v>
      </c>
      <c r="AI23">
        <v>0.31684496633969772</v>
      </c>
    </row>
    <row r="24" spans="3:35" x14ac:dyDescent="0.45">
      <c r="I24" t="s">
        <v>164</v>
      </c>
      <c r="J24" t="s">
        <v>173</v>
      </c>
      <c r="K24">
        <v>1.0143676621068364E-2</v>
      </c>
      <c r="L24" t="s">
        <v>166</v>
      </c>
      <c r="N24" t="s">
        <v>242</v>
      </c>
      <c r="O24" t="s">
        <v>173</v>
      </c>
      <c r="P24">
        <v>1.7271539172925773E-3</v>
      </c>
      <c r="Q24" t="s">
        <v>166</v>
      </c>
      <c r="S24" t="s">
        <v>307</v>
      </c>
      <c r="T24" t="s">
        <v>173</v>
      </c>
      <c r="U24">
        <v>2.3686545178205217E-3</v>
      </c>
      <c r="V24" t="s">
        <v>166</v>
      </c>
      <c r="X24">
        <v>3.4246575342465752E-3</v>
      </c>
      <c r="Y24">
        <v>4.2264376103224545E-3</v>
      </c>
      <c r="Z24" t="s">
        <v>173</v>
      </c>
      <c r="AA24" t="s">
        <v>25</v>
      </c>
      <c r="AC24" t="s">
        <v>22</v>
      </c>
      <c r="AD24" t="s">
        <v>173</v>
      </c>
      <c r="AE24">
        <v>3.9108973333863636E-3</v>
      </c>
      <c r="AG24" t="s">
        <v>97</v>
      </c>
      <c r="AH24" t="s">
        <v>173</v>
      </c>
      <c r="AI24">
        <v>7.631598001592943E-2</v>
      </c>
    </row>
    <row r="25" spans="3:35" x14ac:dyDescent="0.45">
      <c r="I25" t="s">
        <v>164</v>
      </c>
      <c r="J25" t="s">
        <v>174</v>
      </c>
      <c r="K25">
        <v>5.8474642208318689E-2</v>
      </c>
      <c r="L25" t="s">
        <v>166</v>
      </c>
      <c r="N25" t="s">
        <v>242</v>
      </c>
      <c r="O25" t="s">
        <v>174</v>
      </c>
      <c r="P25">
        <v>1.9031197564185229E-2</v>
      </c>
      <c r="Q25" t="s">
        <v>166</v>
      </c>
      <c r="S25" t="s">
        <v>307</v>
      </c>
      <c r="T25" t="s">
        <v>174</v>
      </c>
      <c r="U25">
        <v>2.0731724890036916E-2</v>
      </c>
      <c r="V25" t="s">
        <v>166</v>
      </c>
      <c r="X25">
        <v>2.0547945205479451E-2</v>
      </c>
      <c r="Y25">
        <v>2.9306615617930045E-2</v>
      </c>
      <c r="Z25" t="s">
        <v>174</v>
      </c>
      <c r="AA25" t="s">
        <v>25</v>
      </c>
      <c r="AC25" t="s">
        <v>22</v>
      </c>
      <c r="AD25" t="s">
        <v>174</v>
      </c>
      <c r="AE25">
        <v>2.3484686957102568E-2</v>
      </c>
      <c r="AG25" t="s">
        <v>97</v>
      </c>
      <c r="AH25" t="s">
        <v>174</v>
      </c>
      <c r="AI25">
        <v>7.6375741613994963E-2</v>
      </c>
    </row>
    <row r="26" spans="3:35" x14ac:dyDescent="0.45">
      <c r="I26" t="s">
        <v>164</v>
      </c>
      <c r="J26" t="s">
        <v>339</v>
      </c>
      <c r="K26">
        <v>6.8745297889956751E-3</v>
      </c>
      <c r="L26" t="s">
        <v>166</v>
      </c>
      <c r="N26" t="s">
        <v>242</v>
      </c>
      <c r="O26" t="s">
        <v>339</v>
      </c>
      <c r="P26">
        <v>2.9891462499700592E-3</v>
      </c>
      <c r="Q26" t="s">
        <v>166</v>
      </c>
      <c r="S26" t="s">
        <v>307</v>
      </c>
      <c r="T26" t="s">
        <v>339</v>
      </c>
      <c r="U26">
        <v>3.7004201135999487E-3</v>
      </c>
      <c r="V26" t="s">
        <v>166</v>
      </c>
      <c r="X26">
        <v>3.4246575342465752E-3</v>
      </c>
      <c r="Y26">
        <v>6.662854585684809E-3</v>
      </c>
      <c r="Z26" t="s">
        <v>339</v>
      </c>
      <c r="AA26" t="s">
        <v>25</v>
      </c>
      <c r="AC26" t="s">
        <v>22</v>
      </c>
      <c r="AD26" t="s">
        <v>339</v>
      </c>
      <c r="AE26">
        <v>4.1421017313968966E-3</v>
      </c>
      <c r="AG26" t="s">
        <v>97</v>
      </c>
      <c r="AH26" t="s">
        <v>339</v>
      </c>
      <c r="AI26">
        <v>4.7561124557253587E-2</v>
      </c>
    </row>
    <row r="27" spans="3:35" x14ac:dyDescent="0.45">
      <c r="I27" t="s">
        <v>164</v>
      </c>
      <c r="J27" t="s">
        <v>340</v>
      </c>
      <c r="K27">
        <v>4.8015441484412866E-3</v>
      </c>
      <c r="L27" t="s">
        <v>166</v>
      </c>
      <c r="N27" t="s">
        <v>242</v>
      </c>
      <c r="O27" t="s">
        <v>340</v>
      </c>
      <c r="P27">
        <v>2.4341746035272333E-3</v>
      </c>
      <c r="Q27" t="s">
        <v>166</v>
      </c>
      <c r="S27" t="s">
        <v>307</v>
      </c>
      <c r="T27" t="s">
        <v>340</v>
      </c>
      <c r="U27">
        <v>3.5978457729722657E-3</v>
      </c>
      <c r="V27" t="s">
        <v>166</v>
      </c>
      <c r="X27">
        <v>3.4246575342465752E-3</v>
      </c>
      <c r="Y27">
        <v>5.1711707232180593E-3</v>
      </c>
      <c r="Z27" t="s">
        <v>340</v>
      </c>
      <c r="AA27" t="s">
        <v>25</v>
      </c>
      <c r="AC27" t="s">
        <v>22</v>
      </c>
      <c r="AD27" t="s">
        <v>340</v>
      </c>
      <c r="AE27">
        <v>4.1358749711438679E-3</v>
      </c>
      <c r="AG27" t="s">
        <v>97</v>
      </c>
      <c r="AH27" t="s">
        <v>340</v>
      </c>
      <c r="AI27">
        <v>4.9628367336245871E-2</v>
      </c>
    </row>
    <row r="28" spans="3:35" x14ac:dyDescent="0.45">
      <c r="I28" t="s">
        <v>164</v>
      </c>
      <c r="J28" t="s">
        <v>341</v>
      </c>
      <c r="K28">
        <v>2.0962282275205873E-3</v>
      </c>
      <c r="L28" t="s">
        <v>166</v>
      </c>
      <c r="N28" t="s">
        <v>242</v>
      </c>
      <c r="O28" t="s">
        <v>341</v>
      </c>
      <c r="P28">
        <v>7.4797795830492692E-3</v>
      </c>
      <c r="Q28" t="s">
        <v>166</v>
      </c>
      <c r="S28" t="s">
        <v>307</v>
      </c>
      <c r="T28" t="s">
        <v>341</v>
      </c>
      <c r="U28">
        <v>1.4192601167372702E-2</v>
      </c>
      <c r="V28" t="s">
        <v>166</v>
      </c>
      <c r="X28">
        <v>1.7123287671232876E-2</v>
      </c>
      <c r="Y28">
        <v>1.2927926808045149E-2</v>
      </c>
      <c r="Z28" t="s">
        <v>341</v>
      </c>
      <c r="AA28" t="s">
        <v>25</v>
      </c>
      <c r="AC28" t="s">
        <v>22</v>
      </c>
      <c r="AD28" t="s">
        <v>341</v>
      </c>
      <c r="AE28">
        <v>1.8359986491725822E-2</v>
      </c>
      <c r="AG28" t="s">
        <v>97</v>
      </c>
      <c r="AH28" t="s">
        <v>341</v>
      </c>
      <c r="AI28">
        <v>0.12867691562764794</v>
      </c>
    </row>
    <row r="29" spans="3:35" x14ac:dyDescent="0.45">
      <c r="I29" t="s">
        <v>164</v>
      </c>
      <c r="J29" t="s">
        <v>175</v>
      </c>
      <c r="K29">
        <v>2.6501564864452303E-2</v>
      </c>
      <c r="L29" t="s">
        <v>166</v>
      </c>
      <c r="N29" t="s">
        <v>242</v>
      </c>
      <c r="O29" t="s">
        <v>175</v>
      </c>
      <c r="P29">
        <v>6.1135290624321883E-3</v>
      </c>
      <c r="Q29" t="s">
        <v>166</v>
      </c>
      <c r="S29" t="s">
        <v>307</v>
      </c>
      <c r="T29" t="s">
        <v>175</v>
      </c>
      <c r="U29">
        <v>1.4737425551855216E-2</v>
      </c>
      <c r="V29" t="s">
        <v>166</v>
      </c>
      <c r="X29">
        <v>3.5388127853881277E-2</v>
      </c>
      <c r="Y29">
        <v>2.4693334659274549E-2</v>
      </c>
      <c r="Z29" t="s">
        <v>175</v>
      </c>
      <c r="AA29" t="s">
        <v>25</v>
      </c>
      <c r="AC29" t="s">
        <v>22</v>
      </c>
      <c r="AD29" t="s">
        <v>175</v>
      </c>
      <c r="AE29">
        <v>3.1387286917795333E-2</v>
      </c>
      <c r="AG29" t="s">
        <v>97</v>
      </c>
      <c r="AH29" t="s">
        <v>175</v>
      </c>
      <c r="AI29">
        <v>0.29582538209063114</v>
      </c>
    </row>
    <row r="30" spans="3:35" x14ac:dyDescent="0.45">
      <c r="I30" t="s">
        <v>164</v>
      </c>
      <c r="J30" t="s">
        <v>176</v>
      </c>
      <c r="K30">
        <v>9.9541454728046055E-3</v>
      </c>
      <c r="L30" t="s">
        <v>166</v>
      </c>
      <c r="N30" t="s">
        <v>242</v>
      </c>
      <c r="O30" t="s">
        <v>176</v>
      </c>
      <c r="P30">
        <v>6.9326894836694187E-4</v>
      </c>
      <c r="Q30" t="s">
        <v>166</v>
      </c>
      <c r="S30" t="s">
        <v>307</v>
      </c>
      <c r="T30" t="s">
        <v>176</v>
      </c>
      <c r="U30">
        <v>1.4314566692413058E-3</v>
      </c>
      <c r="V30" t="s">
        <v>166</v>
      </c>
      <c r="X30">
        <v>3.5388127853881279E-3</v>
      </c>
      <c r="Y30">
        <v>4.3673188639998693E-3</v>
      </c>
      <c r="Z30" t="s">
        <v>176</v>
      </c>
      <c r="AA30" t="s">
        <v>25</v>
      </c>
      <c r="AC30" t="s">
        <v>22</v>
      </c>
      <c r="AD30" t="s">
        <v>176</v>
      </c>
      <c r="AE30">
        <v>4.5052934120390293E-3</v>
      </c>
      <c r="AG30" t="s">
        <v>97</v>
      </c>
      <c r="AH30" t="s">
        <v>176</v>
      </c>
      <c r="AI30">
        <v>3.941014505626006E-2</v>
      </c>
    </row>
    <row r="31" spans="3:35" x14ac:dyDescent="0.45">
      <c r="I31" t="s">
        <v>164</v>
      </c>
      <c r="J31" t="s">
        <v>177</v>
      </c>
      <c r="K31">
        <v>5.7120473345918771E-2</v>
      </c>
      <c r="L31" t="s">
        <v>166</v>
      </c>
      <c r="N31" t="s">
        <v>242</v>
      </c>
      <c r="O31" t="s">
        <v>177</v>
      </c>
      <c r="P31">
        <v>1.561457917558059E-2</v>
      </c>
      <c r="Q31" t="s">
        <v>166</v>
      </c>
      <c r="S31" t="s">
        <v>307</v>
      </c>
      <c r="T31" t="s">
        <v>177</v>
      </c>
      <c r="U31">
        <v>1.5633307377797875E-2</v>
      </c>
      <c r="V31" t="s">
        <v>166</v>
      </c>
      <c r="X31">
        <v>2.1232876712328767E-2</v>
      </c>
      <c r="Y31">
        <v>3.0283502805194377E-2</v>
      </c>
      <c r="Z31" t="s">
        <v>177</v>
      </c>
      <c r="AA31" t="s">
        <v>25</v>
      </c>
      <c r="AC31" t="s">
        <v>22</v>
      </c>
      <c r="AD31" t="s">
        <v>177</v>
      </c>
      <c r="AE31">
        <v>2.726341191969877E-2</v>
      </c>
      <c r="AG31" t="s">
        <v>97</v>
      </c>
      <c r="AH31" t="s">
        <v>177</v>
      </c>
      <c r="AI31">
        <v>3.356829890068358E-2</v>
      </c>
    </row>
    <row r="32" spans="3:35" x14ac:dyDescent="0.45">
      <c r="I32" t="s">
        <v>164</v>
      </c>
      <c r="J32" t="s">
        <v>342</v>
      </c>
      <c r="K32">
        <v>5.8462875995607105E-3</v>
      </c>
      <c r="L32" t="s">
        <v>166</v>
      </c>
      <c r="N32" t="s">
        <v>242</v>
      </c>
      <c r="O32" t="s">
        <v>342</v>
      </c>
      <c r="P32">
        <v>2.5142249329025684E-3</v>
      </c>
      <c r="Q32" t="s">
        <v>166</v>
      </c>
      <c r="S32" t="s">
        <v>307</v>
      </c>
      <c r="T32" t="s">
        <v>342</v>
      </c>
      <c r="U32">
        <v>3.1069239033573626E-3</v>
      </c>
      <c r="V32" t="s">
        <v>166</v>
      </c>
      <c r="X32">
        <v>3.5388127853881279E-3</v>
      </c>
      <c r="Y32">
        <v>6.8849497385409693E-3</v>
      </c>
      <c r="Z32" t="s">
        <v>342</v>
      </c>
      <c r="AA32" t="s">
        <v>25</v>
      </c>
      <c r="AC32" t="s">
        <v>22</v>
      </c>
      <c r="AD32" t="s">
        <v>342</v>
      </c>
      <c r="AE32">
        <v>4.5691735858143304E-3</v>
      </c>
      <c r="AG32" t="s">
        <v>97</v>
      </c>
      <c r="AH32" t="s">
        <v>342</v>
      </c>
      <c r="AI32">
        <v>3.0569546238725431E-2</v>
      </c>
    </row>
    <row r="33" spans="9:35" x14ac:dyDescent="0.45">
      <c r="I33" t="s">
        <v>164</v>
      </c>
      <c r="J33" t="s">
        <v>343</v>
      </c>
      <c r="K33">
        <v>3.8378446241799065E-3</v>
      </c>
      <c r="L33" t="s">
        <v>166</v>
      </c>
      <c r="N33" t="s">
        <v>242</v>
      </c>
      <c r="O33" t="s">
        <v>343</v>
      </c>
      <c r="P33">
        <v>2.0410759616022616E-3</v>
      </c>
      <c r="Q33" t="s">
        <v>166</v>
      </c>
      <c r="S33" t="s">
        <v>307</v>
      </c>
      <c r="T33" t="s">
        <v>343</v>
      </c>
      <c r="U33">
        <v>2.9695295837006237E-3</v>
      </c>
      <c r="V33" t="s">
        <v>166</v>
      </c>
      <c r="X33">
        <v>3.5388127853881279E-3</v>
      </c>
      <c r="Y33">
        <v>5.3435430806586613E-3</v>
      </c>
      <c r="Z33" t="s">
        <v>343</v>
      </c>
      <c r="AA33" t="s">
        <v>25</v>
      </c>
      <c r="AC33" t="s">
        <v>22</v>
      </c>
      <c r="AD33" t="s">
        <v>343</v>
      </c>
      <c r="AE33">
        <v>4.5447934245159338E-3</v>
      </c>
      <c r="AG33" t="s">
        <v>97</v>
      </c>
      <c r="AH33" t="s">
        <v>343</v>
      </c>
      <c r="AI33">
        <v>3.6748096712122535E-2</v>
      </c>
    </row>
    <row r="34" spans="9:35" x14ac:dyDescent="0.45">
      <c r="I34" t="s">
        <v>164</v>
      </c>
      <c r="J34" t="s">
        <v>344</v>
      </c>
      <c r="K34">
        <v>1.8631145392227957E-3</v>
      </c>
      <c r="L34" t="s">
        <v>166</v>
      </c>
      <c r="N34" t="s">
        <v>242</v>
      </c>
      <c r="O34" t="s">
        <v>344</v>
      </c>
      <c r="P34">
        <v>5.7368946334210675E-3</v>
      </c>
      <c r="Q34" t="s">
        <v>166</v>
      </c>
      <c r="S34" t="s">
        <v>307</v>
      </c>
      <c r="T34" t="s">
        <v>344</v>
      </c>
      <c r="U34">
        <v>1.2137255876534768E-2</v>
      </c>
      <c r="V34" t="s">
        <v>166</v>
      </c>
      <c r="X34">
        <v>1.7694063926940638E-2</v>
      </c>
      <c r="Y34">
        <v>1.3358857701646654E-2</v>
      </c>
      <c r="Z34" t="s">
        <v>344</v>
      </c>
      <c r="AA34" t="s">
        <v>25</v>
      </c>
      <c r="AC34" t="s">
        <v>22</v>
      </c>
      <c r="AD34" t="s">
        <v>344</v>
      </c>
      <c r="AE34">
        <v>2.0585713617741558E-2</v>
      </c>
      <c r="AG34" t="s">
        <v>97</v>
      </c>
      <c r="AH34" t="s">
        <v>344</v>
      </c>
      <c r="AI34">
        <v>8.9739618311719616E-2</v>
      </c>
    </row>
    <row r="35" spans="9:35" x14ac:dyDescent="0.45">
      <c r="I35" t="s">
        <v>164</v>
      </c>
      <c r="J35" t="s">
        <v>345</v>
      </c>
      <c r="K35">
        <v>4.6539941115107474E-2</v>
      </c>
      <c r="L35" t="s">
        <v>166</v>
      </c>
      <c r="N35" t="s">
        <v>242</v>
      </c>
      <c r="O35" t="s">
        <v>345</v>
      </c>
      <c r="P35">
        <v>2.1199712322869536E-2</v>
      </c>
      <c r="Q35" t="s">
        <v>166</v>
      </c>
      <c r="S35" t="s">
        <v>307</v>
      </c>
      <c r="T35" t="s">
        <v>345</v>
      </c>
      <c r="U35">
        <v>2.8900765320870034E-2</v>
      </c>
      <c r="V35" t="s">
        <v>166</v>
      </c>
      <c r="X35">
        <v>6.9634703196347028E-2</v>
      </c>
      <c r="Y35">
        <v>4.8590110135991856E-2</v>
      </c>
      <c r="Z35" t="s">
        <v>345</v>
      </c>
      <c r="AA35" t="s">
        <v>25</v>
      </c>
      <c r="AC35" t="s">
        <v>22</v>
      </c>
      <c r="AD35" t="s">
        <v>345</v>
      </c>
      <c r="AE35">
        <v>6.1641526963137468E-2</v>
      </c>
      <c r="AG35" t="s">
        <v>97</v>
      </c>
      <c r="AH35" t="s">
        <v>345</v>
      </c>
      <c r="AI35">
        <v>0.3120868850763181</v>
      </c>
    </row>
    <row r="36" spans="9:35" x14ac:dyDescent="0.45">
      <c r="I36" t="s">
        <v>164</v>
      </c>
      <c r="J36" t="s">
        <v>346</v>
      </c>
      <c r="K36">
        <v>1.9087256297154076E-2</v>
      </c>
      <c r="L36" t="s">
        <v>166</v>
      </c>
      <c r="N36" t="s">
        <v>242</v>
      </c>
      <c r="O36" t="s">
        <v>346</v>
      </c>
      <c r="P36">
        <v>2.2974301104775859E-3</v>
      </c>
      <c r="Q36" t="s">
        <v>166</v>
      </c>
      <c r="S36" t="s">
        <v>307</v>
      </c>
      <c r="T36" t="s">
        <v>346</v>
      </c>
      <c r="U36">
        <v>2.5287448629511822E-3</v>
      </c>
      <c r="V36" t="s">
        <v>166</v>
      </c>
      <c r="X36">
        <v>6.9634703196347035E-3</v>
      </c>
      <c r="Y36">
        <v>8.593756474322322E-3</v>
      </c>
      <c r="Z36" t="s">
        <v>346</v>
      </c>
      <c r="AA36" t="s">
        <v>25</v>
      </c>
      <c r="AC36" t="s">
        <v>22</v>
      </c>
      <c r="AD36" t="s">
        <v>346</v>
      </c>
      <c r="AE36">
        <v>8.7569724724644912E-3</v>
      </c>
      <c r="AG36" t="s">
        <v>97</v>
      </c>
      <c r="AH36" t="s">
        <v>346</v>
      </c>
      <c r="AI36">
        <v>5.6895802378081672E-2</v>
      </c>
    </row>
    <row r="37" spans="9:35" x14ac:dyDescent="0.45">
      <c r="I37" t="s">
        <v>164</v>
      </c>
      <c r="J37" t="s">
        <v>347</v>
      </c>
      <c r="K37">
        <v>0.10655904720727055</v>
      </c>
      <c r="L37" t="s">
        <v>166</v>
      </c>
      <c r="N37" t="s">
        <v>242</v>
      </c>
      <c r="O37" t="s">
        <v>347</v>
      </c>
      <c r="P37">
        <v>2.7650961061042114E-2</v>
      </c>
      <c r="Q37" t="s">
        <v>166</v>
      </c>
      <c r="S37" t="s">
        <v>307</v>
      </c>
      <c r="T37" t="s">
        <v>347</v>
      </c>
      <c r="U37">
        <v>2.3586451870539649E-2</v>
      </c>
      <c r="V37" t="s">
        <v>166</v>
      </c>
      <c r="X37">
        <v>4.1780821917808221E-2</v>
      </c>
      <c r="Y37">
        <v>5.9590118423124429E-2</v>
      </c>
      <c r="Z37" t="s">
        <v>347</v>
      </c>
      <c r="AA37" t="s">
        <v>25</v>
      </c>
      <c r="AC37" t="s">
        <v>22</v>
      </c>
      <c r="AD37" t="s">
        <v>347</v>
      </c>
      <c r="AE37">
        <v>5.2761655437770796E-2</v>
      </c>
      <c r="AG37" t="s">
        <v>97</v>
      </c>
      <c r="AH37" t="s">
        <v>347</v>
      </c>
      <c r="AI37">
        <v>5.400003263659503E-2</v>
      </c>
    </row>
    <row r="38" spans="9:35" x14ac:dyDescent="0.45">
      <c r="I38" t="s">
        <v>164</v>
      </c>
      <c r="J38" t="s">
        <v>348</v>
      </c>
      <c r="K38">
        <v>1.0368192791043118E-2</v>
      </c>
      <c r="L38" t="s">
        <v>166</v>
      </c>
      <c r="N38" t="s">
        <v>242</v>
      </c>
      <c r="O38" t="s">
        <v>348</v>
      </c>
      <c r="P38">
        <v>4.6311763597841026E-3</v>
      </c>
      <c r="Q38" t="s">
        <v>166</v>
      </c>
      <c r="S38" t="s">
        <v>307</v>
      </c>
      <c r="T38" t="s">
        <v>348</v>
      </c>
      <c r="U38">
        <v>5.0890606950165021E-3</v>
      </c>
      <c r="V38" t="s">
        <v>166</v>
      </c>
      <c r="X38">
        <v>6.9634703196347035E-3</v>
      </c>
      <c r="Y38">
        <v>1.354780432422577E-2</v>
      </c>
      <c r="Z38" t="s">
        <v>348</v>
      </c>
      <c r="AA38" t="s">
        <v>25</v>
      </c>
      <c r="AC38" t="s">
        <v>22</v>
      </c>
      <c r="AD38" t="s">
        <v>348</v>
      </c>
      <c r="AE38">
        <v>8.9519658646958732E-3</v>
      </c>
      <c r="AG38" t="s">
        <v>97</v>
      </c>
      <c r="AH38" t="s">
        <v>348</v>
      </c>
      <c r="AI38">
        <v>4.4831158900385137E-2</v>
      </c>
    </row>
    <row r="39" spans="9:35" x14ac:dyDescent="0.45">
      <c r="I39" t="s">
        <v>164</v>
      </c>
      <c r="J39" t="s">
        <v>349</v>
      </c>
      <c r="K39">
        <v>5.7734591412456644E-3</v>
      </c>
      <c r="L39" t="s">
        <v>166</v>
      </c>
      <c r="N39" t="s">
        <v>242</v>
      </c>
      <c r="O39" t="s">
        <v>349</v>
      </c>
      <c r="P39">
        <v>3.798169684171836E-3</v>
      </c>
      <c r="Q39" t="s">
        <v>166</v>
      </c>
      <c r="S39" t="s">
        <v>307</v>
      </c>
      <c r="T39" t="s">
        <v>349</v>
      </c>
      <c r="U39">
        <v>4.9114946677546508E-3</v>
      </c>
      <c r="V39" t="s">
        <v>166</v>
      </c>
      <c r="X39">
        <v>6.9634703196347035E-3</v>
      </c>
      <c r="Y39">
        <v>1.0514713803876726E-2</v>
      </c>
      <c r="Z39" t="s">
        <v>349</v>
      </c>
      <c r="AA39" t="s">
        <v>25</v>
      </c>
      <c r="AC39" t="s">
        <v>22</v>
      </c>
      <c r="AD39" t="s">
        <v>349</v>
      </c>
      <c r="AE39">
        <v>8.9170481091231206E-3</v>
      </c>
      <c r="AG39" t="s">
        <v>97</v>
      </c>
      <c r="AH39" t="s">
        <v>349</v>
      </c>
      <c r="AI39">
        <v>4.4936508931814334E-2</v>
      </c>
    </row>
    <row r="40" spans="9:35" x14ac:dyDescent="0.45">
      <c r="I40" t="s">
        <v>164</v>
      </c>
      <c r="J40" t="s">
        <v>350</v>
      </c>
      <c r="K40">
        <v>8.6397425031573103E-4</v>
      </c>
      <c r="L40" t="s">
        <v>166</v>
      </c>
      <c r="N40" t="s">
        <v>242</v>
      </c>
      <c r="O40" t="s">
        <v>350</v>
      </c>
      <c r="P40">
        <v>1.3410774684589025E-2</v>
      </c>
      <c r="Q40" t="s">
        <v>166</v>
      </c>
      <c r="S40" t="s">
        <v>307</v>
      </c>
      <c r="T40" t="s">
        <v>350</v>
      </c>
      <c r="U40">
        <v>2.0055609324167868E-2</v>
      </c>
      <c r="V40" t="s">
        <v>166</v>
      </c>
      <c r="X40">
        <v>3.4817351598173514E-2</v>
      </c>
      <c r="Y40">
        <v>2.6286784509691803E-2</v>
      </c>
      <c r="Z40" t="s">
        <v>350</v>
      </c>
      <c r="AA40" t="s">
        <v>25</v>
      </c>
      <c r="AC40" t="s">
        <v>22</v>
      </c>
      <c r="AD40" t="s">
        <v>350</v>
      </c>
      <c r="AE40">
        <v>4.0423689109841454E-2</v>
      </c>
      <c r="AG40" t="s">
        <v>97</v>
      </c>
      <c r="AH40" t="s">
        <v>350</v>
      </c>
      <c r="AI40">
        <v>0.11138850117323384</v>
      </c>
    </row>
    <row r="41" spans="9:35" x14ac:dyDescent="0.45">
      <c r="I41" t="s">
        <v>164</v>
      </c>
      <c r="J41" t="s">
        <v>351</v>
      </c>
      <c r="K41">
        <v>1.9038072452718321E-2</v>
      </c>
      <c r="L41" t="s">
        <v>166</v>
      </c>
      <c r="N41" t="s">
        <v>242</v>
      </c>
      <c r="O41" t="s">
        <v>351</v>
      </c>
      <c r="P41">
        <v>1.3217891696187417E-2</v>
      </c>
      <c r="Q41" t="s">
        <v>166</v>
      </c>
      <c r="S41" t="s">
        <v>307</v>
      </c>
      <c r="T41" t="s">
        <v>351</v>
      </c>
      <c r="U41">
        <v>1.7605719452913414E-2</v>
      </c>
      <c r="V41" t="s">
        <v>166</v>
      </c>
      <c r="X41">
        <v>3.5388127853881277E-2</v>
      </c>
      <c r="Y41">
        <v>2.4693334659274549E-2</v>
      </c>
      <c r="Z41" t="s">
        <v>351</v>
      </c>
      <c r="AA41" t="s">
        <v>25</v>
      </c>
      <c r="AC41" t="s">
        <v>22</v>
      </c>
      <c r="AD41" t="s">
        <v>351</v>
      </c>
      <c r="AE41">
        <v>3.0017499757149256E-2</v>
      </c>
      <c r="AG41" t="s">
        <v>97</v>
      </c>
      <c r="AH41" t="s">
        <v>351</v>
      </c>
      <c r="AI41">
        <v>0.2696962113828536</v>
      </c>
    </row>
    <row r="42" spans="9:35" x14ac:dyDescent="0.45">
      <c r="I42" t="s">
        <v>164</v>
      </c>
      <c r="J42" t="s">
        <v>352</v>
      </c>
      <c r="K42">
        <v>9.0036219105564391E-3</v>
      </c>
      <c r="L42" t="s">
        <v>166</v>
      </c>
      <c r="N42" t="s">
        <v>242</v>
      </c>
      <c r="O42" t="s">
        <v>352</v>
      </c>
      <c r="P42">
        <v>1.155852424124219E-3</v>
      </c>
      <c r="Q42" t="s">
        <v>166</v>
      </c>
      <c r="S42" t="s">
        <v>307</v>
      </c>
      <c r="T42" t="s">
        <v>352</v>
      </c>
      <c r="U42">
        <v>1.4662912864230829E-3</v>
      </c>
      <c r="V42" t="s">
        <v>166</v>
      </c>
      <c r="X42">
        <v>3.5388127853881279E-3</v>
      </c>
      <c r="Y42">
        <v>4.3673188639998693E-3</v>
      </c>
      <c r="Z42" t="s">
        <v>352</v>
      </c>
      <c r="AA42" t="s">
        <v>25</v>
      </c>
      <c r="AC42" t="s">
        <v>22</v>
      </c>
      <c r="AD42" t="s">
        <v>352</v>
      </c>
      <c r="AE42">
        <v>4.3045574607989872E-3</v>
      </c>
      <c r="AG42" t="s">
        <v>97</v>
      </c>
      <c r="AH42" t="s">
        <v>352</v>
      </c>
      <c r="AI42">
        <v>5.7439381436850567E-2</v>
      </c>
    </row>
    <row r="43" spans="9:35" x14ac:dyDescent="0.45">
      <c r="I43" t="s">
        <v>164</v>
      </c>
      <c r="J43" t="s">
        <v>353</v>
      </c>
      <c r="K43">
        <v>4.799154867545756E-2</v>
      </c>
      <c r="L43" t="s">
        <v>166</v>
      </c>
      <c r="N43" t="s">
        <v>242</v>
      </c>
      <c r="O43" t="s">
        <v>353</v>
      </c>
      <c r="P43">
        <v>9.8234281002839187E-3</v>
      </c>
      <c r="Q43" t="s">
        <v>166</v>
      </c>
      <c r="S43" t="s">
        <v>307</v>
      </c>
      <c r="T43" t="s">
        <v>353</v>
      </c>
      <c r="U43">
        <v>1.1066625683062983E-2</v>
      </c>
      <c r="V43" t="s">
        <v>166</v>
      </c>
      <c r="X43">
        <v>2.1232876712328767E-2</v>
      </c>
      <c r="Y43">
        <v>3.0283502805194377E-2</v>
      </c>
      <c r="Z43" t="s">
        <v>353</v>
      </c>
      <c r="AA43" t="s">
        <v>25</v>
      </c>
      <c r="AC43" t="s">
        <v>22</v>
      </c>
      <c r="AD43" t="s">
        <v>353</v>
      </c>
      <c r="AE43">
        <v>2.5904907845073953E-2</v>
      </c>
      <c r="AG43" t="s">
        <v>97</v>
      </c>
      <c r="AH43" t="s">
        <v>353</v>
      </c>
      <c r="AI43">
        <v>5.6425717596890745E-2</v>
      </c>
    </row>
    <row r="44" spans="9:35" x14ac:dyDescent="0.45">
      <c r="I44" t="s">
        <v>164</v>
      </c>
      <c r="J44" t="s">
        <v>354</v>
      </c>
      <c r="K44">
        <v>3.3922622167565125E-3</v>
      </c>
      <c r="L44" t="s">
        <v>166</v>
      </c>
      <c r="N44" t="s">
        <v>242</v>
      </c>
      <c r="O44" t="s">
        <v>354</v>
      </c>
      <c r="P44">
        <v>1.9582550026322975E-3</v>
      </c>
      <c r="Q44" t="s">
        <v>166</v>
      </c>
      <c r="S44" t="s">
        <v>307</v>
      </c>
      <c r="T44" t="s">
        <v>354</v>
      </c>
      <c r="U44">
        <v>2.5568900700390137E-3</v>
      </c>
      <c r="V44" t="s">
        <v>166</v>
      </c>
      <c r="X44">
        <v>3.5388127853881279E-3</v>
      </c>
      <c r="Y44">
        <v>6.8849497385409693E-3</v>
      </c>
      <c r="Z44" t="s">
        <v>354</v>
      </c>
      <c r="AA44" t="s">
        <v>25</v>
      </c>
      <c r="AC44" t="s">
        <v>22</v>
      </c>
      <c r="AD44" t="s">
        <v>354</v>
      </c>
      <c r="AE44">
        <v>4.3844994828167163E-3</v>
      </c>
      <c r="AG44" t="s">
        <v>97</v>
      </c>
      <c r="AH44" t="s">
        <v>354</v>
      </c>
      <c r="AI44">
        <v>4.1390130265284819E-2</v>
      </c>
    </row>
    <row r="45" spans="9:35" x14ac:dyDescent="0.45">
      <c r="I45" t="s">
        <v>164</v>
      </c>
      <c r="J45" t="s">
        <v>355</v>
      </c>
      <c r="K45">
        <v>0</v>
      </c>
      <c r="L45" t="s">
        <v>166</v>
      </c>
      <c r="N45" t="s">
        <v>242</v>
      </c>
      <c r="O45" t="s">
        <v>355</v>
      </c>
      <c r="P45">
        <v>1.7831987499198256E-3</v>
      </c>
      <c r="Q45" t="s">
        <v>166</v>
      </c>
      <c r="S45" t="s">
        <v>307</v>
      </c>
      <c r="T45" t="s">
        <v>355</v>
      </c>
      <c r="U45">
        <v>2.5847971324548555E-3</v>
      </c>
      <c r="V45" t="s">
        <v>166</v>
      </c>
      <c r="X45">
        <v>3.5388127853881279E-3</v>
      </c>
      <c r="Y45">
        <v>5.3435430806586613E-3</v>
      </c>
      <c r="Z45" t="s">
        <v>355</v>
      </c>
      <c r="AA45" t="s">
        <v>25</v>
      </c>
      <c r="AC45" t="s">
        <v>22</v>
      </c>
      <c r="AD45" t="s">
        <v>355</v>
      </c>
      <c r="AE45">
        <v>4.3745366664118702E-3</v>
      </c>
      <c r="AG45" t="s">
        <v>97</v>
      </c>
      <c r="AH45" t="s">
        <v>355</v>
      </c>
      <c r="AI45">
        <v>4.3306130611156624E-2</v>
      </c>
    </row>
    <row r="46" spans="9:35" x14ac:dyDescent="0.45">
      <c r="I46" t="s">
        <v>164</v>
      </c>
      <c r="J46" t="s">
        <v>356</v>
      </c>
      <c r="K46">
        <v>0</v>
      </c>
      <c r="L46" t="s">
        <v>166</v>
      </c>
      <c r="N46" t="s">
        <v>242</v>
      </c>
      <c r="O46" t="s">
        <v>356</v>
      </c>
      <c r="P46">
        <v>6.7475262068224292E-3</v>
      </c>
      <c r="Q46" t="s">
        <v>166</v>
      </c>
      <c r="S46" t="s">
        <v>307</v>
      </c>
      <c r="T46" t="s">
        <v>356</v>
      </c>
      <c r="U46">
        <v>1.1468451970987838E-2</v>
      </c>
      <c r="V46" t="s">
        <v>166</v>
      </c>
      <c r="X46">
        <v>1.7694063926940638E-2</v>
      </c>
      <c r="Y46">
        <v>1.3358857701646654E-2</v>
      </c>
      <c r="Z46" t="s">
        <v>356</v>
      </c>
      <c r="AA46" t="s">
        <v>25</v>
      </c>
      <c r="AC46" t="s">
        <v>22</v>
      </c>
      <c r="AD46" t="s">
        <v>356</v>
      </c>
      <c r="AE46">
        <v>1.9746947211935022E-2</v>
      </c>
      <c r="AG46" t="s">
        <v>97</v>
      </c>
      <c r="AH46" t="s">
        <v>356</v>
      </c>
      <c r="AI46">
        <v>0.10801016094948035</v>
      </c>
    </row>
    <row r="47" spans="9:35" x14ac:dyDescent="0.45">
      <c r="I47" t="s">
        <v>164</v>
      </c>
      <c r="J47" t="s">
        <v>357</v>
      </c>
      <c r="K47">
        <v>1.9485903961294945E-2</v>
      </c>
      <c r="L47" t="s">
        <v>166</v>
      </c>
      <c r="N47" t="s">
        <v>242</v>
      </c>
      <c r="O47" t="s">
        <v>357</v>
      </c>
      <c r="P47">
        <v>8.7598617563073675E-2</v>
      </c>
      <c r="Q47" t="s">
        <v>166</v>
      </c>
      <c r="S47" t="s">
        <v>307</v>
      </c>
      <c r="T47" t="s">
        <v>357</v>
      </c>
      <c r="U47">
        <v>7.6157202883058148E-2</v>
      </c>
      <c r="V47" t="s">
        <v>166</v>
      </c>
      <c r="X47">
        <v>6.9634703196347028E-2</v>
      </c>
      <c r="Y47">
        <v>4.8590110135991856E-2</v>
      </c>
      <c r="Z47" t="s">
        <v>357</v>
      </c>
      <c r="AA47" t="s">
        <v>25</v>
      </c>
      <c r="AC47" t="s">
        <v>22</v>
      </c>
      <c r="AD47" t="s">
        <v>357</v>
      </c>
      <c r="AE47">
        <v>5.2783260898772826E-2</v>
      </c>
      <c r="AG47" t="s">
        <v>97</v>
      </c>
      <c r="AH47" t="s">
        <v>357</v>
      </c>
      <c r="AI47">
        <v>0.25880716762457334</v>
      </c>
    </row>
    <row r="48" spans="9:35" x14ac:dyDescent="0.45">
      <c r="I48" t="s">
        <v>164</v>
      </c>
      <c r="J48" t="s">
        <v>358</v>
      </c>
      <c r="K48">
        <v>1.3271394964131177E-2</v>
      </c>
      <c r="L48" t="s">
        <v>166</v>
      </c>
      <c r="N48" t="s">
        <v>242</v>
      </c>
      <c r="O48" t="s">
        <v>358</v>
      </c>
      <c r="P48">
        <v>8.9488757610838385E-3</v>
      </c>
      <c r="Q48" t="s">
        <v>166</v>
      </c>
      <c r="S48" t="s">
        <v>307</v>
      </c>
      <c r="T48" t="s">
        <v>358</v>
      </c>
      <c r="U48">
        <v>6.9671942915206838E-3</v>
      </c>
      <c r="V48" t="s">
        <v>166</v>
      </c>
      <c r="X48">
        <v>6.9634703196347035E-3</v>
      </c>
      <c r="Y48">
        <v>8.593756474322322E-3</v>
      </c>
      <c r="Z48" t="s">
        <v>358</v>
      </c>
      <c r="AA48" t="s">
        <v>25</v>
      </c>
      <c r="AC48" t="s">
        <v>22</v>
      </c>
      <c r="AD48" t="s">
        <v>358</v>
      </c>
      <c r="AE48">
        <v>7.2262530794633953E-3</v>
      </c>
      <c r="AG48" t="s">
        <v>97</v>
      </c>
      <c r="AH48" t="s">
        <v>358</v>
      </c>
      <c r="AI48">
        <v>6.0635720554748973E-2</v>
      </c>
    </row>
    <row r="49" spans="9:35" x14ac:dyDescent="0.45">
      <c r="I49" t="s">
        <v>164</v>
      </c>
      <c r="J49" t="s">
        <v>359</v>
      </c>
      <c r="K49">
        <v>7.0395650564536894E-2</v>
      </c>
      <c r="L49" t="s">
        <v>166</v>
      </c>
      <c r="N49" t="s">
        <v>242</v>
      </c>
      <c r="O49" t="s">
        <v>359</v>
      </c>
      <c r="P49">
        <v>5.7036302567395711E-2</v>
      </c>
      <c r="Q49" t="s">
        <v>166</v>
      </c>
      <c r="S49" t="s">
        <v>307</v>
      </c>
      <c r="T49" t="s">
        <v>359</v>
      </c>
      <c r="U49">
        <v>4.5589187116384641E-2</v>
      </c>
      <c r="V49" t="s">
        <v>166</v>
      </c>
      <c r="X49">
        <v>4.1780821917808221E-2</v>
      </c>
      <c r="Y49">
        <v>5.9590118423124429E-2</v>
      </c>
      <c r="Z49" t="s">
        <v>359</v>
      </c>
      <c r="AA49" t="s">
        <v>25</v>
      </c>
      <c r="AC49" t="s">
        <v>22</v>
      </c>
      <c r="AD49" t="s">
        <v>359</v>
      </c>
      <c r="AE49">
        <v>4.325249378717929E-2</v>
      </c>
      <c r="AG49" t="s">
        <v>97</v>
      </c>
      <c r="AH49" t="s">
        <v>359</v>
      </c>
      <c r="AI49">
        <v>9.9020943016309149E-2</v>
      </c>
    </row>
    <row r="50" spans="9:35" x14ac:dyDescent="0.45">
      <c r="I50" t="s">
        <v>164</v>
      </c>
      <c r="J50" t="s">
        <v>360</v>
      </c>
      <c r="K50">
        <v>1.6102351427336784E-3</v>
      </c>
      <c r="L50" t="s">
        <v>166</v>
      </c>
      <c r="N50" t="s">
        <v>242</v>
      </c>
      <c r="O50" t="s">
        <v>360</v>
      </c>
      <c r="P50">
        <v>9.0782549816554904E-3</v>
      </c>
      <c r="Q50" t="s">
        <v>166</v>
      </c>
      <c r="S50" t="s">
        <v>307</v>
      </c>
      <c r="T50" t="s">
        <v>360</v>
      </c>
      <c r="U50">
        <v>7.8779347119641036E-3</v>
      </c>
      <c r="V50" t="s">
        <v>166</v>
      </c>
      <c r="X50">
        <v>6.9634703196347035E-3</v>
      </c>
      <c r="Y50">
        <v>1.354780432422577E-2</v>
      </c>
      <c r="Z50" t="s">
        <v>360</v>
      </c>
      <c r="AA50" t="s">
        <v>25</v>
      </c>
      <c r="AC50" t="s">
        <v>22</v>
      </c>
      <c r="AD50" t="s">
        <v>360</v>
      </c>
      <c r="AE50">
        <v>8.409896339356418E-3</v>
      </c>
      <c r="AG50" t="s">
        <v>97</v>
      </c>
      <c r="AH50" t="s">
        <v>360</v>
      </c>
      <c r="AI50">
        <v>6.5344488623271024E-2</v>
      </c>
    </row>
    <row r="51" spans="9:35" x14ac:dyDescent="0.45">
      <c r="I51" t="s">
        <v>164</v>
      </c>
      <c r="J51" t="s">
        <v>361</v>
      </c>
      <c r="K51">
        <v>0</v>
      </c>
      <c r="L51" t="s">
        <v>166</v>
      </c>
      <c r="N51" t="s">
        <v>242</v>
      </c>
      <c r="O51" t="s">
        <v>361</v>
      </c>
      <c r="P51">
        <v>8.8166497268140302E-3</v>
      </c>
      <c r="Q51" t="s">
        <v>166</v>
      </c>
      <c r="S51" t="s">
        <v>307</v>
      </c>
      <c r="T51" t="s">
        <v>361</v>
      </c>
      <c r="U51">
        <v>8.0122764395187205E-3</v>
      </c>
      <c r="V51" t="s">
        <v>166</v>
      </c>
      <c r="X51">
        <v>6.9634703196347035E-3</v>
      </c>
      <c r="Y51">
        <v>1.0514713803876726E-2</v>
      </c>
      <c r="Z51" t="s">
        <v>361</v>
      </c>
      <c r="AA51" t="s">
        <v>25</v>
      </c>
      <c r="AC51" t="s">
        <v>22</v>
      </c>
      <c r="AD51" t="s">
        <v>361</v>
      </c>
      <c r="AE51">
        <v>8.685262837007662E-3</v>
      </c>
      <c r="AG51" t="s">
        <v>97</v>
      </c>
      <c r="AH51" t="s">
        <v>361</v>
      </c>
      <c r="AI51">
        <v>5.2003125588898635E-2</v>
      </c>
    </row>
    <row r="52" spans="9:35" x14ac:dyDescent="0.45">
      <c r="I52" t="s">
        <v>164</v>
      </c>
      <c r="J52" t="s">
        <v>362</v>
      </c>
      <c r="K52">
        <v>0</v>
      </c>
      <c r="L52" t="s">
        <v>166</v>
      </c>
      <c r="N52" t="s">
        <v>242</v>
      </c>
      <c r="O52" t="s">
        <v>362</v>
      </c>
      <c r="P52">
        <v>4.375066957575429E-2</v>
      </c>
      <c r="Q52" t="s">
        <v>166</v>
      </c>
      <c r="S52" t="s">
        <v>307</v>
      </c>
      <c r="T52" t="s">
        <v>362</v>
      </c>
      <c r="U52">
        <v>4.140564396590958E-2</v>
      </c>
      <c r="V52" t="s">
        <v>166</v>
      </c>
      <c r="X52">
        <v>3.4817351598173514E-2</v>
      </c>
      <c r="Y52">
        <v>2.6286784509691803E-2</v>
      </c>
      <c r="Z52" t="s">
        <v>362</v>
      </c>
      <c r="AA52" t="s">
        <v>25</v>
      </c>
      <c r="AC52" t="s">
        <v>22</v>
      </c>
      <c r="AD52" t="s">
        <v>362</v>
      </c>
      <c r="AE52">
        <v>3.7026881080377598E-2</v>
      </c>
      <c r="AG52" t="s">
        <v>97</v>
      </c>
      <c r="AH52" t="s">
        <v>362</v>
      </c>
      <c r="AI52">
        <v>0.16562367190820226</v>
      </c>
    </row>
    <row r="53" spans="9:35" x14ac:dyDescent="0.45">
      <c r="I53" t="s">
        <v>178</v>
      </c>
      <c r="J53" t="s">
        <v>165</v>
      </c>
      <c r="K53">
        <v>3.5438073273422396E-2</v>
      </c>
      <c r="L53" t="s">
        <v>166</v>
      </c>
      <c r="N53" t="s">
        <v>243</v>
      </c>
      <c r="O53" t="s">
        <v>165</v>
      </c>
      <c r="P53">
        <v>0.17861322895933271</v>
      </c>
      <c r="Q53" t="s">
        <v>166</v>
      </c>
      <c r="S53" t="s">
        <v>308</v>
      </c>
      <c r="T53" t="s">
        <v>165</v>
      </c>
      <c r="U53">
        <v>0.17039657397449159</v>
      </c>
      <c r="V53" t="s">
        <v>166</v>
      </c>
      <c r="AC53" t="s">
        <v>19</v>
      </c>
      <c r="AD53" t="s">
        <v>165</v>
      </c>
      <c r="AE53">
        <v>0.10153592784885732</v>
      </c>
    </row>
    <row r="54" spans="9:35" x14ac:dyDescent="0.45">
      <c r="I54" t="s">
        <v>178</v>
      </c>
      <c r="J54" t="s">
        <v>167</v>
      </c>
      <c r="K54">
        <v>2.2937177572916856E-2</v>
      </c>
      <c r="L54" t="s">
        <v>166</v>
      </c>
      <c r="N54" t="s">
        <v>243</v>
      </c>
      <c r="O54" t="s">
        <v>167</v>
      </c>
      <c r="P54">
        <v>2.0068948040258754E-2</v>
      </c>
      <c r="Q54" t="s">
        <v>166</v>
      </c>
      <c r="S54" t="s">
        <v>308</v>
      </c>
      <c r="T54" t="s">
        <v>167</v>
      </c>
      <c r="U54">
        <v>1.8846350219296704E-2</v>
      </c>
      <c r="V54" t="s">
        <v>166</v>
      </c>
      <c r="AC54" t="s">
        <v>19</v>
      </c>
      <c r="AD54" t="s">
        <v>167</v>
      </c>
      <c r="AE54">
        <v>1.0330196845727942E-2</v>
      </c>
    </row>
    <row r="55" spans="9:35" x14ac:dyDescent="0.45">
      <c r="I55" t="s">
        <v>178</v>
      </c>
      <c r="J55" t="s">
        <v>168</v>
      </c>
      <c r="K55">
        <v>0.13373855930636619</v>
      </c>
      <c r="L55" t="s">
        <v>166</v>
      </c>
      <c r="N55" t="s">
        <v>243</v>
      </c>
      <c r="O55" t="s">
        <v>168</v>
      </c>
      <c r="P55">
        <v>0.1355046185268618</v>
      </c>
      <c r="Q55" t="s">
        <v>166</v>
      </c>
      <c r="S55" t="s">
        <v>308</v>
      </c>
      <c r="T55" t="s">
        <v>168</v>
      </c>
      <c r="U55">
        <v>0.12918098043635168</v>
      </c>
      <c r="V55" t="s">
        <v>166</v>
      </c>
      <c r="AC55" t="s">
        <v>19</v>
      </c>
      <c r="AD55" t="s">
        <v>168</v>
      </c>
      <c r="AE55">
        <v>6.2007603068796081E-2</v>
      </c>
    </row>
    <row r="56" spans="9:35" x14ac:dyDescent="0.45">
      <c r="I56" t="s">
        <v>178</v>
      </c>
      <c r="J56" t="s">
        <v>333</v>
      </c>
      <c r="K56">
        <v>1.3788332319236532E-2</v>
      </c>
      <c r="L56" t="s">
        <v>166</v>
      </c>
      <c r="N56" t="s">
        <v>243</v>
      </c>
      <c r="O56" t="s">
        <v>333</v>
      </c>
      <c r="P56">
        <v>1.7454947327892736E-2</v>
      </c>
      <c r="Q56" t="s">
        <v>166</v>
      </c>
      <c r="S56" t="s">
        <v>308</v>
      </c>
      <c r="T56" t="s">
        <v>333</v>
      </c>
      <c r="U56">
        <v>2.1032691245137462E-2</v>
      </c>
      <c r="V56" t="s">
        <v>166</v>
      </c>
      <c r="AC56" t="s">
        <v>19</v>
      </c>
      <c r="AD56" t="s">
        <v>333</v>
      </c>
      <c r="AE56">
        <v>1.0435243573567796E-2</v>
      </c>
    </row>
    <row r="57" spans="9:35" x14ac:dyDescent="0.45">
      <c r="I57" t="s">
        <v>178</v>
      </c>
      <c r="J57" t="s">
        <v>334</v>
      </c>
      <c r="K57">
        <v>3.9489944195880205E-3</v>
      </c>
      <c r="L57" t="s">
        <v>166</v>
      </c>
      <c r="N57" t="s">
        <v>243</v>
      </c>
      <c r="O57" t="s">
        <v>334</v>
      </c>
      <c r="P57">
        <v>1.6218911921265601E-2</v>
      </c>
      <c r="Q57" t="s">
        <v>166</v>
      </c>
      <c r="S57" t="s">
        <v>308</v>
      </c>
      <c r="T57" t="s">
        <v>334</v>
      </c>
      <c r="U57">
        <v>1.9908344770420538E-2</v>
      </c>
      <c r="V57" t="s">
        <v>166</v>
      </c>
      <c r="AC57" t="s">
        <v>19</v>
      </c>
      <c r="AD57" t="s">
        <v>334</v>
      </c>
      <c r="AE57">
        <v>1.0457847871970492E-2</v>
      </c>
    </row>
    <row r="58" spans="9:35" x14ac:dyDescent="0.45">
      <c r="I58" t="s">
        <v>178</v>
      </c>
      <c r="J58" t="s">
        <v>335</v>
      </c>
      <c r="K58">
        <v>0</v>
      </c>
      <c r="L58" t="s">
        <v>166</v>
      </c>
      <c r="N58" t="s">
        <v>243</v>
      </c>
      <c r="O58" t="s">
        <v>335</v>
      </c>
      <c r="P58">
        <v>8.3236494958803142E-2</v>
      </c>
      <c r="Q58" t="s">
        <v>166</v>
      </c>
      <c r="S58" t="s">
        <v>308</v>
      </c>
      <c r="T58" t="s">
        <v>335</v>
      </c>
      <c r="U58">
        <v>8.9860907371480447E-2</v>
      </c>
      <c r="V58" t="s">
        <v>166</v>
      </c>
      <c r="AC58" t="s">
        <v>19</v>
      </c>
      <c r="AD58" t="s">
        <v>335</v>
      </c>
      <c r="AE58">
        <v>5.1740352541272384E-2</v>
      </c>
    </row>
    <row r="59" spans="9:35" x14ac:dyDescent="0.45">
      <c r="I59" t="s">
        <v>178</v>
      </c>
      <c r="J59" t="s">
        <v>169</v>
      </c>
      <c r="K59">
        <v>4.7557561022541078E-2</v>
      </c>
      <c r="L59" t="s">
        <v>166</v>
      </c>
      <c r="N59" t="s">
        <v>243</v>
      </c>
      <c r="O59" t="s">
        <v>169</v>
      </c>
      <c r="P59">
        <v>4.9398102525063277E-2</v>
      </c>
      <c r="Q59" t="s">
        <v>166</v>
      </c>
      <c r="S59" t="s">
        <v>308</v>
      </c>
      <c r="T59" t="s">
        <v>169</v>
      </c>
      <c r="U59">
        <v>5.3452620170057849E-2</v>
      </c>
      <c r="V59" t="s">
        <v>166</v>
      </c>
      <c r="AC59" t="s">
        <v>19</v>
      </c>
      <c r="AD59" t="s">
        <v>169</v>
      </c>
      <c r="AE59">
        <v>6.8909458219589409E-2</v>
      </c>
    </row>
    <row r="60" spans="9:35" x14ac:dyDescent="0.45">
      <c r="I60" t="s">
        <v>178</v>
      </c>
      <c r="J60" t="s">
        <v>170</v>
      </c>
      <c r="K60">
        <v>1.8623376032109888E-2</v>
      </c>
      <c r="L60" t="s">
        <v>166</v>
      </c>
      <c r="N60" t="s">
        <v>243</v>
      </c>
      <c r="O60" t="s">
        <v>170</v>
      </c>
      <c r="P60">
        <v>7.4539676419422655E-3</v>
      </c>
      <c r="Q60" t="s">
        <v>166</v>
      </c>
      <c r="S60" t="s">
        <v>308</v>
      </c>
      <c r="T60" t="s">
        <v>170</v>
      </c>
      <c r="U60">
        <v>5.5561948099766313E-3</v>
      </c>
      <c r="V60" t="s">
        <v>166</v>
      </c>
      <c r="AC60" t="s">
        <v>19</v>
      </c>
      <c r="AD60" t="s">
        <v>170</v>
      </c>
      <c r="AE60">
        <v>7.0135516441713064E-3</v>
      </c>
    </row>
    <row r="61" spans="9:35" x14ac:dyDescent="0.45">
      <c r="I61" t="s">
        <v>178</v>
      </c>
      <c r="J61" t="s">
        <v>171</v>
      </c>
      <c r="K61">
        <v>0.10908089644463982</v>
      </c>
      <c r="L61" t="s">
        <v>166</v>
      </c>
      <c r="N61" t="s">
        <v>243</v>
      </c>
      <c r="O61" t="s">
        <v>171</v>
      </c>
      <c r="P61">
        <v>6.6230791381300558E-2</v>
      </c>
      <c r="Q61" t="s">
        <v>166</v>
      </c>
      <c r="S61" t="s">
        <v>308</v>
      </c>
      <c r="T61" t="s">
        <v>171</v>
      </c>
      <c r="U61">
        <v>4.4159531157108835E-2</v>
      </c>
      <c r="V61" t="s">
        <v>166</v>
      </c>
      <c r="AC61" t="s">
        <v>19</v>
      </c>
      <c r="AD61" t="s">
        <v>171</v>
      </c>
      <c r="AE61">
        <v>4.2087704097278453E-2</v>
      </c>
    </row>
    <row r="62" spans="9:35" x14ac:dyDescent="0.45">
      <c r="I62" t="s">
        <v>178</v>
      </c>
      <c r="J62" t="s">
        <v>336</v>
      </c>
      <c r="K62">
        <v>1.2695430232533521E-2</v>
      </c>
      <c r="L62" t="s">
        <v>166</v>
      </c>
      <c r="N62" t="s">
        <v>243</v>
      </c>
      <c r="O62" t="s">
        <v>336</v>
      </c>
      <c r="P62">
        <v>1.0479304422212669E-2</v>
      </c>
      <c r="Q62" t="s">
        <v>166</v>
      </c>
      <c r="S62" t="s">
        <v>308</v>
      </c>
      <c r="T62" t="s">
        <v>336</v>
      </c>
      <c r="U62">
        <v>7.5718187641220435E-3</v>
      </c>
      <c r="V62" t="s">
        <v>166</v>
      </c>
      <c r="AC62" t="s">
        <v>19</v>
      </c>
      <c r="AD62" t="s">
        <v>336</v>
      </c>
      <c r="AE62">
        <v>7.0392304809498039E-3</v>
      </c>
    </row>
    <row r="63" spans="9:35" x14ac:dyDescent="0.45">
      <c r="I63" t="s">
        <v>178</v>
      </c>
      <c r="J63" t="s">
        <v>337</v>
      </c>
      <c r="K63">
        <v>8.3626918730903606E-3</v>
      </c>
      <c r="L63" t="s">
        <v>166</v>
      </c>
      <c r="N63" t="s">
        <v>243</v>
      </c>
      <c r="O63" t="s">
        <v>337</v>
      </c>
      <c r="P63">
        <v>9.7805963699292599E-3</v>
      </c>
      <c r="Q63" t="s">
        <v>166</v>
      </c>
      <c r="S63" t="s">
        <v>308</v>
      </c>
      <c r="T63" t="s">
        <v>337</v>
      </c>
      <c r="U63">
        <v>7.182535502208624E-3</v>
      </c>
      <c r="V63" t="s">
        <v>166</v>
      </c>
      <c r="AC63" t="s">
        <v>19</v>
      </c>
      <c r="AD63" t="s">
        <v>337</v>
      </c>
      <c r="AE63">
        <v>7.0427126504298389E-3</v>
      </c>
    </row>
    <row r="64" spans="9:35" x14ac:dyDescent="0.45">
      <c r="I64" t="s">
        <v>178</v>
      </c>
      <c r="J64" t="s">
        <v>338</v>
      </c>
      <c r="K64">
        <v>1.8797076059570081E-3</v>
      </c>
      <c r="L64" t="s">
        <v>166</v>
      </c>
      <c r="N64" t="s">
        <v>243</v>
      </c>
      <c r="O64" t="s">
        <v>338</v>
      </c>
      <c r="P64">
        <v>2.9886112546623267E-2</v>
      </c>
      <c r="Q64" t="s">
        <v>166</v>
      </c>
      <c r="S64" t="s">
        <v>308</v>
      </c>
      <c r="T64" t="s">
        <v>338</v>
      </c>
      <c r="U64">
        <v>3.1770381172045892E-2</v>
      </c>
      <c r="V64" t="s">
        <v>166</v>
      </c>
      <c r="AC64" t="s">
        <v>19</v>
      </c>
      <c r="AD64" t="s">
        <v>338</v>
      </c>
      <c r="AE64">
        <v>3.5006375129481265E-2</v>
      </c>
    </row>
    <row r="65" spans="9:31" x14ac:dyDescent="0.45">
      <c r="I65" t="s">
        <v>178</v>
      </c>
      <c r="J65" t="s">
        <v>172</v>
      </c>
      <c r="K65">
        <v>2.7697243273946289E-2</v>
      </c>
      <c r="L65" t="s">
        <v>166</v>
      </c>
      <c r="N65" t="s">
        <v>243</v>
      </c>
      <c r="O65" t="s">
        <v>172</v>
      </c>
      <c r="P65">
        <v>7.8018105243631217E-3</v>
      </c>
      <c r="Q65" t="s">
        <v>166</v>
      </c>
      <c r="S65" t="s">
        <v>308</v>
      </c>
      <c r="T65" t="s">
        <v>172</v>
      </c>
      <c r="U65">
        <v>1.4197990122049925E-2</v>
      </c>
      <c r="V65" t="s">
        <v>166</v>
      </c>
      <c r="AC65" t="s">
        <v>19</v>
      </c>
      <c r="AD65" t="s">
        <v>172</v>
      </c>
      <c r="AE65">
        <v>3.3866607527451596E-2</v>
      </c>
    </row>
    <row r="66" spans="9:31" x14ac:dyDescent="0.45">
      <c r="I66" t="s">
        <v>178</v>
      </c>
      <c r="J66" t="s">
        <v>173</v>
      </c>
      <c r="K66">
        <v>1.0183752747931454E-2</v>
      </c>
      <c r="L66" t="s">
        <v>166</v>
      </c>
      <c r="N66" t="s">
        <v>243</v>
      </c>
      <c r="O66" t="s">
        <v>173</v>
      </c>
      <c r="P66">
        <v>1.2795305769573882E-3</v>
      </c>
      <c r="Q66" t="s">
        <v>166</v>
      </c>
      <c r="S66" t="s">
        <v>308</v>
      </c>
      <c r="T66" t="s">
        <v>173</v>
      </c>
      <c r="U66">
        <v>2.0093255624581393E-3</v>
      </c>
      <c r="V66" t="s">
        <v>166</v>
      </c>
      <c r="AC66" t="s">
        <v>19</v>
      </c>
      <c r="AD66" t="s">
        <v>173</v>
      </c>
      <c r="AE66">
        <v>3.4547434151415697E-3</v>
      </c>
    </row>
    <row r="67" spans="9:31" x14ac:dyDescent="0.45">
      <c r="I67" t="s">
        <v>178</v>
      </c>
      <c r="J67" t="s">
        <v>174</v>
      </c>
      <c r="K67">
        <v>5.9659619025310417E-2</v>
      </c>
      <c r="L67" t="s">
        <v>166</v>
      </c>
      <c r="N67" t="s">
        <v>243</v>
      </c>
      <c r="O67" t="s">
        <v>174</v>
      </c>
      <c r="P67">
        <v>1.6415224694614507E-2</v>
      </c>
      <c r="Q67" t="s">
        <v>166</v>
      </c>
      <c r="S67" t="s">
        <v>308</v>
      </c>
      <c r="T67" t="s">
        <v>174</v>
      </c>
      <c r="U67">
        <v>1.7431284036564559E-2</v>
      </c>
      <c r="V67" t="s">
        <v>166</v>
      </c>
      <c r="AC67" t="s">
        <v>19</v>
      </c>
      <c r="AD67" t="s">
        <v>174</v>
      </c>
      <c r="AE67">
        <v>2.0729622816332952E-2</v>
      </c>
    </row>
    <row r="68" spans="9:31" x14ac:dyDescent="0.45">
      <c r="I68" t="s">
        <v>178</v>
      </c>
      <c r="J68" t="s">
        <v>339</v>
      </c>
      <c r="K68">
        <v>6.9687820777392271E-3</v>
      </c>
      <c r="L68" t="s">
        <v>166</v>
      </c>
      <c r="N68" t="s">
        <v>243</v>
      </c>
      <c r="O68" t="s">
        <v>339</v>
      </c>
      <c r="P68">
        <v>4.43224303320797E-3</v>
      </c>
      <c r="Q68" t="s">
        <v>166</v>
      </c>
      <c r="S68" t="s">
        <v>308</v>
      </c>
      <c r="T68" t="s">
        <v>339</v>
      </c>
      <c r="U68">
        <v>2.8318593275225836E-3</v>
      </c>
      <c r="V68" t="s">
        <v>166</v>
      </c>
      <c r="AC68" t="s">
        <v>19</v>
      </c>
      <c r="AD68" t="s">
        <v>339</v>
      </c>
      <c r="AE68">
        <v>3.4686653633029104E-3</v>
      </c>
    </row>
    <row r="69" spans="9:31" x14ac:dyDescent="0.45">
      <c r="I69" t="s">
        <v>178</v>
      </c>
      <c r="J69" t="s">
        <v>340</v>
      </c>
      <c r="K69">
        <v>4.8250251975763226E-3</v>
      </c>
      <c r="L69" t="s">
        <v>166</v>
      </c>
      <c r="N69" t="s">
        <v>243</v>
      </c>
      <c r="O69" t="s">
        <v>340</v>
      </c>
      <c r="P69">
        <v>4.3365745821943137E-3</v>
      </c>
      <c r="Q69" t="s">
        <v>166</v>
      </c>
      <c r="S69" t="s">
        <v>308</v>
      </c>
      <c r="T69" t="s">
        <v>340</v>
      </c>
      <c r="U69">
        <v>2.6076340868426491E-3</v>
      </c>
      <c r="V69" t="s">
        <v>166</v>
      </c>
      <c r="AC69" t="s">
        <v>19</v>
      </c>
      <c r="AD69" t="s">
        <v>340</v>
      </c>
      <c r="AE69">
        <v>3.4682904195985449E-3</v>
      </c>
    </row>
    <row r="70" spans="9:31" x14ac:dyDescent="0.45">
      <c r="I70" t="s">
        <v>178</v>
      </c>
      <c r="J70" t="s">
        <v>341</v>
      </c>
      <c r="K70">
        <v>2.3631030686894253E-3</v>
      </c>
      <c r="L70" t="s">
        <v>166</v>
      </c>
      <c r="N70" t="s">
        <v>243</v>
      </c>
      <c r="O70" t="s">
        <v>341</v>
      </c>
      <c r="P70">
        <v>1.1503757917602797E-2</v>
      </c>
      <c r="Q70" t="s">
        <v>166</v>
      </c>
      <c r="S70" t="s">
        <v>308</v>
      </c>
      <c r="T70" t="s">
        <v>341</v>
      </c>
      <c r="U70">
        <v>8.4743248391436748E-3</v>
      </c>
      <c r="V70" t="s">
        <v>166</v>
      </c>
      <c r="AC70" t="s">
        <v>19</v>
      </c>
      <c r="AD70" t="s">
        <v>341</v>
      </c>
      <c r="AE70">
        <v>1.7201790375086984E-2</v>
      </c>
    </row>
    <row r="71" spans="9:31" x14ac:dyDescent="0.45">
      <c r="I71" t="s">
        <v>178</v>
      </c>
      <c r="J71" t="s">
        <v>175</v>
      </c>
      <c r="K71">
        <v>2.5448745026242788E-2</v>
      </c>
      <c r="L71" t="s">
        <v>166</v>
      </c>
      <c r="N71" t="s">
        <v>243</v>
      </c>
      <c r="O71" t="s">
        <v>175</v>
      </c>
      <c r="P71">
        <v>4.1149010786480826E-3</v>
      </c>
      <c r="Q71" t="s">
        <v>166</v>
      </c>
      <c r="S71" t="s">
        <v>308</v>
      </c>
      <c r="T71" t="s">
        <v>175</v>
      </c>
      <c r="U71">
        <v>1.1223889090491213E-2</v>
      </c>
      <c r="V71" t="s">
        <v>166</v>
      </c>
      <c r="AC71" t="s">
        <v>19</v>
      </c>
      <c r="AD71" t="s">
        <v>175</v>
      </c>
      <c r="AE71">
        <v>3.4967524622104965E-2</v>
      </c>
    </row>
    <row r="72" spans="9:31" x14ac:dyDescent="0.45">
      <c r="I72" t="s">
        <v>178</v>
      </c>
      <c r="J72" t="s">
        <v>176</v>
      </c>
      <c r="K72">
        <v>9.9261616566869611E-3</v>
      </c>
      <c r="L72" t="s">
        <v>166</v>
      </c>
      <c r="N72" t="s">
        <v>243</v>
      </c>
      <c r="O72" t="s">
        <v>176</v>
      </c>
      <c r="P72">
        <v>4.5873760005387976E-4</v>
      </c>
      <c r="Q72" t="s">
        <v>166</v>
      </c>
      <c r="S72" t="s">
        <v>308</v>
      </c>
      <c r="T72" t="s">
        <v>176</v>
      </c>
      <c r="U72">
        <v>1.1007709524953825E-3</v>
      </c>
      <c r="V72" t="s">
        <v>166</v>
      </c>
      <c r="AC72" t="s">
        <v>19</v>
      </c>
      <c r="AD72" t="s">
        <v>176</v>
      </c>
      <c r="AE72">
        <v>3.5790400110559269E-3</v>
      </c>
    </row>
    <row r="73" spans="9:31" x14ac:dyDescent="0.45">
      <c r="I73" t="s">
        <v>178</v>
      </c>
      <c r="J73" t="s">
        <v>177</v>
      </c>
      <c r="K73">
        <v>5.7014399726713891E-2</v>
      </c>
      <c r="L73" t="s">
        <v>166</v>
      </c>
      <c r="N73" t="s">
        <v>243</v>
      </c>
      <c r="O73" t="s">
        <v>177</v>
      </c>
      <c r="P73">
        <v>1.0229642379090992E-2</v>
      </c>
      <c r="Q73" t="s">
        <v>166</v>
      </c>
      <c r="S73" t="s">
        <v>308</v>
      </c>
      <c r="T73" t="s">
        <v>177</v>
      </c>
      <c r="U73">
        <v>1.4369334532054006E-2</v>
      </c>
      <c r="V73" t="s">
        <v>166</v>
      </c>
      <c r="AC73" t="s">
        <v>19</v>
      </c>
      <c r="AD73" t="s">
        <v>177</v>
      </c>
      <c r="AE73">
        <v>2.1488188933532087E-2</v>
      </c>
    </row>
    <row r="74" spans="9:31" x14ac:dyDescent="0.45">
      <c r="I74" t="s">
        <v>178</v>
      </c>
      <c r="J74" t="s">
        <v>342</v>
      </c>
      <c r="K74">
        <v>6.0514683813453632E-3</v>
      </c>
      <c r="L74" t="s">
        <v>166</v>
      </c>
      <c r="N74" t="s">
        <v>243</v>
      </c>
      <c r="O74" t="s">
        <v>342</v>
      </c>
      <c r="P74">
        <v>3.0670496303220681E-3</v>
      </c>
      <c r="Q74" t="s">
        <v>166</v>
      </c>
      <c r="S74" t="s">
        <v>308</v>
      </c>
      <c r="T74" t="s">
        <v>342</v>
      </c>
      <c r="U74">
        <v>2.3772987633522017E-3</v>
      </c>
      <c r="V74" t="s">
        <v>166</v>
      </c>
      <c r="AC74" t="s">
        <v>19</v>
      </c>
      <c r="AD74" t="s">
        <v>342</v>
      </c>
      <c r="AE74">
        <v>3.5828865489050759E-3</v>
      </c>
    </row>
    <row r="75" spans="9:31" x14ac:dyDescent="0.45">
      <c r="I75" t="s">
        <v>178</v>
      </c>
      <c r="J75" t="s">
        <v>343</v>
      </c>
      <c r="K75">
        <v>4.0960944729017193E-3</v>
      </c>
      <c r="L75" t="s">
        <v>166</v>
      </c>
      <c r="N75" t="s">
        <v>243</v>
      </c>
      <c r="O75" t="s">
        <v>343</v>
      </c>
      <c r="P75">
        <v>2.9111835685407218E-3</v>
      </c>
      <c r="Q75" t="s">
        <v>166</v>
      </c>
      <c r="S75" t="s">
        <v>308</v>
      </c>
      <c r="T75" t="s">
        <v>343</v>
      </c>
      <c r="U75">
        <v>2.161494506873622E-3</v>
      </c>
      <c r="V75" t="s">
        <v>166</v>
      </c>
      <c r="AC75" t="s">
        <v>19</v>
      </c>
      <c r="AD75" t="s">
        <v>343</v>
      </c>
      <c r="AE75">
        <v>3.5814185000933659E-3</v>
      </c>
    </row>
    <row r="76" spans="9:31" x14ac:dyDescent="0.45">
      <c r="I76" t="s">
        <v>178</v>
      </c>
      <c r="J76" t="s">
        <v>344</v>
      </c>
      <c r="K76">
        <v>2.1162067227588786E-3</v>
      </c>
      <c r="L76" t="s">
        <v>166</v>
      </c>
      <c r="N76" t="s">
        <v>243</v>
      </c>
      <c r="O76" t="s">
        <v>344</v>
      </c>
      <c r="P76">
        <v>8.296980742182377E-3</v>
      </c>
      <c r="Q76" t="s">
        <v>166</v>
      </c>
      <c r="S76" t="s">
        <v>308</v>
      </c>
      <c r="T76" t="s">
        <v>344</v>
      </c>
      <c r="U76">
        <v>8.1093804276244907E-3</v>
      </c>
      <c r="V76" t="s">
        <v>166</v>
      </c>
      <c r="AC76" t="s">
        <v>19</v>
      </c>
      <c r="AD76" t="s">
        <v>344</v>
      </c>
      <c r="AE76">
        <v>1.7778337793781684E-2</v>
      </c>
    </row>
    <row r="77" spans="9:31" x14ac:dyDescent="0.45">
      <c r="I77" t="s">
        <v>178</v>
      </c>
      <c r="J77" t="s">
        <v>345</v>
      </c>
      <c r="K77">
        <v>4.5184284115298637E-2</v>
      </c>
      <c r="L77" t="s">
        <v>166</v>
      </c>
      <c r="N77" t="s">
        <v>243</v>
      </c>
      <c r="O77" t="s">
        <v>345</v>
      </c>
      <c r="P77">
        <v>1.8885920022689229E-2</v>
      </c>
      <c r="Q77" t="s">
        <v>166</v>
      </c>
      <c r="S77" t="s">
        <v>308</v>
      </c>
      <c r="T77" t="s">
        <v>345</v>
      </c>
      <c r="U77">
        <v>2.5236704642536138E-2</v>
      </c>
      <c r="V77" t="s">
        <v>166</v>
      </c>
      <c r="AC77" t="s">
        <v>19</v>
      </c>
      <c r="AD77" t="s">
        <v>345</v>
      </c>
      <c r="AE77">
        <v>6.8828449228775859E-2</v>
      </c>
    </row>
    <row r="78" spans="9:31" x14ac:dyDescent="0.45">
      <c r="I78" t="s">
        <v>178</v>
      </c>
      <c r="J78" t="s">
        <v>346</v>
      </c>
      <c r="K78">
        <v>1.9155128079061515E-2</v>
      </c>
      <c r="L78" t="s">
        <v>166</v>
      </c>
      <c r="N78" t="s">
        <v>243</v>
      </c>
      <c r="O78" t="s">
        <v>346</v>
      </c>
      <c r="P78">
        <v>2.4748934972976893E-3</v>
      </c>
      <c r="Q78" t="s">
        <v>166</v>
      </c>
      <c r="S78" t="s">
        <v>308</v>
      </c>
      <c r="T78" t="s">
        <v>346</v>
      </c>
      <c r="U78">
        <v>2.5030636857132213E-3</v>
      </c>
      <c r="V78" t="s">
        <v>166</v>
      </c>
      <c r="AC78" t="s">
        <v>19</v>
      </c>
      <c r="AD78" t="s">
        <v>346</v>
      </c>
      <c r="AE78">
        <v>7.038971289096735E-3</v>
      </c>
    </row>
    <row r="79" spans="9:31" x14ac:dyDescent="0.45">
      <c r="I79" t="s">
        <v>178</v>
      </c>
      <c r="J79" t="s">
        <v>347</v>
      </c>
      <c r="K79">
        <v>0.10690918789509959</v>
      </c>
      <c r="L79" t="s">
        <v>166</v>
      </c>
      <c r="N79" t="s">
        <v>243</v>
      </c>
      <c r="O79" t="s">
        <v>347</v>
      </c>
      <c r="P79">
        <v>2.4607253529352006E-2</v>
      </c>
      <c r="Q79" t="s">
        <v>166</v>
      </c>
      <c r="S79" t="s">
        <v>308</v>
      </c>
      <c r="T79" t="s">
        <v>347</v>
      </c>
      <c r="U79">
        <v>2.3670697126549983E-2</v>
      </c>
      <c r="V79" t="s">
        <v>166</v>
      </c>
      <c r="AC79" t="s">
        <v>19</v>
      </c>
      <c r="AD79" t="s">
        <v>347</v>
      </c>
      <c r="AE79">
        <v>4.2247064208738638E-2</v>
      </c>
    </row>
    <row r="80" spans="9:31" x14ac:dyDescent="0.45">
      <c r="I80" t="s">
        <v>178</v>
      </c>
      <c r="J80" t="s">
        <v>348</v>
      </c>
      <c r="K80">
        <v>1.0428945281736346E-2</v>
      </c>
      <c r="L80" t="s">
        <v>166</v>
      </c>
      <c r="N80" t="s">
        <v>243</v>
      </c>
      <c r="O80" t="s">
        <v>348</v>
      </c>
      <c r="P80">
        <v>4.9815443296369524E-3</v>
      </c>
      <c r="Q80" t="s">
        <v>166</v>
      </c>
      <c r="S80" t="s">
        <v>308</v>
      </c>
      <c r="T80" t="s">
        <v>348</v>
      </c>
      <c r="U80">
        <v>4.4044717818320211E-3</v>
      </c>
      <c r="V80" t="s">
        <v>166</v>
      </c>
      <c r="AC80" t="s">
        <v>19</v>
      </c>
      <c r="AD80" t="s">
        <v>348</v>
      </c>
      <c r="AE80">
        <v>7.0507127954080717E-3</v>
      </c>
    </row>
    <row r="81" spans="9:31" x14ac:dyDescent="0.45">
      <c r="I81" t="s">
        <v>178</v>
      </c>
      <c r="J81" t="s">
        <v>349</v>
      </c>
      <c r="K81">
        <v>6.363885245556017E-3</v>
      </c>
      <c r="L81" t="s">
        <v>166</v>
      </c>
      <c r="N81" t="s">
        <v>243</v>
      </c>
      <c r="O81" t="s">
        <v>349</v>
      </c>
      <c r="P81">
        <v>4.8007035206353984E-3</v>
      </c>
      <c r="Q81" t="s">
        <v>166</v>
      </c>
      <c r="S81" t="s">
        <v>308</v>
      </c>
      <c r="T81" t="s">
        <v>349</v>
      </c>
      <c r="U81">
        <v>3.9797279274247409E-3</v>
      </c>
      <c r="V81" t="s">
        <v>166</v>
      </c>
      <c r="AC81" t="s">
        <v>19</v>
      </c>
      <c r="AD81" t="s">
        <v>349</v>
      </c>
      <c r="AE81">
        <v>7.0486102264812811E-3</v>
      </c>
    </row>
    <row r="82" spans="9:31" x14ac:dyDescent="0.45">
      <c r="I82" t="s">
        <v>178</v>
      </c>
      <c r="J82" t="s">
        <v>350</v>
      </c>
      <c r="K82">
        <v>1.3494071507903866E-3</v>
      </c>
      <c r="L82" t="s">
        <v>166</v>
      </c>
      <c r="N82" t="s">
        <v>243</v>
      </c>
      <c r="O82" t="s">
        <v>350</v>
      </c>
      <c r="P82">
        <v>1.5387698642149818E-2</v>
      </c>
      <c r="Q82" t="s">
        <v>166</v>
      </c>
      <c r="S82" t="s">
        <v>308</v>
      </c>
      <c r="T82" t="s">
        <v>350</v>
      </c>
      <c r="U82">
        <v>1.4415350332074367E-2</v>
      </c>
      <c r="V82" t="s">
        <v>166</v>
      </c>
      <c r="AC82" t="s">
        <v>19</v>
      </c>
      <c r="AD82" t="s">
        <v>350</v>
      </c>
      <c r="AE82">
        <v>3.4992463756655177E-2</v>
      </c>
    </row>
    <row r="83" spans="9:31" x14ac:dyDescent="0.45">
      <c r="I83" t="s">
        <v>178</v>
      </c>
      <c r="J83" t="s">
        <v>351</v>
      </c>
      <c r="K83">
        <v>1.9212982769755436E-2</v>
      </c>
      <c r="L83" t="s">
        <v>166</v>
      </c>
      <c r="N83" t="s">
        <v>243</v>
      </c>
      <c r="O83" t="s">
        <v>351</v>
      </c>
      <c r="P83">
        <v>1.4484090132475912E-2</v>
      </c>
      <c r="Q83" t="s">
        <v>166</v>
      </c>
      <c r="S83" t="s">
        <v>308</v>
      </c>
      <c r="T83" t="s">
        <v>351</v>
      </c>
      <c r="U83">
        <v>1.5108146563726057E-2</v>
      </c>
      <c r="V83" t="s">
        <v>166</v>
      </c>
      <c r="AC83" t="s">
        <v>19</v>
      </c>
      <c r="AD83" t="s">
        <v>351</v>
      </c>
      <c r="AE83">
        <v>3.4978532344358979E-2</v>
      </c>
    </row>
    <row r="84" spans="9:31" x14ac:dyDescent="0.45">
      <c r="I84" t="s">
        <v>178</v>
      </c>
      <c r="J84" t="s">
        <v>352</v>
      </c>
      <c r="K84">
        <v>9.1737337395511962E-3</v>
      </c>
      <c r="L84" t="s">
        <v>166</v>
      </c>
      <c r="N84" t="s">
        <v>243</v>
      </c>
      <c r="O84" t="s">
        <v>352</v>
      </c>
      <c r="P84">
        <v>1.0731266899932459E-3</v>
      </c>
      <c r="Q84" t="s">
        <v>166</v>
      </c>
      <c r="S84" t="s">
        <v>308</v>
      </c>
      <c r="T84" t="s">
        <v>352</v>
      </c>
      <c r="U84">
        <v>1.4222471527974938E-3</v>
      </c>
      <c r="V84" t="s">
        <v>166</v>
      </c>
      <c r="AC84" t="s">
        <v>19</v>
      </c>
      <c r="AD84" t="s">
        <v>352</v>
      </c>
      <c r="AE84">
        <v>3.5763016481668549E-3</v>
      </c>
    </row>
    <row r="85" spans="9:31" x14ac:dyDescent="0.45">
      <c r="I85" t="s">
        <v>178</v>
      </c>
      <c r="J85" t="s">
        <v>353</v>
      </c>
      <c r="K85">
        <v>4.9063199019147359E-2</v>
      </c>
      <c r="L85" t="s">
        <v>166</v>
      </c>
      <c r="N85" t="s">
        <v>243</v>
      </c>
      <c r="O85" t="s">
        <v>353</v>
      </c>
      <c r="P85">
        <v>8.4799798286630552E-3</v>
      </c>
      <c r="Q85" t="s">
        <v>166</v>
      </c>
      <c r="S85" t="s">
        <v>308</v>
      </c>
      <c r="T85" t="s">
        <v>353</v>
      </c>
      <c r="U85">
        <v>1.0998409955898949E-2</v>
      </c>
      <c r="V85" t="s">
        <v>166</v>
      </c>
      <c r="AC85" t="s">
        <v>19</v>
      </c>
      <c r="AD85" t="s">
        <v>353</v>
      </c>
      <c r="AE85">
        <v>2.1462480341605767E-2</v>
      </c>
    </row>
    <row r="86" spans="9:31" x14ac:dyDescent="0.45">
      <c r="I86" t="s">
        <v>178</v>
      </c>
      <c r="J86" t="s">
        <v>354</v>
      </c>
      <c r="K86">
        <v>3.8760528469026045E-3</v>
      </c>
      <c r="L86" t="s">
        <v>166</v>
      </c>
      <c r="N86" t="s">
        <v>243</v>
      </c>
      <c r="O86" t="s">
        <v>354</v>
      </c>
      <c r="P86">
        <v>1.5977238108392205E-3</v>
      </c>
      <c r="Q86" t="s">
        <v>166</v>
      </c>
      <c r="S86" t="s">
        <v>308</v>
      </c>
      <c r="T86" t="s">
        <v>354</v>
      </c>
      <c r="U86">
        <v>2.1725552507565653E-3</v>
      </c>
      <c r="V86" t="s">
        <v>166</v>
      </c>
      <c r="AC86" t="s">
        <v>19</v>
      </c>
      <c r="AD86" t="s">
        <v>354</v>
      </c>
      <c r="AE86">
        <v>3.5811153484944453E-3</v>
      </c>
    </row>
    <row r="87" spans="9:31" x14ac:dyDescent="0.45">
      <c r="I87" t="s">
        <v>178</v>
      </c>
      <c r="J87" t="s">
        <v>355</v>
      </c>
      <c r="K87">
        <v>0</v>
      </c>
      <c r="L87" t="s">
        <v>166</v>
      </c>
      <c r="N87" t="s">
        <v>243</v>
      </c>
      <c r="O87" t="s">
        <v>355</v>
      </c>
      <c r="P87">
        <v>1.6278715060706697E-3</v>
      </c>
      <c r="Q87" t="s">
        <v>166</v>
      </c>
      <c r="S87" t="s">
        <v>308</v>
      </c>
      <c r="T87" t="s">
        <v>355</v>
      </c>
      <c r="U87">
        <v>2.1701392970880453E-3</v>
      </c>
      <c r="V87" t="s">
        <v>166</v>
      </c>
      <c r="AC87" t="s">
        <v>19</v>
      </c>
      <c r="AD87" t="s">
        <v>355</v>
      </c>
      <c r="AE87">
        <v>3.5805154385674595E-3</v>
      </c>
    </row>
    <row r="88" spans="9:31" x14ac:dyDescent="0.45">
      <c r="I88" t="s">
        <v>178</v>
      </c>
      <c r="J88" t="s">
        <v>356</v>
      </c>
      <c r="K88">
        <v>0</v>
      </c>
      <c r="L88" t="s">
        <v>166</v>
      </c>
      <c r="N88" t="s">
        <v>243</v>
      </c>
      <c r="O88" t="s">
        <v>356</v>
      </c>
      <c r="P88">
        <v>7.2502110265850097E-3</v>
      </c>
      <c r="Q88" t="s">
        <v>166</v>
      </c>
      <c r="S88" t="s">
        <v>308</v>
      </c>
      <c r="T88" t="s">
        <v>356</v>
      </c>
      <c r="U88">
        <v>8.1104682344723487E-3</v>
      </c>
      <c r="V88" t="s">
        <v>166</v>
      </c>
      <c r="AC88" t="s">
        <v>19</v>
      </c>
      <c r="AD88" t="s">
        <v>356</v>
      </c>
      <c r="AE88">
        <v>1.777457621913734E-2</v>
      </c>
    </row>
    <row r="89" spans="9:31" x14ac:dyDescent="0.45">
      <c r="I89" t="s">
        <v>178</v>
      </c>
      <c r="J89" t="s">
        <v>357</v>
      </c>
      <c r="K89">
        <v>1.7728224967579764E-2</v>
      </c>
      <c r="L89" t="s">
        <v>166</v>
      </c>
      <c r="N89" t="s">
        <v>243</v>
      </c>
      <c r="O89" t="s">
        <v>357</v>
      </c>
      <c r="P89">
        <v>7.935819127758148E-2</v>
      </c>
      <c r="Q89" t="s">
        <v>166</v>
      </c>
      <c r="S89" t="s">
        <v>308</v>
      </c>
      <c r="T89" t="s">
        <v>357</v>
      </c>
      <c r="U89">
        <v>8.125528932574011E-2</v>
      </c>
      <c r="V89" t="s">
        <v>166</v>
      </c>
      <c r="AC89" t="s">
        <v>19</v>
      </c>
      <c r="AD89" t="s">
        <v>357</v>
      </c>
      <c r="AE89">
        <v>6.8840848088312478E-2</v>
      </c>
    </row>
    <row r="90" spans="9:31" x14ac:dyDescent="0.45">
      <c r="I90" t="s">
        <v>178</v>
      </c>
      <c r="J90" t="s">
        <v>358</v>
      </c>
      <c r="K90">
        <v>1.2847563154904262E-2</v>
      </c>
      <c r="L90" t="s">
        <v>166</v>
      </c>
      <c r="N90" t="s">
        <v>243</v>
      </c>
      <c r="O90" t="s">
        <v>358</v>
      </c>
      <c r="P90">
        <v>9.1007194007312036E-3</v>
      </c>
      <c r="Q90" t="s">
        <v>166</v>
      </c>
      <c r="S90" t="s">
        <v>308</v>
      </c>
      <c r="T90" t="s">
        <v>358</v>
      </c>
      <c r="U90">
        <v>7.9356509017161781E-3</v>
      </c>
      <c r="V90" t="s">
        <v>166</v>
      </c>
      <c r="AC90" t="s">
        <v>19</v>
      </c>
      <c r="AD90" t="s">
        <v>358</v>
      </c>
      <c r="AE90">
        <v>7.0013790247045087E-3</v>
      </c>
    </row>
    <row r="91" spans="9:31" x14ac:dyDescent="0.45">
      <c r="I91" t="s">
        <v>178</v>
      </c>
      <c r="J91" t="s">
        <v>359</v>
      </c>
      <c r="K91">
        <v>6.9867985461410403E-2</v>
      </c>
      <c r="L91" t="s">
        <v>166</v>
      </c>
      <c r="N91" t="s">
        <v>243</v>
      </c>
      <c r="O91" t="s">
        <v>359</v>
      </c>
      <c r="P91">
        <v>5.3979808306744682E-2</v>
      </c>
      <c r="Q91" t="s">
        <v>166</v>
      </c>
      <c r="S91" t="s">
        <v>308</v>
      </c>
      <c r="T91" t="s">
        <v>359</v>
      </c>
      <c r="U91">
        <v>5.0748861898581785E-2</v>
      </c>
      <c r="V91" t="s">
        <v>166</v>
      </c>
      <c r="AC91" t="s">
        <v>19</v>
      </c>
      <c r="AD91" t="s">
        <v>359</v>
      </c>
      <c r="AE91">
        <v>4.2001950097746751E-2</v>
      </c>
    </row>
    <row r="92" spans="9:31" x14ac:dyDescent="0.45">
      <c r="I92" t="s">
        <v>178</v>
      </c>
      <c r="J92" t="s">
        <v>360</v>
      </c>
      <c r="K92">
        <v>4.4380187929628587E-3</v>
      </c>
      <c r="L92" t="s">
        <v>166</v>
      </c>
      <c r="N92" t="s">
        <v>243</v>
      </c>
      <c r="O92" t="s">
        <v>360</v>
      </c>
      <c r="P92">
        <v>7.389564634752036E-3</v>
      </c>
      <c r="Q92" t="s">
        <v>166</v>
      </c>
      <c r="S92" t="s">
        <v>308</v>
      </c>
      <c r="T92" t="s">
        <v>360</v>
      </c>
      <c r="U92">
        <v>8.397945976663726E-3</v>
      </c>
      <c r="V92" t="s">
        <v>166</v>
      </c>
      <c r="AC92" t="s">
        <v>19</v>
      </c>
      <c r="AD92" t="s">
        <v>360</v>
      </c>
      <c r="AE92">
        <v>7.0726519773280164E-3</v>
      </c>
    </row>
    <row r="93" spans="9:31" x14ac:dyDescent="0.45">
      <c r="I93" t="s">
        <v>178</v>
      </c>
      <c r="J93" t="s">
        <v>361</v>
      </c>
      <c r="K93">
        <v>0</v>
      </c>
      <c r="L93" t="s">
        <v>166</v>
      </c>
      <c r="N93" t="s">
        <v>243</v>
      </c>
      <c r="O93" t="s">
        <v>361</v>
      </c>
      <c r="P93">
        <v>7.4935971937995323E-3</v>
      </c>
      <c r="Q93" t="s">
        <v>166</v>
      </c>
      <c r="S93" t="s">
        <v>308</v>
      </c>
      <c r="T93" t="s">
        <v>361</v>
      </c>
      <c r="U93">
        <v>8.3454866678578776E-3</v>
      </c>
      <c r="V93" t="s">
        <v>166</v>
      </c>
      <c r="AC93" t="s">
        <v>19</v>
      </c>
      <c r="AD93" t="s">
        <v>361</v>
      </c>
      <c r="AE93">
        <v>7.0892331416080147E-3</v>
      </c>
    </row>
    <row r="94" spans="9:31" x14ac:dyDescent="0.45">
      <c r="I94" t="s">
        <v>178</v>
      </c>
      <c r="J94" t="s">
        <v>362</v>
      </c>
      <c r="K94">
        <v>0</v>
      </c>
      <c r="L94" t="s">
        <v>166</v>
      </c>
      <c r="N94" t="s">
        <v>243</v>
      </c>
      <c r="O94" t="s">
        <v>362</v>
      </c>
      <c r="P94">
        <v>3.7853441700737823E-2</v>
      </c>
      <c r="Q94" t="s">
        <v>166</v>
      </c>
      <c r="S94" t="s">
        <v>308</v>
      </c>
      <c r="T94" t="s">
        <v>362</v>
      </c>
      <c r="U94">
        <v>4.3311267438401344E-2</v>
      </c>
      <c r="V94" t="s">
        <v>166</v>
      </c>
      <c r="AC94" t="s">
        <v>19</v>
      </c>
      <c r="AD94" t="s">
        <v>362</v>
      </c>
      <c r="AE94">
        <v>3.5060824526333842E-2</v>
      </c>
    </row>
    <row r="95" spans="9:31" x14ac:dyDescent="0.45">
      <c r="I95" t="s">
        <v>179</v>
      </c>
      <c r="J95" t="s">
        <v>165</v>
      </c>
      <c r="K95">
        <v>4.0411527629002603E-2</v>
      </c>
      <c r="L95" t="s">
        <v>166</v>
      </c>
      <c r="N95" t="s">
        <v>244</v>
      </c>
      <c r="O95" t="s">
        <v>165</v>
      </c>
      <c r="P95">
        <v>0.15769496100602268</v>
      </c>
      <c r="Q95" t="s">
        <v>166</v>
      </c>
      <c r="S95" t="s">
        <v>309</v>
      </c>
      <c r="T95" t="s">
        <v>165</v>
      </c>
      <c r="U95">
        <v>0.17590388368343332</v>
      </c>
      <c r="V95" t="s">
        <v>166</v>
      </c>
    </row>
    <row r="96" spans="9:31" x14ac:dyDescent="0.45">
      <c r="I96" t="s">
        <v>179</v>
      </c>
      <c r="J96" t="s">
        <v>167</v>
      </c>
      <c r="K96">
        <v>2.4426430804332887E-2</v>
      </c>
      <c r="L96" t="s">
        <v>166</v>
      </c>
      <c r="N96" t="s">
        <v>244</v>
      </c>
      <c r="O96" t="s">
        <v>167</v>
      </c>
      <c r="P96">
        <v>2.0976345038763618E-2</v>
      </c>
      <c r="Q96" t="s">
        <v>166</v>
      </c>
      <c r="S96" t="s">
        <v>309</v>
      </c>
      <c r="T96" t="s">
        <v>167</v>
      </c>
      <c r="U96">
        <v>1.9609412124326493E-2</v>
      </c>
      <c r="V96" t="s">
        <v>166</v>
      </c>
    </row>
    <row r="97" spans="9:22" x14ac:dyDescent="0.45">
      <c r="I97" t="s">
        <v>179</v>
      </c>
      <c r="J97" t="s">
        <v>168</v>
      </c>
      <c r="K97">
        <v>0.13819151938297386</v>
      </c>
      <c r="L97" t="s">
        <v>166</v>
      </c>
      <c r="N97" t="s">
        <v>244</v>
      </c>
      <c r="O97" t="s">
        <v>168</v>
      </c>
      <c r="P97">
        <v>0.15490000692419764</v>
      </c>
      <c r="Q97" t="s">
        <v>166</v>
      </c>
      <c r="S97" t="s">
        <v>309</v>
      </c>
      <c r="T97" t="s">
        <v>168</v>
      </c>
      <c r="U97">
        <v>0.12747703652963979</v>
      </c>
      <c r="V97" t="s">
        <v>166</v>
      </c>
    </row>
    <row r="98" spans="9:22" x14ac:dyDescent="0.45">
      <c r="I98" t="s">
        <v>179</v>
      </c>
      <c r="J98" t="s">
        <v>333</v>
      </c>
      <c r="K98">
        <v>1.3990005823854665E-2</v>
      </c>
      <c r="L98" t="s">
        <v>166</v>
      </c>
      <c r="N98" t="s">
        <v>244</v>
      </c>
      <c r="O98" t="s">
        <v>333</v>
      </c>
      <c r="P98">
        <v>1.8665899973127634E-2</v>
      </c>
      <c r="Q98" t="s">
        <v>166</v>
      </c>
      <c r="S98" t="s">
        <v>309</v>
      </c>
      <c r="T98" t="s">
        <v>333</v>
      </c>
      <c r="U98">
        <v>1.9964435599480308E-2</v>
      </c>
      <c r="V98" t="s">
        <v>166</v>
      </c>
    </row>
    <row r="99" spans="9:22" x14ac:dyDescent="0.45">
      <c r="I99" t="s">
        <v>179</v>
      </c>
      <c r="J99" t="s">
        <v>334</v>
      </c>
      <c r="K99">
        <v>3.9354427218757588E-3</v>
      </c>
      <c r="L99" t="s">
        <v>166</v>
      </c>
      <c r="N99" t="s">
        <v>244</v>
      </c>
      <c r="O99" t="s">
        <v>334</v>
      </c>
      <c r="P99">
        <v>1.7178389941436372E-2</v>
      </c>
      <c r="Q99" t="s">
        <v>166</v>
      </c>
      <c r="S99" t="s">
        <v>309</v>
      </c>
      <c r="T99" t="s">
        <v>334</v>
      </c>
      <c r="U99">
        <v>1.9081554854470533E-2</v>
      </c>
      <c r="V99" t="s">
        <v>166</v>
      </c>
    </row>
    <row r="100" spans="9:22" x14ac:dyDescent="0.45">
      <c r="I100" t="s">
        <v>179</v>
      </c>
      <c r="J100" t="s">
        <v>335</v>
      </c>
      <c r="K100">
        <v>0</v>
      </c>
      <c r="L100" t="s">
        <v>166</v>
      </c>
      <c r="N100" t="s">
        <v>244</v>
      </c>
      <c r="O100" t="s">
        <v>335</v>
      </c>
      <c r="P100">
        <v>8.3862628521639462E-2</v>
      </c>
      <c r="Q100" t="s">
        <v>166</v>
      </c>
      <c r="S100" t="s">
        <v>309</v>
      </c>
      <c r="T100" t="s">
        <v>335</v>
      </c>
      <c r="U100">
        <v>8.8406069988645489E-2</v>
      </c>
      <c r="V100" t="s">
        <v>166</v>
      </c>
    </row>
    <row r="101" spans="9:22" x14ac:dyDescent="0.45">
      <c r="I101" t="s">
        <v>179</v>
      </c>
      <c r="J101" t="s">
        <v>169</v>
      </c>
      <c r="K101">
        <v>5.0921881512482045E-2</v>
      </c>
      <c r="L101" t="s">
        <v>166</v>
      </c>
      <c r="N101" t="s">
        <v>244</v>
      </c>
      <c r="O101" t="s">
        <v>169</v>
      </c>
      <c r="P101">
        <v>4.60605882797058E-2</v>
      </c>
      <c r="Q101" t="s">
        <v>166</v>
      </c>
      <c r="S101" t="s">
        <v>309</v>
      </c>
      <c r="T101" t="s">
        <v>169</v>
      </c>
      <c r="U101">
        <v>5.4652979908047843E-2</v>
      </c>
      <c r="V101" t="s">
        <v>166</v>
      </c>
    </row>
    <row r="102" spans="9:22" x14ac:dyDescent="0.45">
      <c r="I102" t="s">
        <v>179</v>
      </c>
      <c r="J102" t="s">
        <v>170</v>
      </c>
      <c r="K102">
        <v>1.9784294291982519E-2</v>
      </c>
      <c r="L102" t="s">
        <v>166</v>
      </c>
      <c r="N102" t="s">
        <v>244</v>
      </c>
      <c r="O102" t="s">
        <v>170</v>
      </c>
      <c r="P102">
        <v>6.9672531262046722E-3</v>
      </c>
      <c r="Q102" t="s">
        <v>166</v>
      </c>
      <c r="S102" t="s">
        <v>309</v>
      </c>
      <c r="T102" t="s">
        <v>170</v>
      </c>
      <c r="U102">
        <v>5.9984896526287957E-3</v>
      </c>
      <c r="V102" t="s">
        <v>166</v>
      </c>
    </row>
    <row r="103" spans="9:22" x14ac:dyDescent="0.45">
      <c r="I103" t="s">
        <v>179</v>
      </c>
      <c r="J103" t="s">
        <v>171</v>
      </c>
      <c r="K103">
        <v>0.11189733020329251</v>
      </c>
      <c r="L103" t="s">
        <v>166</v>
      </c>
      <c r="N103" t="s">
        <v>244</v>
      </c>
      <c r="O103" t="s">
        <v>171</v>
      </c>
      <c r="P103">
        <v>6.0157928900003946E-2</v>
      </c>
      <c r="Q103" t="s">
        <v>166</v>
      </c>
      <c r="S103" t="s">
        <v>309</v>
      </c>
      <c r="T103" t="s">
        <v>171</v>
      </c>
      <c r="U103">
        <v>4.1912450938000306E-2</v>
      </c>
      <c r="V103" t="s">
        <v>166</v>
      </c>
    </row>
    <row r="104" spans="9:22" x14ac:dyDescent="0.45">
      <c r="I104" t="s">
        <v>179</v>
      </c>
      <c r="J104" t="s">
        <v>336</v>
      </c>
      <c r="K104">
        <v>1.2370669747473799E-2</v>
      </c>
      <c r="L104" t="s">
        <v>166</v>
      </c>
      <c r="N104" t="s">
        <v>244</v>
      </c>
      <c r="O104" t="s">
        <v>336</v>
      </c>
      <c r="P104">
        <v>8.6596701285243383E-3</v>
      </c>
      <c r="Q104" t="s">
        <v>166</v>
      </c>
      <c r="S104" t="s">
        <v>309</v>
      </c>
      <c r="T104" t="s">
        <v>336</v>
      </c>
      <c r="U104">
        <v>7.1699303052535548E-3</v>
      </c>
      <c r="V104" t="s">
        <v>166</v>
      </c>
    </row>
    <row r="105" spans="9:22" x14ac:dyDescent="0.45">
      <c r="I105" t="s">
        <v>179</v>
      </c>
      <c r="J105" t="s">
        <v>337</v>
      </c>
      <c r="K105">
        <v>7.9888746651731353E-3</v>
      </c>
      <c r="L105" t="s">
        <v>166</v>
      </c>
      <c r="N105" t="s">
        <v>244</v>
      </c>
      <c r="O105" t="s">
        <v>337</v>
      </c>
      <c r="P105">
        <v>7.5595551328875759E-3</v>
      </c>
      <c r="Q105" t="s">
        <v>166</v>
      </c>
      <c r="S105" t="s">
        <v>309</v>
      </c>
      <c r="T105" t="s">
        <v>337</v>
      </c>
      <c r="U105">
        <v>6.952646644506239E-3</v>
      </c>
      <c r="V105" t="s">
        <v>166</v>
      </c>
    </row>
    <row r="106" spans="9:22" x14ac:dyDescent="0.45">
      <c r="I106" t="s">
        <v>179</v>
      </c>
      <c r="J106" t="s">
        <v>338</v>
      </c>
      <c r="K106">
        <v>1.2291010314870016E-3</v>
      </c>
      <c r="L106" t="s">
        <v>166</v>
      </c>
      <c r="N106" t="s">
        <v>244</v>
      </c>
      <c r="O106" t="s">
        <v>338</v>
      </c>
      <c r="P106">
        <v>2.6516836710053598E-2</v>
      </c>
      <c r="Q106" t="s">
        <v>166</v>
      </c>
      <c r="S106" t="s">
        <v>309</v>
      </c>
      <c r="T106" t="s">
        <v>338</v>
      </c>
      <c r="U106">
        <v>2.9726762659372075E-2</v>
      </c>
      <c r="V106" t="s">
        <v>166</v>
      </c>
    </row>
    <row r="107" spans="9:22" x14ac:dyDescent="0.45">
      <c r="I107" t="s">
        <v>179</v>
      </c>
      <c r="J107" t="s">
        <v>172</v>
      </c>
      <c r="K107">
        <v>2.7235247214181222E-2</v>
      </c>
      <c r="L107" t="s">
        <v>166</v>
      </c>
      <c r="N107" t="s">
        <v>244</v>
      </c>
      <c r="O107" t="s">
        <v>172</v>
      </c>
      <c r="P107">
        <v>1.1071953516194714E-2</v>
      </c>
      <c r="Q107" t="s">
        <v>166</v>
      </c>
      <c r="S107" t="s">
        <v>309</v>
      </c>
      <c r="T107" t="s">
        <v>172</v>
      </c>
      <c r="U107">
        <v>1.4334727211406483E-2</v>
      </c>
      <c r="V107" t="s">
        <v>166</v>
      </c>
    </row>
    <row r="108" spans="9:22" x14ac:dyDescent="0.45">
      <c r="I108" t="s">
        <v>179</v>
      </c>
      <c r="J108" t="s">
        <v>173</v>
      </c>
      <c r="K108">
        <v>9.8261175371639319E-3</v>
      </c>
      <c r="L108" t="s">
        <v>166</v>
      </c>
      <c r="N108" t="s">
        <v>244</v>
      </c>
      <c r="O108" t="s">
        <v>173</v>
      </c>
      <c r="P108">
        <v>1.2772577078320759E-3</v>
      </c>
      <c r="Q108" t="s">
        <v>166</v>
      </c>
      <c r="S108" t="s">
        <v>309</v>
      </c>
      <c r="T108" t="s">
        <v>173</v>
      </c>
      <c r="U108">
        <v>1.5723902556059361E-3</v>
      </c>
      <c r="V108" t="s">
        <v>166</v>
      </c>
    </row>
    <row r="109" spans="9:22" x14ac:dyDescent="0.45">
      <c r="I109" t="s">
        <v>179</v>
      </c>
      <c r="J109" t="s">
        <v>174</v>
      </c>
      <c r="K109">
        <v>5.6377053743092202E-2</v>
      </c>
      <c r="L109" t="s">
        <v>166</v>
      </c>
      <c r="N109" t="s">
        <v>244</v>
      </c>
      <c r="O109" t="s">
        <v>174</v>
      </c>
      <c r="P109">
        <v>1.4959180028212164E-2</v>
      </c>
      <c r="Q109" t="s">
        <v>166</v>
      </c>
      <c r="S109" t="s">
        <v>309</v>
      </c>
      <c r="T109" t="s">
        <v>174</v>
      </c>
      <c r="U109">
        <v>1.2562861771989679E-2</v>
      </c>
      <c r="V109" t="s">
        <v>166</v>
      </c>
    </row>
    <row r="110" spans="9:22" x14ac:dyDescent="0.45">
      <c r="I110" t="s">
        <v>179</v>
      </c>
      <c r="J110" t="s">
        <v>339</v>
      </c>
      <c r="K110">
        <v>6.2916672248378332E-3</v>
      </c>
      <c r="L110" t="s">
        <v>166</v>
      </c>
      <c r="N110" t="s">
        <v>244</v>
      </c>
      <c r="O110" t="s">
        <v>339</v>
      </c>
      <c r="P110">
        <v>3.2184707575747774E-3</v>
      </c>
      <c r="Q110" t="s">
        <v>166</v>
      </c>
      <c r="S110" t="s">
        <v>309</v>
      </c>
      <c r="T110" t="s">
        <v>339</v>
      </c>
      <c r="U110">
        <v>2.1367054125799186E-3</v>
      </c>
      <c r="V110" t="s">
        <v>166</v>
      </c>
    </row>
    <row r="111" spans="9:22" x14ac:dyDescent="0.45">
      <c r="I111" t="s">
        <v>179</v>
      </c>
      <c r="J111" t="s">
        <v>340</v>
      </c>
      <c r="K111">
        <v>4.224668919565547E-3</v>
      </c>
      <c r="L111" t="s">
        <v>166</v>
      </c>
      <c r="N111" t="s">
        <v>244</v>
      </c>
      <c r="O111" t="s">
        <v>340</v>
      </c>
      <c r="P111">
        <v>2.9149350582185827E-3</v>
      </c>
      <c r="Q111" t="s">
        <v>166</v>
      </c>
      <c r="S111" t="s">
        <v>309</v>
      </c>
      <c r="T111" t="s">
        <v>340</v>
      </c>
      <c r="U111">
        <v>2.0244954681946721E-3</v>
      </c>
      <c r="V111" t="s">
        <v>166</v>
      </c>
    </row>
    <row r="112" spans="9:22" x14ac:dyDescent="0.45">
      <c r="I112" t="s">
        <v>179</v>
      </c>
      <c r="J112" t="s">
        <v>341</v>
      </c>
      <c r="K112">
        <v>1.8977419610249891E-3</v>
      </c>
      <c r="L112" t="s">
        <v>166</v>
      </c>
      <c r="N112" t="s">
        <v>244</v>
      </c>
      <c r="O112" t="s">
        <v>341</v>
      </c>
      <c r="P112">
        <v>1.0509342812343319E-2</v>
      </c>
      <c r="Q112" t="s">
        <v>166</v>
      </c>
      <c r="S112" t="s">
        <v>309</v>
      </c>
      <c r="T112" t="s">
        <v>341</v>
      </c>
      <c r="U112">
        <v>8.2019818610671799E-3</v>
      </c>
      <c r="V112" t="s">
        <v>166</v>
      </c>
    </row>
    <row r="113" spans="9:22" x14ac:dyDescent="0.45">
      <c r="I113" t="s">
        <v>179</v>
      </c>
      <c r="J113" t="s">
        <v>175</v>
      </c>
      <c r="K113">
        <v>2.5161963969328852E-2</v>
      </c>
      <c r="L113" t="s">
        <v>166</v>
      </c>
      <c r="N113" t="s">
        <v>244</v>
      </c>
      <c r="O113" t="s">
        <v>175</v>
      </c>
      <c r="P113">
        <v>8.7513158313887521E-3</v>
      </c>
      <c r="Q113" t="s">
        <v>166</v>
      </c>
      <c r="S113" t="s">
        <v>309</v>
      </c>
      <c r="T113" t="s">
        <v>175</v>
      </c>
      <c r="U113">
        <v>1.5801392882572471E-2</v>
      </c>
      <c r="V113" t="s">
        <v>166</v>
      </c>
    </row>
    <row r="114" spans="9:22" x14ac:dyDescent="0.45">
      <c r="I114" t="s">
        <v>179</v>
      </c>
      <c r="J114" t="s">
        <v>176</v>
      </c>
      <c r="K114">
        <v>9.5829295215449448E-3</v>
      </c>
      <c r="L114" t="s">
        <v>166</v>
      </c>
      <c r="N114" t="s">
        <v>244</v>
      </c>
      <c r="O114" t="s">
        <v>176</v>
      </c>
      <c r="P114">
        <v>9.3127803723726558E-4</v>
      </c>
      <c r="Q114" t="s">
        <v>166</v>
      </c>
      <c r="S114" t="s">
        <v>309</v>
      </c>
      <c r="T114" t="s">
        <v>176</v>
      </c>
      <c r="U114">
        <v>1.4321040448725907E-3</v>
      </c>
      <c r="V114" t="s">
        <v>166</v>
      </c>
    </row>
    <row r="115" spans="9:22" x14ac:dyDescent="0.45">
      <c r="I115" t="s">
        <v>179</v>
      </c>
      <c r="J115" t="s">
        <v>177</v>
      </c>
      <c r="K115">
        <v>5.3150537841284574E-2</v>
      </c>
      <c r="L115" t="s">
        <v>166</v>
      </c>
      <c r="N115" t="s">
        <v>244</v>
      </c>
      <c r="O115" t="s">
        <v>177</v>
      </c>
      <c r="P115">
        <v>1.0365630291403662E-2</v>
      </c>
      <c r="Q115" t="s">
        <v>166</v>
      </c>
      <c r="S115" t="s">
        <v>309</v>
      </c>
      <c r="T115" t="s">
        <v>177</v>
      </c>
      <c r="U115">
        <v>1.4873125322473469E-2</v>
      </c>
      <c r="V115" t="s">
        <v>166</v>
      </c>
    </row>
    <row r="116" spans="9:22" x14ac:dyDescent="0.45">
      <c r="I116" t="s">
        <v>179</v>
      </c>
      <c r="J116" t="s">
        <v>342</v>
      </c>
      <c r="K116">
        <v>4.9546914496126481E-3</v>
      </c>
      <c r="L116" t="s">
        <v>166</v>
      </c>
      <c r="N116" t="s">
        <v>244</v>
      </c>
      <c r="O116" t="s">
        <v>342</v>
      </c>
      <c r="P116">
        <v>2.5034777015160575E-3</v>
      </c>
      <c r="Q116" t="s">
        <v>166</v>
      </c>
      <c r="S116" t="s">
        <v>309</v>
      </c>
      <c r="T116" t="s">
        <v>342</v>
      </c>
      <c r="U116">
        <v>2.5741334401246461E-3</v>
      </c>
      <c r="V116" t="s">
        <v>166</v>
      </c>
    </row>
    <row r="117" spans="9:22" x14ac:dyDescent="0.45">
      <c r="I117" t="s">
        <v>179</v>
      </c>
      <c r="J117" t="s">
        <v>343</v>
      </c>
      <c r="K117">
        <v>3.1788368711791067E-3</v>
      </c>
      <c r="L117" t="s">
        <v>166</v>
      </c>
      <c r="N117" t="s">
        <v>244</v>
      </c>
      <c r="O117" t="s">
        <v>343</v>
      </c>
      <c r="P117">
        <v>2.3688193740186866E-3</v>
      </c>
      <c r="Q117" t="s">
        <v>166</v>
      </c>
      <c r="S117" t="s">
        <v>309</v>
      </c>
      <c r="T117" t="s">
        <v>343</v>
      </c>
      <c r="U117">
        <v>2.4896829860590651E-3</v>
      </c>
      <c r="V117" t="s">
        <v>166</v>
      </c>
    </row>
    <row r="118" spans="9:22" x14ac:dyDescent="0.45">
      <c r="I118" t="s">
        <v>179</v>
      </c>
      <c r="J118" t="s">
        <v>344</v>
      </c>
      <c r="K118">
        <v>1.4778914410695917E-3</v>
      </c>
      <c r="L118" t="s">
        <v>166</v>
      </c>
      <c r="N118" t="s">
        <v>244</v>
      </c>
      <c r="O118" t="s">
        <v>344</v>
      </c>
      <c r="P118">
        <v>9.7230292045744453E-3</v>
      </c>
      <c r="Q118" t="s">
        <v>166</v>
      </c>
      <c r="S118" t="s">
        <v>309</v>
      </c>
      <c r="T118" t="s">
        <v>344</v>
      </c>
      <c r="U118">
        <v>1.0065069244131813E-2</v>
      </c>
      <c r="V118" t="s">
        <v>166</v>
      </c>
    </row>
    <row r="119" spans="9:22" x14ac:dyDescent="0.45">
      <c r="I119" t="s">
        <v>179</v>
      </c>
      <c r="J119" t="s">
        <v>345</v>
      </c>
      <c r="K119">
        <v>4.4971715345602278E-2</v>
      </c>
      <c r="L119" t="s">
        <v>166</v>
      </c>
      <c r="N119" t="s">
        <v>244</v>
      </c>
      <c r="O119" t="s">
        <v>345</v>
      </c>
      <c r="P119">
        <v>2.2312216364717027E-2</v>
      </c>
      <c r="Q119" t="s">
        <v>166</v>
      </c>
      <c r="S119" t="s">
        <v>309</v>
      </c>
      <c r="T119" t="s">
        <v>345</v>
      </c>
      <c r="U119">
        <v>2.8098286276884162E-2</v>
      </c>
      <c r="V119" t="s">
        <v>166</v>
      </c>
    </row>
    <row r="120" spans="9:22" x14ac:dyDescent="0.45">
      <c r="I120" t="s">
        <v>179</v>
      </c>
      <c r="J120" t="s">
        <v>346</v>
      </c>
      <c r="K120">
        <v>1.8525652155908689E-2</v>
      </c>
      <c r="L120" t="s">
        <v>166</v>
      </c>
      <c r="N120" t="s">
        <v>244</v>
      </c>
      <c r="O120" t="s">
        <v>346</v>
      </c>
      <c r="P120">
        <v>3.0967279448167661E-3</v>
      </c>
      <c r="Q120" t="s">
        <v>166</v>
      </c>
      <c r="S120" t="s">
        <v>309</v>
      </c>
      <c r="T120" t="s">
        <v>346</v>
      </c>
      <c r="U120">
        <v>2.4822037384170516E-3</v>
      </c>
      <c r="V120" t="s">
        <v>166</v>
      </c>
    </row>
    <row r="121" spans="9:22" x14ac:dyDescent="0.45">
      <c r="I121" t="s">
        <v>179</v>
      </c>
      <c r="J121" t="s">
        <v>347</v>
      </c>
      <c r="K121">
        <v>0.1026809792628072</v>
      </c>
      <c r="L121" t="s">
        <v>166</v>
      </c>
      <c r="N121" t="s">
        <v>244</v>
      </c>
      <c r="O121" t="s">
        <v>347</v>
      </c>
      <c r="P121">
        <v>3.0697449836451587E-2</v>
      </c>
      <c r="Q121" t="s">
        <v>166</v>
      </c>
      <c r="S121" t="s">
        <v>309</v>
      </c>
      <c r="T121" t="s">
        <v>347</v>
      </c>
      <c r="U121">
        <v>2.1999486419307008E-2</v>
      </c>
      <c r="V121" t="s">
        <v>166</v>
      </c>
    </row>
    <row r="122" spans="9:22" x14ac:dyDescent="0.45">
      <c r="I122" t="s">
        <v>179</v>
      </c>
      <c r="J122" t="s">
        <v>348</v>
      </c>
      <c r="K122">
        <v>9.8290530426272654E-3</v>
      </c>
      <c r="L122" t="s">
        <v>166</v>
      </c>
      <c r="N122" t="s">
        <v>244</v>
      </c>
      <c r="O122" t="s">
        <v>348</v>
      </c>
      <c r="P122">
        <v>5.0763310283112942E-3</v>
      </c>
      <c r="Q122" t="s">
        <v>166</v>
      </c>
      <c r="S122" t="s">
        <v>309</v>
      </c>
      <c r="T122" t="s">
        <v>348</v>
      </c>
      <c r="U122">
        <v>3.9050034911957627E-3</v>
      </c>
      <c r="V122" t="s">
        <v>166</v>
      </c>
    </row>
    <row r="123" spans="9:22" x14ac:dyDescent="0.45">
      <c r="I123" t="s">
        <v>179</v>
      </c>
      <c r="J123" t="s">
        <v>349</v>
      </c>
      <c r="K123">
        <v>5.5367693973676045E-3</v>
      </c>
      <c r="L123" t="s">
        <v>166</v>
      </c>
      <c r="N123" t="s">
        <v>244</v>
      </c>
      <c r="O123" t="s">
        <v>349</v>
      </c>
      <c r="P123">
        <v>4.33629709144971E-3</v>
      </c>
      <c r="Q123" t="s">
        <v>166</v>
      </c>
      <c r="S123" t="s">
        <v>309</v>
      </c>
      <c r="T123" t="s">
        <v>349</v>
      </c>
      <c r="U123">
        <v>3.5809484432326919E-3</v>
      </c>
      <c r="V123" t="s">
        <v>166</v>
      </c>
    </row>
    <row r="124" spans="9:22" x14ac:dyDescent="0.45">
      <c r="I124" t="s">
        <v>179</v>
      </c>
      <c r="J124" t="s">
        <v>350</v>
      </c>
      <c r="K124">
        <v>8.4886046557420115E-4</v>
      </c>
      <c r="L124" t="s">
        <v>166</v>
      </c>
      <c r="N124" t="s">
        <v>244</v>
      </c>
      <c r="O124" t="s">
        <v>350</v>
      </c>
      <c r="P124">
        <v>1.5144299629735996E-2</v>
      </c>
      <c r="Q124" t="s">
        <v>166</v>
      </c>
      <c r="S124" t="s">
        <v>309</v>
      </c>
      <c r="T124" t="s">
        <v>350</v>
      </c>
      <c r="U124">
        <v>1.5671938876391425E-2</v>
      </c>
      <c r="V124" t="s">
        <v>166</v>
      </c>
    </row>
    <row r="125" spans="9:22" x14ac:dyDescent="0.45">
      <c r="I125" t="s">
        <v>179</v>
      </c>
      <c r="J125" t="s">
        <v>351</v>
      </c>
      <c r="K125">
        <v>1.9471213951400116E-2</v>
      </c>
      <c r="L125" t="s">
        <v>166</v>
      </c>
      <c r="N125" t="s">
        <v>244</v>
      </c>
      <c r="O125" t="s">
        <v>351</v>
      </c>
      <c r="P125">
        <v>1.7023867431314278E-2</v>
      </c>
      <c r="Q125" t="s">
        <v>166</v>
      </c>
      <c r="S125" t="s">
        <v>309</v>
      </c>
      <c r="T125" t="s">
        <v>351</v>
      </c>
      <c r="U125">
        <v>1.6010396392715068E-2</v>
      </c>
      <c r="V125" t="s">
        <v>166</v>
      </c>
    </row>
    <row r="126" spans="9:22" x14ac:dyDescent="0.45">
      <c r="I126" t="s">
        <v>179</v>
      </c>
      <c r="J126" t="s">
        <v>352</v>
      </c>
      <c r="K126">
        <v>8.8988281378810305E-3</v>
      </c>
      <c r="L126" t="s">
        <v>166</v>
      </c>
      <c r="N126" t="s">
        <v>244</v>
      </c>
      <c r="O126" t="s">
        <v>352</v>
      </c>
      <c r="P126">
        <v>2.004774789707349E-3</v>
      </c>
      <c r="Q126" t="s">
        <v>166</v>
      </c>
      <c r="S126" t="s">
        <v>309</v>
      </c>
      <c r="T126" t="s">
        <v>352</v>
      </c>
      <c r="U126">
        <v>1.5164899076097246E-3</v>
      </c>
      <c r="V126" t="s">
        <v>166</v>
      </c>
    </row>
    <row r="127" spans="9:22" x14ac:dyDescent="0.45">
      <c r="I127" t="s">
        <v>179</v>
      </c>
      <c r="J127" t="s">
        <v>353</v>
      </c>
      <c r="K127">
        <v>4.7630626290564637E-2</v>
      </c>
      <c r="L127" t="s">
        <v>166</v>
      </c>
      <c r="N127" t="s">
        <v>244</v>
      </c>
      <c r="O127" t="s">
        <v>353</v>
      </c>
      <c r="P127">
        <v>1.2387558289332821E-2</v>
      </c>
      <c r="Q127" t="s">
        <v>166</v>
      </c>
      <c r="S127" t="s">
        <v>309</v>
      </c>
      <c r="T127" t="s">
        <v>353</v>
      </c>
      <c r="U127">
        <v>1.0637633410687393E-2</v>
      </c>
      <c r="V127" t="s">
        <v>166</v>
      </c>
    </row>
    <row r="128" spans="9:22" x14ac:dyDescent="0.45">
      <c r="I128" t="s">
        <v>179</v>
      </c>
      <c r="J128" t="s">
        <v>354</v>
      </c>
      <c r="K128">
        <v>3.6197074308558725E-3</v>
      </c>
      <c r="L128" t="s">
        <v>166</v>
      </c>
      <c r="N128" t="s">
        <v>244</v>
      </c>
      <c r="O128" t="s">
        <v>354</v>
      </c>
      <c r="P128">
        <v>1.8057510433592352E-3</v>
      </c>
      <c r="Q128" t="s">
        <v>166</v>
      </c>
      <c r="S128" t="s">
        <v>309</v>
      </c>
      <c r="T128" t="s">
        <v>354</v>
      </c>
      <c r="U128">
        <v>2.1536463433748649E-3</v>
      </c>
      <c r="V128" t="s">
        <v>166</v>
      </c>
    </row>
    <row r="129" spans="9:22" x14ac:dyDescent="0.45">
      <c r="I129" t="s">
        <v>179</v>
      </c>
      <c r="J129" t="s">
        <v>355</v>
      </c>
      <c r="K129">
        <v>0</v>
      </c>
      <c r="L129" t="s">
        <v>166</v>
      </c>
      <c r="N129" t="s">
        <v>244</v>
      </c>
      <c r="O129" t="s">
        <v>355</v>
      </c>
      <c r="P129">
        <v>1.6820639561896124E-3</v>
      </c>
      <c r="Q129" t="s">
        <v>166</v>
      </c>
      <c r="S129" t="s">
        <v>309</v>
      </c>
      <c r="T129" t="s">
        <v>355</v>
      </c>
      <c r="U129">
        <v>2.2216533458948489E-3</v>
      </c>
      <c r="V129" t="s">
        <v>166</v>
      </c>
    </row>
    <row r="130" spans="9:22" x14ac:dyDescent="0.45">
      <c r="I130" t="s">
        <v>179</v>
      </c>
      <c r="J130" t="s">
        <v>356</v>
      </c>
      <c r="K130">
        <v>0</v>
      </c>
      <c r="L130" t="s">
        <v>166</v>
      </c>
      <c r="N130" t="s">
        <v>244</v>
      </c>
      <c r="O130" t="s">
        <v>356</v>
      </c>
      <c r="P130">
        <v>8.4240986737495853E-3</v>
      </c>
      <c r="Q130" t="s">
        <v>166</v>
      </c>
      <c r="S130" t="s">
        <v>309</v>
      </c>
      <c r="T130" t="s">
        <v>356</v>
      </c>
      <c r="U130">
        <v>9.714426956102435E-3</v>
      </c>
      <c r="V130" t="s">
        <v>166</v>
      </c>
    </row>
    <row r="131" spans="9:22" x14ac:dyDescent="0.45">
      <c r="I131" t="s">
        <v>179</v>
      </c>
      <c r="J131" t="s">
        <v>357</v>
      </c>
      <c r="K131">
        <v>2.0349567398086039E-2</v>
      </c>
      <c r="L131" t="s">
        <v>166</v>
      </c>
      <c r="N131" t="s">
        <v>244</v>
      </c>
      <c r="O131" t="s">
        <v>357</v>
      </c>
      <c r="P131">
        <v>6.7543252483173208E-2</v>
      </c>
      <c r="Q131" t="s">
        <v>166</v>
      </c>
      <c r="S131" t="s">
        <v>309</v>
      </c>
      <c r="T131" t="s">
        <v>357</v>
      </c>
      <c r="U131">
        <v>8.0772902826615742E-2</v>
      </c>
      <c r="V131" t="s">
        <v>166</v>
      </c>
    </row>
    <row r="132" spans="9:22" x14ac:dyDescent="0.45">
      <c r="I132" t="s">
        <v>179</v>
      </c>
      <c r="J132" t="s">
        <v>358</v>
      </c>
      <c r="K132">
        <v>1.3334712722934029E-2</v>
      </c>
      <c r="L132" t="s">
        <v>166</v>
      </c>
      <c r="N132" t="s">
        <v>244</v>
      </c>
      <c r="O132" t="s">
        <v>358</v>
      </c>
      <c r="P132">
        <v>9.2526660887582834E-3</v>
      </c>
      <c r="Q132" t="s">
        <v>166</v>
      </c>
      <c r="S132" t="s">
        <v>309</v>
      </c>
      <c r="T132" t="s">
        <v>358</v>
      </c>
      <c r="U132">
        <v>8.033113284679148E-3</v>
      </c>
      <c r="V132" t="s">
        <v>166</v>
      </c>
    </row>
    <row r="133" spans="9:22" x14ac:dyDescent="0.45">
      <c r="I133" t="s">
        <v>179</v>
      </c>
      <c r="J133" t="s">
        <v>359</v>
      </c>
      <c r="K133">
        <v>7.3036962856503823E-2</v>
      </c>
      <c r="L133" t="s">
        <v>166</v>
      </c>
      <c r="N133" t="s">
        <v>244</v>
      </c>
      <c r="O133" t="s">
        <v>359</v>
      </c>
      <c r="P133">
        <v>5.9794248751687706E-2</v>
      </c>
      <c r="Q133" t="s">
        <v>166</v>
      </c>
      <c r="S133" t="s">
        <v>309</v>
      </c>
      <c r="T133" t="s">
        <v>359</v>
      </c>
      <c r="U133">
        <v>5.0219939470076788E-2</v>
      </c>
      <c r="V133" t="s">
        <v>166</v>
      </c>
    </row>
    <row r="134" spans="9:22" x14ac:dyDescent="0.45">
      <c r="I134" t="s">
        <v>179</v>
      </c>
      <c r="J134" t="s">
        <v>360</v>
      </c>
      <c r="K134">
        <v>2.758926034070137E-3</v>
      </c>
      <c r="L134" t="s">
        <v>166</v>
      </c>
      <c r="N134" t="s">
        <v>244</v>
      </c>
      <c r="O134" t="s">
        <v>360</v>
      </c>
      <c r="P134">
        <v>8.4205163862372985E-3</v>
      </c>
      <c r="Q134" t="s">
        <v>166</v>
      </c>
      <c r="S134" t="s">
        <v>309</v>
      </c>
      <c r="T134" t="s">
        <v>360</v>
      </c>
      <c r="U134">
        <v>8.3367378479967062E-3</v>
      </c>
      <c r="V134" t="s">
        <v>166</v>
      </c>
    </row>
    <row r="135" spans="9:22" x14ac:dyDescent="0.45">
      <c r="I135" t="s">
        <v>179</v>
      </c>
      <c r="J135" t="s">
        <v>361</v>
      </c>
      <c r="K135">
        <v>0</v>
      </c>
      <c r="L135" t="s">
        <v>166</v>
      </c>
      <c r="N135" t="s">
        <v>244</v>
      </c>
      <c r="O135" t="s">
        <v>361</v>
      </c>
      <c r="P135">
        <v>7.8456488842226519E-3</v>
      </c>
      <c r="Q135" t="s">
        <v>166</v>
      </c>
      <c r="S135" t="s">
        <v>309</v>
      </c>
      <c r="T135" t="s">
        <v>361</v>
      </c>
      <c r="U135">
        <v>8.2827731277658415E-3</v>
      </c>
      <c r="V135" t="s">
        <v>166</v>
      </c>
    </row>
    <row r="136" spans="9:22" x14ac:dyDescent="0.45">
      <c r="I136" t="s">
        <v>179</v>
      </c>
      <c r="J136" t="s">
        <v>362</v>
      </c>
      <c r="K136">
        <v>0</v>
      </c>
      <c r="L136" t="s">
        <v>166</v>
      </c>
      <c r="N136" t="s">
        <v>244</v>
      </c>
      <c r="O136" t="s">
        <v>362</v>
      </c>
      <c r="P136">
        <v>3.5357477323704992E-2</v>
      </c>
      <c r="Q136" t="s">
        <v>166</v>
      </c>
      <c r="S136" t="s">
        <v>309</v>
      </c>
      <c r="T136" t="s">
        <v>362</v>
      </c>
      <c r="U136">
        <v>4.1438097052169838E-2</v>
      </c>
      <c r="V136" t="s">
        <v>166</v>
      </c>
    </row>
    <row r="137" spans="9:22" x14ac:dyDescent="0.45">
      <c r="I137" t="s">
        <v>180</v>
      </c>
      <c r="J137" t="s">
        <v>165</v>
      </c>
      <c r="K137">
        <v>3.38806335949653E-2</v>
      </c>
      <c r="L137" t="s">
        <v>166</v>
      </c>
      <c r="N137" t="s">
        <v>245</v>
      </c>
      <c r="O137" t="s">
        <v>165</v>
      </c>
      <c r="P137">
        <v>0.15429482120218066</v>
      </c>
      <c r="Q137" t="s">
        <v>166</v>
      </c>
      <c r="S137" t="s">
        <v>310</v>
      </c>
      <c r="T137" t="s">
        <v>165</v>
      </c>
      <c r="U137">
        <v>0.17129962772608301</v>
      </c>
      <c r="V137" t="s">
        <v>166</v>
      </c>
    </row>
    <row r="138" spans="9:22" x14ac:dyDescent="0.45">
      <c r="I138" t="s">
        <v>180</v>
      </c>
      <c r="J138" t="s">
        <v>167</v>
      </c>
      <c r="K138">
        <v>2.175739894593566E-2</v>
      </c>
      <c r="L138" t="s">
        <v>166</v>
      </c>
      <c r="N138" t="s">
        <v>245</v>
      </c>
      <c r="O138" t="s">
        <v>167</v>
      </c>
      <c r="P138">
        <v>1.5788249499613487E-2</v>
      </c>
      <c r="Q138" t="s">
        <v>166</v>
      </c>
      <c r="S138" t="s">
        <v>310</v>
      </c>
      <c r="T138" t="s">
        <v>167</v>
      </c>
      <c r="U138">
        <v>1.7990948269559767E-2</v>
      </c>
      <c r="V138" t="s">
        <v>166</v>
      </c>
    </row>
    <row r="139" spans="9:22" x14ac:dyDescent="0.45">
      <c r="I139" t="s">
        <v>180</v>
      </c>
      <c r="J139" t="s">
        <v>168</v>
      </c>
      <c r="K139">
        <v>0.12960380343980216</v>
      </c>
      <c r="L139" t="s">
        <v>166</v>
      </c>
      <c r="N139" t="s">
        <v>245</v>
      </c>
      <c r="O139" t="s">
        <v>168</v>
      </c>
      <c r="P139">
        <v>0.1099766409337133</v>
      </c>
      <c r="Q139" t="s">
        <v>166</v>
      </c>
      <c r="S139" t="s">
        <v>310</v>
      </c>
      <c r="T139" t="s">
        <v>168</v>
      </c>
      <c r="U139">
        <v>0.1053190139474751</v>
      </c>
      <c r="V139" t="s">
        <v>166</v>
      </c>
    </row>
    <row r="140" spans="9:22" x14ac:dyDescent="0.45">
      <c r="I140" t="s">
        <v>180</v>
      </c>
      <c r="J140" t="s">
        <v>333</v>
      </c>
      <c r="K140">
        <v>1.3194706938361197E-2</v>
      </c>
      <c r="L140" t="s">
        <v>166</v>
      </c>
      <c r="N140" t="s">
        <v>245</v>
      </c>
      <c r="O140" t="s">
        <v>333</v>
      </c>
      <c r="P140">
        <v>1.6160099634216447E-2</v>
      </c>
      <c r="Q140" t="s">
        <v>166</v>
      </c>
      <c r="S140" t="s">
        <v>310</v>
      </c>
      <c r="T140" t="s">
        <v>333</v>
      </c>
      <c r="U140">
        <v>1.5516476225938087E-2</v>
      </c>
      <c r="V140" t="s">
        <v>166</v>
      </c>
    </row>
    <row r="141" spans="9:22" x14ac:dyDescent="0.45">
      <c r="I141" t="s">
        <v>180</v>
      </c>
      <c r="J141" t="s">
        <v>334</v>
      </c>
      <c r="K141">
        <v>3.8516616157405021E-3</v>
      </c>
      <c r="L141" t="s">
        <v>166</v>
      </c>
      <c r="N141" t="s">
        <v>245</v>
      </c>
      <c r="O141" t="s">
        <v>334</v>
      </c>
      <c r="P141">
        <v>1.5003898665458745E-2</v>
      </c>
      <c r="Q141" t="s">
        <v>166</v>
      </c>
      <c r="S141" t="s">
        <v>310</v>
      </c>
      <c r="T141" t="s">
        <v>334</v>
      </c>
      <c r="U141">
        <v>1.5149153801313346E-2</v>
      </c>
      <c r="V141" t="s">
        <v>166</v>
      </c>
    </row>
    <row r="142" spans="9:22" x14ac:dyDescent="0.45">
      <c r="I142" t="s">
        <v>180</v>
      </c>
      <c r="J142" t="s">
        <v>335</v>
      </c>
      <c r="K142">
        <v>0</v>
      </c>
      <c r="L142" t="s">
        <v>166</v>
      </c>
      <c r="N142" t="s">
        <v>245</v>
      </c>
      <c r="O142" t="s">
        <v>335</v>
      </c>
      <c r="P142">
        <v>7.256074431402719E-2</v>
      </c>
      <c r="Q142" t="s">
        <v>166</v>
      </c>
      <c r="S142" t="s">
        <v>310</v>
      </c>
      <c r="T142" t="s">
        <v>335</v>
      </c>
      <c r="U142">
        <v>7.8458986267932698E-2</v>
      </c>
      <c r="V142" t="s">
        <v>166</v>
      </c>
    </row>
    <row r="143" spans="9:22" x14ac:dyDescent="0.45">
      <c r="I143" t="s">
        <v>180</v>
      </c>
      <c r="J143" t="s">
        <v>169</v>
      </c>
      <c r="K143">
        <v>4.5201439286302082E-2</v>
      </c>
      <c r="L143" t="s">
        <v>166</v>
      </c>
      <c r="N143" t="s">
        <v>245</v>
      </c>
      <c r="O143" t="s">
        <v>169</v>
      </c>
      <c r="P143">
        <v>5.5115426837134246E-2</v>
      </c>
      <c r="Q143" t="s">
        <v>166</v>
      </c>
      <c r="S143" t="s">
        <v>310</v>
      </c>
      <c r="T143" t="s">
        <v>169</v>
      </c>
      <c r="U143">
        <v>6.9192885910486543E-2</v>
      </c>
      <c r="V143" t="s">
        <v>166</v>
      </c>
    </row>
    <row r="144" spans="9:22" x14ac:dyDescent="0.45">
      <c r="I144" t="s">
        <v>180</v>
      </c>
      <c r="J144" t="s">
        <v>170</v>
      </c>
      <c r="K144">
        <v>1.8279237250098637E-2</v>
      </c>
      <c r="L144" t="s">
        <v>166</v>
      </c>
      <c r="N144" t="s">
        <v>245</v>
      </c>
      <c r="O144" t="s">
        <v>170</v>
      </c>
      <c r="P144">
        <v>4.9309992797159138E-3</v>
      </c>
      <c r="Q144" t="s">
        <v>166</v>
      </c>
      <c r="S144" t="s">
        <v>310</v>
      </c>
      <c r="T144" t="s">
        <v>170</v>
      </c>
      <c r="U144">
        <v>6.9098328764743864E-3</v>
      </c>
      <c r="V144" t="s">
        <v>166</v>
      </c>
    </row>
    <row r="145" spans="9:22" x14ac:dyDescent="0.45">
      <c r="I145" t="s">
        <v>180</v>
      </c>
      <c r="J145" t="s">
        <v>171</v>
      </c>
      <c r="K145">
        <v>0.10984669790698361</v>
      </c>
      <c r="L145" t="s">
        <v>166</v>
      </c>
      <c r="N145" t="s">
        <v>245</v>
      </c>
      <c r="O145" t="s">
        <v>171</v>
      </c>
      <c r="P145">
        <v>3.9035127066260715E-2</v>
      </c>
      <c r="Q145" t="s">
        <v>166</v>
      </c>
      <c r="S145" t="s">
        <v>310</v>
      </c>
      <c r="T145" t="s">
        <v>171</v>
      </c>
      <c r="U145">
        <v>4.4134213688853459E-2</v>
      </c>
      <c r="V145" t="s">
        <v>166</v>
      </c>
    </row>
    <row r="146" spans="9:22" x14ac:dyDescent="0.45">
      <c r="I146" t="s">
        <v>180</v>
      </c>
      <c r="J146" t="s">
        <v>336</v>
      </c>
      <c r="K146">
        <v>1.3150637838589349E-2</v>
      </c>
      <c r="L146" t="s">
        <v>166</v>
      </c>
      <c r="N146" t="s">
        <v>245</v>
      </c>
      <c r="O146" t="s">
        <v>336</v>
      </c>
      <c r="P146">
        <v>7.9885737899233512E-3</v>
      </c>
      <c r="Q146" t="s">
        <v>166</v>
      </c>
      <c r="S146" t="s">
        <v>310</v>
      </c>
      <c r="T146" t="s">
        <v>336</v>
      </c>
      <c r="U146">
        <v>6.9632197417212952E-3</v>
      </c>
      <c r="V146" t="s">
        <v>166</v>
      </c>
    </row>
    <row r="147" spans="9:22" x14ac:dyDescent="0.45">
      <c r="I147" t="s">
        <v>180</v>
      </c>
      <c r="J147" t="s">
        <v>337</v>
      </c>
      <c r="K147">
        <v>8.7267190942691298E-3</v>
      </c>
      <c r="L147" t="s">
        <v>166</v>
      </c>
      <c r="N147" t="s">
        <v>245</v>
      </c>
      <c r="O147" t="s">
        <v>337</v>
      </c>
      <c r="P147">
        <v>8.2963202395885255E-3</v>
      </c>
      <c r="Q147" t="s">
        <v>166</v>
      </c>
      <c r="S147" t="s">
        <v>310</v>
      </c>
      <c r="T147" t="s">
        <v>337</v>
      </c>
      <c r="U147">
        <v>6.6344377576091429E-3</v>
      </c>
      <c r="V147" t="s">
        <v>166</v>
      </c>
    </row>
    <row r="148" spans="9:22" x14ac:dyDescent="0.45">
      <c r="I148" t="s">
        <v>180</v>
      </c>
      <c r="J148" t="s">
        <v>338</v>
      </c>
      <c r="K148">
        <v>2.0749022462357098E-3</v>
      </c>
      <c r="L148" t="s">
        <v>166</v>
      </c>
      <c r="N148" t="s">
        <v>245</v>
      </c>
      <c r="O148" t="s">
        <v>338</v>
      </c>
      <c r="P148">
        <v>4.4559129151588502E-2</v>
      </c>
      <c r="Q148" t="s">
        <v>166</v>
      </c>
      <c r="S148" t="s">
        <v>310</v>
      </c>
      <c r="T148" t="s">
        <v>338</v>
      </c>
      <c r="U148">
        <v>3.3150664494509229E-2</v>
      </c>
      <c r="V148" t="s">
        <v>166</v>
      </c>
    </row>
    <row r="149" spans="9:22" x14ac:dyDescent="0.45">
      <c r="I149" t="s">
        <v>180</v>
      </c>
      <c r="J149" t="s">
        <v>172</v>
      </c>
      <c r="K149">
        <v>2.7095052811256414E-2</v>
      </c>
      <c r="L149" t="s">
        <v>166</v>
      </c>
      <c r="N149" t="s">
        <v>245</v>
      </c>
      <c r="O149" t="s">
        <v>172</v>
      </c>
      <c r="P149">
        <v>2.7542086396818512E-2</v>
      </c>
      <c r="Q149" t="s">
        <v>166</v>
      </c>
      <c r="S149" t="s">
        <v>310</v>
      </c>
      <c r="T149" t="s">
        <v>172</v>
      </c>
      <c r="U149">
        <v>3.5398781587422171E-2</v>
      </c>
      <c r="V149" t="s">
        <v>166</v>
      </c>
    </row>
    <row r="150" spans="9:22" x14ac:dyDescent="0.45">
      <c r="I150" t="s">
        <v>180</v>
      </c>
      <c r="J150" t="s">
        <v>173</v>
      </c>
      <c r="K150">
        <v>1.0426282786034987E-2</v>
      </c>
      <c r="L150" t="s">
        <v>166</v>
      </c>
      <c r="N150" t="s">
        <v>245</v>
      </c>
      <c r="O150" t="s">
        <v>173</v>
      </c>
      <c r="P150">
        <v>2.0734047599865121E-3</v>
      </c>
      <c r="Q150" t="s">
        <v>166</v>
      </c>
      <c r="S150" t="s">
        <v>310</v>
      </c>
      <c r="T150" t="s">
        <v>173</v>
      </c>
      <c r="U150">
        <v>3.5765455632284847E-3</v>
      </c>
      <c r="V150" t="s">
        <v>166</v>
      </c>
    </row>
    <row r="151" spans="9:22" x14ac:dyDescent="0.45">
      <c r="I151" t="s">
        <v>180</v>
      </c>
      <c r="J151" t="s">
        <v>174</v>
      </c>
      <c r="K151">
        <v>6.3001756814863724E-2</v>
      </c>
      <c r="L151" t="s">
        <v>166</v>
      </c>
      <c r="N151" t="s">
        <v>245</v>
      </c>
      <c r="O151" t="s">
        <v>174</v>
      </c>
      <c r="P151">
        <v>1.2742419170640869E-2</v>
      </c>
      <c r="Q151" t="s">
        <v>166</v>
      </c>
      <c r="S151" t="s">
        <v>310</v>
      </c>
      <c r="T151" t="s">
        <v>174</v>
      </c>
      <c r="U151">
        <v>2.5224691784081522E-2</v>
      </c>
      <c r="V151" t="s">
        <v>166</v>
      </c>
    </row>
    <row r="152" spans="9:22" x14ac:dyDescent="0.45">
      <c r="I152" t="s">
        <v>180</v>
      </c>
      <c r="J152" t="s">
        <v>339</v>
      </c>
      <c r="K152">
        <v>7.770583646240079E-3</v>
      </c>
      <c r="L152" t="s">
        <v>166</v>
      </c>
      <c r="N152" t="s">
        <v>245</v>
      </c>
      <c r="O152" t="s">
        <v>339</v>
      </c>
      <c r="P152">
        <v>2.5590738335012227E-3</v>
      </c>
      <c r="Q152" t="s">
        <v>166</v>
      </c>
      <c r="S152" t="s">
        <v>310</v>
      </c>
      <c r="T152" t="s">
        <v>339</v>
      </c>
      <c r="U152">
        <v>4.3147553307628494E-3</v>
      </c>
      <c r="V152" t="s">
        <v>166</v>
      </c>
    </row>
    <row r="153" spans="9:22" x14ac:dyDescent="0.45">
      <c r="I153" t="s">
        <v>180</v>
      </c>
      <c r="J153" t="s">
        <v>340</v>
      </c>
      <c r="K153">
        <v>5.6801963221155983E-3</v>
      </c>
      <c r="L153" t="s">
        <v>166</v>
      </c>
      <c r="N153" t="s">
        <v>245</v>
      </c>
      <c r="O153" t="s">
        <v>340</v>
      </c>
      <c r="P153">
        <v>3.0372990907922386E-3</v>
      </c>
      <c r="Q153" t="s">
        <v>166</v>
      </c>
      <c r="S153" t="s">
        <v>310</v>
      </c>
      <c r="T153" t="s">
        <v>340</v>
      </c>
      <c r="U153">
        <v>4.18362112041954E-3</v>
      </c>
      <c r="V153" t="s">
        <v>166</v>
      </c>
    </row>
    <row r="154" spans="9:22" x14ac:dyDescent="0.45">
      <c r="I154" t="s">
        <v>180</v>
      </c>
      <c r="J154" t="s">
        <v>341</v>
      </c>
      <c r="K154">
        <v>2.7457951667463521E-3</v>
      </c>
      <c r="L154" t="s">
        <v>166</v>
      </c>
      <c r="N154" t="s">
        <v>245</v>
      </c>
      <c r="O154" t="s">
        <v>341</v>
      </c>
      <c r="P154">
        <v>2.2594491278233226E-2</v>
      </c>
      <c r="Q154" t="s">
        <v>166</v>
      </c>
      <c r="S154" t="s">
        <v>310</v>
      </c>
      <c r="T154" t="s">
        <v>341</v>
      </c>
      <c r="U154">
        <v>1.9826361500438254E-2</v>
      </c>
      <c r="V154" t="s">
        <v>166</v>
      </c>
    </row>
    <row r="155" spans="9:22" x14ac:dyDescent="0.45">
      <c r="I155" t="s">
        <v>180</v>
      </c>
      <c r="J155" t="s">
        <v>175</v>
      </c>
      <c r="K155">
        <v>2.5161842787250741E-2</v>
      </c>
      <c r="L155" t="s">
        <v>166</v>
      </c>
      <c r="N155" t="s">
        <v>245</v>
      </c>
      <c r="O155" t="s">
        <v>175</v>
      </c>
      <c r="P155">
        <v>2.2750418975974337E-2</v>
      </c>
      <c r="Q155" t="s">
        <v>166</v>
      </c>
      <c r="S155" t="s">
        <v>310</v>
      </c>
      <c r="T155" t="s">
        <v>175</v>
      </c>
      <c r="U155">
        <v>1.8800918229522123E-2</v>
      </c>
      <c r="V155" t="s">
        <v>166</v>
      </c>
    </row>
    <row r="156" spans="9:22" x14ac:dyDescent="0.45">
      <c r="I156" t="s">
        <v>180</v>
      </c>
      <c r="J156" t="s">
        <v>176</v>
      </c>
      <c r="K156">
        <v>1.022320857743112E-2</v>
      </c>
      <c r="L156" t="s">
        <v>166</v>
      </c>
      <c r="N156" t="s">
        <v>245</v>
      </c>
      <c r="O156" t="s">
        <v>176</v>
      </c>
      <c r="P156">
        <v>1.5501599818351006E-3</v>
      </c>
      <c r="Q156" t="s">
        <v>166</v>
      </c>
      <c r="S156" t="s">
        <v>310</v>
      </c>
      <c r="T156" t="s">
        <v>176</v>
      </c>
      <c r="U156">
        <v>1.4104225462544839E-3</v>
      </c>
      <c r="V156" t="s">
        <v>166</v>
      </c>
    </row>
    <row r="157" spans="9:22" x14ac:dyDescent="0.45">
      <c r="I157" t="s">
        <v>180</v>
      </c>
      <c r="J157" t="s">
        <v>177</v>
      </c>
      <c r="K157">
        <v>6.202753616262114E-2</v>
      </c>
      <c r="L157" t="s">
        <v>166</v>
      </c>
      <c r="N157" t="s">
        <v>245</v>
      </c>
      <c r="O157" t="s">
        <v>177</v>
      </c>
      <c r="P157">
        <v>1.2209298050453784E-2</v>
      </c>
      <c r="Q157" t="s">
        <v>166</v>
      </c>
      <c r="S157" t="s">
        <v>310</v>
      </c>
      <c r="T157" t="s">
        <v>177</v>
      </c>
      <c r="U157">
        <v>1.3392591130721361E-2</v>
      </c>
      <c r="V157" t="s">
        <v>166</v>
      </c>
    </row>
    <row r="158" spans="9:22" x14ac:dyDescent="0.45">
      <c r="I158" t="s">
        <v>180</v>
      </c>
      <c r="J158" t="s">
        <v>342</v>
      </c>
      <c r="K158">
        <v>7.488344806815977E-3</v>
      </c>
      <c r="L158" t="s">
        <v>166</v>
      </c>
      <c r="N158" t="s">
        <v>245</v>
      </c>
      <c r="O158" t="s">
        <v>342</v>
      </c>
      <c r="P158">
        <v>2.48473994518615E-3</v>
      </c>
      <c r="Q158" t="s">
        <v>166</v>
      </c>
      <c r="S158" t="s">
        <v>310</v>
      </c>
      <c r="T158" t="s">
        <v>342</v>
      </c>
      <c r="U158">
        <v>2.7892616662766843E-3</v>
      </c>
      <c r="V158" t="s">
        <v>166</v>
      </c>
    </row>
    <row r="159" spans="9:22" x14ac:dyDescent="0.45">
      <c r="I159" t="s">
        <v>180</v>
      </c>
      <c r="J159" t="s">
        <v>343</v>
      </c>
      <c r="K159">
        <v>5.338796041464474E-3</v>
      </c>
      <c r="L159" t="s">
        <v>166</v>
      </c>
      <c r="N159" t="s">
        <v>245</v>
      </c>
      <c r="O159" t="s">
        <v>343</v>
      </c>
      <c r="P159">
        <v>2.8410244748428388E-3</v>
      </c>
      <c r="Q159" t="s">
        <v>166</v>
      </c>
      <c r="S159" t="s">
        <v>310</v>
      </c>
      <c r="T159" t="s">
        <v>343</v>
      </c>
      <c r="U159">
        <v>2.8751875239132019E-3</v>
      </c>
      <c r="V159" t="s">
        <v>166</v>
      </c>
    </row>
    <row r="160" spans="9:22" x14ac:dyDescent="0.45">
      <c r="I160" t="s">
        <v>180</v>
      </c>
      <c r="J160" t="s">
        <v>344</v>
      </c>
      <c r="K160">
        <v>2.6758634564645989E-3</v>
      </c>
      <c r="L160" t="s">
        <v>166</v>
      </c>
      <c r="N160" t="s">
        <v>245</v>
      </c>
      <c r="O160" t="s">
        <v>344</v>
      </c>
      <c r="P160">
        <v>2.0832052165847482E-2</v>
      </c>
      <c r="Q160" t="s">
        <v>166</v>
      </c>
      <c r="S160" t="s">
        <v>310</v>
      </c>
      <c r="T160" t="s">
        <v>344</v>
      </c>
      <c r="U160">
        <v>1.3847102264577232E-2</v>
      </c>
      <c r="V160" t="s">
        <v>166</v>
      </c>
    </row>
    <row r="161" spans="9:22" x14ac:dyDescent="0.45">
      <c r="I161" t="s">
        <v>180</v>
      </c>
      <c r="J161" t="s">
        <v>345</v>
      </c>
      <c r="K161">
        <v>4.2452345290385267E-2</v>
      </c>
      <c r="L161" t="s">
        <v>166</v>
      </c>
      <c r="N161" t="s">
        <v>245</v>
      </c>
      <c r="O161" t="s">
        <v>345</v>
      </c>
      <c r="P161">
        <v>3.5335633522899736E-2</v>
      </c>
      <c r="Q161" t="s">
        <v>166</v>
      </c>
      <c r="S161" t="s">
        <v>310</v>
      </c>
      <c r="T161" t="s">
        <v>345</v>
      </c>
      <c r="U161">
        <v>4.1847217695819228E-2</v>
      </c>
      <c r="V161" t="s">
        <v>166</v>
      </c>
    </row>
    <row r="162" spans="9:22" x14ac:dyDescent="0.45">
      <c r="I162" t="s">
        <v>180</v>
      </c>
      <c r="J162" t="s">
        <v>346</v>
      </c>
      <c r="K162">
        <v>1.8748669666866908E-2</v>
      </c>
      <c r="L162" t="s">
        <v>166</v>
      </c>
      <c r="N162" t="s">
        <v>245</v>
      </c>
      <c r="O162" t="s">
        <v>346</v>
      </c>
      <c r="P162">
        <v>2.7441886704006463E-3</v>
      </c>
      <c r="Q162" t="s">
        <v>166</v>
      </c>
      <c r="S162" t="s">
        <v>310</v>
      </c>
      <c r="T162" t="s">
        <v>346</v>
      </c>
      <c r="U162">
        <v>3.8695680877626456E-3</v>
      </c>
      <c r="V162" t="s">
        <v>166</v>
      </c>
    </row>
    <row r="163" spans="9:22" x14ac:dyDescent="0.45">
      <c r="I163" t="s">
        <v>180</v>
      </c>
      <c r="J163" t="s">
        <v>347</v>
      </c>
      <c r="K163">
        <v>0.11085361903249003</v>
      </c>
      <c r="L163" t="s">
        <v>166</v>
      </c>
      <c r="N163" t="s">
        <v>245</v>
      </c>
      <c r="O163" t="s">
        <v>347</v>
      </c>
      <c r="P163">
        <v>2.7565962652915287E-2</v>
      </c>
      <c r="Q163" t="s">
        <v>166</v>
      </c>
      <c r="S163" t="s">
        <v>310</v>
      </c>
      <c r="T163" t="s">
        <v>347</v>
      </c>
      <c r="U163">
        <v>3.127291158182869E-2</v>
      </c>
      <c r="V163" t="s">
        <v>166</v>
      </c>
    </row>
    <row r="164" spans="9:22" x14ac:dyDescent="0.45">
      <c r="I164" t="s">
        <v>180</v>
      </c>
      <c r="J164" t="s">
        <v>348</v>
      </c>
      <c r="K164">
        <v>1.2085754019641766E-2</v>
      </c>
      <c r="L164" t="s">
        <v>166</v>
      </c>
      <c r="N164" t="s">
        <v>245</v>
      </c>
      <c r="O164" t="s">
        <v>348</v>
      </c>
      <c r="P164">
        <v>5.9598227500391333E-3</v>
      </c>
      <c r="Q164" t="s">
        <v>166</v>
      </c>
      <c r="S164" t="s">
        <v>310</v>
      </c>
      <c r="T164" t="s">
        <v>348</v>
      </c>
      <c r="U164">
        <v>6.1590792307521722E-3</v>
      </c>
      <c r="V164" t="s">
        <v>166</v>
      </c>
    </row>
    <row r="165" spans="9:22" x14ac:dyDescent="0.45">
      <c r="I165" t="s">
        <v>180</v>
      </c>
      <c r="J165" t="s">
        <v>349</v>
      </c>
      <c r="K165">
        <v>7.5571608221618267E-3</v>
      </c>
      <c r="L165" t="s">
        <v>166</v>
      </c>
      <c r="N165" t="s">
        <v>245</v>
      </c>
      <c r="O165" t="s">
        <v>349</v>
      </c>
      <c r="P165">
        <v>6.1787203905434886E-3</v>
      </c>
      <c r="Q165" t="s">
        <v>166</v>
      </c>
      <c r="S165" t="s">
        <v>310</v>
      </c>
      <c r="T165" t="s">
        <v>349</v>
      </c>
      <c r="U165">
        <v>6.1976703860777034E-3</v>
      </c>
      <c r="V165" t="s">
        <v>166</v>
      </c>
    </row>
    <row r="166" spans="9:22" x14ac:dyDescent="0.45">
      <c r="I166" t="s">
        <v>180</v>
      </c>
      <c r="J166" t="s">
        <v>350</v>
      </c>
      <c r="K166">
        <v>1.5448461639298737E-3</v>
      </c>
      <c r="L166" t="s">
        <v>166</v>
      </c>
      <c r="N166" t="s">
        <v>245</v>
      </c>
      <c r="O166" t="s">
        <v>350</v>
      </c>
      <c r="P166">
        <v>3.5995327551840046E-2</v>
      </c>
      <c r="Q166" t="s">
        <v>166</v>
      </c>
      <c r="S166" t="s">
        <v>310</v>
      </c>
      <c r="T166" t="s">
        <v>350</v>
      </c>
      <c r="U166">
        <v>2.9470033157139749E-2</v>
      </c>
      <c r="V166" t="s">
        <v>166</v>
      </c>
    </row>
    <row r="167" spans="9:22" x14ac:dyDescent="0.45">
      <c r="I167" t="s">
        <v>180</v>
      </c>
      <c r="J167" t="s">
        <v>351</v>
      </c>
      <c r="K167">
        <v>1.6924875910778535E-2</v>
      </c>
      <c r="L167" t="s">
        <v>166</v>
      </c>
      <c r="N167" t="s">
        <v>245</v>
      </c>
      <c r="O167" t="s">
        <v>351</v>
      </c>
      <c r="P167">
        <v>2.6025223456387043E-2</v>
      </c>
      <c r="Q167" t="s">
        <v>166</v>
      </c>
      <c r="S167" t="s">
        <v>310</v>
      </c>
      <c r="T167" t="s">
        <v>351</v>
      </c>
      <c r="U167">
        <v>1.7744030235953581E-2</v>
      </c>
      <c r="V167" t="s">
        <v>166</v>
      </c>
    </row>
    <row r="168" spans="9:22" x14ac:dyDescent="0.45">
      <c r="I168" t="s">
        <v>180</v>
      </c>
      <c r="J168" t="s">
        <v>352</v>
      </c>
      <c r="K168">
        <v>8.5665267958187786E-3</v>
      </c>
      <c r="L168" t="s">
        <v>166</v>
      </c>
      <c r="N168" t="s">
        <v>245</v>
      </c>
      <c r="O168" t="s">
        <v>352</v>
      </c>
      <c r="P168">
        <v>2.1458148463091762E-3</v>
      </c>
      <c r="Q168" t="s">
        <v>166</v>
      </c>
      <c r="S168" t="s">
        <v>310</v>
      </c>
      <c r="T168" t="s">
        <v>352</v>
      </c>
      <c r="U168">
        <v>1.5969046655836309E-3</v>
      </c>
      <c r="V168" t="s">
        <v>166</v>
      </c>
    </row>
    <row r="169" spans="9:22" x14ac:dyDescent="0.45">
      <c r="I169" t="s">
        <v>180</v>
      </c>
      <c r="J169" t="s">
        <v>353</v>
      </c>
      <c r="K169">
        <v>4.7326554407323265E-2</v>
      </c>
      <c r="L169" t="s">
        <v>166</v>
      </c>
      <c r="N169" t="s">
        <v>245</v>
      </c>
      <c r="O169" t="s">
        <v>353</v>
      </c>
      <c r="P169">
        <v>1.8224213675159071E-2</v>
      </c>
      <c r="Q169" t="s">
        <v>166</v>
      </c>
      <c r="S169" t="s">
        <v>310</v>
      </c>
      <c r="T169" t="s">
        <v>353</v>
      </c>
      <c r="U169">
        <v>9.1852266371616025E-3</v>
      </c>
      <c r="V169" t="s">
        <v>166</v>
      </c>
    </row>
    <row r="170" spans="9:22" x14ac:dyDescent="0.45">
      <c r="I170" t="s">
        <v>180</v>
      </c>
      <c r="J170" t="s">
        <v>354</v>
      </c>
      <c r="K170">
        <v>3.9581455394095957E-3</v>
      </c>
      <c r="L170" t="s">
        <v>166</v>
      </c>
      <c r="N170" t="s">
        <v>245</v>
      </c>
      <c r="O170" t="s">
        <v>354</v>
      </c>
      <c r="P170">
        <v>2.7768260657420555E-3</v>
      </c>
      <c r="Q170" t="s">
        <v>166</v>
      </c>
      <c r="S170" t="s">
        <v>310</v>
      </c>
      <c r="T170" t="s">
        <v>354</v>
      </c>
      <c r="U170">
        <v>1.4650432644036356E-3</v>
      </c>
      <c r="V170" t="s">
        <v>166</v>
      </c>
    </row>
    <row r="171" spans="9:22" x14ac:dyDescent="0.45">
      <c r="I171" t="s">
        <v>180</v>
      </c>
      <c r="J171" t="s">
        <v>355</v>
      </c>
      <c r="K171">
        <v>0</v>
      </c>
      <c r="L171" t="s">
        <v>166</v>
      </c>
      <c r="N171" t="s">
        <v>245</v>
      </c>
      <c r="O171" t="s">
        <v>355</v>
      </c>
      <c r="P171">
        <v>2.8531388580909419E-3</v>
      </c>
      <c r="Q171" t="s">
        <v>166</v>
      </c>
      <c r="S171" t="s">
        <v>310</v>
      </c>
      <c r="T171" t="s">
        <v>355</v>
      </c>
      <c r="U171">
        <v>1.445725479061979E-3</v>
      </c>
      <c r="V171" t="s">
        <v>166</v>
      </c>
    </row>
    <row r="172" spans="9:22" x14ac:dyDescent="0.45">
      <c r="I172" t="s">
        <v>180</v>
      </c>
      <c r="J172" t="s">
        <v>356</v>
      </c>
      <c r="K172">
        <v>0</v>
      </c>
      <c r="L172" t="s">
        <v>166</v>
      </c>
      <c r="N172" t="s">
        <v>245</v>
      </c>
      <c r="O172" t="s">
        <v>356</v>
      </c>
      <c r="P172">
        <v>1.7305632012512659E-2</v>
      </c>
      <c r="Q172" t="s">
        <v>166</v>
      </c>
      <c r="S172" t="s">
        <v>310</v>
      </c>
      <c r="T172" t="s">
        <v>356</v>
      </c>
      <c r="U172">
        <v>7.3683877173489594E-3</v>
      </c>
      <c r="V172" t="s">
        <v>166</v>
      </c>
    </row>
    <row r="173" spans="9:22" x14ac:dyDescent="0.45">
      <c r="I173" t="s">
        <v>180</v>
      </c>
      <c r="J173" t="s">
        <v>357</v>
      </c>
      <c r="K173">
        <v>1.7732030597176301E-2</v>
      </c>
      <c r="L173" t="s">
        <v>166</v>
      </c>
      <c r="N173" t="s">
        <v>245</v>
      </c>
      <c r="O173" t="s">
        <v>357</v>
      </c>
      <c r="P173">
        <v>5.5558653742067254E-2</v>
      </c>
      <c r="Q173" t="s">
        <v>166</v>
      </c>
      <c r="S173" t="s">
        <v>310</v>
      </c>
      <c r="T173" t="s">
        <v>357</v>
      </c>
      <c r="U173">
        <v>4.9628915699482169E-2</v>
      </c>
      <c r="V173" t="s">
        <v>166</v>
      </c>
    </row>
    <row r="174" spans="9:22" x14ac:dyDescent="0.45">
      <c r="I174" t="s">
        <v>180</v>
      </c>
      <c r="J174" t="s">
        <v>358</v>
      </c>
      <c r="K174">
        <v>1.2444030562238183E-2</v>
      </c>
      <c r="L174" t="s">
        <v>166</v>
      </c>
      <c r="N174" t="s">
        <v>245</v>
      </c>
      <c r="O174" t="s">
        <v>358</v>
      </c>
      <c r="P174">
        <v>4.905030991846279E-3</v>
      </c>
      <c r="Q174" t="s">
        <v>166</v>
      </c>
      <c r="S174" t="s">
        <v>310</v>
      </c>
      <c r="T174" t="s">
        <v>358</v>
      </c>
      <c r="U174">
        <v>5.2796323899343993E-3</v>
      </c>
      <c r="V174" t="s">
        <v>166</v>
      </c>
    </row>
    <row r="175" spans="9:22" x14ac:dyDescent="0.45">
      <c r="I175" t="s">
        <v>180</v>
      </c>
      <c r="J175" t="s">
        <v>359</v>
      </c>
      <c r="K175">
        <v>6.8095242099807329E-2</v>
      </c>
      <c r="L175" t="s">
        <v>166</v>
      </c>
      <c r="N175" t="s">
        <v>245</v>
      </c>
      <c r="O175" t="s">
        <v>359</v>
      </c>
      <c r="P175">
        <v>3.5846311245353799E-2</v>
      </c>
      <c r="Q175" t="s">
        <v>166</v>
      </c>
      <c r="S175" t="s">
        <v>310</v>
      </c>
      <c r="T175" t="s">
        <v>359</v>
      </c>
      <c r="U175">
        <v>3.4424465493010467E-2</v>
      </c>
      <c r="V175" t="s">
        <v>166</v>
      </c>
    </row>
    <row r="176" spans="9:22" x14ac:dyDescent="0.45">
      <c r="I176" t="s">
        <v>180</v>
      </c>
      <c r="J176" t="s">
        <v>360</v>
      </c>
      <c r="K176">
        <v>2.5071015553859008E-3</v>
      </c>
      <c r="L176" t="s">
        <v>166</v>
      </c>
      <c r="N176" t="s">
        <v>245</v>
      </c>
      <c r="O176" t="s">
        <v>360</v>
      </c>
      <c r="P176">
        <v>5.5677525577236542E-3</v>
      </c>
      <c r="Q176" t="s">
        <v>166</v>
      </c>
      <c r="S176" t="s">
        <v>310</v>
      </c>
      <c r="T176" t="s">
        <v>360</v>
      </c>
      <c r="U176">
        <v>5.5142622257852445E-3</v>
      </c>
      <c r="V176" t="s">
        <v>166</v>
      </c>
    </row>
    <row r="177" spans="9:22" x14ac:dyDescent="0.45">
      <c r="I177" t="s">
        <v>180</v>
      </c>
      <c r="J177" t="s">
        <v>361</v>
      </c>
      <c r="K177">
        <v>0</v>
      </c>
      <c r="L177" t="s">
        <v>166</v>
      </c>
      <c r="N177" t="s">
        <v>245</v>
      </c>
      <c r="O177" t="s">
        <v>361</v>
      </c>
      <c r="P177">
        <v>5.8579912977999487E-3</v>
      </c>
      <c r="Q177" t="s">
        <v>166</v>
      </c>
      <c r="S177" t="s">
        <v>310</v>
      </c>
      <c r="T177" t="s">
        <v>361</v>
      </c>
      <c r="U177">
        <v>5.3436084392251195E-3</v>
      </c>
      <c r="V177" t="s">
        <v>166</v>
      </c>
    </row>
    <row r="178" spans="9:22" x14ac:dyDescent="0.45">
      <c r="I178" t="s">
        <v>180</v>
      </c>
      <c r="J178" t="s">
        <v>362</v>
      </c>
      <c r="K178">
        <v>0</v>
      </c>
      <c r="L178" t="s">
        <v>166</v>
      </c>
      <c r="N178" t="s">
        <v>245</v>
      </c>
      <c r="O178" t="s">
        <v>362</v>
      </c>
      <c r="P178">
        <v>3.2227256974835937E-2</v>
      </c>
      <c r="Q178" t="s">
        <v>166</v>
      </c>
      <c r="S178" t="s">
        <v>310</v>
      </c>
      <c r="T178" t="s">
        <v>362</v>
      </c>
      <c r="U178">
        <v>2.582761665809458E-2</v>
      </c>
      <c r="V178" t="s">
        <v>166</v>
      </c>
    </row>
    <row r="179" spans="9:22" x14ac:dyDescent="0.45">
      <c r="I179" t="s">
        <v>181</v>
      </c>
      <c r="J179" t="s">
        <v>165</v>
      </c>
      <c r="K179">
        <v>3.658829872817649E-2</v>
      </c>
      <c r="L179" t="s">
        <v>166</v>
      </c>
      <c r="N179" t="s">
        <v>246</v>
      </c>
      <c r="O179" t="s">
        <v>165</v>
      </c>
      <c r="P179">
        <v>0.24799596069454213</v>
      </c>
      <c r="Q179" t="s">
        <v>166</v>
      </c>
      <c r="S179" t="s">
        <v>311</v>
      </c>
      <c r="T179" t="s">
        <v>165</v>
      </c>
      <c r="U179">
        <v>0.17465200154542601</v>
      </c>
      <c r="V179" t="s">
        <v>166</v>
      </c>
    </row>
    <row r="180" spans="9:22" x14ac:dyDescent="0.45">
      <c r="I180" t="s">
        <v>181</v>
      </c>
      <c r="J180" t="s">
        <v>167</v>
      </c>
      <c r="K180">
        <v>2.2435344315517271E-2</v>
      </c>
      <c r="L180" t="s">
        <v>166</v>
      </c>
      <c r="N180" t="s">
        <v>246</v>
      </c>
      <c r="O180" t="s">
        <v>167</v>
      </c>
      <c r="P180">
        <v>2.6427821857808512E-2</v>
      </c>
      <c r="Q180" t="s">
        <v>166</v>
      </c>
      <c r="S180" t="s">
        <v>311</v>
      </c>
      <c r="T180" t="s">
        <v>167</v>
      </c>
      <c r="U180">
        <v>1.9172895685494309E-2</v>
      </c>
      <c r="V180" t="s">
        <v>166</v>
      </c>
    </row>
    <row r="181" spans="9:22" x14ac:dyDescent="0.45">
      <c r="I181" t="s">
        <v>181</v>
      </c>
      <c r="J181" t="s">
        <v>168</v>
      </c>
      <c r="K181">
        <v>0.12785934483546166</v>
      </c>
      <c r="L181" t="s">
        <v>166</v>
      </c>
      <c r="N181" t="s">
        <v>246</v>
      </c>
      <c r="O181" t="s">
        <v>168</v>
      </c>
      <c r="P181">
        <v>0.16506011752735128</v>
      </c>
      <c r="Q181" t="s">
        <v>166</v>
      </c>
      <c r="S181" t="s">
        <v>311</v>
      </c>
      <c r="T181" t="s">
        <v>168</v>
      </c>
      <c r="U181">
        <v>0.11543681379103043</v>
      </c>
      <c r="V181" t="s">
        <v>166</v>
      </c>
    </row>
    <row r="182" spans="9:22" x14ac:dyDescent="0.45">
      <c r="I182" t="s">
        <v>181</v>
      </c>
      <c r="J182" t="s">
        <v>333</v>
      </c>
      <c r="K182">
        <v>1.1974559980911584E-2</v>
      </c>
      <c r="L182" t="s">
        <v>166</v>
      </c>
      <c r="N182" t="s">
        <v>246</v>
      </c>
      <c r="O182" t="s">
        <v>333</v>
      </c>
      <c r="P182">
        <v>1.9422694352390569E-2</v>
      </c>
      <c r="Q182" t="s">
        <v>166</v>
      </c>
      <c r="S182" t="s">
        <v>311</v>
      </c>
      <c r="T182" t="s">
        <v>333</v>
      </c>
      <c r="U182">
        <v>1.5880033821911103E-2</v>
      </c>
      <c r="V182" t="s">
        <v>166</v>
      </c>
    </row>
    <row r="183" spans="9:22" x14ac:dyDescent="0.45">
      <c r="I183" t="s">
        <v>181</v>
      </c>
      <c r="J183" t="s">
        <v>334</v>
      </c>
      <c r="K183">
        <v>2.9223973874583343E-3</v>
      </c>
      <c r="L183" t="s">
        <v>166</v>
      </c>
      <c r="N183" t="s">
        <v>246</v>
      </c>
      <c r="O183" t="s">
        <v>334</v>
      </c>
      <c r="P183">
        <v>1.7522391722707031E-2</v>
      </c>
      <c r="Q183" t="s">
        <v>166</v>
      </c>
      <c r="S183" t="s">
        <v>311</v>
      </c>
      <c r="T183" t="s">
        <v>334</v>
      </c>
      <c r="U183">
        <v>1.4890404770773687E-2</v>
      </c>
      <c r="V183" t="s">
        <v>166</v>
      </c>
    </row>
    <row r="184" spans="9:22" x14ac:dyDescent="0.45">
      <c r="I184" t="s">
        <v>181</v>
      </c>
      <c r="J184" t="s">
        <v>335</v>
      </c>
      <c r="K184">
        <v>0</v>
      </c>
      <c r="L184" t="s">
        <v>166</v>
      </c>
      <c r="N184" t="s">
        <v>246</v>
      </c>
      <c r="O184" t="s">
        <v>335</v>
      </c>
      <c r="P184">
        <v>9.2057705226510439E-2</v>
      </c>
      <c r="Q184" t="s">
        <v>166</v>
      </c>
      <c r="S184" t="s">
        <v>311</v>
      </c>
      <c r="T184" t="s">
        <v>335</v>
      </c>
      <c r="U184">
        <v>7.6024199368966067E-2</v>
      </c>
      <c r="V184" t="s">
        <v>166</v>
      </c>
    </row>
    <row r="185" spans="9:22" x14ac:dyDescent="0.45">
      <c r="I185" t="s">
        <v>181</v>
      </c>
      <c r="J185" t="s">
        <v>169</v>
      </c>
      <c r="K185">
        <v>4.8670152901036587E-2</v>
      </c>
      <c r="L185" t="s">
        <v>166</v>
      </c>
      <c r="N185" t="s">
        <v>246</v>
      </c>
      <c r="O185" t="s">
        <v>169</v>
      </c>
      <c r="P185">
        <v>4.4393187970062586E-2</v>
      </c>
      <c r="Q185" t="s">
        <v>166</v>
      </c>
      <c r="S185" t="s">
        <v>311</v>
      </c>
      <c r="T185" t="s">
        <v>169</v>
      </c>
      <c r="U185">
        <v>6.1264815657358439E-2</v>
      </c>
      <c r="V185" t="s">
        <v>166</v>
      </c>
    </row>
    <row r="186" spans="9:22" x14ac:dyDescent="0.45">
      <c r="I186" t="s">
        <v>181</v>
      </c>
      <c r="J186" t="s">
        <v>170</v>
      </c>
      <c r="K186">
        <v>1.9016960778183878E-2</v>
      </c>
      <c r="L186" t="s">
        <v>166</v>
      </c>
      <c r="N186" t="s">
        <v>246</v>
      </c>
      <c r="O186" t="s">
        <v>170</v>
      </c>
      <c r="P186">
        <v>6.0862226328561404E-3</v>
      </c>
      <c r="Q186" t="s">
        <v>166</v>
      </c>
      <c r="S186" t="s">
        <v>311</v>
      </c>
      <c r="T186" t="s">
        <v>170</v>
      </c>
      <c r="U186">
        <v>7.1683017310131443E-3</v>
      </c>
      <c r="V186" t="s">
        <v>166</v>
      </c>
    </row>
    <row r="187" spans="9:22" x14ac:dyDescent="0.45">
      <c r="I187" t="s">
        <v>181</v>
      </c>
      <c r="J187" t="s">
        <v>171</v>
      </c>
      <c r="K187">
        <v>0.10969830768955156</v>
      </c>
      <c r="L187" t="s">
        <v>166</v>
      </c>
      <c r="N187" t="s">
        <v>246</v>
      </c>
      <c r="O187" t="s">
        <v>171</v>
      </c>
      <c r="P187">
        <v>5.0258735640497744E-2</v>
      </c>
      <c r="Q187" t="s">
        <v>166</v>
      </c>
      <c r="S187" t="s">
        <v>311</v>
      </c>
      <c r="T187" t="s">
        <v>171</v>
      </c>
      <c r="U187">
        <v>4.7933772581676914E-2</v>
      </c>
      <c r="V187" t="s">
        <v>166</v>
      </c>
    </row>
    <row r="188" spans="9:22" x14ac:dyDescent="0.45">
      <c r="I188" t="s">
        <v>181</v>
      </c>
      <c r="J188" t="s">
        <v>336</v>
      </c>
      <c r="K188">
        <v>1.2556254910090308E-2</v>
      </c>
      <c r="L188" t="s">
        <v>166</v>
      </c>
      <c r="N188" t="s">
        <v>246</v>
      </c>
      <c r="O188" t="s">
        <v>336</v>
      </c>
      <c r="P188">
        <v>7.7170050708587111E-3</v>
      </c>
      <c r="Q188" t="s">
        <v>166</v>
      </c>
      <c r="S188" t="s">
        <v>311</v>
      </c>
      <c r="T188" t="s">
        <v>336</v>
      </c>
      <c r="U188">
        <v>6.9745542928682444E-3</v>
      </c>
      <c r="V188" t="s">
        <v>166</v>
      </c>
    </row>
    <row r="189" spans="9:22" x14ac:dyDescent="0.45">
      <c r="I189" t="s">
        <v>181</v>
      </c>
      <c r="J189" t="s">
        <v>337</v>
      </c>
      <c r="K189">
        <v>7.7240771380664552E-3</v>
      </c>
      <c r="L189" t="s">
        <v>166</v>
      </c>
      <c r="N189" t="s">
        <v>246</v>
      </c>
      <c r="O189" t="s">
        <v>337</v>
      </c>
      <c r="P189">
        <v>5.4734161183461602E-3</v>
      </c>
      <c r="Q189" t="s">
        <v>166</v>
      </c>
      <c r="S189" t="s">
        <v>311</v>
      </c>
      <c r="T189" t="s">
        <v>337</v>
      </c>
      <c r="U189">
        <v>6.3069445225801164E-3</v>
      </c>
      <c r="V189" t="s">
        <v>166</v>
      </c>
    </row>
    <row r="190" spans="9:22" x14ac:dyDescent="0.45">
      <c r="I190" t="s">
        <v>181</v>
      </c>
      <c r="J190" t="s">
        <v>338</v>
      </c>
      <c r="K190">
        <v>1.3014903532694187E-3</v>
      </c>
      <c r="L190" t="s">
        <v>166</v>
      </c>
      <c r="N190" t="s">
        <v>246</v>
      </c>
      <c r="O190" t="s">
        <v>338</v>
      </c>
      <c r="P190">
        <v>1.8066045485757319E-2</v>
      </c>
      <c r="Q190" t="s">
        <v>166</v>
      </c>
      <c r="S190" t="s">
        <v>311</v>
      </c>
      <c r="T190" t="s">
        <v>338</v>
      </c>
      <c r="U190">
        <v>2.8321046360352795E-2</v>
      </c>
      <c r="V190" t="s">
        <v>166</v>
      </c>
    </row>
    <row r="191" spans="9:22" x14ac:dyDescent="0.45">
      <c r="I191" t="s">
        <v>181</v>
      </c>
      <c r="J191" t="s">
        <v>172</v>
      </c>
      <c r="K191">
        <v>2.7642090885356473E-2</v>
      </c>
      <c r="L191" t="s">
        <v>166</v>
      </c>
      <c r="N191" t="s">
        <v>246</v>
      </c>
      <c r="O191" t="s">
        <v>172</v>
      </c>
      <c r="P191">
        <v>6.3053143920972967E-3</v>
      </c>
      <c r="Q191" t="s">
        <v>166</v>
      </c>
      <c r="S191" t="s">
        <v>311</v>
      </c>
      <c r="T191" t="s">
        <v>172</v>
      </c>
      <c r="U191">
        <v>2.6966019554245244E-2</v>
      </c>
      <c r="V191" t="s">
        <v>166</v>
      </c>
    </row>
    <row r="192" spans="9:22" x14ac:dyDescent="0.45">
      <c r="I192" t="s">
        <v>181</v>
      </c>
      <c r="J192" t="s">
        <v>173</v>
      </c>
      <c r="K192">
        <v>1.0521088134481178E-2</v>
      </c>
      <c r="L192" t="s">
        <v>166</v>
      </c>
      <c r="N192" t="s">
        <v>246</v>
      </c>
      <c r="O192" t="s">
        <v>173</v>
      </c>
      <c r="P192">
        <v>8.2091299422265497E-4</v>
      </c>
      <c r="Q192" t="s">
        <v>166</v>
      </c>
      <c r="S192" t="s">
        <v>311</v>
      </c>
      <c r="T192" t="s">
        <v>173</v>
      </c>
      <c r="U192">
        <v>3.1208016490203209E-3</v>
      </c>
      <c r="V192" t="s">
        <v>166</v>
      </c>
    </row>
    <row r="193" spans="9:22" x14ac:dyDescent="0.45">
      <c r="I193" t="s">
        <v>181</v>
      </c>
      <c r="J193" t="s">
        <v>174</v>
      </c>
      <c r="K193">
        <v>6.2746304513262546E-2</v>
      </c>
      <c r="L193" t="s">
        <v>166</v>
      </c>
      <c r="N193" t="s">
        <v>246</v>
      </c>
      <c r="O193" t="s">
        <v>174</v>
      </c>
      <c r="P193">
        <v>1.7134596816923808E-2</v>
      </c>
      <c r="Q193" t="s">
        <v>166</v>
      </c>
      <c r="S193" t="s">
        <v>311</v>
      </c>
      <c r="T193" t="s">
        <v>174</v>
      </c>
      <c r="U193">
        <v>2.5443545483285618E-2</v>
      </c>
      <c r="V193" t="s">
        <v>166</v>
      </c>
    </row>
    <row r="194" spans="9:22" x14ac:dyDescent="0.45">
      <c r="I194" t="s">
        <v>181</v>
      </c>
      <c r="J194" t="s">
        <v>339</v>
      </c>
      <c r="K194">
        <v>7.6256964978845022E-3</v>
      </c>
      <c r="L194" t="s">
        <v>166</v>
      </c>
      <c r="N194" t="s">
        <v>246</v>
      </c>
      <c r="O194" t="s">
        <v>339</v>
      </c>
      <c r="P194">
        <v>3.3771903963435231E-3</v>
      </c>
      <c r="Q194" t="s">
        <v>166</v>
      </c>
      <c r="S194" t="s">
        <v>311</v>
      </c>
      <c r="T194" t="s">
        <v>339</v>
      </c>
      <c r="U194">
        <v>4.1431778604008249E-3</v>
      </c>
      <c r="V194" t="s">
        <v>166</v>
      </c>
    </row>
    <row r="195" spans="9:22" x14ac:dyDescent="0.45">
      <c r="I195" t="s">
        <v>181</v>
      </c>
      <c r="J195" t="s">
        <v>340</v>
      </c>
      <c r="K195">
        <v>5.4103693844523371E-3</v>
      </c>
      <c r="L195" t="s">
        <v>166</v>
      </c>
      <c r="N195" t="s">
        <v>246</v>
      </c>
      <c r="O195" t="s">
        <v>340</v>
      </c>
      <c r="P195">
        <v>2.5206367057200715E-3</v>
      </c>
      <c r="Q195" t="s">
        <v>166</v>
      </c>
      <c r="S195" t="s">
        <v>311</v>
      </c>
      <c r="T195" t="s">
        <v>340</v>
      </c>
      <c r="U195">
        <v>3.8732850522453714E-3</v>
      </c>
      <c r="V195" t="s">
        <v>166</v>
      </c>
    </row>
    <row r="196" spans="9:22" x14ac:dyDescent="0.45">
      <c r="I196" t="s">
        <v>181</v>
      </c>
      <c r="J196" t="s">
        <v>341</v>
      </c>
      <c r="K196">
        <v>2.4752441774590368E-3</v>
      </c>
      <c r="L196" t="s">
        <v>166</v>
      </c>
      <c r="N196" t="s">
        <v>246</v>
      </c>
      <c r="O196" t="s">
        <v>341</v>
      </c>
      <c r="P196">
        <v>5.9834855901221588E-3</v>
      </c>
      <c r="Q196" t="s">
        <v>166</v>
      </c>
      <c r="S196" t="s">
        <v>311</v>
      </c>
      <c r="T196" t="s">
        <v>341</v>
      </c>
      <c r="U196">
        <v>1.6052402342034651E-2</v>
      </c>
      <c r="V196" t="s">
        <v>166</v>
      </c>
    </row>
    <row r="197" spans="9:22" x14ac:dyDescent="0.45">
      <c r="I197" t="s">
        <v>181</v>
      </c>
      <c r="J197" t="s">
        <v>175</v>
      </c>
      <c r="K197">
        <v>2.6124230625908681E-2</v>
      </c>
      <c r="L197" t="s">
        <v>166</v>
      </c>
      <c r="N197" t="s">
        <v>246</v>
      </c>
      <c r="O197" t="s">
        <v>175</v>
      </c>
      <c r="P197">
        <v>1.8985375663010322E-3</v>
      </c>
      <c r="Q197" t="s">
        <v>166</v>
      </c>
      <c r="S197" t="s">
        <v>311</v>
      </c>
      <c r="T197" t="s">
        <v>175</v>
      </c>
      <c r="U197">
        <v>1.5849886136524705E-2</v>
      </c>
      <c r="V197" t="s">
        <v>166</v>
      </c>
    </row>
    <row r="198" spans="9:22" x14ac:dyDescent="0.45">
      <c r="I198" t="s">
        <v>181</v>
      </c>
      <c r="J198" t="s">
        <v>176</v>
      </c>
      <c r="K198">
        <v>1.0345035004970547E-2</v>
      </c>
      <c r="L198" t="s">
        <v>166</v>
      </c>
      <c r="N198" t="s">
        <v>246</v>
      </c>
      <c r="O198" t="s">
        <v>176</v>
      </c>
      <c r="P198">
        <v>1.5513801514444942E-4</v>
      </c>
      <c r="Q198" t="s">
        <v>166</v>
      </c>
      <c r="S198" t="s">
        <v>311</v>
      </c>
      <c r="T198" t="s">
        <v>176</v>
      </c>
      <c r="U198">
        <v>1.3770065741055177E-3</v>
      </c>
      <c r="V198" t="s">
        <v>166</v>
      </c>
    </row>
    <row r="199" spans="9:22" x14ac:dyDescent="0.45">
      <c r="I199" t="s">
        <v>181</v>
      </c>
      <c r="J199" t="s">
        <v>177</v>
      </c>
      <c r="K199">
        <v>6.1984539302260784E-2</v>
      </c>
      <c r="L199" t="s">
        <v>166</v>
      </c>
      <c r="N199" t="s">
        <v>246</v>
      </c>
      <c r="O199" t="s">
        <v>177</v>
      </c>
      <c r="P199">
        <v>1.1858683960267107E-2</v>
      </c>
      <c r="Q199" t="s">
        <v>166</v>
      </c>
      <c r="S199" t="s">
        <v>311</v>
      </c>
      <c r="T199" t="s">
        <v>177</v>
      </c>
      <c r="U199">
        <v>1.7570891115790323E-2</v>
      </c>
      <c r="V199" t="s">
        <v>166</v>
      </c>
    </row>
    <row r="200" spans="9:22" x14ac:dyDescent="0.45">
      <c r="I200" t="s">
        <v>181</v>
      </c>
      <c r="J200" t="s">
        <v>342</v>
      </c>
      <c r="K200">
        <v>7.1134406795662752E-3</v>
      </c>
      <c r="L200" t="s">
        <v>166</v>
      </c>
      <c r="N200" t="s">
        <v>246</v>
      </c>
      <c r="O200" t="s">
        <v>342</v>
      </c>
      <c r="P200">
        <v>2.3079078879308713E-3</v>
      </c>
      <c r="Q200" t="s">
        <v>166</v>
      </c>
      <c r="S200" t="s">
        <v>311</v>
      </c>
      <c r="T200" t="s">
        <v>342</v>
      </c>
      <c r="U200">
        <v>3.1369432418234928E-3</v>
      </c>
      <c r="V200" t="s">
        <v>166</v>
      </c>
    </row>
    <row r="201" spans="9:22" x14ac:dyDescent="0.45">
      <c r="I201" t="s">
        <v>181</v>
      </c>
      <c r="J201" t="s">
        <v>343</v>
      </c>
      <c r="K201">
        <v>4.9754300477270396E-3</v>
      </c>
      <c r="L201" t="s">
        <v>166</v>
      </c>
      <c r="N201" t="s">
        <v>246</v>
      </c>
      <c r="O201" t="s">
        <v>343</v>
      </c>
      <c r="P201">
        <v>1.5972119856310536E-3</v>
      </c>
      <c r="Q201" t="s">
        <v>166</v>
      </c>
      <c r="S201" t="s">
        <v>311</v>
      </c>
      <c r="T201" t="s">
        <v>343</v>
      </c>
      <c r="U201">
        <v>2.9895744135158692E-3</v>
      </c>
      <c r="V201" t="s">
        <v>166</v>
      </c>
    </row>
    <row r="202" spans="9:22" x14ac:dyDescent="0.45">
      <c r="I202" t="s">
        <v>181</v>
      </c>
      <c r="J202" t="s">
        <v>344</v>
      </c>
      <c r="K202">
        <v>2.275292697087991E-3</v>
      </c>
      <c r="L202" t="s">
        <v>166</v>
      </c>
      <c r="N202" t="s">
        <v>246</v>
      </c>
      <c r="O202" t="s">
        <v>344</v>
      </c>
      <c r="P202">
        <v>2.7864710923972387E-3</v>
      </c>
      <c r="Q202" t="s">
        <v>166</v>
      </c>
      <c r="S202" t="s">
        <v>311</v>
      </c>
      <c r="T202" t="s">
        <v>344</v>
      </c>
      <c r="U202">
        <v>1.2611417049622051E-2</v>
      </c>
      <c r="V202" t="s">
        <v>166</v>
      </c>
    </row>
    <row r="203" spans="9:22" x14ac:dyDescent="0.45">
      <c r="I203" t="s">
        <v>181</v>
      </c>
      <c r="J203" t="s">
        <v>345</v>
      </c>
      <c r="K203">
        <v>4.3845415992420547E-2</v>
      </c>
      <c r="L203" t="s">
        <v>166</v>
      </c>
      <c r="N203" t="s">
        <v>246</v>
      </c>
      <c r="O203" t="s">
        <v>345</v>
      </c>
      <c r="P203">
        <v>6.0541891200405614E-3</v>
      </c>
      <c r="Q203" t="s">
        <v>166</v>
      </c>
      <c r="S203" t="s">
        <v>311</v>
      </c>
      <c r="T203" t="s">
        <v>345</v>
      </c>
      <c r="U203">
        <v>3.4177486188788513E-2</v>
      </c>
      <c r="V203" t="s">
        <v>166</v>
      </c>
    </row>
    <row r="204" spans="9:22" x14ac:dyDescent="0.45">
      <c r="I204" t="s">
        <v>181</v>
      </c>
      <c r="J204" t="s">
        <v>346</v>
      </c>
      <c r="K204">
        <v>1.8812300730884173E-2</v>
      </c>
      <c r="L204" t="s">
        <v>166</v>
      </c>
      <c r="N204" t="s">
        <v>246</v>
      </c>
      <c r="O204" t="s">
        <v>346</v>
      </c>
      <c r="P204">
        <v>1.1155139099994185E-3</v>
      </c>
      <c r="Q204" t="s">
        <v>166</v>
      </c>
      <c r="S204" t="s">
        <v>311</v>
      </c>
      <c r="T204" t="s">
        <v>346</v>
      </c>
      <c r="U204">
        <v>3.6031091904940738E-3</v>
      </c>
      <c r="V204" t="s">
        <v>166</v>
      </c>
    </row>
    <row r="205" spans="9:22" x14ac:dyDescent="0.45">
      <c r="I205" t="s">
        <v>181</v>
      </c>
      <c r="J205" t="s">
        <v>347</v>
      </c>
      <c r="K205">
        <v>0.1103529893531458</v>
      </c>
      <c r="L205" t="s">
        <v>166</v>
      </c>
      <c r="N205" t="s">
        <v>246</v>
      </c>
      <c r="O205" t="s">
        <v>347</v>
      </c>
      <c r="P205">
        <v>2.3778431705631854E-2</v>
      </c>
      <c r="Q205" t="s">
        <v>166</v>
      </c>
      <c r="S205" t="s">
        <v>311</v>
      </c>
      <c r="T205" t="s">
        <v>347</v>
      </c>
      <c r="U205">
        <v>3.642634689963601E-2</v>
      </c>
      <c r="V205" t="s">
        <v>166</v>
      </c>
    </row>
    <row r="206" spans="9:22" x14ac:dyDescent="0.45">
      <c r="I206" t="s">
        <v>181</v>
      </c>
      <c r="J206" t="s">
        <v>348</v>
      </c>
      <c r="K206">
        <v>1.1533565155920774E-2</v>
      </c>
      <c r="L206" t="s">
        <v>166</v>
      </c>
      <c r="N206" t="s">
        <v>246</v>
      </c>
      <c r="O206" t="s">
        <v>348</v>
      </c>
      <c r="P206">
        <v>4.6396664310311558E-3</v>
      </c>
      <c r="Q206" t="s">
        <v>166</v>
      </c>
      <c r="S206" t="s">
        <v>311</v>
      </c>
      <c r="T206" t="s">
        <v>348</v>
      </c>
      <c r="U206">
        <v>6.5516531638373085E-3</v>
      </c>
      <c r="V206" t="s">
        <v>166</v>
      </c>
    </row>
    <row r="207" spans="9:22" x14ac:dyDescent="0.45">
      <c r="I207" t="s">
        <v>181</v>
      </c>
      <c r="J207" t="s">
        <v>349</v>
      </c>
      <c r="K207">
        <v>6.4043183466070781E-3</v>
      </c>
      <c r="L207" t="s">
        <v>166</v>
      </c>
      <c r="N207" t="s">
        <v>246</v>
      </c>
      <c r="O207" t="s">
        <v>349</v>
      </c>
      <c r="P207">
        <v>3.3370888953929327E-3</v>
      </c>
      <c r="Q207" t="s">
        <v>166</v>
      </c>
      <c r="S207" t="s">
        <v>311</v>
      </c>
      <c r="T207" t="s">
        <v>349</v>
      </c>
      <c r="U207">
        <v>6.1273169469717942E-3</v>
      </c>
      <c r="V207" t="s">
        <v>166</v>
      </c>
    </row>
    <row r="208" spans="9:22" x14ac:dyDescent="0.45">
      <c r="I208" t="s">
        <v>181</v>
      </c>
      <c r="J208" t="s">
        <v>350</v>
      </c>
      <c r="K208">
        <v>1.00541504403971E-3</v>
      </c>
      <c r="L208" t="s">
        <v>166</v>
      </c>
      <c r="N208" t="s">
        <v>246</v>
      </c>
      <c r="O208" t="s">
        <v>350</v>
      </c>
      <c r="P208">
        <v>6.989135227563976E-3</v>
      </c>
      <c r="Q208" t="s">
        <v>166</v>
      </c>
      <c r="S208" t="s">
        <v>311</v>
      </c>
      <c r="T208" t="s">
        <v>350</v>
      </c>
      <c r="U208">
        <v>2.554337883813448E-2</v>
      </c>
      <c r="V208" t="s">
        <v>166</v>
      </c>
    </row>
    <row r="209" spans="9:22" x14ac:dyDescent="0.45">
      <c r="I209" t="s">
        <v>181</v>
      </c>
      <c r="J209" t="s">
        <v>351</v>
      </c>
      <c r="K209">
        <v>1.7425698893372862E-2</v>
      </c>
      <c r="L209" t="s">
        <v>166</v>
      </c>
      <c r="N209" t="s">
        <v>246</v>
      </c>
      <c r="O209" t="s">
        <v>351</v>
      </c>
      <c r="P209">
        <v>3.6634279447861134E-3</v>
      </c>
      <c r="Q209" t="s">
        <v>166</v>
      </c>
      <c r="S209" t="s">
        <v>311</v>
      </c>
      <c r="T209" t="s">
        <v>351</v>
      </c>
      <c r="U209">
        <v>1.8434227515605195E-2</v>
      </c>
      <c r="V209" t="s">
        <v>166</v>
      </c>
    </row>
    <row r="210" spans="9:22" x14ac:dyDescent="0.45">
      <c r="I210" t="s">
        <v>181</v>
      </c>
      <c r="J210" t="s">
        <v>352</v>
      </c>
      <c r="K210">
        <v>8.632989464169686E-3</v>
      </c>
      <c r="L210" t="s">
        <v>166</v>
      </c>
      <c r="N210" t="s">
        <v>246</v>
      </c>
      <c r="O210" t="s">
        <v>352</v>
      </c>
      <c r="P210">
        <v>3.9646811631516494E-4</v>
      </c>
      <c r="Q210" t="s">
        <v>166</v>
      </c>
      <c r="S210" t="s">
        <v>311</v>
      </c>
      <c r="T210" t="s">
        <v>352</v>
      </c>
      <c r="U210">
        <v>1.4902494240348965E-3</v>
      </c>
      <c r="V210" t="s">
        <v>166</v>
      </c>
    </row>
    <row r="211" spans="9:22" x14ac:dyDescent="0.45">
      <c r="I211" t="s">
        <v>181</v>
      </c>
      <c r="J211" t="s">
        <v>353</v>
      </c>
      <c r="K211">
        <v>4.7662980266352212E-2</v>
      </c>
      <c r="L211" t="s">
        <v>166</v>
      </c>
      <c r="N211" t="s">
        <v>246</v>
      </c>
      <c r="O211" t="s">
        <v>353</v>
      </c>
      <c r="P211">
        <v>8.9585404994956732E-3</v>
      </c>
      <c r="Q211" t="s">
        <v>166</v>
      </c>
      <c r="S211" t="s">
        <v>311</v>
      </c>
      <c r="T211" t="s">
        <v>353</v>
      </c>
      <c r="U211">
        <v>1.0905535559196152E-2</v>
      </c>
      <c r="V211" t="s">
        <v>166</v>
      </c>
    </row>
    <row r="212" spans="9:22" x14ac:dyDescent="0.45">
      <c r="I212" t="s">
        <v>181</v>
      </c>
      <c r="J212" t="s">
        <v>354</v>
      </c>
      <c r="K212">
        <v>3.5395565257941267E-3</v>
      </c>
      <c r="L212" t="s">
        <v>166</v>
      </c>
      <c r="N212" t="s">
        <v>246</v>
      </c>
      <c r="O212" t="s">
        <v>354</v>
      </c>
      <c r="P212">
        <v>1.7007008833145524E-3</v>
      </c>
      <c r="Q212" t="s">
        <v>166</v>
      </c>
      <c r="S212" t="s">
        <v>311</v>
      </c>
      <c r="T212" t="s">
        <v>354</v>
      </c>
      <c r="U212">
        <v>1.6857011459283356E-3</v>
      </c>
      <c r="V212" t="s">
        <v>166</v>
      </c>
    </row>
    <row r="213" spans="9:22" x14ac:dyDescent="0.45">
      <c r="I213" t="s">
        <v>181</v>
      </c>
      <c r="J213" t="s">
        <v>355</v>
      </c>
      <c r="K213">
        <v>0</v>
      </c>
      <c r="L213" t="s">
        <v>166</v>
      </c>
      <c r="N213" t="s">
        <v>246</v>
      </c>
      <c r="O213" t="s">
        <v>355</v>
      </c>
      <c r="P213">
        <v>1.2106046419763405E-3</v>
      </c>
      <c r="Q213" t="s">
        <v>166</v>
      </c>
      <c r="S213" t="s">
        <v>311</v>
      </c>
      <c r="T213" t="s">
        <v>355</v>
      </c>
      <c r="U213">
        <v>1.6318754030537916E-3</v>
      </c>
      <c r="V213" t="s">
        <v>166</v>
      </c>
    </row>
    <row r="214" spans="9:22" x14ac:dyDescent="0.45">
      <c r="I214" t="s">
        <v>181</v>
      </c>
      <c r="J214" t="s">
        <v>356</v>
      </c>
      <c r="K214">
        <v>0</v>
      </c>
      <c r="L214" t="s">
        <v>166</v>
      </c>
      <c r="N214" t="s">
        <v>246</v>
      </c>
      <c r="O214" t="s">
        <v>356</v>
      </c>
      <c r="P214">
        <v>3.4180991424314455E-3</v>
      </c>
      <c r="Q214" t="s">
        <v>166</v>
      </c>
      <c r="S214" t="s">
        <v>311</v>
      </c>
      <c r="T214" t="s">
        <v>356</v>
      </c>
      <c r="U214">
        <v>8.3617985358926759E-3</v>
      </c>
      <c r="V214" t="s">
        <v>166</v>
      </c>
    </row>
    <row r="215" spans="9:22" x14ac:dyDescent="0.45">
      <c r="I215" t="s">
        <v>181</v>
      </c>
      <c r="J215" t="s">
        <v>357</v>
      </c>
      <c r="K215">
        <v>1.833088532086611E-2</v>
      </c>
      <c r="L215" t="s">
        <v>166</v>
      </c>
      <c r="N215" t="s">
        <v>246</v>
      </c>
      <c r="O215" t="s">
        <v>357</v>
      </c>
      <c r="P215">
        <v>7.4996417991113715E-2</v>
      </c>
      <c r="Q215" t="s">
        <v>166</v>
      </c>
      <c r="S215" t="s">
        <v>311</v>
      </c>
      <c r="T215" t="s">
        <v>357</v>
      </c>
      <c r="U215">
        <v>5.4647622225901804E-2</v>
      </c>
      <c r="V215" t="s">
        <v>166</v>
      </c>
    </row>
    <row r="216" spans="9:22" x14ac:dyDescent="0.45">
      <c r="I216" t="s">
        <v>181</v>
      </c>
      <c r="J216" t="s">
        <v>358</v>
      </c>
      <c r="K216">
        <v>1.3019033935148246E-2</v>
      </c>
      <c r="L216" t="s">
        <v>166</v>
      </c>
      <c r="N216" t="s">
        <v>246</v>
      </c>
      <c r="O216" t="s">
        <v>358</v>
      </c>
      <c r="P216">
        <v>7.1378714440876612E-3</v>
      </c>
      <c r="Q216" t="s">
        <v>166</v>
      </c>
      <c r="S216" t="s">
        <v>311</v>
      </c>
      <c r="T216" t="s">
        <v>358</v>
      </c>
      <c r="U216">
        <v>5.9986204649221143E-3</v>
      </c>
      <c r="V216" t="s">
        <v>166</v>
      </c>
    </row>
    <row r="217" spans="9:22" x14ac:dyDescent="0.45">
      <c r="I217" t="s">
        <v>181</v>
      </c>
      <c r="J217" t="s">
        <v>359</v>
      </c>
      <c r="K217">
        <v>6.8257511236417837E-2</v>
      </c>
      <c r="L217" t="s">
        <v>166</v>
      </c>
      <c r="N217" t="s">
        <v>246</v>
      </c>
      <c r="O217" t="s">
        <v>359</v>
      </c>
      <c r="P217">
        <v>4.6887302509770898E-2</v>
      </c>
      <c r="Q217" t="s">
        <v>166</v>
      </c>
      <c r="S217" t="s">
        <v>311</v>
      </c>
      <c r="T217" t="s">
        <v>359</v>
      </c>
      <c r="U217">
        <v>3.8558897781614948E-2</v>
      </c>
      <c r="V217" t="s">
        <v>166</v>
      </c>
    </row>
    <row r="218" spans="9:22" x14ac:dyDescent="0.45">
      <c r="I218" t="s">
        <v>181</v>
      </c>
      <c r="J218" t="s">
        <v>360</v>
      </c>
      <c r="K218">
        <v>1.1913887667187556E-3</v>
      </c>
      <c r="L218" t="s">
        <v>166</v>
      </c>
      <c r="N218" t="s">
        <v>246</v>
      </c>
      <c r="O218" t="s">
        <v>360</v>
      </c>
      <c r="P218">
        <v>6.9806276839823314E-3</v>
      </c>
      <c r="Q218" t="s">
        <v>166</v>
      </c>
      <c r="S218" t="s">
        <v>311</v>
      </c>
      <c r="T218" t="s">
        <v>360</v>
      </c>
      <c r="U218">
        <v>5.7861130935591637E-3</v>
      </c>
      <c r="V218" t="s">
        <v>166</v>
      </c>
    </row>
    <row r="219" spans="9:22" x14ac:dyDescent="0.45">
      <c r="I219" t="s">
        <v>181</v>
      </c>
      <c r="J219" t="s">
        <v>361</v>
      </c>
      <c r="K219">
        <v>0</v>
      </c>
      <c r="L219" t="s">
        <v>166</v>
      </c>
      <c r="N219" t="s">
        <v>246</v>
      </c>
      <c r="O219" t="s">
        <v>361</v>
      </c>
      <c r="P219">
        <v>6.6692322557420775E-3</v>
      </c>
      <c r="Q219" t="s">
        <v>166</v>
      </c>
      <c r="S219" t="s">
        <v>311</v>
      </c>
      <c r="T219" t="s">
        <v>361</v>
      </c>
      <c r="U219">
        <v>5.5230976191405915E-3</v>
      </c>
      <c r="V219" t="s">
        <v>166</v>
      </c>
    </row>
    <row r="220" spans="9:22" x14ac:dyDescent="0.45">
      <c r="I220" t="s">
        <v>181</v>
      </c>
      <c r="J220" t="s">
        <v>362</v>
      </c>
      <c r="K220">
        <v>0</v>
      </c>
      <c r="L220" t="s">
        <v>166</v>
      </c>
      <c r="N220" t="s">
        <v>246</v>
      </c>
      <c r="O220" t="s">
        <v>362</v>
      </c>
      <c r="P220">
        <v>3.4839289894535726E-2</v>
      </c>
      <c r="Q220" t="s">
        <v>166</v>
      </c>
      <c r="S220" t="s">
        <v>311</v>
      </c>
      <c r="T220" t="s">
        <v>362</v>
      </c>
      <c r="U220">
        <v>2.7386235401222977E-2</v>
      </c>
      <c r="V220" t="s">
        <v>166</v>
      </c>
    </row>
    <row r="221" spans="9:22" x14ac:dyDescent="0.45">
      <c r="I221" t="s">
        <v>182</v>
      </c>
      <c r="J221" t="s">
        <v>165</v>
      </c>
      <c r="K221">
        <v>3.5401480650169501E-2</v>
      </c>
      <c r="L221" t="s">
        <v>166</v>
      </c>
      <c r="N221" t="s">
        <v>247</v>
      </c>
      <c r="O221" t="s">
        <v>165</v>
      </c>
      <c r="P221">
        <v>0.20978275092563109</v>
      </c>
      <c r="Q221" t="s">
        <v>166</v>
      </c>
      <c r="S221" t="s">
        <v>312</v>
      </c>
      <c r="T221" t="s">
        <v>165</v>
      </c>
      <c r="U221">
        <v>0.16500631268965041</v>
      </c>
      <c r="V221" t="s">
        <v>166</v>
      </c>
    </row>
    <row r="222" spans="9:22" x14ac:dyDescent="0.45">
      <c r="I222" t="s">
        <v>182</v>
      </c>
      <c r="J222" t="s">
        <v>167</v>
      </c>
      <c r="K222">
        <v>2.3449452600846979E-2</v>
      </c>
      <c r="L222" t="s">
        <v>166</v>
      </c>
      <c r="N222" t="s">
        <v>247</v>
      </c>
      <c r="O222" t="s">
        <v>167</v>
      </c>
      <c r="P222">
        <v>2.401351240736541E-2</v>
      </c>
      <c r="Q222" t="s">
        <v>166</v>
      </c>
      <c r="S222" t="s">
        <v>312</v>
      </c>
      <c r="T222" t="s">
        <v>167</v>
      </c>
      <c r="U222">
        <v>1.6196025017312016E-2</v>
      </c>
      <c r="V222" t="s">
        <v>166</v>
      </c>
    </row>
    <row r="223" spans="9:22" x14ac:dyDescent="0.45">
      <c r="I223" t="s">
        <v>182</v>
      </c>
      <c r="J223" t="s">
        <v>168</v>
      </c>
      <c r="K223">
        <v>0.13968178855871149</v>
      </c>
      <c r="L223" t="s">
        <v>166</v>
      </c>
      <c r="N223" t="s">
        <v>247</v>
      </c>
      <c r="O223" t="s">
        <v>168</v>
      </c>
      <c r="P223">
        <v>0.15366159680979566</v>
      </c>
      <c r="Q223" t="s">
        <v>166</v>
      </c>
      <c r="S223" t="s">
        <v>312</v>
      </c>
      <c r="T223" t="s">
        <v>168</v>
      </c>
      <c r="U223">
        <v>9.6073589062805151E-2</v>
      </c>
      <c r="V223" t="s">
        <v>166</v>
      </c>
    </row>
    <row r="224" spans="9:22" x14ac:dyDescent="0.45">
      <c r="I224" t="s">
        <v>182</v>
      </c>
      <c r="J224" t="s">
        <v>333</v>
      </c>
      <c r="K224">
        <v>1.6241207496598329E-2</v>
      </c>
      <c r="L224" t="s">
        <v>166</v>
      </c>
      <c r="N224" t="s">
        <v>247</v>
      </c>
      <c r="O224" t="s">
        <v>333</v>
      </c>
      <c r="P224">
        <v>1.9374521570829924E-2</v>
      </c>
      <c r="Q224" t="s">
        <v>166</v>
      </c>
      <c r="S224" t="s">
        <v>312</v>
      </c>
      <c r="T224" t="s">
        <v>333</v>
      </c>
      <c r="U224">
        <v>1.5493491974134042E-2</v>
      </c>
      <c r="V224" t="s">
        <v>166</v>
      </c>
    </row>
    <row r="225" spans="9:22" x14ac:dyDescent="0.45">
      <c r="I225" t="s">
        <v>182</v>
      </c>
      <c r="J225" t="s">
        <v>334</v>
      </c>
      <c r="K225">
        <v>6.8927638965852363E-3</v>
      </c>
      <c r="L225" t="s">
        <v>166</v>
      </c>
      <c r="N225" t="s">
        <v>247</v>
      </c>
      <c r="O225" t="s">
        <v>334</v>
      </c>
      <c r="P225">
        <v>1.7426084222387138E-2</v>
      </c>
      <c r="Q225" t="s">
        <v>166</v>
      </c>
      <c r="S225" t="s">
        <v>312</v>
      </c>
      <c r="T225" t="s">
        <v>334</v>
      </c>
      <c r="U225">
        <v>1.5686266603826129E-2</v>
      </c>
      <c r="V225" t="s">
        <v>166</v>
      </c>
    </row>
    <row r="226" spans="9:22" x14ac:dyDescent="0.45">
      <c r="I226" t="s">
        <v>182</v>
      </c>
      <c r="J226" t="s">
        <v>335</v>
      </c>
      <c r="K226">
        <v>0</v>
      </c>
      <c r="L226" t="s">
        <v>166</v>
      </c>
      <c r="N226" t="s">
        <v>247</v>
      </c>
      <c r="O226" t="s">
        <v>335</v>
      </c>
      <c r="P226">
        <v>8.5173363857180134E-2</v>
      </c>
      <c r="Q226" t="s">
        <v>166</v>
      </c>
      <c r="S226" t="s">
        <v>312</v>
      </c>
      <c r="T226" t="s">
        <v>335</v>
      </c>
      <c r="U226">
        <v>8.1675456631283463E-2</v>
      </c>
      <c r="V226" t="s">
        <v>166</v>
      </c>
    </row>
    <row r="227" spans="9:22" x14ac:dyDescent="0.45">
      <c r="I227" t="s">
        <v>182</v>
      </c>
      <c r="J227" t="s">
        <v>169</v>
      </c>
      <c r="K227">
        <v>4.2426809170315632E-2</v>
      </c>
      <c r="L227" t="s">
        <v>166</v>
      </c>
      <c r="N227" t="s">
        <v>247</v>
      </c>
      <c r="O227" t="s">
        <v>169</v>
      </c>
      <c r="P227">
        <v>5.4042286042300644E-2</v>
      </c>
      <c r="Q227" t="s">
        <v>166</v>
      </c>
      <c r="S227" t="s">
        <v>312</v>
      </c>
      <c r="T227" t="s">
        <v>169</v>
      </c>
      <c r="U227">
        <v>6.8488138363830928E-2</v>
      </c>
      <c r="V227" t="s">
        <v>166</v>
      </c>
    </row>
    <row r="228" spans="9:22" x14ac:dyDescent="0.45">
      <c r="I228" t="s">
        <v>182</v>
      </c>
      <c r="J228" t="s">
        <v>170</v>
      </c>
      <c r="K228">
        <v>1.8383763113641257E-2</v>
      </c>
      <c r="L228" t="s">
        <v>166</v>
      </c>
      <c r="N228" t="s">
        <v>247</v>
      </c>
      <c r="O228" t="s">
        <v>170</v>
      </c>
      <c r="P228">
        <v>6.436728219306213E-3</v>
      </c>
      <c r="Q228" t="s">
        <v>166</v>
      </c>
      <c r="S228" t="s">
        <v>312</v>
      </c>
      <c r="T228" t="s">
        <v>170</v>
      </c>
      <c r="U228">
        <v>6.5295060095840575E-3</v>
      </c>
      <c r="V228" t="s">
        <v>166</v>
      </c>
    </row>
    <row r="229" spans="9:22" x14ac:dyDescent="0.45">
      <c r="I229" t="s">
        <v>182</v>
      </c>
      <c r="J229" t="s">
        <v>171</v>
      </c>
      <c r="K229">
        <v>0.11165077001675638</v>
      </c>
      <c r="L229" t="s">
        <v>166</v>
      </c>
      <c r="N229" t="s">
        <v>247</v>
      </c>
      <c r="O229" t="s">
        <v>171</v>
      </c>
      <c r="P229">
        <v>4.8717090749331629E-2</v>
      </c>
      <c r="Q229" t="s">
        <v>166</v>
      </c>
      <c r="S229" t="s">
        <v>312</v>
      </c>
      <c r="T229" t="s">
        <v>171</v>
      </c>
      <c r="U229">
        <v>4.3098184506700769E-2</v>
      </c>
      <c r="V229" t="s">
        <v>166</v>
      </c>
    </row>
    <row r="230" spans="9:22" x14ac:dyDescent="0.45">
      <c r="I230" t="s">
        <v>182</v>
      </c>
      <c r="J230" t="s">
        <v>336</v>
      </c>
      <c r="K230">
        <v>1.3360130175036383E-2</v>
      </c>
      <c r="L230" t="s">
        <v>166</v>
      </c>
      <c r="N230" t="s">
        <v>247</v>
      </c>
      <c r="O230" t="s">
        <v>336</v>
      </c>
      <c r="P230">
        <v>7.9745331462624195E-3</v>
      </c>
      <c r="Q230" t="s">
        <v>166</v>
      </c>
      <c r="S230" t="s">
        <v>312</v>
      </c>
      <c r="T230" t="s">
        <v>336</v>
      </c>
      <c r="U230">
        <v>7.1608540411539998E-3</v>
      </c>
      <c r="V230" t="s">
        <v>166</v>
      </c>
    </row>
    <row r="231" spans="9:22" x14ac:dyDescent="0.45">
      <c r="I231" t="s">
        <v>182</v>
      </c>
      <c r="J231" t="s">
        <v>337</v>
      </c>
      <c r="K231">
        <v>9.2258422740984017E-3</v>
      </c>
      <c r="L231" t="s">
        <v>166</v>
      </c>
      <c r="N231" t="s">
        <v>247</v>
      </c>
      <c r="O231" t="s">
        <v>337</v>
      </c>
      <c r="P231">
        <v>7.0181689168308387E-3</v>
      </c>
      <c r="Q231" t="s">
        <v>166</v>
      </c>
      <c r="S231" t="s">
        <v>312</v>
      </c>
      <c r="T231" t="s">
        <v>337</v>
      </c>
      <c r="U231">
        <v>6.7614824930053831E-3</v>
      </c>
      <c r="V231" t="s">
        <v>166</v>
      </c>
    </row>
    <row r="232" spans="9:22" x14ac:dyDescent="0.45">
      <c r="I232" t="s">
        <v>182</v>
      </c>
      <c r="J232" t="s">
        <v>338</v>
      </c>
      <c r="K232">
        <v>3.2898452608420155E-3</v>
      </c>
      <c r="L232" t="s">
        <v>166</v>
      </c>
      <c r="N232" t="s">
        <v>247</v>
      </c>
      <c r="O232" t="s">
        <v>338</v>
      </c>
      <c r="P232">
        <v>2.793010165659747E-2</v>
      </c>
      <c r="Q232" t="s">
        <v>166</v>
      </c>
      <c r="S232" t="s">
        <v>312</v>
      </c>
      <c r="T232" t="s">
        <v>338</v>
      </c>
      <c r="U232">
        <v>3.4322289141075761E-2</v>
      </c>
      <c r="V232" t="s">
        <v>166</v>
      </c>
    </row>
    <row r="233" spans="9:22" x14ac:dyDescent="0.45">
      <c r="I233" t="s">
        <v>182</v>
      </c>
      <c r="J233" t="s">
        <v>172</v>
      </c>
      <c r="K233">
        <v>2.4657982938772253E-2</v>
      </c>
      <c r="L233" t="s">
        <v>166</v>
      </c>
      <c r="N233" t="s">
        <v>247</v>
      </c>
      <c r="O233" t="s">
        <v>172</v>
      </c>
      <c r="P233">
        <v>1.4959783875759674E-2</v>
      </c>
      <c r="Q233" t="s">
        <v>166</v>
      </c>
      <c r="S233" t="s">
        <v>312</v>
      </c>
      <c r="T233" t="s">
        <v>172</v>
      </c>
      <c r="U233">
        <v>3.2939116474696162E-2</v>
      </c>
      <c r="V233" t="s">
        <v>166</v>
      </c>
    </row>
    <row r="234" spans="9:22" x14ac:dyDescent="0.45">
      <c r="I234" t="s">
        <v>182</v>
      </c>
      <c r="J234" t="s">
        <v>173</v>
      </c>
      <c r="K234">
        <v>9.3562328166956095E-3</v>
      </c>
      <c r="L234" t="s">
        <v>166</v>
      </c>
      <c r="N234" t="s">
        <v>247</v>
      </c>
      <c r="O234" t="s">
        <v>173</v>
      </c>
      <c r="P234">
        <v>9.8267472500056328E-4</v>
      </c>
      <c r="Q234" t="s">
        <v>166</v>
      </c>
      <c r="S234" t="s">
        <v>312</v>
      </c>
      <c r="T234" t="s">
        <v>173</v>
      </c>
      <c r="U234">
        <v>3.3159864826168193E-3</v>
      </c>
      <c r="V234" t="s">
        <v>166</v>
      </c>
    </row>
    <row r="235" spans="9:22" x14ac:dyDescent="0.45">
      <c r="I235" t="s">
        <v>182</v>
      </c>
      <c r="J235" t="s">
        <v>174</v>
      </c>
      <c r="K235">
        <v>5.5289216826216583E-2</v>
      </c>
      <c r="L235" t="s">
        <v>166</v>
      </c>
      <c r="N235" t="s">
        <v>247</v>
      </c>
      <c r="O235" t="s">
        <v>174</v>
      </c>
      <c r="P235">
        <v>1.2603761937792609E-2</v>
      </c>
      <c r="Q235" t="s">
        <v>166</v>
      </c>
      <c r="S235" t="s">
        <v>312</v>
      </c>
      <c r="T235" t="s">
        <v>174</v>
      </c>
      <c r="U235">
        <v>2.763034670889623E-2</v>
      </c>
      <c r="V235" t="s">
        <v>166</v>
      </c>
    </row>
    <row r="236" spans="9:22" x14ac:dyDescent="0.45">
      <c r="I236" t="s">
        <v>182</v>
      </c>
      <c r="J236" t="s">
        <v>339</v>
      </c>
      <c r="K236">
        <v>6.4632137463369911E-3</v>
      </c>
      <c r="L236" t="s">
        <v>166</v>
      </c>
      <c r="N236" t="s">
        <v>247</v>
      </c>
      <c r="O236" t="s">
        <v>339</v>
      </c>
      <c r="P236">
        <v>3.7326864665960303E-3</v>
      </c>
      <c r="Q236" t="s">
        <v>166</v>
      </c>
      <c r="S236" t="s">
        <v>312</v>
      </c>
      <c r="T236" t="s">
        <v>339</v>
      </c>
      <c r="U236">
        <v>4.6674687589146778E-3</v>
      </c>
      <c r="V236" t="s">
        <v>166</v>
      </c>
    </row>
    <row r="237" spans="9:22" x14ac:dyDescent="0.45">
      <c r="I237" t="s">
        <v>182</v>
      </c>
      <c r="J237" t="s">
        <v>340</v>
      </c>
      <c r="K237">
        <v>4.6136778905633497E-3</v>
      </c>
      <c r="L237" t="s">
        <v>166</v>
      </c>
      <c r="N237" t="s">
        <v>247</v>
      </c>
      <c r="O237" t="s">
        <v>340</v>
      </c>
      <c r="P237">
        <v>3.6929813168638461E-3</v>
      </c>
      <c r="Q237" t="s">
        <v>166</v>
      </c>
      <c r="S237" t="s">
        <v>312</v>
      </c>
      <c r="T237" t="s">
        <v>340</v>
      </c>
      <c r="U237">
        <v>4.4905498712223121E-3</v>
      </c>
      <c r="V237" t="s">
        <v>166</v>
      </c>
    </row>
    <row r="238" spans="9:22" x14ac:dyDescent="0.45">
      <c r="I238" t="s">
        <v>182</v>
      </c>
      <c r="J238" t="s">
        <v>341</v>
      </c>
      <c r="K238">
        <v>2.5262795862352853E-3</v>
      </c>
      <c r="L238" t="s">
        <v>166</v>
      </c>
      <c r="N238" t="s">
        <v>247</v>
      </c>
      <c r="O238" t="s">
        <v>341</v>
      </c>
      <c r="P238">
        <v>1.2011144626611287E-2</v>
      </c>
      <c r="Q238" t="s">
        <v>166</v>
      </c>
      <c r="S238" t="s">
        <v>312</v>
      </c>
      <c r="T238" t="s">
        <v>341</v>
      </c>
      <c r="U238">
        <v>1.9997183670561441E-2</v>
      </c>
      <c r="V238" t="s">
        <v>166</v>
      </c>
    </row>
    <row r="239" spans="9:22" x14ac:dyDescent="0.45">
      <c r="I239" t="s">
        <v>182</v>
      </c>
      <c r="J239" t="s">
        <v>175</v>
      </c>
      <c r="K239">
        <v>2.2134351031474521E-2</v>
      </c>
      <c r="L239" t="s">
        <v>166</v>
      </c>
      <c r="N239" t="s">
        <v>247</v>
      </c>
      <c r="O239" t="s">
        <v>175</v>
      </c>
      <c r="P239">
        <v>6.2972443082423045E-3</v>
      </c>
      <c r="Q239" t="s">
        <v>166</v>
      </c>
      <c r="S239" t="s">
        <v>312</v>
      </c>
      <c r="T239" t="s">
        <v>175</v>
      </c>
      <c r="U239">
        <v>1.2079296741533303E-2</v>
      </c>
      <c r="V239" t="s">
        <v>166</v>
      </c>
    </row>
    <row r="240" spans="9:22" x14ac:dyDescent="0.45">
      <c r="I240" t="s">
        <v>182</v>
      </c>
      <c r="J240" t="s">
        <v>176</v>
      </c>
      <c r="K240">
        <v>9.1317013438853758E-3</v>
      </c>
      <c r="L240" t="s">
        <v>166</v>
      </c>
      <c r="N240" t="s">
        <v>247</v>
      </c>
      <c r="O240" t="s">
        <v>176</v>
      </c>
      <c r="P240">
        <v>3.7081887726135994E-4</v>
      </c>
      <c r="Q240" t="s">
        <v>166</v>
      </c>
      <c r="S240" t="s">
        <v>312</v>
      </c>
      <c r="T240" t="s">
        <v>176</v>
      </c>
      <c r="U240">
        <v>1.1946338892753459E-3</v>
      </c>
      <c r="V240" t="s">
        <v>166</v>
      </c>
    </row>
    <row r="241" spans="9:22" x14ac:dyDescent="0.45">
      <c r="I241" t="s">
        <v>182</v>
      </c>
      <c r="J241" t="s">
        <v>177</v>
      </c>
      <c r="K241">
        <v>5.3752598211218618E-2</v>
      </c>
      <c r="L241" t="s">
        <v>166</v>
      </c>
      <c r="N241" t="s">
        <v>247</v>
      </c>
      <c r="O241" t="s">
        <v>177</v>
      </c>
      <c r="P241">
        <v>8.8774293794117165E-3</v>
      </c>
      <c r="Q241" t="s">
        <v>166</v>
      </c>
      <c r="S241" t="s">
        <v>312</v>
      </c>
      <c r="T241" t="s">
        <v>177</v>
      </c>
      <c r="U241">
        <v>1.548988930431841E-2</v>
      </c>
      <c r="V241" t="s">
        <v>166</v>
      </c>
    </row>
    <row r="242" spans="9:22" x14ac:dyDescent="0.45">
      <c r="I242" t="s">
        <v>182</v>
      </c>
      <c r="J242" t="s">
        <v>342</v>
      </c>
      <c r="K242">
        <v>5.8265886881941863E-3</v>
      </c>
      <c r="L242" t="s">
        <v>166</v>
      </c>
      <c r="N242" t="s">
        <v>247</v>
      </c>
      <c r="O242" t="s">
        <v>342</v>
      </c>
      <c r="P242">
        <v>2.6599050941127252E-3</v>
      </c>
      <c r="Q242" t="s">
        <v>166</v>
      </c>
      <c r="S242" t="s">
        <v>312</v>
      </c>
      <c r="T242" t="s">
        <v>342</v>
      </c>
      <c r="U242">
        <v>3.0965128786281304E-3</v>
      </c>
      <c r="V242" t="s">
        <v>166</v>
      </c>
    </row>
    <row r="243" spans="9:22" x14ac:dyDescent="0.45">
      <c r="I243" t="s">
        <v>182</v>
      </c>
      <c r="J243" t="s">
        <v>343</v>
      </c>
      <c r="K243">
        <v>3.7455239850587019E-3</v>
      </c>
      <c r="L243" t="s">
        <v>166</v>
      </c>
      <c r="N243" t="s">
        <v>247</v>
      </c>
      <c r="O243" t="s">
        <v>343</v>
      </c>
      <c r="P243">
        <v>2.5656442692241132E-3</v>
      </c>
      <c r="Q243" t="s">
        <v>166</v>
      </c>
      <c r="S243" t="s">
        <v>312</v>
      </c>
      <c r="T243" t="s">
        <v>343</v>
      </c>
      <c r="U243">
        <v>2.9953933178911872E-3</v>
      </c>
      <c r="V243" t="s">
        <v>166</v>
      </c>
    </row>
    <row r="244" spans="9:22" x14ac:dyDescent="0.45">
      <c r="I244" t="s">
        <v>182</v>
      </c>
      <c r="J244" t="s">
        <v>344</v>
      </c>
      <c r="K244">
        <v>1.8391470192594959E-3</v>
      </c>
      <c r="L244" t="s">
        <v>166</v>
      </c>
      <c r="N244" t="s">
        <v>247</v>
      </c>
      <c r="O244" t="s">
        <v>344</v>
      </c>
      <c r="P244">
        <v>8.0901294483559354E-3</v>
      </c>
      <c r="Q244" t="s">
        <v>166</v>
      </c>
      <c r="S244" t="s">
        <v>312</v>
      </c>
      <c r="T244" t="s">
        <v>344</v>
      </c>
      <c r="U244">
        <v>1.1758783813122469E-2</v>
      </c>
      <c r="V244" t="s">
        <v>166</v>
      </c>
    </row>
    <row r="245" spans="9:22" x14ac:dyDescent="0.45">
      <c r="I245" t="s">
        <v>182</v>
      </c>
      <c r="J245" t="s">
        <v>345</v>
      </c>
      <c r="K245">
        <v>3.8365748499524892E-2</v>
      </c>
      <c r="L245" t="s">
        <v>166</v>
      </c>
      <c r="N245" t="s">
        <v>247</v>
      </c>
      <c r="O245" t="s">
        <v>345</v>
      </c>
      <c r="P245">
        <v>1.2474167109753864E-2</v>
      </c>
      <c r="Q245" t="s">
        <v>166</v>
      </c>
      <c r="S245" t="s">
        <v>312</v>
      </c>
      <c r="T245" t="s">
        <v>345</v>
      </c>
      <c r="U245">
        <v>2.8498427130995964E-2</v>
      </c>
      <c r="V245" t="s">
        <v>166</v>
      </c>
    </row>
    <row r="246" spans="9:22" x14ac:dyDescent="0.45">
      <c r="I246" t="s">
        <v>182</v>
      </c>
      <c r="J246" t="s">
        <v>346</v>
      </c>
      <c r="K246">
        <v>1.7935805532487869E-2</v>
      </c>
      <c r="L246" t="s">
        <v>166</v>
      </c>
      <c r="N246" t="s">
        <v>247</v>
      </c>
      <c r="O246" t="s">
        <v>346</v>
      </c>
      <c r="P246">
        <v>1.3295960978389225E-3</v>
      </c>
      <c r="Q246" t="s">
        <v>166</v>
      </c>
      <c r="S246" t="s">
        <v>312</v>
      </c>
      <c r="T246" t="s">
        <v>346</v>
      </c>
      <c r="U246">
        <v>2.704462255624701E-3</v>
      </c>
      <c r="V246" t="s">
        <v>166</v>
      </c>
    </row>
    <row r="247" spans="9:22" x14ac:dyDescent="0.45">
      <c r="I247" t="s">
        <v>182</v>
      </c>
      <c r="J247" t="s">
        <v>347</v>
      </c>
      <c r="K247">
        <v>0.10282816117424844</v>
      </c>
      <c r="L247" t="s">
        <v>166</v>
      </c>
      <c r="N247" t="s">
        <v>247</v>
      </c>
      <c r="O247" t="s">
        <v>347</v>
      </c>
      <c r="P247">
        <v>2.1109635837472985E-2</v>
      </c>
      <c r="Q247" t="s">
        <v>166</v>
      </c>
      <c r="S247" t="s">
        <v>312</v>
      </c>
      <c r="T247" t="s">
        <v>347</v>
      </c>
      <c r="U247">
        <v>3.2243129816357491E-2</v>
      </c>
      <c r="V247" t="s">
        <v>166</v>
      </c>
    </row>
    <row r="248" spans="9:22" x14ac:dyDescent="0.45">
      <c r="I248" t="s">
        <v>182</v>
      </c>
      <c r="J248" t="s">
        <v>348</v>
      </c>
      <c r="K248">
        <v>1.1220530929057166E-2</v>
      </c>
      <c r="L248" t="s">
        <v>166</v>
      </c>
      <c r="N248" t="s">
        <v>247</v>
      </c>
      <c r="O248" t="s">
        <v>348</v>
      </c>
      <c r="P248">
        <v>5.5242601617483235E-3</v>
      </c>
      <c r="Q248" t="s">
        <v>166</v>
      </c>
      <c r="S248" t="s">
        <v>312</v>
      </c>
      <c r="T248" t="s">
        <v>348</v>
      </c>
      <c r="U248">
        <v>6.715051351651311E-3</v>
      </c>
      <c r="V248" t="s">
        <v>166</v>
      </c>
    </row>
    <row r="249" spans="9:22" x14ac:dyDescent="0.45">
      <c r="I249" t="s">
        <v>182</v>
      </c>
      <c r="J249" t="s">
        <v>349</v>
      </c>
      <c r="K249">
        <v>6.9849384549454342E-3</v>
      </c>
      <c r="L249" t="s">
        <v>166</v>
      </c>
      <c r="N249" t="s">
        <v>247</v>
      </c>
      <c r="O249" t="s">
        <v>349</v>
      </c>
      <c r="P249">
        <v>5.3378113403965421E-3</v>
      </c>
      <c r="Q249" t="s">
        <v>166</v>
      </c>
      <c r="S249" t="s">
        <v>312</v>
      </c>
      <c r="T249" t="s">
        <v>349</v>
      </c>
      <c r="U249">
        <v>6.3577069884846659E-3</v>
      </c>
      <c r="V249" t="s">
        <v>166</v>
      </c>
    </row>
    <row r="250" spans="9:22" x14ac:dyDescent="0.45">
      <c r="I250" t="s">
        <v>182</v>
      </c>
      <c r="J250" t="s">
        <v>350</v>
      </c>
      <c r="K250">
        <v>1.9020074376633527E-3</v>
      </c>
      <c r="L250" t="s">
        <v>166</v>
      </c>
      <c r="N250" t="s">
        <v>247</v>
      </c>
      <c r="O250" t="s">
        <v>350</v>
      </c>
      <c r="P250">
        <v>1.4963737331554393E-2</v>
      </c>
      <c r="Q250" t="s">
        <v>166</v>
      </c>
      <c r="S250" t="s">
        <v>312</v>
      </c>
      <c r="T250" t="s">
        <v>350</v>
      </c>
      <c r="U250">
        <v>2.5144829682316041E-2</v>
      </c>
      <c r="V250" t="s">
        <v>166</v>
      </c>
    </row>
    <row r="251" spans="9:22" x14ac:dyDescent="0.45">
      <c r="I251" t="s">
        <v>182</v>
      </c>
      <c r="J251" t="s">
        <v>351</v>
      </c>
      <c r="K251">
        <v>1.8832445840544762E-2</v>
      </c>
      <c r="L251" t="s">
        <v>166</v>
      </c>
      <c r="N251" t="s">
        <v>247</v>
      </c>
      <c r="O251" t="s">
        <v>351</v>
      </c>
      <c r="P251">
        <v>1.6685001530034851E-2</v>
      </c>
      <c r="Q251" t="s">
        <v>166</v>
      </c>
      <c r="S251" t="s">
        <v>312</v>
      </c>
      <c r="T251" t="s">
        <v>351</v>
      </c>
      <c r="U251">
        <v>1.1044457424841831E-2</v>
      </c>
      <c r="V251" t="s">
        <v>166</v>
      </c>
    </row>
    <row r="252" spans="9:22" x14ac:dyDescent="0.45">
      <c r="I252" t="s">
        <v>182</v>
      </c>
      <c r="J252" t="s">
        <v>352</v>
      </c>
      <c r="K252">
        <v>9.0426806374334055E-3</v>
      </c>
      <c r="L252" t="s">
        <v>166</v>
      </c>
      <c r="N252" t="s">
        <v>247</v>
      </c>
      <c r="O252" t="s">
        <v>352</v>
      </c>
      <c r="P252">
        <v>1.1093701152069774E-3</v>
      </c>
      <c r="Q252" t="s">
        <v>166</v>
      </c>
      <c r="S252" t="s">
        <v>312</v>
      </c>
      <c r="T252" t="s">
        <v>352</v>
      </c>
      <c r="U252">
        <v>9.1604256917216247E-4</v>
      </c>
      <c r="V252" t="s">
        <v>166</v>
      </c>
    </row>
    <row r="253" spans="9:22" x14ac:dyDescent="0.45">
      <c r="I253" t="s">
        <v>182</v>
      </c>
      <c r="J253" t="s">
        <v>353</v>
      </c>
      <c r="K253">
        <v>4.9826491711369852E-2</v>
      </c>
      <c r="L253" t="s">
        <v>166</v>
      </c>
      <c r="N253" t="s">
        <v>247</v>
      </c>
      <c r="O253" t="s">
        <v>353</v>
      </c>
      <c r="P253">
        <v>8.1936911714773058E-3</v>
      </c>
      <c r="Q253" t="s">
        <v>166</v>
      </c>
      <c r="S253" t="s">
        <v>312</v>
      </c>
      <c r="T253" t="s">
        <v>353</v>
      </c>
      <c r="U253">
        <v>9.579727739912787E-3</v>
      </c>
      <c r="V253" t="s">
        <v>166</v>
      </c>
    </row>
    <row r="254" spans="9:22" x14ac:dyDescent="0.45">
      <c r="I254" t="s">
        <v>182</v>
      </c>
      <c r="J254" t="s">
        <v>354</v>
      </c>
      <c r="K254">
        <v>4.7793937667211621E-3</v>
      </c>
      <c r="L254" t="s">
        <v>166</v>
      </c>
      <c r="N254" t="s">
        <v>247</v>
      </c>
      <c r="O254" t="s">
        <v>354</v>
      </c>
      <c r="P254">
        <v>2.0479434577296224E-3</v>
      </c>
      <c r="Q254" t="s">
        <v>166</v>
      </c>
      <c r="S254" t="s">
        <v>312</v>
      </c>
      <c r="T254" t="s">
        <v>354</v>
      </c>
      <c r="U254">
        <v>1.8935678431478845E-3</v>
      </c>
      <c r="V254" t="s">
        <v>166</v>
      </c>
    </row>
    <row r="255" spans="9:22" x14ac:dyDescent="0.45">
      <c r="I255" t="s">
        <v>182</v>
      </c>
      <c r="J255" t="s">
        <v>355</v>
      </c>
      <c r="K255">
        <v>7.8636242591126056E-4</v>
      </c>
      <c r="L255" t="s">
        <v>166</v>
      </c>
      <c r="N255" t="s">
        <v>247</v>
      </c>
      <c r="O255" t="s">
        <v>355</v>
      </c>
      <c r="P255">
        <v>2.0840364401514002E-3</v>
      </c>
      <c r="Q255" t="s">
        <v>166</v>
      </c>
      <c r="S255" t="s">
        <v>312</v>
      </c>
      <c r="T255" t="s">
        <v>355</v>
      </c>
      <c r="U255">
        <v>1.7366602762371782E-3</v>
      </c>
      <c r="V255" t="s">
        <v>166</v>
      </c>
    </row>
    <row r="256" spans="9:22" x14ac:dyDescent="0.45">
      <c r="I256" t="s">
        <v>182</v>
      </c>
      <c r="J256" t="s">
        <v>356</v>
      </c>
      <c r="K256">
        <v>0</v>
      </c>
      <c r="L256" t="s">
        <v>166</v>
      </c>
      <c r="N256" t="s">
        <v>247</v>
      </c>
      <c r="O256" t="s">
        <v>356</v>
      </c>
      <c r="P256">
        <v>8.6871841330851043E-3</v>
      </c>
      <c r="Q256" t="s">
        <v>166</v>
      </c>
      <c r="S256" t="s">
        <v>312</v>
      </c>
      <c r="T256" t="s">
        <v>356</v>
      </c>
      <c r="U256">
        <v>8.6119510019994367E-3</v>
      </c>
      <c r="V256" t="s">
        <v>166</v>
      </c>
    </row>
    <row r="257" spans="9:22" x14ac:dyDescent="0.45">
      <c r="I257" t="s">
        <v>182</v>
      </c>
      <c r="J257" t="s">
        <v>357</v>
      </c>
      <c r="K257">
        <v>1.8039340151193361E-2</v>
      </c>
      <c r="L257" t="s">
        <v>166</v>
      </c>
      <c r="N257" t="s">
        <v>247</v>
      </c>
      <c r="O257" t="s">
        <v>357</v>
      </c>
      <c r="P257">
        <v>7.0253687748326521E-2</v>
      </c>
      <c r="Q257" t="s">
        <v>166</v>
      </c>
      <c r="S257" t="s">
        <v>312</v>
      </c>
      <c r="T257" t="s">
        <v>357</v>
      </c>
      <c r="U257">
        <v>6.6882918812992548E-2</v>
      </c>
      <c r="V257" t="s">
        <v>166</v>
      </c>
    </row>
    <row r="258" spans="9:22" x14ac:dyDescent="0.45">
      <c r="I258" t="s">
        <v>182</v>
      </c>
      <c r="J258" t="s">
        <v>358</v>
      </c>
      <c r="K258">
        <v>1.3209604460094145E-2</v>
      </c>
      <c r="L258" t="s">
        <v>166</v>
      </c>
      <c r="N258" t="s">
        <v>247</v>
      </c>
      <c r="O258" t="s">
        <v>358</v>
      </c>
      <c r="P258">
        <v>6.3856990577742592E-3</v>
      </c>
      <c r="Q258" t="s">
        <v>166</v>
      </c>
      <c r="S258" t="s">
        <v>312</v>
      </c>
      <c r="T258" t="s">
        <v>358</v>
      </c>
      <c r="U258">
        <v>6.1166346134277705E-3</v>
      </c>
      <c r="V258" t="s">
        <v>166</v>
      </c>
    </row>
    <row r="259" spans="9:22" x14ac:dyDescent="0.45">
      <c r="I259" t="s">
        <v>182</v>
      </c>
      <c r="J259" t="s">
        <v>359</v>
      </c>
      <c r="K259">
        <v>8.0051194089141076E-2</v>
      </c>
      <c r="L259" t="s">
        <v>166</v>
      </c>
      <c r="N259" t="s">
        <v>247</v>
      </c>
      <c r="O259" t="s">
        <v>359</v>
      </c>
      <c r="P259">
        <v>4.1779003901080261E-2</v>
      </c>
      <c r="Q259" t="s">
        <v>166</v>
      </c>
      <c r="S259" t="s">
        <v>312</v>
      </c>
      <c r="T259" t="s">
        <v>359</v>
      </c>
      <c r="U259">
        <v>3.8656230528635538E-2</v>
      </c>
      <c r="V259" t="s">
        <v>166</v>
      </c>
    </row>
    <row r="260" spans="9:22" x14ac:dyDescent="0.45">
      <c r="I260" t="s">
        <v>182</v>
      </c>
      <c r="J260" t="s">
        <v>360</v>
      </c>
      <c r="K260">
        <v>6.8549275921523309E-3</v>
      </c>
      <c r="L260" t="s">
        <v>166</v>
      </c>
      <c r="N260" t="s">
        <v>247</v>
      </c>
      <c r="O260" t="s">
        <v>360</v>
      </c>
      <c r="P260">
        <v>6.3720540999470032E-3</v>
      </c>
      <c r="Q260" t="s">
        <v>166</v>
      </c>
      <c r="S260" t="s">
        <v>312</v>
      </c>
      <c r="T260" t="s">
        <v>360</v>
      </c>
      <c r="U260">
        <v>8.0968570601838742E-3</v>
      </c>
      <c r="V260" t="s">
        <v>166</v>
      </c>
    </row>
    <row r="261" spans="9:22" x14ac:dyDescent="0.45">
      <c r="I261" t="s">
        <v>182</v>
      </c>
      <c r="J261" t="s">
        <v>361</v>
      </c>
      <c r="K261">
        <v>0</v>
      </c>
      <c r="L261" t="s">
        <v>166</v>
      </c>
      <c r="N261" t="s">
        <v>247</v>
      </c>
      <c r="O261" t="s">
        <v>361</v>
      </c>
      <c r="P261">
        <v>6.1833167300605046E-3</v>
      </c>
      <c r="Q261" t="s">
        <v>166</v>
      </c>
      <c r="S261" t="s">
        <v>312</v>
      </c>
      <c r="T261" t="s">
        <v>361</v>
      </c>
      <c r="U261">
        <v>8.418325313155773E-3</v>
      </c>
      <c r="V261" t="s">
        <v>166</v>
      </c>
    </row>
    <row r="262" spans="9:22" x14ac:dyDescent="0.45">
      <c r="I262" t="s">
        <v>182</v>
      </c>
      <c r="J262" t="s">
        <v>362</v>
      </c>
      <c r="K262">
        <v>0</v>
      </c>
      <c r="L262" t="s">
        <v>166</v>
      </c>
      <c r="N262" t="s">
        <v>247</v>
      </c>
      <c r="O262" t="s">
        <v>362</v>
      </c>
      <c r="P262">
        <v>3.1084860887312344E-2</v>
      </c>
      <c r="Q262" t="s">
        <v>166</v>
      </c>
      <c r="S262" t="s">
        <v>312</v>
      </c>
      <c r="T262" t="s">
        <v>362</v>
      </c>
      <c r="U262">
        <v>4.023626114482079E-2</v>
      </c>
      <c r="V262" t="s">
        <v>166</v>
      </c>
    </row>
    <row r="263" spans="9:22" x14ac:dyDescent="0.45">
      <c r="I263" t="s">
        <v>183</v>
      </c>
      <c r="J263" t="s">
        <v>165</v>
      </c>
      <c r="K263">
        <v>3.3519414170472807E-2</v>
      </c>
      <c r="L263" t="s">
        <v>166</v>
      </c>
      <c r="N263" t="s">
        <v>248</v>
      </c>
      <c r="O263" t="s">
        <v>165</v>
      </c>
      <c r="P263">
        <v>0.16414145855098677</v>
      </c>
      <c r="Q263" t="s">
        <v>166</v>
      </c>
      <c r="S263" t="s">
        <v>313</v>
      </c>
      <c r="T263" t="s">
        <v>165</v>
      </c>
      <c r="U263">
        <v>0.13904470172269451</v>
      </c>
      <c r="V263" t="s">
        <v>166</v>
      </c>
    </row>
    <row r="264" spans="9:22" x14ac:dyDescent="0.45">
      <c r="I264" t="s">
        <v>183</v>
      </c>
      <c r="J264" t="s">
        <v>167</v>
      </c>
      <c r="K264">
        <v>2.2171659155650041E-2</v>
      </c>
      <c r="L264" t="s">
        <v>166</v>
      </c>
      <c r="N264" t="s">
        <v>248</v>
      </c>
      <c r="O264" t="s">
        <v>167</v>
      </c>
      <c r="P264">
        <v>1.758270700648696E-2</v>
      </c>
      <c r="Q264" t="s">
        <v>166</v>
      </c>
      <c r="S264" t="s">
        <v>313</v>
      </c>
      <c r="T264" t="s">
        <v>167</v>
      </c>
      <c r="U264">
        <v>1.362900671904712E-2</v>
      </c>
      <c r="V264" t="s">
        <v>166</v>
      </c>
    </row>
    <row r="265" spans="9:22" x14ac:dyDescent="0.45">
      <c r="I265" t="s">
        <v>183</v>
      </c>
      <c r="J265" t="s">
        <v>168</v>
      </c>
      <c r="K265">
        <v>0.13402960416549098</v>
      </c>
      <c r="L265" t="s">
        <v>166</v>
      </c>
      <c r="N265" t="s">
        <v>248</v>
      </c>
      <c r="O265" t="s">
        <v>168</v>
      </c>
      <c r="P265">
        <v>0.10713256657968558</v>
      </c>
      <c r="Q265" t="s">
        <v>166</v>
      </c>
      <c r="S265" t="s">
        <v>313</v>
      </c>
      <c r="T265" t="s">
        <v>168</v>
      </c>
      <c r="U265">
        <v>8.121546452558924E-2</v>
      </c>
      <c r="V265" t="s">
        <v>166</v>
      </c>
    </row>
    <row r="266" spans="9:22" x14ac:dyDescent="0.45">
      <c r="I266" t="s">
        <v>183</v>
      </c>
      <c r="J266" t="s">
        <v>333</v>
      </c>
      <c r="K266">
        <v>1.457686244983996E-2</v>
      </c>
      <c r="L266" t="s">
        <v>166</v>
      </c>
      <c r="N266" t="s">
        <v>248</v>
      </c>
      <c r="O266" t="s">
        <v>333</v>
      </c>
      <c r="P266">
        <v>1.5559705091750349E-2</v>
      </c>
      <c r="Q266" t="s">
        <v>166</v>
      </c>
      <c r="S266" t="s">
        <v>313</v>
      </c>
      <c r="T266" t="s">
        <v>333</v>
      </c>
      <c r="U266">
        <v>1.3811764104604725E-2</v>
      </c>
      <c r="V266" t="s">
        <v>166</v>
      </c>
    </row>
    <row r="267" spans="9:22" x14ac:dyDescent="0.45">
      <c r="I267" t="s">
        <v>183</v>
      </c>
      <c r="J267" t="s">
        <v>334</v>
      </c>
      <c r="K267">
        <v>5.4351709358046157E-3</v>
      </c>
      <c r="L267" t="s">
        <v>166</v>
      </c>
      <c r="N267" t="s">
        <v>248</v>
      </c>
      <c r="O267" t="s">
        <v>334</v>
      </c>
      <c r="P267">
        <v>1.4728849873983825E-2</v>
      </c>
      <c r="Q267" t="s">
        <v>166</v>
      </c>
      <c r="S267" t="s">
        <v>313</v>
      </c>
      <c r="T267" t="s">
        <v>334</v>
      </c>
      <c r="U267">
        <v>1.3973666221604324E-2</v>
      </c>
      <c r="V267" t="s">
        <v>166</v>
      </c>
    </row>
    <row r="268" spans="9:22" x14ac:dyDescent="0.45">
      <c r="I268" t="s">
        <v>183</v>
      </c>
      <c r="J268" t="s">
        <v>335</v>
      </c>
      <c r="K268">
        <v>0</v>
      </c>
      <c r="L268" t="s">
        <v>166</v>
      </c>
      <c r="N268" t="s">
        <v>248</v>
      </c>
      <c r="O268" t="s">
        <v>335</v>
      </c>
      <c r="P268">
        <v>7.3912939351621465E-2</v>
      </c>
      <c r="Q268" t="s">
        <v>166</v>
      </c>
      <c r="S268" t="s">
        <v>313</v>
      </c>
      <c r="T268" t="s">
        <v>335</v>
      </c>
      <c r="U268">
        <v>6.9210737956983556E-2</v>
      </c>
      <c r="V268" t="s">
        <v>166</v>
      </c>
    </row>
    <row r="269" spans="9:22" x14ac:dyDescent="0.45">
      <c r="I269" t="s">
        <v>183</v>
      </c>
      <c r="J269" t="s">
        <v>169</v>
      </c>
      <c r="K269">
        <v>4.2432350174853611E-2</v>
      </c>
      <c r="L269" t="s">
        <v>166</v>
      </c>
      <c r="N269" t="s">
        <v>248</v>
      </c>
      <c r="O269" t="s">
        <v>169</v>
      </c>
      <c r="P269">
        <v>6.3463850144841225E-2</v>
      </c>
      <c r="Q269" t="s">
        <v>166</v>
      </c>
      <c r="S269" t="s">
        <v>313</v>
      </c>
      <c r="T269" t="s">
        <v>169</v>
      </c>
      <c r="U269">
        <v>7.1034027712194303E-2</v>
      </c>
      <c r="V269" t="s">
        <v>166</v>
      </c>
    </row>
    <row r="270" spans="9:22" x14ac:dyDescent="0.45">
      <c r="I270" t="s">
        <v>183</v>
      </c>
      <c r="J270" t="s">
        <v>170</v>
      </c>
      <c r="K270">
        <v>1.8117085113211629E-2</v>
      </c>
      <c r="L270" t="s">
        <v>166</v>
      </c>
      <c r="N270" t="s">
        <v>248</v>
      </c>
      <c r="O270" t="s">
        <v>170</v>
      </c>
      <c r="P270">
        <v>7.1698397167815177E-3</v>
      </c>
      <c r="Q270" t="s">
        <v>166</v>
      </c>
      <c r="S270" t="s">
        <v>313</v>
      </c>
      <c r="T270" t="s">
        <v>170</v>
      </c>
      <c r="U270">
        <v>6.5194142841878229E-3</v>
      </c>
      <c r="V270" t="s">
        <v>166</v>
      </c>
    </row>
    <row r="271" spans="9:22" x14ac:dyDescent="0.45">
      <c r="I271" t="s">
        <v>183</v>
      </c>
      <c r="J271" t="s">
        <v>171</v>
      </c>
      <c r="K271">
        <v>0.10983718275314334</v>
      </c>
      <c r="L271" t="s">
        <v>166</v>
      </c>
      <c r="N271" t="s">
        <v>248</v>
      </c>
      <c r="O271" t="s">
        <v>171</v>
      </c>
      <c r="P271">
        <v>4.7447981878229024E-2</v>
      </c>
      <c r="Q271" t="s">
        <v>166</v>
      </c>
      <c r="S271" t="s">
        <v>313</v>
      </c>
      <c r="T271" t="s">
        <v>171</v>
      </c>
      <c r="U271">
        <v>4.161961437037312E-2</v>
      </c>
      <c r="V271" t="s">
        <v>166</v>
      </c>
    </row>
    <row r="272" spans="9:22" x14ac:dyDescent="0.45">
      <c r="I272" t="s">
        <v>183</v>
      </c>
      <c r="J272" t="s">
        <v>336</v>
      </c>
      <c r="K272">
        <v>1.2788597491987979E-2</v>
      </c>
      <c r="L272" t="s">
        <v>166</v>
      </c>
      <c r="N272" t="s">
        <v>248</v>
      </c>
      <c r="O272" t="s">
        <v>336</v>
      </c>
      <c r="P272">
        <v>7.095791372412126E-3</v>
      </c>
      <c r="Q272" t="s">
        <v>166</v>
      </c>
      <c r="S272" t="s">
        <v>313</v>
      </c>
      <c r="T272" t="s">
        <v>336</v>
      </c>
      <c r="U272">
        <v>7.3181107499878497E-3</v>
      </c>
      <c r="V272" t="s">
        <v>166</v>
      </c>
    </row>
    <row r="273" spans="9:22" x14ac:dyDescent="0.45">
      <c r="I273" t="s">
        <v>183</v>
      </c>
      <c r="J273" t="s">
        <v>337</v>
      </c>
      <c r="K273">
        <v>8.8498447082747018E-3</v>
      </c>
      <c r="L273" t="s">
        <v>166</v>
      </c>
      <c r="N273" t="s">
        <v>248</v>
      </c>
      <c r="O273" t="s">
        <v>337</v>
      </c>
      <c r="P273">
        <v>6.6201741722810526E-3</v>
      </c>
      <c r="Q273" t="s">
        <v>166</v>
      </c>
      <c r="S273" t="s">
        <v>313</v>
      </c>
      <c r="T273" t="s">
        <v>337</v>
      </c>
      <c r="U273">
        <v>7.2282419991763274E-3</v>
      </c>
      <c r="V273" t="s">
        <v>166</v>
      </c>
    </row>
    <row r="274" spans="9:22" x14ac:dyDescent="0.45">
      <c r="I274" t="s">
        <v>183</v>
      </c>
      <c r="J274" t="s">
        <v>338</v>
      </c>
      <c r="K274">
        <v>2.4632632677065234E-3</v>
      </c>
      <c r="L274" t="s">
        <v>166</v>
      </c>
      <c r="N274" t="s">
        <v>248</v>
      </c>
      <c r="O274" t="s">
        <v>338</v>
      </c>
      <c r="P274">
        <v>2.984072371506135E-2</v>
      </c>
      <c r="Q274" t="s">
        <v>166</v>
      </c>
      <c r="S274" t="s">
        <v>313</v>
      </c>
      <c r="T274" t="s">
        <v>338</v>
      </c>
      <c r="U274">
        <v>3.5967065656998205E-2</v>
      </c>
      <c r="V274" t="s">
        <v>166</v>
      </c>
    </row>
    <row r="275" spans="9:22" x14ac:dyDescent="0.45">
      <c r="I275" t="s">
        <v>183</v>
      </c>
      <c r="J275" t="s">
        <v>172</v>
      </c>
      <c r="K275">
        <v>2.706445792030155E-2</v>
      </c>
      <c r="L275" t="s">
        <v>166</v>
      </c>
      <c r="N275" t="s">
        <v>248</v>
      </c>
      <c r="O275" t="s">
        <v>172</v>
      </c>
      <c r="P275">
        <v>2.8258828339313483E-2</v>
      </c>
      <c r="Q275" t="s">
        <v>166</v>
      </c>
      <c r="S275" t="s">
        <v>313</v>
      </c>
      <c r="T275" t="s">
        <v>172</v>
      </c>
      <c r="U275">
        <v>4.062327967168166E-2</v>
      </c>
      <c r="V275" t="s">
        <v>166</v>
      </c>
    </row>
    <row r="276" spans="9:22" x14ac:dyDescent="0.45">
      <c r="I276" t="s">
        <v>183</v>
      </c>
      <c r="J276" t="s">
        <v>173</v>
      </c>
      <c r="K276">
        <v>1.0153814101417014E-2</v>
      </c>
      <c r="L276" t="s">
        <v>166</v>
      </c>
      <c r="N276" t="s">
        <v>248</v>
      </c>
      <c r="O276" t="s">
        <v>173</v>
      </c>
      <c r="P276">
        <v>3.1412467129741635E-3</v>
      </c>
      <c r="Q276" t="s">
        <v>166</v>
      </c>
      <c r="S276" t="s">
        <v>313</v>
      </c>
      <c r="T276" t="s">
        <v>173</v>
      </c>
      <c r="U276">
        <v>4.0460300970989373E-3</v>
      </c>
      <c r="V276" t="s">
        <v>166</v>
      </c>
    </row>
    <row r="277" spans="9:22" x14ac:dyDescent="0.45">
      <c r="I277" t="s">
        <v>183</v>
      </c>
      <c r="J277" t="s">
        <v>174</v>
      </c>
      <c r="K277">
        <v>5.9786423080171659E-2</v>
      </c>
      <c r="L277" t="s">
        <v>166</v>
      </c>
      <c r="N277" t="s">
        <v>248</v>
      </c>
      <c r="O277" t="s">
        <v>174</v>
      </c>
      <c r="P277">
        <v>2.4881957004830993E-2</v>
      </c>
      <c r="Q277" t="s">
        <v>166</v>
      </c>
      <c r="S277" t="s">
        <v>313</v>
      </c>
      <c r="T277" t="s">
        <v>174</v>
      </c>
      <c r="U277">
        <v>2.657943527679154E-2</v>
      </c>
      <c r="V277" t="s">
        <v>166</v>
      </c>
    </row>
    <row r="278" spans="9:22" x14ac:dyDescent="0.45">
      <c r="I278" t="s">
        <v>183</v>
      </c>
      <c r="J278" t="s">
        <v>339</v>
      </c>
      <c r="K278">
        <v>6.9301299293491178E-3</v>
      </c>
      <c r="L278" t="s">
        <v>166</v>
      </c>
      <c r="N278" t="s">
        <v>248</v>
      </c>
      <c r="O278" t="s">
        <v>339</v>
      </c>
      <c r="P278">
        <v>4.0382431410616801E-3</v>
      </c>
      <c r="Q278" t="s">
        <v>166</v>
      </c>
      <c r="S278" t="s">
        <v>313</v>
      </c>
      <c r="T278" t="s">
        <v>339</v>
      </c>
      <c r="U278">
        <v>4.2765757886368818E-3</v>
      </c>
      <c r="V278" t="s">
        <v>166</v>
      </c>
    </row>
    <row r="279" spans="9:22" x14ac:dyDescent="0.45">
      <c r="I279" t="s">
        <v>183</v>
      </c>
      <c r="J279" t="s">
        <v>340</v>
      </c>
      <c r="K279">
        <v>5.1107675240715886E-3</v>
      </c>
      <c r="L279" t="s">
        <v>166</v>
      </c>
      <c r="N279" t="s">
        <v>248</v>
      </c>
      <c r="O279" t="s">
        <v>340</v>
      </c>
      <c r="P279">
        <v>3.804159043730449E-3</v>
      </c>
      <c r="Q279" t="s">
        <v>166</v>
      </c>
      <c r="S279" t="s">
        <v>313</v>
      </c>
      <c r="T279" t="s">
        <v>340</v>
      </c>
      <c r="U279">
        <v>4.1972513183957619E-3</v>
      </c>
      <c r="V279" t="s">
        <v>166</v>
      </c>
    </row>
    <row r="280" spans="9:22" x14ac:dyDescent="0.45">
      <c r="I280" t="s">
        <v>183</v>
      </c>
      <c r="J280" t="s">
        <v>341</v>
      </c>
      <c r="K280">
        <v>2.6500214662509335E-3</v>
      </c>
      <c r="L280" t="s">
        <v>166</v>
      </c>
      <c r="N280" t="s">
        <v>248</v>
      </c>
      <c r="O280" t="s">
        <v>341</v>
      </c>
      <c r="P280">
        <v>1.6602583738702898E-2</v>
      </c>
      <c r="Q280" t="s">
        <v>166</v>
      </c>
      <c r="S280" t="s">
        <v>313</v>
      </c>
      <c r="T280" t="s">
        <v>341</v>
      </c>
      <c r="U280">
        <v>2.0656570748054229E-2</v>
      </c>
      <c r="V280" t="s">
        <v>166</v>
      </c>
    </row>
    <row r="281" spans="9:22" x14ac:dyDescent="0.45">
      <c r="I281" t="s">
        <v>183</v>
      </c>
      <c r="J281" t="s">
        <v>175</v>
      </c>
      <c r="K281">
        <v>2.3493173179065147E-2</v>
      </c>
      <c r="L281" t="s">
        <v>166</v>
      </c>
      <c r="N281" t="s">
        <v>248</v>
      </c>
      <c r="O281" t="s">
        <v>175</v>
      </c>
      <c r="P281">
        <v>1.7602508376095127E-2</v>
      </c>
      <c r="Q281" t="s">
        <v>166</v>
      </c>
      <c r="S281" t="s">
        <v>313</v>
      </c>
      <c r="T281" t="s">
        <v>175</v>
      </c>
      <c r="U281">
        <v>2.6300661446620362E-2</v>
      </c>
      <c r="V281" t="s">
        <v>166</v>
      </c>
    </row>
    <row r="282" spans="9:22" x14ac:dyDescent="0.45">
      <c r="I282" t="s">
        <v>183</v>
      </c>
      <c r="J282" t="s">
        <v>176</v>
      </c>
      <c r="K282">
        <v>9.7438980835465282E-3</v>
      </c>
      <c r="L282" t="s">
        <v>166</v>
      </c>
      <c r="N282" t="s">
        <v>248</v>
      </c>
      <c r="O282" t="s">
        <v>176</v>
      </c>
      <c r="P282">
        <v>1.5679469276498037E-3</v>
      </c>
      <c r="Q282" t="s">
        <v>166</v>
      </c>
      <c r="S282" t="s">
        <v>313</v>
      </c>
      <c r="T282" t="s">
        <v>176</v>
      </c>
      <c r="U282">
        <v>2.3492012149293152E-3</v>
      </c>
      <c r="V282" t="s">
        <v>166</v>
      </c>
    </row>
    <row r="283" spans="9:22" x14ac:dyDescent="0.45">
      <c r="I283" t="s">
        <v>183</v>
      </c>
      <c r="J283" t="s">
        <v>177</v>
      </c>
      <c r="K283">
        <v>5.7089661786838955E-2</v>
      </c>
      <c r="L283" t="s">
        <v>166</v>
      </c>
      <c r="N283" t="s">
        <v>248</v>
      </c>
      <c r="O283" t="s">
        <v>177</v>
      </c>
      <c r="P283">
        <v>1.8053335430835968E-2</v>
      </c>
      <c r="Q283" t="s">
        <v>166</v>
      </c>
      <c r="S283" t="s">
        <v>313</v>
      </c>
      <c r="T283" t="s">
        <v>177</v>
      </c>
      <c r="U283">
        <v>1.7489744486633842E-2</v>
      </c>
      <c r="V283" t="s">
        <v>166</v>
      </c>
    </row>
    <row r="284" spans="9:22" x14ac:dyDescent="0.45">
      <c r="I284" t="s">
        <v>183</v>
      </c>
      <c r="J284" t="s">
        <v>342</v>
      </c>
      <c r="K284">
        <v>6.3068718266961303E-3</v>
      </c>
      <c r="L284" t="s">
        <v>166</v>
      </c>
      <c r="N284" t="s">
        <v>248</v>
      </c>
      <c r="O284" t="s">
        <v>342</v>
      </c>
      <c r="P284">
        <v>3.3157027802146796E-3</v>
      </c>
      <c r="Q284" t="s">
        <v>166</v>
      </c>
      <c r="S284" t="s">
        <v>313</v>
      </c>
      <c r="T284" t="s">
        <v>342</v>
      </c>
      <c r="U284">
        <v>3.0444003961607488E-3</v>
      </c>
      <c r="V284" t="s">
        <v>166</v>
      </c>
    </row>
    <row r="285" spans="9:22" x14ac:dyDescent="0.45">
      <c r="I285" t="s">
        <v>183</v>
      </c>
      <c r="J285" t="s">
        <v>343</v>
      </c>
      <c r="K285">
        <v>4.3264034409540714E-3</v>
      </c>
      <c r="L285" t="s">
        <v>166</v>
      </c>
      <c r="N285" t="s">
        <v>248</v>
      </c>
      <c r="O285" t="s">
        <v>343</v>
      </c>
      <c r="P285">
        <v>3.1710275609546294E-3</v>
      </c>
      <c r="Q285" t="s">
        <v>166</v>
      </c>
      <c r="S285" t="s">
        <v>313</v>
      </c>
      <c r="T285" t="s">
        <v>343</v>
      </c>
      <c r="U285">
        <v>3.0213355234172097E-3</v>
      </c>
      <c r="V285" t="s">
        <v>166</v>
      </c>
    </row>
    <row r="286" spans="9:22" x14ac:dyDescent="0.45">
      <c r="I286" t="s">
        <v>183</v>
      </c>
      <c r="J286" t="s">
        <v>344</v>
      </c>
      <c r="K286">
        <v>2.2681118290836279E-3</v>
      </c>
      <c r="L286" t="s">
        <v>166</v>
      </c>
      <c r="N286" t="s">
        <v>248</v>
      </c>
      <c r="O286" t="s">
        <v>344</v>
      </c>
      <c r="P286">
        <v>1.3684702505386913E-2</v>
      </c>
      <c r="Q286" t="s">
        <v>166</v>
      </c>
      <c r="S286" t="s">
        <v>313</v>
      </c>
      <c r="T286" t="s">
        <v>344</v>
      </c>
      <c r="U286">
        <v>1.4381309494483312E-2</v>
      </c>
      <c r="V286" t="s">
        <v>166</v>
      </c>
    </row>
    <row r="287" spans="9:22" x14ac:dyDescent="0.45">
      <c r="I287" t="s">
        <v>183</v>
      </c>
      <c r="J287" t="s">
        <v>345</v>
      </c>
      <c r="K287">
        <v>4.1938368999766523E-2</v>
      </c>
      <c r="L287" t="s">
        <v>166</v>
      </c>
      <c r="N287" t="s">
        <v>248</v>
      </c>
      <c r="O287" t="s">
        <v>345</v>
      </c>
      <c r="P287">
        <v>3.8282094568772476E-2</v>
      </c>
      <c r="Q287" t="s">
        <v>166</v>
      </c>
      <c r="S287" t="s">
        <v>313</v>
      </c>
      <c r="T287" t="s">
        <v>345</v>
      </c>
      <c r="U287">
        <v>5.2014817449876613E-2</v>
      </c>
      <c r="V287" t="s">
        <v>166</v>
      </c>
    </row>
    <row r="288" spans="9:22" x14ac:dyDescent="0.45">
      <c r="I288" t="s">
        <v>183</v>
      </c>
      <c r="J288" t="s">
        <v>346</v>
      </c>
      <c r="K288">
        <v>1.9086048345418966E-2</v>
      </c>
      <c r="L288" t="s">
        <v>166</v>
      </c>
      <c r="N288" t="s">
        <v>248</v>
      </c>
      <c r="O288" t="s">
        <v>346</v>
      </c>
      <c r="P288">
        <v>3.8096657839035816E-3</v>
      </c>
      <c r="Q288" t="s">
        <v>166</v>
      </c>
      <c r="S288" t="s">
        <v>313</v>
      </c>
      <c r="T288" t="s">
        <v>346</v>
      </c>
      <c r="U288">
        <v>4.6312250141270217E-3</v>
      </c>
      <c r="V288" t="s">
        <v>166</v>
      </c>
    </row>
    <row r="289" spans="9:22" x14ac:dyDescent="0.45">
      <c r="I289" t="s">
        <v>183</v>
      </c>
      <c r="J289" t="s">
        <v>347</v>
      </c>
      <c r="K289">
        <v>0.10688495507430466</v>
      </c>
      <c r="L289" t="s">
        <v>166</v>
      </c>
      <c r="N289" t="s">
        <v>248</v>
      </c>
      <c r="O289" t="s">
        <v>347</v>
      </c>
      <c r="P289">
        <v>3.6821298606522494E-2</v>
      </c>
      <c r="Q289" t="s">
        <v>166</v>
      </c>
      <c r="S289" t="s">
        <v>313</v>
      </c>
      <c r="T289" t="s">
        <v>347</v>
      </c>
      <c r="U289">
        <v>3.4699260964310176E-2</v>
      </c>
      <c r="V289" t="s">
        <v>166</v>
      </c>
    </row>
    <row r="290" spans="9:22" x14ac:dyDescent="0.45">
      <c r="I290" t="s">
        <v>183</v>
      </c>
      <c r="J290" t="s">
        <v>348</v>
      </c>
      <c r="K290">
        <v>1.0854466999306436E-2</v>
      </c>
      <c r="L290" t="s">
        <v>166</v>
      </c>
      <c r="N290" t="s">
        <v>248</v>
      </c>
      <c r="O290" t="s">
        <v>348</v>
      </c>
      <c r="P290">
        <v>6.5809432619078397E-3</v>
      </c>
      <c r="Q290" t="s">
        <v>166</v>
      </c>
      <c r="S290" t="s">
        <v>313</v>
      </c>
      <c r="T290" t="s">
        <v>348</v>
      </c>
      <c r="U290">
        <v>6.7514663789480858E-3</v>
      </c>
      <c r="V290" t="s">
        <v>166</v>
      </c>
    </row>
    <row r="291" spans="9:22" x14ac:dyDescent="0.45">
      <c r="I291" t="s">
        <v>183</v>
      </c>
      <c r="J291" t="s">
        <v>349</v>
      </c>
      <c r="K291">
        <v>7.1671351382254994E-3</v>
      </c>
      <c r="L291" t="s">
        <v>166</v>
      </c>
      <c r="N291" t="s">
        <v>248</v>
      </c>
      <c r="O291" t="s">
        <v>349</v>
      </c>
      <c r="P291">
        <v>6.2390101201461974E-3</v>
      </c>
      <c r="Q291" t="s">
        <v>166</v>
      </c>
      <c r="S291" t="s">
        <v>313</v>
      </c>
      <c r="T291" t="s">
        <v>349</v>
      </c>
      <c r="U291">
        <v>6.6621275187270764E-3</v>
      </c>
      <c r="V291" t="s">
        <v>166</v>
      </c>
    </row>
    <row r="292" spans="9:22" x14ac:dyDescent="0.45">
      <c r="I292" t="s">
        <v>183</v>
      </c>
      <c r="J292" t="s">
        <v>350</v>
      </c>
      <c r="K292">
        <v>1.7860581864796777E-3</v>
      </c>
      <c r="L292" t="s">
        <v>166</v>
      </c>
      <c r="N292" t="s">
        <v>248</v>
      </c>
      <c r="O292" t="s">
        <v>350</v>
      </c>
      <c r="P292">
        <v>2.7266195426772524E-2</v>
      </c>
      <c r="Q292" t="s">
        <v>166</v>
      </c>
      <c r="S292" t="s">
        <v>313</v>
      </c>
      <c r="T292" t="s">
        <v>350</v>
      </c>
      <c r="U292">
        <v>3.0179222071332681E-2</v>
      </c>
      <c r="V292" t="s">
        <v>166</v>
      </c>
    </row>
    <row r="293" spans="9:22" x14ac:dyDescent="0.45">
      <c r="I293" t="s">
        <v>183</v>
      </c>
      <c r="J293" t="s">
        <v>351</v>
      </c>
      <c r="K293">
        <v>1.9367802101940366E-2</v>
      </c>
      <c r="L293" t="s">
        <v>166</v>
      </c>
      <c r="N293" t="s">
        <v>248</v>
      </c>
      <c r="O293" t="s">
        <v>351</v>
      </c>
      <c r="P293">
        <v>1.9678954304234587E-2</v>
      </c>
      <c r="Q293" t="s">
        <v>166</v>
      </c>
      <c r="S293" t="s">
        <v>313</v>
      </c>
      <c r="T293" t="s">
        <v>351</v>
      </c>
      <c r="U293">
        <v>1.9201918211280367E-2</v>
      </c>
      <c r="V293" t="s">
        <v>166</v>
      </c>
    </row>
    <row r="294" spans="9:22" x14ac:dyDescent="0.45">
      <c r="I294" t="s">
        <v>183</v>
      </c>
      <c r="J294" t="s">
        <v>352</v>
      </c>
      <c r="K294">
        <v>9.3634335497965755E-3</v>
      </c>
      <c r="L294" t="s">
        <v>166</v>
      </c>
      <c r="N294" t="s">
        <v>248</v>
      </c>
      <c r="O294" t="s">
        <v>352</v>
      </c>
      <c r="P294">
        <v>1.7348405300884231E-3</v>
      </c>
      <c r="Q294" t="s">
        <v>166</v>
      </c>
      <c r="S294" t="s">
        <v>313</v>
      </c>
      <c r="T294" t="s">
        <v>352</v>
      </c>
      <c r="U294">
        <v>1.513603520558924E-3</v>
      </c>
      <c r="V294" t="s">
        <v>166</v>
      </c>
    </row>
    <row r="295" spans="9:22" x14ac:dyDescent="0.45">
      <c r="I295" t="s">
        <v>183</v>
      </c>
      <c r="J295" t="s">
        <v>353</v>
      </c>
      <c r="K295">
        <v>5.0424436248068825E-2</v>
      </c>
      <c r="L295" t="s">
        <v>166</v>
      </c>
      <c r="N295" t="s">
        <v>248</v>
      </c>
      <c r="O295" t="s">
        <v>353</v>
      </c>
      <c r="P295">
        <v>1.2368211509945841E-2</v>
      </c>
      <c r="Q295" t="s">
        <v>166</v>
      </c>
      <c r="S295" t="s">
        <v>313</v>
      </c>
      <c r="T295" t="s">
        <v>353</v>
      </c>
      <c r="U295">
        <v>9.5240950037583962E-3</v>
      </c>
      <c r="V295" t="s">
        <v>166</v>
      </c>
    </row>
    <row r="296" spans="9:22" x14ac:dyDescent="0.45">
      <c r="I296" t="s">
        <v>183</v>
      </c>
      <c r="J296" t="s">
        <v>354</v>
      </c>
      <c r="K296">
        <v>4.4343192688059497E-3</v>
      </c>
      <c r="L296" t="s">
        <v>166</v>
      </c>
      <c r="N296" t="s">
        <v>248</v>
      </c>
      <c r="O296" t="s">
        <v>354</v>
      </c>
      <c r="P296">
        <v>1.8292157478571032E-3</v>
      </c>
      <c r="Q296" t="s">
        <v>166</v>
      </c>
      <c r="S296" t="s">
        <v>313</v>
      </c>
      <c r="T296" t="s">
        <v>354</v>
      </c>
      <c r="U296">
        <v>1.6859128350582662E-3</v>
      </c>
      <c r="V296" t="s">
        <v>166</v>
      </c>
    </row>
    <row r="297" spans="9:22" x14ac:dyDescent="0.45">
      <c r="I297" t="s">
        <v>183</v>
      </c>
      <c r="J297" t="s">
        <v>355</v>
      </c>
      <c r="K297">
        <v>3.4491880513428855E-4</v>
      </c>
      <c r="L297" t="s">
        <v>166</v>
      </c>
      <c r="N297" t="s">
        <v>248</v>
      </c>
      <c r="O297" t="s">
        <v>355</v>
      </c>
      <c r="P297">
        <v>1.7478047811025684E-3</v>
      </c>
      <c r="Q297" t="s">
        <v>166</v>
      </c>
      <c r="S297" t="s">
        <v>313</v>
      </c>
      <c r="T297" t="s">
        <v>355</v>
      </c>
      <c r="U297">
        <v>1.5613727510066788E-3</v>
      </c>
      <c r="V297" t="s">
        <v>166</v>
      </c>
    </row>
    <row r="298" spans="9:22" x14ac:dyDescent="0.45">
      <c r="I298" t="s">
        <v>183</v>
      </c>
      <c r="J298" t="s">
        <v>356</v>
      </c>
      <c r="K298">
        <v>0</v>
      </c>
      <c r="L298" t="s">
        <v>166</v>
      </c>
      <c r="N298" t="s">
        <v>248</v>
      </c>
      <c r="O298" t="s">
        <v>356</v>
      </c>
      <c r="P298">
        <v>8.9185188489608342E-3</v>
      </c>
      <c r="Q298" t="s">
        <v>166</v>
      </c>
      <c r="S298" t="s">
        <v>313</v>
      </c>
      <c r="T298" t="s">
        <v>356</v>
      </c>
      <c r="U298">
        <v>8.7545221518015564E-3</v>
      </c>
      <c r="V298" t="s">
        <v>166</v>
      </c>
    </row>
    <row r="299" spans="9:22" x14ac:dyDescent="0.45">
      <c r="I299" t="s">
        <v>183</v>
      </c>
      <c r="J299" t="s">
        <v>357</v>
      </c>
      <c r="K299">
        <v>1.658139506067734E-2</v>
      </c>
      <c r="L299" t="s">
        <v>166</v>
      </c>
      <c r="N299" t="s">
        <v>248</v>
      </c>
      <c r="O299" t="s">
        <v>357</v>
      </c>
      <c r="P299">
        <v>5.6869982665984455E-2</v>
      </c>
      <c r="Q299" t="s">
        <v>166</v>
      </c>
      <c r="S299" t="s">
        <v>313</v>
      </c>
      <c r="T299" t="s">
        <v>357</v>
      </c>
      <c r="U299">
        <v>6.3820959951470982E-2</v>
      </c>
      <c r="V299" t="s">
        <v>166</v>
      </c>
    </row>
    <row r="300" spans="9:22" x14ac:dyDescent="0.45">
      <c r="I300" t="s">
        <v>183</v>
      </c>
      <c r="J300" t="s">
        <v>358</v>
      </c>
      <c r="K300">
        <v>1.2670436191809806E-2</v>
      </c>
      <c r="L300" t="s">
        <v>166</v>
      </c>
      <c r="N300" t="s">
        <v>248</v>
      </c>
      <c r="O300" t="s">
        <v>358</v>
      </c>
      <c r="P300">
        <v>6.0018179133820692E-3</v>
      </c>
      <c r="Q300" t="s">
        <v>166</v>
      </c>
      <c r="S300" t="s">
        <v>313</v>
      </c>
      <c r="T300" t="s">
        <v>358</v>
      </c>
      <c r="U300">
        <v>6.0999111512585443E-3</v>
      </c>
      <c r="V300" t="s">
        <v>166</v>
      </c>
    </row>
    <row r="301" spans="9:22" x14ac:dyDescent="0.45">
      <c r="I301" t="s">
        <v>183</v>
      </c>
      <c r="J301" t="s">
        <v>359</v>
      </c>
      <c r="K301">
        <v>7.4049752154528484E-2</v>
      </c>
      <c r="L301" t="s">
        <v>166</v>
      </c>
      <c r="N301" t="s">
        <v>248</v>
      </c>
      <c r="O301" t="s">
        <v>359</v>
      </c>
      <c r="P301">
        <v>3.8522138841417579E-2</v>
      </c>
      <c r="Q301" t="s">
        <v>166</v>
      </c>
      <c r="S301" t="s">
        <v>313</v>
      </c>
      <c r="T301" t="s">
        <v>359</v>
      </c>
      <c r="U301">
        <v>3.7404703621700487E-2</v>
      </c>
      <c r="V301" t="s">
        <v>166</v>
      </c>
    </row>
    <row r="302" spans="9:22" x14ac:dyDescent="0.45">
      <c r="I302" t="s">
        <v>183</v>
      </c>
      <c r="J302" t="s">
        <v>360</v>
      </c>
      <c r="K302">
        <v>5.9017053215575837E-3</v>
      </c>
      <c r="L302" t="s">
        <v>166</v>
      </c>
      <c r="N302" t="s">
        <v>248</v>
      </c>
      <c r="O302" t="s">
        <v>360</v>
      </c>
      <c r="P302">
        <v>6.1066557542119038E-3</v>
      </c>
      <c r="Q302" t="s">
        <v>166</v>
      </c>
      <c r="S302" t="s">
        <v>313</v>
      </c>
      <c r="T302" t="s">
        <v>360</v>
      </c>
      <c r="U302">
        <v>7.0022166742319094E-3</v>
      </c>
      <c r="V302" t="s">
        <v>166</v>
      </c>
    </row>
    <row r="303" spans="9:22" x14ac:dyDescent="0.45">
      <c r="I303" t="s">
        <v>183</v>
      </c>
      <c r="J303" t="s">
        <v>361</v>
      </c>
      <c r="K303">
        <v>0</v>
      </c>
      <c r="L303" t="s">
        <v>166</v>
      </c>
      <c r="N303" t="s">
        <v>248</v>
      </c>
      <c r="O303" t="s">
        <v>361</v>
      </c>
      <c r="P303">
        <v>5.8937799918683254E-3</v>
      </c>
      <c r="Q303" t="s">
        <v>166</v>
      </c>
      <c r="S303" t="s">
        <v>313</v>
      </c>
      <c r="T303" t="s">
        <v>361</v>
      </c>
      <c r="U303">
        <v>7.1317873218644558E-3</v>
      </c>
      <c r="V303" t="s">
        <v>166</v>
      </c>
    </row>
    <row r="304" spans="9:22" x14ac:dyDescent="0.45">
      <c r="I304" t="s">
        <v>183</v>
      </c>
      <c r="J304" t="s">
        <v>362</v>
      </c>
      <c r="K304">
        <v>0</v>
      </c>
      <c r="L304" t="s">
        <v>166</v>
      </c>
      <c r="N304" t="s">
        <v>248</v>
      </c>
      <c r="O304" t="s">
        <v>362</v>
      </c>
      <c r="P304">
        <v>2.8510042327048041E-2</v>
      </c>
      <c r="Q304" t="s">
        <v>166</v>
      </c>
      <c r="S304" t="s">
        <v>313</v>
      </c>
      <c r="T304" t="s">
        <v>362</v>
      </c>
      <c r="U304">
        <v>3.3823265922344928E-2</v>
      </c>
      <c r="V304" t="s">
        <v>166</v>
      </c>
    </row>
    <row r="305" spans="9:22" x14ac:dyDescent="0.45">
      <c r="I305" t="s">
        <v>184</v>
      </c>
      <c r="J305" t="s">
        <v>165</v>
      </c>
      <c r="K305">
        <v>3.6592550897456541E-2</v>
      </c>
      <c r="L305" t="s">
        <v>166</v>
      </c>
      <c r="N305" t="s">
        <v>249</v>
      </c>
      <c r="O305" t="s">
        <v>165</v>
      </c>
      <c r="P305">
        <v>0.1630190201041776</v>
      </c>
      <c r="Q305" t="s">
        <v>166</v>
      </c>
      <c r="S305" t="s">
        <v>314</v>
      </c>
      <c r="T305" t="s">
        <v>165</v>
      </c>
      <c r="U305">
        <v>0.15694373650820947</v>
      </c>
      <c r="V305" t="s">
        <v>166</v>
      </c>
    </row>
    <row r="306" spans="9:22" x14ac:dyDescent="0.45">
      <c r="I306" t="s">
        <v>184</v>
      </c>
      <c r="J306" t="s">
        <v>167</v>
      </c>
      <c r="K306">
        <v>2.3376947844506377E-2</v>
      </c>
      <c r="L306" t="s">
        <v>166</v>
      </c>
      <c r="N306" t="s">
        <v>249</v>
      </c>
      <c r="O306" t="s">
        <v>167</v>
      </c>
      <c r="P306">
        <v>1.6639097503923238E-2</v>
      </c>
      <c r="Q306" t="s">
        <v>166</v>
      </c>
      <c r="S306" t="s">
        <v>314</v>
      </c>
      <c r="T306" t="s">
        <v>167</v>
      </c>
      <c r="U306">
        <v>1.6329633936289143E-2</v>
      </c>
      <c r="V306" t="s">
        <v>166</v>
      </c>
    </row>
    <row r="307" spans="9:22" x14ac:dyDescent="0.45">
      <c r="I307" t="s">
        <v>184</v>
      </c>
      <c r="J307" t="s">
        <v>168</v>
      </c>
      <c r="K307">
        <v>0.14139857952119544</v>
      </c>
      <c r="L307" t="s">
        <v>166</v>
      </c>
      <c r="N307" t="s">
        <v>249</v>
      </c>
      <c r="O307" t="s">
        <v>168</v>
      </c>
      <c r="P307">
        <v>9.9916685349415557E-2</v>
      </c>
      <c r="Q307" t="s">
        <v>166</v>
      </c>
      <c r="S307" t="s">
        <v>314</v>
      </c>
      <c r="T307" t="s">
        <v>168</v>
      </c>
      <c r="U307">
        <v>9.5765598935096216E-2</v>
      </c>
      <c r="V307" t="s">
        <v>166</v>
      </c>
    </row>
    <row r="308" spans="9:22" x14ac:dyDescent="0.45">
      <c r="I308" t="s">
        <v>184</v>
      </c>
      <c r="J308" t="s">
        <v>333</v>
      </c>
      <c r="K308">
        <v>1.5327969704955015E-2</v>
      </c>
      <c r="L308" t="s">
        <v>166</v>
      </c>
      <c r="N308" t="s">
        <v>249</v>
      </c>
      <c r="O308" t="s">
        <v>333</v>
      </c>
      <c r="P308">
        <v>1.4605583801121E-2</v>
      </c>
      <c r="Q308" t="s">
        <v>166</v>
      </c>
      <c r="S308" t="s">
        <v>314</v>
      </c>
      <c r="T308" t="s">
        <v>333</v>
      </c>
      <c r="U308">
        <v>1.3845933265346054E-2</v>
      </c>
      <c r="V308" t="s">
        <v>166</v>
      </c>
    </row>
    <row r="309" spans="9:22" x14ac:dyDescent="0.45">
      <c r="I309" t="s">
        <v>184</v>
      </c>
      <c r="J309" t="s">
        <v>334</v>
      </c>
      <c r="K309">
        <v>5.0709377005289961E-3</v>
      </c>
      <c r="L309" t="s">
        <v>166</v>
      </c>
      <c r="N309" t="s">
        <v>249</v>
      </c>
      <c r="O309" t="s">
        <v>334</v>
      </c>
      <c r="P309">
        <v>1.4393818334870826E-2</v>
      </c>
      <c r="Q309" t="s">
        <v>166</v>
      </c>
      <c r="S309" t="s">
        <v>314</v>
      </c>
      <c r="T309" t="s">
        <v>334</v>
      </c>
      <c r="U309">
        <v>1.3726227143907432E-2</v>
      </c>
      <c r="V309" t="s">
        <v>166</v>
      </c>
    </row>
    <row r="310" spans="9:22" x14ac:dyDescent="0.45">
      <c r="I310" t="s">
        <v>184</v>
      </c>
      <c r="J310" t="s">
        <v>335</v>
      </c>
      <c r="K310">
        <v>0</v>
      </c>
      <c r="L310" t="s">
        <v>166</v>
      </c>
      <c r="N310" t="s">
        <v>249</v>
      </c>
      <c r="O310" t="s">
        <v>335</v>
      </c>
      <c r="P310">
        <v>7.6848988083938252E-2</v>
      </c>
      <c r="Q310" t="s">
        <v>166</v>
      </c>
      <c r="S310" t="s">
        <v>314</v>
      </c>
      <c r="T310" t="s">
        <v>335</v>
      </c>
      <c r="U310">
        <v>7.3828481320529216E-2</v>
      </c>
      <c r="V310" t="s">
        <v>166</v>
      </c>
    </row>
    <row r="311" spans="9:22" x14ac:dyDescent="0.45">
      <c r="I311" t="s">
        <v>184</v>
      </c>
      <c r="J311" t="s">
        <v>169</v>
      </c>
      <c r="K311">
        <v>4.7876601141891052E-2</v>
      </c>
      <c r="L311" t="s">
        <v>166</v>
      </c>
      <c r="N311" t="s">
        <v>249</v>
      </c>
      <c r="O311" t="s">
        <v>169</v>
      </c>
      <c r="P311">
        <v>7.0439703769938689E-2</v>
      </c>
      <c r="Q311" t="s">
        <v>166</v>
      </c>
      <c r="S311" t="s">
        <v>314</v>
      </c>
      <c r="T311" t="s">
        <v>169</v>
      </c>
      <c r="U311">
        <v>7.0792673651920379E-2</v>
      </c>
      <c r="V311" t="s">
        <v>166</v>
      </c>
    </row>
    <row r="312" spans="9:22" x14ac:dyDescent="0.45">
      <c r="I312" t="s">
        <v>184</v>
      </c>
      <c r="J312" t="s">
        <v>170</v>
      </c>
      <c r="K312">
        <v>1.930007333758214E-2</v>
      </c>
      <c r="L312" t="s">
        <v>166</v>
      </c>
      <c r="N312" t="s">
        <v>249</v>
      </c>
      <c r="O312" t="s">
        <v>170</v>
      </c>
      <c r="P312">
        <v>6.8918148749206589E-3</v>
      </c>
      <c r="Q312" t="s">
        <v>166</v>
      </c>
      <c r="S312" t="s">
        <v>314</v>
      </c>
      <c r="T312" t="s">
        <v>170</v>
      </c>
      <c r="U312">
        <v>6.6052314986916735E-3</v>
      </c>
      <c r="V312" t="s">
        <v>166</v>
      </c>
    </row>
    <row r="313" spans="9:22" x14ac:dyDescent="0.45">
      <c r="I313" t="s">
        <v>184</v>
      </c>
      <c r="J313" t="s">
        <v>171</v>
      </c>
      <c r="K313">
        <v>0.11115317937962245</v>
      </c>
      <c r="L313" t="s">
        <v>166</v>
      </c>
      <c r="N313" t="s">
        <v>249</v>
      </c>
      <c r="O313" t="s">
        <v>171</v>
      </c>
      <c r="P313">
        <v>4.5093127849441458E-2</v>
      </c>
      <c r="Q313" t="s">
        <v>166</v>
      </c>
      <c r="S313" t="s">
        <v>314</v>
      </c>
      <c r="T313" t="s">
        <v>171</v>
      </c>
      <c r="U313">
        <v>4.275743432691468E-2</v>
      </c>
      <c r="V313" t="s">
        <v>166</v>
      </c>
    </row>
    <row r="314" spans="9:22" x14ac:dyDescent="0.45">
      <c r="I314" t="s">
        <v>184</v>
      </c>
      <c r="J314" t="s">
        <v>336</v>
      </c>
      <c r="K314">
        <v>1.2704632668675119E-2</v>
      </c>
      <c r="L314" t="s">
        <v>166</v>
      </c>
      <c r="N314" t="s">
        <v>249</v>
      </c>
      <c r="O314" t="s">
        <v>336</v>
      </c>
      <c r="P314">
        <v>7.1205722391092388E-3</v>
      </c>
      <c r="Q314" t="s">
        <v>166</v>
      </c>
      <c r="S314" t="s">
        <v>314</v>
      </c>
      <c r="T314" t="s">
        <v>336</v>
      </c>
      <c r="U314">
        <v>6.9140480409781609E-3</v>
      </c>
      <c r="V314" t="s">
        <v>166</v>
      </c>
    </row>
    <row r="315" spans="9:22" x14ac:dyDescent="0.45">
      <c r="I315" t="s">
        <v>184</v>
      </c>
      <c r="J315" t="s">
        <v>337</v>
      </c>
      <c r="K315">
        <v>8.6201646422321143E-3</v>
      </c>
      <c r="L315" t="s">
        <v>166</v>
      </c>
      <c r="N315" t="s">
        <v>249</v>
      </c>
      <c r="O315" t="s">
        <v>337</v>
      </c>
      <c r="P315">
        <v>6.7467887388144602E-3</v>
      </c>
      <c r="Q315" t="s">
        <v>166</v>
      </c>
      <c r="S315" t="s">
        <v>314</v>
      </c>
      <c r="T315" t="s">
        <v>337</v>
      </c>
      <c r="U315">
        <v>6.8567686327816145E-3</v>
      </c>
      <c r="V315" t="s">
        <v>166</v>
      </c>
    </row>
    <row r="316" spans="9:22" x14ac:dyDescent="0.45">
      <c r="I316" t="s">
        <v>184</v>
      </c>
      <c r="J316" t="s">
        <v>338</v>
      </c>
      <c r="K316">
        <v>1.8375972158375278E-3</v>
      </c>
      <c r="L316" t="s">
        <v>166</v>
      </c>
      <c r="N316" t="s">
        <v>249</v>
      </c>
      <c r="O316" t="s">
        <v>338</v>
      </c>
      <c r="P316">
        <v>3.4308353960581808E-2</v>
      </c>
      <c r="Q316" t="s">
        <v>166</v>
      </c>
      <c r="S316" t="s">
        <v>314</v>
      </c>
      <c r="T316" t="s">
        <v>338</v>
      </c>
      <c r="U316">
        <v>3.4843822726237754E-2</v>
      </c>
      <c r="V316" t="s">
        <v>166</v>
      </c>
    </row>
    <row r="317" spans="9:22" x14ac:dyDescent="0.45">
      <c r="I317" t="s">
        <v>184</v>
      </c>
      <c r="J317" t="s">
        <v>172</v>
      </c>
      <c r="K317">
        <v>2.6430144326181723E-2</v>
      </c>
      <c r="L317" t="s">
        <v>166</v>
      </c>
      <c r="N317" t="s">
        <v>249</v>
      </c>
      <c r="O317" t="s">
        <v>172</v>
      </c>
      <c r="P317">
        <v>3.2845374421391203E-2</v>
      </c>
      <c r="Q317" t="s">
        <v>166</v>
      </c>
      <c r="S317" t="s">
        <v>314</v>
      </c>
      <c r="T317" t="s">
        <v>172</v>
      </c>
      <c r="U317">
        <v>3.6076501319216685E-2</v>
      </c>
      <c r="V317" t="s">
        <v>166</v>
      </c>
    </row>
    <row r="318" spans="9:22" x14ac:dyDescent="0.45">
      <c r="I318" t="s">
        <v>184</v>
      </c>
      <c r="J318" t="s">
        <v>173</v>
      </c>
      <c r="K318">
        <v>9.6705620179710333E-3</v>
      </c>
      <c r="L318" t="s">
        <v>166</v>
      </c>
      <c r="N318" t="s">
        <v>249</v>
      </c>
      <c r="O318" t="s">
        <v>173</v>
      </c>
      <c r="P318">
        <v>3.0711449922351253E-3</v>
      </c>
      <c r="Q318" t="s">
        <v>166</v>
      </c>
      <c r="S318" t="s">
        <v>314</v>
      </c>
      <c r="T318" t="s">
        <v>173</v>
      </c>
      <c r="U318">
        <v>3.2587290447260052E-3</v>
      </c>
      <c r="V318" t="s">
        <v>166</v>
      </c>
    </row>
    <row r="319" spans="9:22" x14ac:dyDescent="0.45">
      <c r="I319" t="s">
        <v>184</v>
      </c>
      <c r="J319" t="s">
        <v>174</v>
      </c>
      <c r="K319">
        <v>5.5973053911900369E-2</v>
      </c>
      <c r="L319" t="s">
        <v>166</v>
      </c>
      <c r="N319" t="s">
        <v>249</v>
      </c>
      <c r="O319" t="s">
        <v>174</v>
      </c>
      <c r="P319">
        <v>2.6293194149910992E-2</v>
      </c>
      <c r="Q319" t="s">
        <v>166</v>
      </c>
      <c r="S319" t="s">
        <v>314</v>
      </c>
      <c r="T319" t="s">
        <v>174</v>
      </c>
      <c r="U319">
        <v>2.6145617297058717E-2</v>
      </c>
      <c r="V319" t="s">
        <v>166</v>
      </c>
    </row>
    <row r="320" spans="9:22" x14ac:dyDescent="0.45">
      <c r="I320" t="s">
        <v>184</v>
      </c>
      <c r="J320" t="s">
        <v>339</v>
      </c>
      <c r="K320">
        <v>6.1388951736259202E-3</v>
      </c>
      <c r="L320" t="s">
        <v>166</v>
      </c>
      <c r="N320" t="s">
        <v>249</v>
      </c>
      <c r="O320" t="s">
        <v>339</v>
      </c>
      <c r="P320">
        <v>4.7780654148633101E-3</v>
      </c>
      <c r="Q320" t="s">
        <v>166</v>
      </c>
      <c r="S320" t="s">
        <v>314</v>
      </c>
      <c r="T320" t="s">
        <v>339</v>
      </c>
      <c r="U320">
        <v>5.0100609724269456E-3</v>
      </c>
      <c r="V320" t="s">
        <v>166</v>
      </c>
    </row>
    <row r="321" spans="9:22" x14ac:dyDescent="0.45">
      <c r="I321" t="s">
        <v>184</v>
      </c>
      <c r="J321" t="s">
        <v>340</v>
      </c>
      <c r="K321">
        <v>4.233433804674884E-3</v>
      </c>
      <c r="L321" t="s">
        <v>166</v>
      </c>
      <c r="N321" t="s">
        <v>249</v>
      </c>
      <c r="O321" t="s">
        <v>340</v>
      </c>
      <c r="P321">
        <v>4.4807117368608719E-3</v>
      </c>
      <c r="Q321" t="s">
        <v>166</v>
      </c>
      <c r="S321" t="s">
        <v>314</v>
      </c>
      <c r="T321" t="s">
        <v>340</v>
      </c>
      <c r="U321">
        <v>4.9035485991512449E-3</v>
      </c>
      <c r="V321" t="s">
        <v>166</v>
      </c>
    </row>
    <row r="322" spans="9:22" x14ac:dyDescent="0.45">
      <c r="I322" t="s">
        <v>184</v>
      </c>
      <c r="J322" t="s">
        <v>341</v>
      </c>
      <c r="K322">
        <v>2.0728631751803896E-3</v>
      </c>
      <c r="L322" t="s">
        <v>166</v>
      </c>
      <c r="N322" t="s">
        <v>249</v>
      </c>
      <c r="O322" t="s">
        <v>341</v>
      </c>
      <c r="P322">
        <v>1.9847245597232669E-2</v>
      </c>
      <c r="Q322" t="s">
        <v>166</v>
      </c>
      <c r="S322" t="s">
        <v>314</v>
      </c>
      <c r="T322" t="s">
        <v>341</v>
      </c>
      <c r="U322">
        <v>2.2328779362679994E-2</v>
      </c>
      <c r="V322" t="s">
        <v>166</v>
      </c>
    </row>
    <row r="323" spans="9:22" x14ac:dyDescent="0.45">
      <c r="I323" t="s">
        <v>184</v>
      </c>
      <c r="J323" t="s">
        <v>175</v>
      </c>
      <c r="K323">
        <v>2.4101578315417611E-2</v>
      </c>
      <c r="L323" t="s">
        <v>166</v>
      </c>
      <c r="N323" t="s">
        <v>249</v>
      </c>
      <c r="O323" t="s">
        <v>175</v>
      </c>
      <c r="P323">
        <v>1.678462616758376E-2</v>
      </c>
      <c r="Q323" t="s">
        <v>166</v>
      </c>
      <c r="S323" t="s">
        <v>314</v>
      </c>
      <c r="T323" t="s">
        <v>175</v>
      </c>
      <c r="U323">
        <v>2.2195078509931437E-2</v>
      </c>
      <c r="V323" t="s">
        <v>166</v>
      </c>
    </row>
    <row r="324" spans="9:22" x14ac:dyDescent="0.45">
      <c r="I324" t="s">
        <v>184</v>
      </c>
      <c r="J324" t="s">
        <v>176</v>
      </c>
      <c r="K324">
        <v>9.5062774147365268E-3</v>
      </c>
      <c r="L324" t="s">
        <v>166</v>
      </c>
      <c r="N324" t="s">
        <v>249</v>
      </c>
      <c r="O324" t="s">
        <v>176</v>
      </c>
      <c r="P324">
        <v>1.3470619380344319E-3</v>
      </c>
      <c r="Q324" t="s">
        <v>166</v>
      </c>
      <c r="S324" t="s">
        <v>314</v>
      </c>
      <c r="T324" t="s">
        <v>176</v>
      </c>
      <c r="U324">
        <v>1.6786700283310983E-3</v>
      </c>
      <c r="V324" t="s">
        <v>166</v>
      </c>
    </row>
    <row r="325" spans="9:22" x14ac:dyDescent="0.45">
      <c r="I325" t="s">
        <v>184</v>
      </c>
      <c r="J325" t="s">
        <v>177</v>
      </c>
      <c r="K325">
        <v>5.2754618248780256E-2</v>
      </c>
      <c r="L325" t="s">
        <v>166</v>
      </c>
      <c r="N325" t="s">
        <v>249</v>
      </c>
      <c r="O325" t="s">
        <v>177</v>
      </c>
      <c r="P325">
        <v>1.757661378224603E-2</v>
      </c>
      <c r="Q325" t="s">
        <v>166</v>
      </c>
      <c r="S325" t="s">
        <v>314</v>
      </c>
      <c r="T325" t="s">
        <v>177</v>
      </c>
      <c r="U325">
        <v>1.870283419258334E-2</v>
      </c>
      <c r="V325" t="s">
        <v>166</v>
      </c>
    </row>
    <row r="326" spans="9:22" x14ac:dyDescent="0.45">
      <c r="I326" t="s">
        <v>184</v>
      </c>
      <c r="J326" t="s">
        <v>342</v>
      </c>
      <c r="K326">
        <v>5.2713369737479405E-3</v>
      </c>
      <c r="L326" t="s">
        <v>166</v>
      </c>
      <c r="N326" t="s">
        <v>249</v>
      </c>
      <c r="O326" t="s">
        <v>342</v>
      </c>
      <c r="P326">
        <v>3.5936878431744885E-3</v>
      </c>
      <c r="Q326" t="s">
        <v>166</v>
      </c>
      <c r="S326" t="s">
        <v>314</v>
      </c>
      <c r="T326" t="s">
        <v>342</v>
      </c>
      <c r="U326">
        <v>4.0033076791854139E-3</v>
      </c>
      <c r="V326" t="s">
        <v>166</v>
      </c>
    </row>
    <row r="327" spans="9:22" x14ac:dyDescent="0.45">
      <c r="I327" t="s">
        <v>184</v>
      </c>
      <c r="J327" t="s">
        <v>343</v>
      </c>
      <c r="K327">
        <v>3.4009389564997922E-3</v>
      </c>
      <c r="L327" t="s">
        <v>166</v>
      </c>
      <c r="N327" t="s">
        <v>249</v>
      </c>
      <c r="O327" t="s">
        <v>343</v>
      </c>
      <c r="P327">
        <v>3.3815473850797926E-3</v>
      </c>
      <c r="Q327" t="s">
        <v>166</v>
      </c>
      <c r="S327" t="s">
        <v>314</v>
      </c>
      <c r="T327" t="s">
        <v>343</v>
      </c>
      <c r="U327">
        <v>3.804592867561673E-3</v>
      </c>
      <c r="V327" t="s">
        <v>166</v>
      </c>
    </row>
    <row r="328" spans="9:22" x14ac:dyDescent="0.45">
      <c r="I328" t="s">
        <v>184</v>
      </c>
      <c r="J328" t="s">
        <v>344</v>
      </c>
      <c r="K328">
        <v>1.6180706197136731E-3</v>
      </c>
      <c r="L328" t="s">
        <v>166</v>
      </c>
      <c r="N328" t="s">
        <v>249</v>
      </c>
      <c r="O328" t="s">
        <v>344</v>
      </c>
      <c r="P328">
        <v>1.3965281312769933E-2</v>
      </c>
      <c r="Q328" t="s">
        <v>166</v>
      </c>
      <c r="S328" t="s">
        <v>314</v>
      </c>
      <c r="T328" t="s">
        <v>344</v>
      </c>
      <c r="U328">
        <v>1.7037017703530114E-2</v>
      </c>
      <c r="V328" t="s">
        <v>166</v>
      </c>
    </row>
    <row r="329" spans="9:22" x14ac:dyDescent="0.45">
      <c r="I329" t="s">
        <v>184</v>
      </c>
      <c r="J329" t="s">
        <v>345</v>
      </c>
      <c r="K329">
        <v>4.3698121335403337E-2</v>
      </c>
      <c r="L329" t="s">
        <v>166</v>
      </c>
      <c r="N329" t="s">
        <v>249</v>
      </c>
      <c r="O329" t="s">
        <v>345</v>
      </c>
      <c r="P329">
        <v>3.5898536425326547E-2</v>
      </c>
      <c r="Q329" t="s">
        <v>166</v>
      </c>
      <c r="S329" t="s">
        <v>314</v>
      </c>
      <c r="T329" t="s">
        <v>345</v>
      </c>
      <c r="U329">
        <v>4.192265545707121E-2</v>
      </c>
      <c r="V329" t="s">
        <v>166</v>
      </c>
    </row>
    <row r="330" spans="9:22" x14ac:dyDescent="0.45">
      <c r="I330" t="s">
        <v>184</v>
      </c>
      <c r="J330" t="s">
        <v>346</v>
      </c>
      <c r="K330">
        <v>1.8660244320284503E-2</v>
      </c>
      <c r="L330" t="s">
        <v>166</v>
      </c>
      <c r="N330" t="s">
        <v>249</v>
      </c>
      <c r="O330" t="s">
        <v>346</v>
      </c>
      <c r="P330">
        <v>3.1925983609702884E-3</v>
      </c>
      <c r="Q330" t="s">
        <v>166</v>
      </c>
      <c r="S330" t="s">
        <v>314</v>
      </c>
      <c r="T330" t="s">
        <v>346</v>
      </c>
      <c r="U330">
        <v>3.4479486775987676E-3</v>
      </c>
      <c r="V330" t="s">
        <v>166</v>
      </c>
    </row>
    <row r="331" spans="9:22" x14ac:dyDescent="0.45">
      <c r="I331" t="s">
        <v>184</v>
      </c>
      <c r="J331" t="s">
        <v>347</v>
      </c>
      <c r="K331">
        <v>0.10371230687176747</v>
      </c>
      <c r="L331" t="s">
        <v>166</v>
      </c>
      <c r="N331" t="s">
        <v>249</v>
      </c>
      <c r="O331" t="s">
        <v>347</v>
      </c>
      <c r="P331">
        <v>3.6341425891447836E-2</v>
      </c>
      <c r="Q331" t="s">
        <v>166</v>
      </c>
      <c r="S331" t="s">
        <v>314</v>
      </c>
      <c r="T331" t="s">
        <v>347</v>
      </c>
      <c r="U331">
        <v>3.6737710074177074E-2</v>
      </c>
      <c r="V331" t="s">
        <v>166</v>
      </c>
    </row>
    <row r="332" spans="9:22" x14ac:dyDescent="0.45">
      <c r="I332" t="s">
        <v>184</v>
      </c>
      <c r="J332" t="s">
        <v>348</v>
      </c>
      <c r="K332">
        <v>1.0319058438617643E-2</v>
      </c>
      <c r="L332" t="s">
        <v>166</v>
      </c>
      <c r="N332" t="s">
        <v>249</v>
      </c>
      <c r="O332" t="s">
        <v>348</v>
      </c>
      <c r="P332">
        <v>7.8635651320295499E-3</v>
      </c>
      <c r="Q332" t="s">
        <v>166</v>
      </c>
      <c r="S332" t="s">
        <v>314</v>
      </c>
      <c r="T332" t="s">
        <v>348</v>
      </c>
      <c r="U332">
        <v>8.3277739674322577E-3</v>
      </c>
      <c r="V332" t="s">
        <v>166</v>
      </c>
    </row>
    <row r="333" spans="9:22" x14ac:dyDescent="0.45">
      <c r="I333" t="s">
        <v>184</v>
      </c>
      <c r="J333" t="s">
        <v>349</v>
      </c>
      <c r="K333">
        <v>6.2662926432386391E-3</v>
      </c>
      <c r="L333" t="s">
        <v>166</v>
      </c>
      <c r="N333" t="s">
        <v>249</v>
      </c>
      <c r="O333" t="s">
        <v>349</v>
      </c>
      <c r="P333">
        <v>7.3958913924063539E-3</v>
      </c>
      <c r="Q333" t="s">
        <v>166</v>
      </c>
      <c r="S333" t="s">
        <v>314</v>
      </c>
      <c r="T333" t="s">
        <v>349</v>
      </c>
      <c r="U333">
        <v>8.1309008010563896E-3</v>
      </c>
      <c r="V333" t="s">
        <v>166</v>
      </c>
    </row>
    <row r="334" spans="9:22" x14ac:dyDescent="0.45">
      <c r="I334" t="s">
        <v>184</v>
      </c>
      <c r="J334" t="s">
        <v>350</v>
      </c>
      <c r="K334">
        <v>1.2463366083325783E-3</v>
      </c>
      <c r="L334" t="s">
        <v>166</v>
      </c>
      <c r="N334" t="s">
        <v>249</v>
      </c>
      <c r="O334" t="s">
        <v>350</v>
      </c>
      <c r="P334">
        <v>3.0133407400176879E-2</v>
      </c>
      <c r="Q334" t="s">
        <v>166</v>
      </c>
      <c r="S334" t="s">
        <v>314</v>
      </c>
      <c r="T334" t="s">
        <v>350</v>
      </c>
      <c r="U334">
        <v>3.4720051254691131E-2</v>
      </c>
      <c r="V334" t="s">
        <v>166</v>
      </c>
    </row>
    <row r="335" spans="9:22" x14ac:dyDescent="0.45">
      <c r="I335" t="s">
        <v>184</v>
      </c>
      <c r="J335" t="s">
        <v>351</v>
      </c>
      <c r="K335">
        <v>1.9558244870925563E-2</v>
      </c>
      <c r="L335" t="s">
        <v>166</v>
      </c>
      <c r="N335" t="s">
        <v>249</v>
      </c>
      <c r="O335" t="s">
        <v>351</v>
      </c>
      <c r="P335">
        <v>1.5015790666462182E-2</v>
      </c>
      <c r="Q335" t="s">
        <v>166</v>
      </c>
      <c r="S335" t="s">
        <v>314</v>
      </c>
      <c r="T335" t="s">
        <v>351</v>
      </c>
      <c r="U335">
        <v>1.6928135427075029E-2</v>
      </c>
      <c r="V335" t="s">
        <v>166</v>
      </c>
    </row>
    <row r="336" spans="9:22" x14ac:dyDescent="0.45">
      <c r="I336" t="s">
        <v>184</v>
      </c>
      <c r="J336" t="s">
        <v>352</v>
      </c>
      <c r="K336">
        <v>9.0657086365181026E-3</v>
      </c>
      <c r="L336" t="s">
        <v>166</v>
      </c>
      <c r="N336" t="s">
        <v>249</v>
      </c>
      <c r="O336" t="s">
        <v>352</v>
      </c>
      <c r="P336">
        <v>1.1849215224365558E-3</v>
      </c>
      <c r="Q336" t="s">
        <v>166</v>
      </c>
      <c r="S336" t="s">
        <v>314</v>
      </c>
      <c r="T336" t="s">
        <v>352</v>
      </c>
      <c r="U336">
        <v>1.2489329438823359E-3</v>
      </c>
      <c r="V336" t="s">
        <v>166</v>
      </c>
    </row>
    <row r="337" spans="9:22" x14ac:dyDescent="0.45">
      <c r="I337" t="s">
        <v>184</v>
      </c>
      <c r="J337" t="s">
        <v>353</v>
      </c>
      <c r="K337">
        <v>4.9803547761393736E-2</v>
      </c>
      <c r="L337" t="s">
        <v>166</v>
      </c>
      <c r="N337" t="s">
        <v>249</v>
      </c>
      <c r="O337" t="s">
        <v>353</v>
      </c>
      <c r="P337">
        <v>8.9264084375151112E-3</v>
      </c>
      <c r="Q337" t="s">
        <v>166</v>
      </c>
      <c r="S337" t="s">
        <v>314</v>
      </c>
      <c r="T337" t="s">
        <v>353</v>
      </c>
      <c r="U337">
        <v>8.0191927931439252E-3</v>
      </c>
      <c r="V337" t="s">
        <v>166</v>
      </c>
    </row>
    <row r="338" spans="9:22" x14ac:dyDescent="0.45">
      <c r="I338" t="s">
        <v>184</v>
      </c>
      <c r="J338" t="s">
        <v>354</v>
      </c>
      <c r="K338">
        <v>4.0538005139287847E-3</v>
      </c>
      <c r="L338" t="s">
        <v>166</v>
      </c>
      <c r="N338" t="s">
        <v>249</v>
      </c>
      <c r="O338" t="s">
        <v>354</v>
      </c>
      <c r="P338">
        <v>1.7592795104966657E-3</v>
      </c>
      <c r="Q338" t="s">
        <v>166</v>
      </c>
      <c r="S338" t="s">
        <v>314</v>
      </c>
      <c r="T338" t="s">
        <v>354</v>
      </c>
      <c r="U338">
        <v>1.6319566655823351E-3</v>
      </c>
      <c r="V338" t="s">
        <v>166</v>
      </c>
    </row>
    <row r="339" spans="9:22" x14ac:dyDescent="0.45">
      <c r="I339" t="s">
        <v>184</v>
      </c>
      <c r="J339" t="s">
        <v>355</v>
      </c>
      <c r="K339">
        <v>2.1759841782371001E-5</v>
      </c>
      <c r="L339" t="s">
        <v>166</v>
      </c>
      <c r="N339" t="s">
        <v>249</v>
      </c>
      <c r="O339" t="s">
        <v>355</v>
      </c>
      <c r="P339">
        <v>1.6939209359100589E-3</v>
      </c>
      <c r="Q339" t="s">
        <v>166</v>
      </c>
      <c r="S339" t="s">
        <v>314</v>
      </c>
      <c r="T339" t="s">
        <v>355</v>
      </c>
      <c r="U339">
        <v>1.7082488370435715E-3</v>
      </c>
      <c r="V339" t="s">
        <v>166</v>
      </c>
    </row>
    <row r="340" spans="9:22" x14ac:dyDescent="0.45">
      <c r="I340" t="s">
        <v>184</v>
      </c>
      <c r="J340" t="s">
        <v>356</v>
      </c>
      <c r="K340">
        <v>0</v>
      </c>
      <c r="L340" t="s">
        <v>166</v>
      </c>
      <c r="N340" t="s">
        <v>249</v>
      </c>
      <c r="O340" t="s">
        <v>356</v>
      </c>
      <c r="P340">
        <v>7.8695700763693876E-3</v>
      </c>
      <c r="Q340" t="s">
        <v>166</v>
      </c>
      <c r="S340" t="s">
        <v>314</v>
      </c>
      <c r="T340" t="s">
        <v>356</v>
      </c>
      <c r="U340">
        <v>8.1322944133552164E-3</v>
      </c>
      <c r="V340" t="s">
        <v>166</v>
      </c>
    </row>
    <row r="341" spans="9:22" x14ac:dyDescent="0.45">
      <c r="I341" t="s">
        <v>184</v>
      </c>
      <c r="J341" t="s">
        <v>357</v>
      </c>
      <c r="K341">
        <v>1.8329540235738916E-2</v>
      </c>
      <c r="L341" t="s">
        <v>166</v>
      </c>
      <c r="N341" t="s">
        <v>249</v>
      </c>
      <c r="O341" t="s">
        <v>357</v>
      </c>
      <c r="P341">
        <v>5.4794708312623577E-2</v>
      </c>
      <c r="Q341" t="s">
        <v>166</v>
      </c>
      <c r="S341" t="s">
        <v>314</v>
      </c>
      <c r="T341" t="s">
        <v>357</v>
      </c>
      <c r="U341">
        <v>4.9435726781577517E-2</v>
      </c>
      <c r="V341" t="s">
        <v>166</v>
      </c>
    </row>
    <row r="342" spans="9:22" x14ac:dyDescent="0.45">
      <c r="I342" t="s">
        <v>184</v>
      </c>
      <c r="J342" t="s">
        <v>358</v>
      </c>
      <c r="K342">
        <v>1.2621103159866819E-2</v>
      </c>
      <c r="L342" t="s">
        <v>166</v>
      </c>
      <c r="N342" t="s">
        <v>249</v>
      </c>
      <c r="O342" t="s">
        <v>358</v>
      </c>
      <c r="P342">
        <v>5.3495559179628427E-3</v>
      </c>
      <c r="Q342" t="s">
        <v>166</v>
      </c>
      <c r="S342" t="s">
        <v>314</v>
      </c>
      <c r="T342" t="s">
        <v>358</v>
      </c>
      <c r="U342">
        <v>5.0842939662611424E-3</v>
      </c>
      <c r="V342" t="s">
        <v>166</v>
      </c>
    </row>
    <row r="343" spans="9:22" x14ac:dyDescent="0.45">
      <c r="I343" t="s">
        <v>184</v>
      </c>
      <c r="J343" t="s">
        <v>359</v>
      </c>
      <c r="K343">
        <v>7.2299182556812169E-2</v>
      </c>
      <c r="L343" t="s">
        <v>166</v>
      </c>
      <c r="N343" t="s">
        <v>249</v>
      </c>
      <c r="O343" t="s">
        <v>359</v>
      </c>
      <c r="P343">
        <v>3.5391551201103086E-2</v>
      </c>
      <c r="Q343" t="s">
        <v>166</v>
      </c>
      <c r="S343" t="s">
        <v>314</v>
      </c>
      <c r="T343" t="s">
        <v>359</v>
      </c>
      <c r="U343">
        <v>3.2349549359375167E-2</v>
      </c>
      <c r="V343" t="s">
        <v>166</v>
      </c>
    </row>
    <row r="344" spans="9:22" x14ac:dyDescent="0.45">
      <c r="I344" t="s">
        <v>184</v>
      </c>
      <c r="J344" t="s">
        <v>360</v>
      </c>
      <c r="K344">
        <v>5.9137452124768276E-3</v>
      </c>
      <c r="L344" t="s">
        <v>166</v>
      </c>
      <c r="N344" t="s">
        <v>249</v>
      </c>
      <c r="O344" t="s">
        <v>360</v>
      </c>
      <c r="P344">
        <v>6.4035629145979076E-3</v>
      </c>
      <c r="Q344" t="s">
        <v>166</v>
      </c>
      <c r="S344" t="s">
        <v>314</v>
      </c>
      <c r="T344" t="s">
        <v>360</v>
      </c>
      <c r="U344">
        <v>5.6646945796616542E-3</v>
      </c>
      <c r="V344" t="s">
        <v>166</v>
      </c>
    </row>
    <row r="345" spans="9:22" x14ac:dyDescent="0.45">
      <c r="I345" t="s">
        <v>184</v>
      </c>
      <c r="J345" t="s">
        <v>361</v>
      </c>
      <c r="K345">
        <v>0</v>
      </c>
      <c r="L345" t="s">
        <v>166</v>
      </c>
      <c r="N345" t="s">
        <v>249</v>
      </c>
      <c r="O345" t="s">
        <v>361</v>
      </c>
      <c r="P345">
        <v>6.4131916894518345E-3</v>
      </c>
      <c r="Q345" t="s">
        <v>166</v>
      </c>
      <c r="S345" t="s">
        <v>314</v>
      </c>
      <c r="T345" t="s">
        <v>361</v>
      </c>
      <c r="U345">
        <v>5.5535142062674821E-3</v>
      </c>
      <c r="V345" t="s">
        <v>166</v>
      </c>
    </row>
    <row r="346" spans="9:22" x14ac:dyDescent="0.45">
      <c r="I346" t="s">
        <v>184</v>
      </c>
      <c r="J346" t="s">
        <v>362</v>
      </c>
      <c r="K346">
        <v>0</v>
      </c>
      <c r="L346" t="s">
        <v>166</v>
      </c>
      <c r="N346" t="s">
        <v>249</v>
      </c>
      <c r="O346" t="s">
        <v>362</v>
      </c>
      <c r="P346">
        <v>3.0384004861079304E-2</v>
      </c>
      <c r="Q346" t="s">
        <v>166</v>
      </c>
      <c r="S346" t="s">
        <v>314</v>
      </c>
      <c r="T346" t="s">
        <v>362</v>
      </c>
      <c r="U346">
        <v>2.6602092231466947E-2</v>
      </c>
      <c r="V346" t="s">
        <v>166</v>
      </c>
    </row>
    <row r="347" spans="9:22" x14ac:dyDescent="0.45">
      <c r="I347" t="s">
        <v>185</v>
      </c>
      <c r="J347" t="s">
        <v>165</v>
      </c>
      <c r="K347">
        <v>3.7370981077925129E-2</v>
      </c>
      <c r="L347" t="s">
        <v>166</v>
      </c>
      <c r="N347" t="s">
        <v>250</v>
      </c>
      <c r="O347" t="s">
        <v>165</v>
      </c>
      <c r="P347">
        <v>0.17627767202308586</v>
      </c>
      <c r="Q347" t="s">
        <v>166</v>
      </c>
      <c r="S347" t="s">
        <v>315</v>
      </c>
      <c r="T347" t="s">
        <v>165</v>
      </c>
      <c r="U347">
        <v>0.15904090629142378</v>
      </c>
      <c r="V347" t="s">
        <v>166</v>
      </c>
    </row>
    <row r="348" spans="9:22" x14ac:dyDescent="0.45">
      <c r="I348" t="s">
        <v>185</v>
      </c>
      <c r="J348" t="s">
        <v>167</v>
      </c>
      <c r="K348">
        <v>2.3945679642068167E-2</v>
      </c>
      <c r="L348" t="s">
        <v>166</v>
      </c>
      <c r="N348" t="s">
        <v>250</v>
      </c>
      <c r="O348" t="s">
        <v>167</v>
      </c>
      <c r="P348">
        <v>1.854887215018846E-2</v>
      </c>
      <c r="Q348" t="s">
        <v>166</v>
      </c>
      <c r="S348" t="s">
        <v>315</v>
      </c>
      <c r="T348" t="s">
        <v>167</v>
      </c>
      <c r="U348">
        <v>1.5918475239496892E-2</v>
      </c>
      <c r="V348" t="s">
        <v>166</v>
      </c>
    </row>
    <row r="349" spans="9:22" x14ac:dyDescent="0.45">
      <c r="I349" t="s">
        <v>185</v>
      </c>
      <c r="J349" t="s">
        <v>168</v>
      </c>
      <c r="K349">
        <v>0.14192160873153678</v>
      </c>
      <c r="L349" t="s">
        <v>166</v>
      </c>
      <c r="N349" t="s">
        <v>250</v>
      </c>
      <c r="O349" t="s">
        <v>168</v>
      </c>
      <c r="P349">
        <v>0.11881254626256639</v>
      </c>
      <c r="Q349" t="s">
        <v>166</v>
      </c>
      <c r="S349" t="s">
        <v>315</v>
      </c>
      <c r="T349" t="s">
        <v>168</v>
      </c>
      <c r="U349">
        <v>9.3708199189480021E-2</v>
      </c>
      <c r="V349" t="s">
        <v>166</v>
      </c>
    </row>
    <row r="350" spans="9:22" x14ac:dyDescent="0.45">
      <c r="I350" t="s">
        <v>185</v>
      </c>
      <c r="J350" t="s">
        <v>333</v>
      </c>
      <c r="K350">
        <v>1.5957405412288791E-2</v>
      </c>
      <c r="L350" t="s">
        <v>166</v>
      </c>
      <c r="N350" t="s">
        <v>250</v>
      </c>
      <c r="O350" t="s">
        <v>333</v>
      </c>
      <c r="P350">
        <v>1.6849121481157477E-2</v>
      </c>
      <c r="Q350" t="s">
        <v>166</v>
      </c>
      <c r="S350" t="s">
        <v>315</v>
      </c>
      <c r="T350" t="s">
        <v>333</v>
      </c>
      <c r="U350">
        <v>1.4305241906437475E-2</v>
      </c>
      <c r="V350" t="s">
        <v>166</v>
      </c>
    </row>
    <row r="351" spans="9:22" x14ac:dyDescent="0.45">
      <c r="I351" t="s">
        <v>185</v>
      </c>
      <c r="J351" t="s">
        <v>334</v>
      </c>
      <c r="K351">
        <v>5.6173364676461307E-3</v>
      </c>
      <c r="L351" t="s">
        <v>166</v>
      </c>
      <c r="N351" t="s">
        <v>250</v>
      </c>
      <c r="O351" t="s">
        <v>334</v>
      </c>
      <c r="P351">
        <v>1.6316801992596618E-2</v>
      </c>
      <c r="Q351" t="s">
        <v>166</v>
      </c>
      <c r="S351" t="s">
        <v>315</v>
      </c>
      <c r="T351" t="s">
        <v>334</v>
      </c>
      <c r="U351">
        <v>1.4322097062726503E-2</v>
      </c>
      <c r="V351" t="s">
        <v>166</v>
      </c>
    </row>
    <row r="352" spans="9:22" x14ac:dyDescent="0.45">
      <c r="I352" t="s">
        <v>185</v>
      </c>
      <c r="J352" t="s">
        <v>335</v>
      </c>
      <c r="K352">
        <v>0</v>
      </c>
      <c r="L352" t="s">
        <v>166</v>
      </c>
      <c r="N352" t="s">
        <v>250</v>
      </c>
      <c r="O352" t="s">
        <v>335</v>
      </c>
      <c r="P352">
        <v>8.2686426898895035E-2</v>
      </c>
      <c r="Q352" t="s">
        <v>166</v>
      </c>
      <c r="S352" t="s">
        <v>315</v>
      </c>
      <c r="T352" t="s">
        <v>335</v>
      </c>
      <c r="U352">
        <v>7.5411730725436235E-2</v>
      </c>
      <c r="V352" t="s">
        <v>166</v>
      </c>
    </row>
    <row r="353" spans="9:22" x14ac:dyDescent="0.45">
      <c r="I353" t="s">
        <v>185</v>
      </c>
      <c r="J353" t="s">
        <v>169</v>
      </c>
      <c r="K353">
        <v>4.5680597599031189E-2</v>
      </c>
      <c r="L353" t="s">
        <v>166</v>
      </c>
      <c r="N353" t="s">
        <v>250</v>
      </c>
      <c r="O353" t="s">
        <v>169</v>
      </c>
      <c r="P353">
        <v>5.6228243375659959E-2</v>
      </c>
      <c r="Q353" t="s">
        <v>166</v>
      </c>
      <c r="S353" t="s">
        <v>315</v>
      </c>
      <c r="T353" t="s">
        <v>169</v>
      </c>
      <c r="U353">
        <v>7.4085725550823642E-2</v>
      </c>
      <c r="V353" t="s">
        <v>166</v>
      </c>
    </row>
    <row r="354" spans="9:22" x14ac:dyDescent="0.45">
      <c r="I354" t="s">
        <v>185</v>
      </c>
      <c r="J354" t="s">
        <v>170</v>
      </c>
      <c r="K354">
        <v>1.8803045094393532E-2</v>
      </c>
      <c r="L354" t="s">
        <v>166</v>
      </c>
      <c r="N354" t="s">
        <v>250</v>
      </c>
      <c r="O354" t="s">
        <v>170</v>
      </c>
      <c r="P354">
        <v>5.3641003641488527E-3</v>
      </c>
      <c r="Q354" t="s">
        <v>166</v>
      </c>
      <c r="S354" t="s">
        <v>315</v>
      </c>
      <c r="T354" t="s">
        <v>170</v>
      </c>
      <c r="U354">
        <v>7.0228458600717341E-3</v>
      </c>
      <c r="V354" t="s">
        <v>166</v>
      </c>
    </row>
    <row r="355" spans="9:22" x14ac:dyDescent="0.45">
      <c r="I355" t="s">
        <v>185</v>
      </c>
      <c r="J355" t="s">
        <v>171</v>
      </c>
      <c r="K355">
        <v>0.11122210980259516</v>
      </c>
      <c r="L355" t="s">
        <v>166</v>
      </c>
      <c r="N355" t="s">
        <v>250</v>
      </c>
      <c r="O355" t="s">
        <v>171</v>
      </c>
      <c r="P355">
        <v>4.1858149782718942E-2</v>
      </c>
      <c r="Q355" t="s">
        <v>166</v>
      </c>
      <c r="S355" t="s">
        <v>315</v>
      </c>
      <c r="T355" t="s">
        <v>171</v>
      </c>
      <c r="U355">
        <v>4.3610542137781302E-2</v>
      </c>
      <c r="V355" t="s">
        <v>166</v>
      </c>
    </row>
    <row r="356" spans="9:22" x14ac:dyDescent="0.45">
      <c r="I356" t="s">
        <v>185</v>
      </c>
      <c r="J356" t="s">
        <v>336</v>
      </c>
      <c r="K356">
        <v>1.3128561645321946E-2</v>
      </c>
      <c r="L356" t="s">
        <v>166</v>
      </c>
      <c r="N356" t="s">
        <v>250</v>
      </c>
      <c r="O356" t="s">
        <v>336</v>
      </c>
      <c r="P356">
        <v>8.0488438692913802E-3</v>
      </c>
      <c r="Q356" t="s">
        <v>166</v>
      </c>
      <c r="S356" t="s">
        <v>315</v>
      </c>
      <c r="T356" t="s">
        <v>336</v>
      </c>
      <c r="U356">
        <v>7.2289561052309289E-3</v>
      </c>
      <c r="V356" t="s">
        <v>166</v>
      </c>
    </row>
    <row r="357" spans="9:22" x14ac:dyDescent="0.45">
      <c r="I357" t="s">
        <v>185</v>
      </c>
      <c r="J357" t="s">
        <v>337</v>
      </c>
      <c r="K357">
        <v>8.9783272981947184E-3</v>
      </c>
      <c r="L357" t="s">
        <v>166</v>
      </c>
      <c r="N357" t="s">
        <v>250</v>
      </c>
      <c r="O357" t="s">
        <v>337</v>
      </c>
      <c r="P357">
        <v>7.9567042307982436E-3</v>
      </c>
      <c r="Q357" t="s">
        <v>166</v>
      </c>
      <c r="S357" t="s">
        <v>315</v>
      </c>
      <c r="T357" t="s">
        <v>337</v>
      </c>
      <c r="U357">
        <v>6.9732680249636712E-3</v>
      </c>
      <c r="V357" t="s">
        <v>166</v>
      </c>
    </row>
    <row r="358" spans="9:22" x14ac:dyDescent="0.45">
      <c r="I358" t="s">
        <v>185</v>
      </c>
      <c r="J358" t="s">
        <v>338</v>
      </c>
      <c r="K358">
        <v>2.3204479010907795E-3</v>
      </c>
      <c r="L358" t="s">
        <v>166</v>
      </c>
      <c r="N358" t="s">
        <v>250</v>
      </c>
      <c r="O358" t="s">
        <v>338</v>
      </c>
      <c r="P358">
        <v>3.7938069836480216E-2</v>
      </c>
      <c r="Q358" t="s">
        <v>166</v>
      </c>
      <c r="S358" t="s">
        <v>315</v>
      </c>
      <c r="T358" t="s">
        <v>338</v>
      </c>
      <c r="U358">
        <v>3.581925193361165E-2</v>
      </c>
      <c r="V358" t="s">
        <v>166</v>
      </c>
    </row>
    <row r="359" spans="9:22" x14ac:dyDescent="0.45">
      <c r="I359" t="s">
        <v>185</v>
      </c>
      <c r="J359" t="s">
        <v>172</v>
      </c>
      <c r="K359">
        <v>2.476347269252201E-2</v>
      </c>
      <c r="L359" t="s">
        <v>166</v>
      </c>
      <c r="N359" t="s">
        <v>250</v>
      </c>
      <c r="O359" t="s">
        <v>172</v>
      </c>
      <c r="P359">
        <v>1.9115856368322751E-2</v>
      </c>
      <c r="Q359" t="s">
        <v>166</v>
      </c>
      <c r="S359" t="s">
        <v>315</v>
      </c>
      <c r="T359" t="s">
        <v>172</v>
      </c>
      <c r="U359">
        <v>3.634989657226835E-2</v>
      </c>
      <c r="V359" t="s">
        <v>166</v>
      </c>
    </row>
    <row r="360" spans="9:22" x14ac:dyDescent="0.45">
      <c r="I360" t="s">
        <v>185</v>
      </c>
      <c r="J360" t="s">
        <v>173</v>
      </c>
      <c r="K360">
        <v>9.251074909439971E-3</v>
      </c>
      <c r="L360" t="s">
        <v>166</v>
      </c>
      <c r="N360" t="s">
        <v>250</v>
      </c>
      <c r="O360" t="s">
        <v>173</v>
      </c>
      <c r="P360">
        <v>1.407772752701534E-3</v>
      </c>
      <c r="Q360" t="s">
        <v>166</v>
      </c>
      <c r="S360" t="s">
        <v>315</v>
      </c>
      <c r="T360" t="s">
        <v>173</v>
      </c>
      <c r="U360">
        <v>3.5175648488308237E-3</v>
      </c>
      <c r="V360" t="s">
        <v>166</v>
      </c>
    </row>
    <row r="361" spans="9:22" x14ac:dyDescent="0.45">
      <c r="I361" t="s">
        <v>185</v>
      </c>
      <c r="J361" t="s">
        <v>174</v>
      </c>
      <c r="K361">
        <v>5.4669138482414469E-2</v>
      </c>
      <c r="L361" t="s">
        <v>166</v>
      </c>
      <c r="N361" t="s">
        <v>250</v>
      </c>
      <c r="O361" t="s">
        <v>174</v>
      </c>
      <c r="P361">
        <v>9.2654616888399825E-3</v>
      </c>
      <c r="Q361" t="s">
        <v>166</v>
      </c>
      <c r="S361" t="s">
        <v>315</v>
      </c>
      <c r="T361" t="s">
        <v>174</v>
      </c>
      <c r="U361">
        <v>2.7061505308330409E-2</v>
      </c>
      <c r="V361" t="s">
        <v>166</v>
      </c>
    </row>
    <row r="362" spans="9:22" x14ac:dyDescent="0.45">
      <c r="I362" t="s">
        <v>185</v>
      </c>
      <c r="J362" t="s">
        <v>339</v>
      </c>
      <c r="K362">
        <v>6.3808821356207386E-3</v>
      </c>
      <c r="L362" t="s">
        <v>166</v>
      </c>
      <c r="N362" t="s">
        <v>250</v>
      </c>
      <c r="O362" t="s">
        <v>339</v>
      </c>
      <c r="P362">
        <v>2.088568914677626E-3</v>
      </c>
      <c r="Q362" t="s">
        <v>166</v>
      </c>
      <c r="S362" t="s">
        <v>315</v>
      </c>
      <c r="T362" t="s">
        <v>339</v>
      </c>
      <c r="U362">
        <v>4.5740803916989566E-3</v>
      </c>
      <c r="V362" t="s">
        <v>166</v>
      </c>
    </row>
    <row r="363" spans="9:22" x14ac:dyDescent="0.45">
      <c r="I363" t="s">
        <v>185</v>
      </c>
      <c r="J363" t="s">
        <v>340</v>
      </c>
      <c r="K363">
        <v>4.4207791594251143E-3</v>
      </c>
      <c r="L363" t="s">
        <v>166</v>
      </c>
      <c r="N363" t="s">
        <v>250</v>
      </c>
      <c r="O363" t="s">
        <v>340</v>
      </c>
      <c r="P363">
        <v>2.592102450213336E-3</v>
      </c>
      <c r="Q363" t="s">
        <v>166</v>
      </c>
      <c r="S363" t="s">
        <v>315</v>
      </c>
      <c r="T363" t="s">
        <v>340</v>
      </c>
      <c r="U363">
        <v>4.3256745555030332E-3</v>
      </c>
      <c r="V363" t="s">
        <v>166</v>
      </c>
    </row>
    <row r="364" spans="9:22" x14ac:dyDescent="0.45">
      <c r="I364" t="s">
        <v>185</v>
      </c>
      <c r="J364" t="s">
        <v>341</v>
      </c>
      <c r="K364">
        <v>2.1290191786497554E-3</v>
      </c>
      <c r="L364" t="s">
        <v>166</v>
      </c>
      <c r="N364" t="s">
        <v>250</v>
      </c>
      <c r="O364" t="s">
        <v>341</v>
      </c>
      <c r="P364">
        <v>1.8138041045422836E-2</v>
      </c>
      <c r="Q364" t="s">
        <v>166</v>
      </c>
      <c r="S364" t="s">
        <v>315</v>
      </c>
      <c r="T364" t="s">
        <v>341</v>
      </c>
      <c r="U364">
        <v>1.9612066915677451E-2</v>
      </c>
      <c r="V364" t="s">
        <v>166</v>
      </c>
    </row>
    <row r="365" spans="9:22" x14ac:dyDescent="0.45">
      <c r="I365" t="s">
        <v>185</v>
      </c>
      <c r="J365" t="s">
        <v>175</v>
      </c>
      <c r="K365">
        <v>2.232951023726594E-2</v>
      </c>
      <c r="L365" t="s">
        <v>166</v>
      </c>
      <c r="N365" t="s">
        <v>250</v>
      </c>
      <c r="O365" t="s">
        <v>175</v>
      </c>
      <c r="P365">
        <v>1.8466312746537952E-2</v>
      </c>
      <c r="Q365" t="s">
        <v>166</v>
      </c>
      <c r="S365" t="s">
        <v>315</v>
      </c>
      <c r="T365" t="s">
        <v>175</v>
      </c>
      <c r="U365">
        <v>1.9250306906116069E-2</v>
      </c>
      <c r="V365" t="s">
        <v>166</v>
      </c>
    </row>
    <row r="366" spans="9:22" x14ac:dyDescent="0.45">
      <c r="I366" t="s">
        <v>185</v>
      </c>
      <c r="J366" t="s">
        <v>176</v>
      </c>
      <c r="K366">
        <v>9.0341254035849073E-3</v>
      </c>
      <c r="L366" t="s">
        <v>166</v>
      </c>
      <c r="N366" t="s">
        <v>250</v>
      </c>
      <c r="O366" t="s">
        <v>176</v>
      </c>
      <c r="P366">
        <v>1.2644858144037552E-3</v>
      </c>
      <c r="Q366" t="s">
        <v>166</v>
      </c>
      <c r="S366" t="s">
        <v>315</v>
      </c>
      <c r="T366" t="s">
        <v>176</v>
      </c>
      <c r="U366">
        <v>1.5906339305251191E-3</v>
      </c>
      <c r="V366" t="s">
        <v>166</v>
      </c>
    </row>
    <row r="367" spans="9:22" x14ac:dyDescent="0.45">
      <c r="I367" t="s">
        <v>185</v>
      </c>
      <c r="J367" t="s">
        <v>177</v>
      </c>
      <c r="K367">
        <v>5.2748559757146492E-2</v>
      </c>
      <c r="L367" t="s">
        <v>166</v>
      </c>
      <c r="N367" t="s">
        <v>250</v>
      </c>
      <c r="O367" t="s">
        <v>177</v>
      </c>
      <c r="P367">
        <v>9.485443617985638E-3</v>
      </c>
      <c r="Q367" t="s">
        <v>166</v>
      </c>
      <c r="S367" t="s">
        <v>315</v>
      </c>
      <c r="T367" t="s">
        <v>177</v>
      </c>
      <c r="U367">
        <v>1.7088764008201692E-2</v>
      </c>
      <c r="V367" t="s">
        <v>166</v>
      </c>
    </row>
    <row r="368" spans="9:22" x14ac:dyDescent="0.45">
      <c r="I368" t="s">
        <v>185</v>
      </c>
      <c r="J368" t="s">
        <v>342</v>
      </c>
      <c r="K368">
        <v>5.7769242244423789E-3</v>
      </c>
      <c r="L368" t="s">
        <v>166</v>
      </c>
      <c r="N368" t="s">
        <v>250</v>
      </c>
      <c r="O368" t="s">
        <v>342</v>
      </c>
      <c r="P368">
        <v>1.7495279091542682E-3</v>
      </c>
      <c r="Q368" t="s">
        <v>166</v>
      </c>
      <c r="S368" t="s">
        <v>315</v>
      </c>
      <c r="T368" t="s">
        <v>342</v>
      </c>
      <c r="U368">
        <v>3.2713307409128374E-3</v>
      </c>
      <c r="V368" t="s">
        <v>166</v>
      </c>
    </row>
    <row r="369" spans="9:22" x14ac:dyDescent="0.45">
      <c r="I369" t="s">
        <v>185</v>
      </c>
      <c r="J369" t="s">
        <v>343</v>
      </c>
      <c r="K369">
        <v>3.5568578698884821E-3</v>
      </c>
      <c r="L369" t="s">
        <v>166</v>
      </c>
      <c r="N369" t="s">
        <v>250</v>
      </c>
      <c r="O369" t="s">
        <v>343</v>
      </c>
      <c r="P369">
        <v>1.7388562542277816E-3</v>
      </c>
      <c r="Q369" t="s">
        <v>166</v>
      </c>
      <c r="S369" t="s">
        <v>315</v>
      </c>
      <c r="T369" t="s">
        <v>343</v>
      </c>
      <c r="U369">
        <v>3.1204374684365129E-3</v>
      </c>
      <c r="V369" t="s">
        <v>166</v>
      </c>
    </row>
    <row r="370" spans="9:22" x14ac:dyDescent="0.45">
      <c r="I370" t="s">
        <v>185</v>
      </c>
      <c r="J370" t="s">
        <v>344</v>
      </c>
      <c r="K370">
        <v>1.6731751289012222E-3</v>
      </c>
      <c r="L370" t="s">
        <v>166</v>
      </c>
      <c r="N370" t="s">
        <v>250</v>
      </c>
      <c r="O370" t="s">
        <v>344</v>
      </c>
      <c r="P370">
        <v>1.4372937635178737E-2</v>
      </c>
      <c r="Q370" t="s">
        <v>166</v>
      </c>
      <c r="S370" t="s">
        <v>315</v>
      </c>
      <c r="T370" t="s">
        <v>344</v>
      </c>
      <c r="U370">
        <v>1.356092053749074E-2</v>
      </c>
      <c r="V370" t="s">
        <v>166</v>
      </c>
    </row>
    <row r="371" spans="9:22" x14ac:dyDescent="0.45">
      <c r="I371" t="s">
        <v>185</v>
      </c>
      <c r="J371" t="s">
        <v>345</v>
      </c>
      <c r="K371">
        <v>4.0768561665249198E-2</v>
      </c>
      <c r="L371" t="s">
        <v>166</v>
      </c>
      <c r="N371" t="s">
        <v>250</v>
      </c>
      <c r="O371" t="s">
        <v>345</v>
      </c>
      <c r="P371">
        <v>3.1887149951966454E-2</v>
      </c>
      <c r="Q371" t="s">
        <v>166</v>
      </c>
      <c r="S371" t="s">
        <v>315</v>
      </c>
      <c r="T371" t="s">
        <v>345</v>
      </c>
      <c r="U371">
        <v>3.9886909951220281E-2</v>
      </c>
      <c r="V371" t="s">
        <v>166</v>
      </c>
    </row>
    <row r="372" spans="9:22" x14ac:dyDescent="0.45">
      <c r="I372" t="s">
        <v>185</v>
      </c>
      <c r="J372" t="s">
        <v>346</v>
      </c>
      <c r="K372">
        <v>1.7959063742898237E-2</v>
      </c>
      <c r="L372" t="s">
        <v>166</v>
      </c>
      <c r="N372" t="s">
        <v>250</v>
      </c>
      <c r="O372" t="s">
        <v>346</v>
      </c>
      <c r="P372">
        <v>2.7324543790351315E-3</v>
      </c>
      <c r="Q372" t="s">
        <v>166</v>
      </c>
      <c r="S372" t="s">
        <v>315</v>
      </c>
      <c r="T372" t="s">
        <v>346</v>
      </c>
      <c r="U372">
        <v>3.4509916071651589E-3</v>
      </c>
      <c r="V372" t="s">
        <v>166</v>
      </c>
    </row>
    <row r="373" spans="9:22" x14ac:dyDescent="0.45">
      <c r="I373" t="s">
        <v>185</v>
      </c>
      <c r="J373" t="s">
        <v>347</v>
      </c>
      <c r="K373">
        <v>0.10277052080911983</v>
      </c>
      <c r="L373" t="s">
        <v>166</v>
      </c>
      <c r="N373" t="s">
        <v>250</v>
      </c>
      <c r="O373" t="s">
        <v>347</v>
      </c>
      <c r="P373">
        <v>2.7273752641781609E-2</v>
      </c>
      <c r="Q373" t="s">
        <v>166</v>
      </c>
      <c r="S373" t="s">
        <v>315</v>
      </c>
      <c r="T373" t="s">
        <v>347</v>
      </c>
      <c r="U373">
        <v>3.2608288939716679E-2</v>
      </c>
      <c r="V373" t="s">
        <v>166</v>
      </c>
    </row>
    <row r="374" spans="9:22" x14ac:dyDescent="0.45">
      <c r="I374" t="s">
        <v>185</v>
      </c>
      <c r="J374" t="s">
        <v>348</v>
      </c>
      <c r="K374">
        <v>1.0768928691413928E-2</v>
      </c>
      <c r="L374" t="s">
        <v>166</v>
      </c>
      <c r="N374" t="s">
        <v>250</v>
      </c>
      <c r="O374" t="s">
        <v>348</v>
      </c>
      <c r="P374">
        <v>5.1459151811010673E-3</v>
      </c>
      <c r="Q374" t="s">
        <v>166</v>
      </c>
      <c r="S374" t="s">
        <v>315</v>
      </c>
      <c r="T374" t="s">
        <v>348</v>
      </c>
      <c r="U374">
        <v>7.1306796615306593E-3</v>
      </c>
      <c r="V374" t="s">
        <v>166</v>
      </c>
    </row>
    <row r="375" spans="9:22" x14ac:dyDescent="0.45">
      <c r="I375" t="s">
        <v>185</v>
      </c>
      <c r="J375" t="s">
        <v>349</v>
      </c>
      <c r="K375">
        <v>6.7096733814481536E-3</v>
      </c>
      <c r="L375" t="s">
        <v>166</v>
      </c>
      <c r="N375" t="s">
        <v>250</v>
      </c>
      <c r="O375" t="s">
        <v>349</v>
      </c>
      <c r="P375">
        <v>5.1511014542968093E-3</v>
      </c>
      <c r="Q375" t="s">
        <v>166</v>
      </c>
      <c r="S375" t="s">
        <v>315</v>
      </c>
      <c r="T375" t="s">
        <v>349</v>
      </c>
      <c r="U375">
        <v>6.872373713441275E-3</v>
      </c>
      <c r="V375" t="s">
        <v>166</v>
      </c>
    </row>
    <row r="376" spans="9:22" x14ac:dyDescent="0.45">
      <c r="I376" t="s">
        <v>185</v>
      </c>
      <c r="J376" t="s">
        <v>350</v>
      </c>
      <c r="K376">
        <v>1.3900293216360846E-3</v>
      </c>
      <c r="L376" t="s">
        <v>166</v>
      </c>
      <c r="N376" t="s">
        <v>250</v>
      </c>
      <c r="O376" t="s">
        <v>350</v>
      </c>
      <c r="P376">
        <v>2.6675883835809676E-2</v>
      </c>
      <c r="Q376" t="s">
        <v>166</v>
      </c>
      <c r="S376" t="s">
        <v>315</v>
      </c>
      <c r="T376" t="s">
        <v>350</v>
      </c>
      <c r="U376">
        <v>2.9418940062141699E-2</v>
      </c>
      <c r="V376" t="s">
        <v>166</v>
      </c>
    </row>
    <row r="377" spans="9:22" x14ac:dyDescent="0.45">
      <c r="I377" t="s">
        <v>185</v>
      </c>
      <c r="J377" t="s">
        <v>351</v>
      </c>
      <c r="K377">
        <v>1.9253859291319373E-2</v>
      </c>
      <c r="L377" t="s">
        <v>166</v>
      </c>
      <c r="N377" t="s">
        <v>250</v>
      </c>
      <c r="O377" t="s">
        <v>351</v>
      </c>
      <c r="P377">
        <v>3.0378171388284678E-2</v>
      </c>
      <c r="Q377" t="s">
        <v>166</v>
      </c>
      <c r="S377" t="s">
        <v>315</v>
      </c>
      <c r="T377" t="s">
        <v>351</v>
      </c>
      <c r="U377">
        <v>1.5300051526406191E-2</v>
      </c>
      <c r="V377" t="s">
        <v>166</v>
      </c>
    </row>
    <row r="378" spans="9:22" x14ac:dyDescent="0.45">
      <c r="I378" t="s">
        <v>185</v>
      </c>
      <c r="J378" t="s">
        <v>352</v>
      </c>
      <c r="K378">
        <v>8.975591428595716E-3</v>
      </c>
      <c r="L378" t="s">
        <v>166</v>
      </c>
      <c r="N378" t="s">
        <v>250</v>
      </c>
      <c r="O378" t="s">
        <v>352</v>
      </c>
      <c r="P378">
        <v>2.1710358377587105E-3</v>
      </c>
      <c r="Q378" t="s">
        <v>166</v>
      </c>
      <c r="S378" t="s">
        <v>315</v>
      </c>
      <c r="T378" t="s">
        <v>352</v>
      </c>
      <c r="U378">
        <v>1.2061097598319891E-3</v>
      </c>
      <c r="V378" t="s">
        <v>166</v>
      </c>
    </row>
    <row r="379" spans="9:22" x14ac:dyDescent="0.45">
      <c r="I379" t="s">
        <v>185</v>
      </c>
      <c r="J379" t="s">
        <v>353</v>
      </c>
      <c r="K379">
        <v>4.969641472362038E-2</v>
      </c>
      <c r="L379" t="s">
        <v>166</v>
      </c>
      <c r="N379" t="s">
        <v>250</v>
      </c>
      <c r="O379" t="s">
        <v>353</v>
      </c>
      <c r="P379">
        <v>1.2861669499563995E-2</v>
      </c>
      <c r="Q379" t="s">
        <v>166</v>
      </c>
      <c r="S379" t="s">
        <v>315</v>
      </c>
      <c r="T379" t="s">
        <v>353</v>
      </c>
      <c r="U379">
        <v>8.8580458774844099E-3</v>
      </c>
      <c r="V379" t="s">
        <v>166</v>
      </c>
    </row>
    <row r="380" spans="9:22" x14ac:dyDescent="0.45">
      <c r="I380" t="s">
        <v>185</v>
      </c>
      <c r="J380" t="s">
        <v>354</v>
      </c>
      <c r="K380">
        <v>4.6403040012816836E-3</v>
      </c>
      <c r="L380" t="s">
        <v>166</v>
      </c>
      <c r="N380" t="s">
        <v>250</v>
      </c>
      <c r="O380" t="s">
        <v>354</v>
      </c>
      <c r="P380">
        <v>1.8612514105032642E-3</v>
      </c>
      <c r="Q380" t="s">
        <v>166</v>
      </c>
      <c r="S380" t="s">
        <v>315</v>
      </c>
      <c r="T380" t="s">
        <v>354</v>
      </c>
      <c r="U380">
        <v>1.6716409817916021E-3</v>
      </c>
      <c r="V380" t="s">
        <v>166</v>
      </c>
    </row>
    <row r="381" spans="9:22" x14ac:dyDescent="0.45">
      <c r="I381" t="s">
        <v>185</v>
      </c>
      <c r="J381" t="s">
        <v>355</v>
      </c>
      <c r="K381">
        <v>3.1814077274191908E-4</v>
      </c>
      <c r="L381" t="s">
        <v>166</v>
      </c>
      <c r="N381" t="s">
        <v>250</v>
      </c>
      <c r="O381" t="s">
        <v>355</v>
      </c>
      <c r="P381">
        <v>2.2633284921570363E-3</v>
      </c>
      <c r="Q381" t="s">
        <v>166</v>
      </c>
      <c r="S381" t="s">
        <v>315</v>
      </c>
      <c r="T381" t="s">
        <v>355</v>
      </c>
      <c r="U381">
        <v>1.5734125947828841E-3</v>
      </c>
      <c r="V381" t="s">
        <v>166</v>
      </c>
    </row>
    <row r="382" spans="9:22" x14ac:dyDescent="0.45">
      <c r="I382" t="s">
        <v>185</v>
      </c>
      <c r="J382" t="s">
        <v>356</v>
      </c>
      <c r="K382">
        <v>0</v>
      </c>
      <c r="L382" t="s">
        <v>166</v>
      </c>
      <c r="N382" t="s">
        <v>250</v>
      </c>
      <c r="O382" t="s">
        <v>356</v>
      </c>
      <c r="P382">
        <v>1.724825045789263E-2</v>
      </c>
      <c r="Q382" t="s">
        <v>166</v>
      </c>
      <c r="S382" t="s">
        <v>315</v>
      </c>
      <c r="T382" t="s">
        <v>356</v>
      </c>
      <c r="U382">
        <v>7.7320393314778638E-3</v>
      </c>
      <c r="V382" t="s">
        <v>166</v>
      </c>
    </row>
    <row r="383" spans="9:22" x14ac:dyDescent="0.45">
      <c r="I383" t="s">
        <v>185</v>
      </c>
      <c r="J383" t="s">
        <v>357</v>
      </c>
      <c r="K383">
        <v>1.9004722660840714E-2</v>
      </c>
      <c r="L383" t="s">
        <v>166</v>
      </c>
      <c r="N383" t="s">
        <v>250</v>
      </c>
      <c r="O383" t="s">
        <v>357</v>
      </c>
      <c r="P383">
        <v>6.284810053356675E-2</v>
      </c>
      <c r="Q383" t="s">
        <v>166</v>
      </c>
      <c r="S383" t="s">
        <v>315</v>
      </c>
      <c r="T383" t="s">
        <v>357</v>
      </c>
      <c r="U383">
        <v>5.826216905636044E-2</v>
      </c>
      <c r="V383" t="s">
        <v>166</v>
      </c>
    </row>
    <row r="384" spans="9:22" x14ac:dyDescent="0.45">
      <c r="I384" t="s">
        <v>185</v>
      </c>
      <c r="J384" t="s">
        <v>358</v>
      </c>
      <c r="K384">
        <v>1.3182707282477415E-2</v>
      </c>
      <c r="L384" t="s">
        <v>166</v>
      </c>
      <c r="N384" t="s">
        <v>250</v>
      </c>
      <c r="O384" t="s">
        <v>358</v>
      </c>
      <c r="P384">
        <v>5.8860136686933974E-3</v>
      </c>
      <c r="Q384" t="s">
        <v>166</v>
      </c>
      <c r="S384" t="s">
        <v>315</v>
      </c>
      <c r="T384" t="s">
        <v>358</v>
      </c>
      <c r="U384">
        <v>5.5994372809591159E-3</v>
      </c>
      <c r="V384" t="s">
        <v>166</v>
      </c>
    </row>
    <row r="385" spans="9:22" x14ac:dyDescent="0.45">
      <c r="I385" t="s">
        <v>185</v>
      </c>
      <c r="J385" t="s">
        <v>359</v>
      </c>
      <c r="K385">
        <v>7.6618272076943453E-2</v>
      </c>
      <c r="L385" t="s">
        <v>166</v>
      </c>
      <c r="N385" t="s">
        <v>250</v>
      </c>
      <c r="O385" t="s">
        <v>359</v>
      </c>
      <c r="P385">
        <v>3.7532530648407406E-2</v>
      </c>
      <c r="Q385" t="s">
        <v>166</v>
      </c>
      <c r="S385" t="s">
        <v>315</v>
      </c>
      <c r="T385" t="s">
        <v>359</v>
      </c>
      <c r="U385">
        <v>3.5034007994105082E-2</v>
      </c>
      <c r="V385" t="s">
        <v>166</v>
      </c>
    </row>
    <row r="386" spans="9:22" x14ac:dyDescent="0.45">
      <c r="I386" t="s">
        <v>185</v>
      </c>
      <c r="J386" t="s">
        <v>360</v>
      </c>
      <c r="K386">
        <v>6.2635902990226013E-3</v>
      </c>
      <c r="L386" t="s">
        <v>166</v>
      </c>
      <c r="N386" t="s">
        <v>250</v>
      </c>
      <c r="O386" t="s">
        <v>360</v>
      </c>
      <c r="P386">
        <v>5.6325750834172687E-3</v>
      </c>
      <c r="Q386" t="s">
        <v>166</v>
      </c>
      <c r="S386" t="s">
        <v>315</v>
      </c>
      <c r="T386" t="s">
        <v>360</v>
      </c>
      <c r="U386">
        <v>6.5059242855867441E-3</v>
      </c>
      <c r="V386" t="s">
        <v>166</v>
      </c>
    </row>
    <row r="387" spans="9:22" x14ac:dyDescent="0.45">
      <c r="I387" t="s">
        <v>185</v>
      </c>
      <c r="J387" t="s">
        <v>361</v>
      </c>
      <c r="K387">
        <v>0</v>
      </c>
      <c r="L387" t="s">
        <v>166</v>
      </c>
      <c r="N387" t="s">
        <v>250</v>
      </c>
      <c r="O387" t="s">
        <v>361</v>
      </c>
      <c r="P387">
        <v>5.8092833677707003E-3</v>
      </c>
      <c r="Q387" t="s">
        <v>166</v>
      </c>
      <c r="S387" t="s">
        <v>315</v>
      </c>
      <c r="T387" t="s">
        <v>361</v>
      </c>
      <c r="U387">
        <v>6.6010193853867838E-3</v>
      </c>
      <c r="V387" t="s">
        <v>166</v>
      </c>
    </row>
    <row r="388" spans="9:22" x14ac:dyDescent="0.45">
      <c r="I388" t="s">
        <v>185</v>
      </c>
      <c r="J388" t="s">
        <v>362</v>
      </c>
      <c r="K388">
        <v>0</v>
      </c>
      <c r="L388" t="s">
        <v>166</v>
      </c>
      <c r="N388" t="s">
        <v>250</v>
      </c>
      <c r="O388" t="s">
        <v>362</v>
      </c>
      <c r="P388">
        <v>3.0070612702735113E-2</v>
      </c>
      <c r="Q388" t="s">
        <v>166</v>
      </c>
      <c r="S388" t="s">
        <v>315</v>
      </c>
      <c r="T388" t="s">
        <v>362</v>
      </c>
      <c r="U388">
        <v>3.1517535779130058E-2</v>
      </c>
      <c r="V388" t="s">
        <v>166</v>
      </c>
    </row>
    <row r="389" spans="9:22" x14ac:dyDescent="0.45">
      <c r="I389" t="s">
        <v>186</v>
      </c>
      <c r="J389" t="s">
        <v>165</v>
      </c>
      <c r="K389">
        <v>3.1731715656423298E-2</v>
      </c>
      <c r="L389" t="s">
        <v>166</v>
      </c>
      <c r="N389" t="s">
        <v>251</v>
      </c>
      <c r="O389" t="s">
        <v>165</v>
      </c>
      <c r="P389">
        <v>0.19790949800725072</v>
      </c>
      <c r="Q389" t="s">
        <v>166</v>
      </c>
      <c r="S389" t="s">
        <v>316</v>
      </c>
      <c r="T389" t="s">
        <v>165</v>
      </c>
      <c r="U389">
        <v>0.18396464206253368</v>
      </c>
      <c r="V389" t="s">
        <v>166</v>
      </c>
    </row>
    <row r="390" spans="9:22" x14ac:dyDescent="0.45">
      <c r="I390" t="s">
        <v>186</v>
      </c>
      <c r="J390" t="s">
        <v>167</v>
      </c>
      <c r="K390">
        <v>2.1345715564540922E-2</v>
      </c>
      <c r="L390" t="s">
        <v>166</v>
      </c>
      <c r="N390" t="s">
        <v>251</v>
      </c>
      <c r="O390" t="s">
        <v>167</v>
      </c>
      <c r="P390">
        <v>2.2665117260179248E-2</v>
      </c>
      <c r="Q390" t="s">
        <v>166</v>
      </c>
      <c r="S390" t="s">
        <v>316</v>
      </c>
      <c r="T390" t="s">
        <v>167</v>
      </c>
      <c r="U390">
        <v>1.9054485027932271E-2</v>
      </c>
      <c r="V390" t="s">
        <v>166</v>
      </c>
    </row>
    <row r="391" spans="9:22" x14ac:dyDescent="0.45">
      <c r="I391" t="s">
        <v>186</v>
      </c>
      <c r="J391" t="s">
        <v>168</v>
      </c>
      <c r="K391">
        <v>0.13056978984922143</v>
      </c>
      <c r="L391" t="s">
        <v>166</v>
      </c>
      <c r="N391" t="s">
        <v>251</v>
      </c>
      <c r="O391" t="s">
        <v>168</v>
      </c>
      <c r="P391">
        <v>0.15193921938511531</v>
      </c>
      <c r="Q391" t="s">
        <v>166</v>
      </c>
      <c r="S391" t="s">
        <v>316</v>
      </c>
      <c r="T391" t="s">
        <v>168</v>
      </c>
      <c r="U391">
        <v>0.11452896605807235</v>
      </c>
      <c r="V391" t="s">
        <v>166</v>
      </c>
    </row>
    <row r="392" spans="9:22" x14ac:dyDescent="0.45">
      <c r="I392" t="s">
        <v>186</v>
      </c>
      <c r="J392" t="s">
        <v>333</v>
      </c>
      <c r="K392">
        <v>1.4782251532485947E-2</v>
      </c>
      <c r="L392" t="s">
        <v>166</v>
      </c>
      <c r="N392" t="s">
        <v>251</v>
      </c>
      <c r="O392" t="s">
        <v>333</v>
      </c>
      <c r="P392">
        <v>2.0345674605398781E-2</v>
      </c>
      <c r="Q392" t="s">
        <v>166</v>
      </c>
      <c r="S392" t="s">
        <v>316</v>
      </c>
      <c r="T392" t="s">
        <v>333</v>
      </c>
      <c r="U392">
        <v>1.5821043680962429E-2</v>
      </c>
      <c r="V392" t="s">
        <v>166</v>
      </c>
    </row>
    <row r="393" spans="9:22" x14ac:dyDescent="0.45">
      <c r="I393" t="s">
        <v>186</v>
      </c>
      <c r="J393" t="s">
        <v>334</v>
      </c>
      <c r="K393">
        <v>5.0651402276535419E-3</v>
      </c>
      <c r="L393" t="s">
        <v>166</v>
      </c>
      <c r="N393" t="s">
        <v>251</v>
      </c>
      <c r="O393" t="s">
        <v>334</v>
      </c>
      <c r="P393">
        <v>1.9041619047814581E-2</v>
      </c>
      <c r="Q393" t="s">
        <v>166</v>
      </c>
      <c r="S393" t="s">
        <v>316</v>
      </c>
      <c r="T393" t="s">
        <v>334</v>
      </c>
      <c r="U393">
        <v>1.5325971043594237E-2</v>
      </c>
      <c r="V393" t="s">
        <v>166</v>
      </c>
    </row>
    <row r="394" spans="9:22" x14ac:dyDescent="0.45">
      <c r="I394" t="s">
        <v>186</v>
      </c>
      <c r="J394" t="s">
        <v>335</v>
      </c>
      <c r="K394">
        <v>0</v>
      </c>
      <c r="L394" t="s">
        <v>166</v>
      </c>
      <c r="N394" t="s">
        <v>251</v>
      </c>
      <c r="O394" t="s">
        <v>335</v>
      </c>
      <c r="P394">
        <v>9.3857605933568469E-2</v>
      </c>
      <c r="Q394" t="s">
        <v>166</v>
      </c>
      <c r="S394" t="s">
        <v>316</v>
      </c>
      <c r="T394" t="s">
        <v>335</v>
      </c>
      <c r="U394">
        <v>8.4110941091947791E-2</v>
      </c>
      <c r="V394" t="s">
        <v>166</v>
      </c>
    </row>
    <row r="395" spans="9:22" x14ac:dyDescent="0.45">
      <c r="I395" t="s">
        <v>186</v>
      </c>
      <c r="J395" t="s">
        <v>169</v>
      </c>
      <c r="K395">
        <v>4.0249286093205563E-2</v>
      </c>
      <c r="L395" t="s">
        <v>166</v>
      </c>
      <c r="N395" t="s">
        <v>251</v>
      </c>
      <c r="O395" t="s">
        <v>169</v>
      </c>
      <c r="P395">
        <v>5.2622194643068297E-2</v>
      </c>
      <c r="Q395" t="s">
        <v>166</v>
      </c>
      <c r="S395" t="s">
        <v>316</v>
      </c>
      <c r="T395" t="s">
        <v>169</v>
      </c>
      <c r="U395">
        <v>7.1881436678151597E-2</v>
      </c>
      <c r="V395" t="s">
        <v>166</v>
      </c>
    </row>
    <row r="396" spans="9:22" x14ac:dyDescent="0.45">
      <c r="I396" t="s">
        <v>186</v>
      </c>
      <c r="J396" t="s">
        <v>170</v>
      </c>
      <c r="K396">
        <v>1.7472492575489742E-2</v>
      </c>
      <c r="L396" t="s">
        <v>166</v>
      </c>
      <c r="N396" t="s">
        <v>251</v>
      </c>
      <c r="O396" t="s">
        <v>170</v>
      </c>
      <c r="P396">
        <v>6.2360031331525146E-3</v>
      </c>
      <c r="Q396" t="s">
        <v>166</v>
      </c>
      <c r="S396" t="s">
        <v>316</v>
      </c>
      <c r="T396" t="s">
        <v>170</v>
      </c>
      <c r="U396">
        <v>7.2009181039559477E-3</v>
      </c>
      <c r="V396" t="s">
        <v>166</v>
      </c>
    </row>
    <row r="397" spans="9:22" x14ac:dyDescent="0.45">
      <c r="I397" t="s">
        <v>186</v>
      </c>
      <c r="J397" t="s">
        <v>171</v>
      </c>
      <c r="K397">
        <v>0.11212846574677024</v>
      </c>
      <c r="L397" t="s">
        <v>166</v>
      </c>
      <c r="N397" t="s">
        <v>251</v>
      </c>
      <c r="O397" t="s">
        <v>171</v>
      </c>
      <c r="P397">
        <v>5.1074379892461316E-2</v>
      </c>
      <c r="Q397" t="s">
        <v>166</v>
      </c>
      <c r="S397" t="s">
        <v>316</v>
      </c>
      <c r="T397" t="s">
        <v>171</v>
      </c>
      <c r="U397">
        <v>4.5608863948820091E-2</v>
      </c>
      <c r="V397" t="s">
        <v>166</v>
      </c>
    </row>
    <row r="398" spans="9:22" x14ac:dyDescent="0.45">
      <c r="I398" t="s">
        <v>186</v>
      </c>
      <c r="J398" t="s">
        <v>336</v>
      </c>
      <c r="K398">
        <v>1.4589678194349729E-2</v>
      </c>
      <c r="L398" t="s">
        <v>166</v>
      </c>
      <c r="N398" t="s">
        <v>251</v>
      </c>
      <c r="O398" t="s">
        <v>336</v>
      </c>
      <c r="P398">
        <v>8.945740537038541E-3</v>
      </c>
      <c r="Q398" t="s">
        <v>166</v>
      </c>
      <c r="S398" t="s">
        <v>316</v>
      </c>
      <c r="T398" t="s">
        <v>336</v>
      </c>
      <c r="U398">
        <v>6.8647241080676408E-3</v>
      </c>
      <c r="V398" t="s">
        <v>166</v>
      </c>
    </row>
    <row r="399" spans="9:22" x14ac:dyDescent="0.45">
      <c r="I399" t="s">
        <v>186</v>
      </c>
      <c r="J399" t="s">
        <v>337</v>
      </c>
      <c r="K399">
        <v>9.9685601637489619E-3</v>
      </c>
      <c r="L399" t="s">
        <v>166</v>
      </c>
      <c r="N399" t="s">
        <v>251</v>
      </c>
      <c r="O399" t="s">
        <v>337</v>
      </c>
      <c r="P399">
        <v>8.2178536386688372E-3</v>
      </c>
      <c r="Q399" t="s">
        <v>166</v>
      </c>
      <c r="S399" t="s">
        <v>316</v>
      </c>
      <c r="T399" t="s">
        <v>337</v>
      </c>
      <c r="U399">
        <v>6.5094075815475775E-3</v>
      </c>
      <c r="V399" t="s">
        <v>166</v>
      </c>
    </row>
    <row r="400" spans="9:22" x14ac:dyDescent="0.45">
      <c r="I400" t="s">
        <v>186</v>
      </c>
      <c r="J400" t="s">
        <v>338</v>
      </c>
      <c r="K400">
        <v>3.0943342033028756E-3</v>
      </c>
      <c r="L400" t="s">
        <v>166</v>
      </c>
      <c r="N400" t="s">
        <v>251</v>
      </c>
      <c r="O400" t="s">
        <v>338</v>
      </c>
      <c r="P400">
        <v>3.1378772931190665E-2</v>
      </c>
      <c r="Q400" t="s">
        <v>166</v>
      </c>
      <c r="S400" t="s">
        <v>316</v>
      </c>
      <c r="T400" t="s">
        <v>338</v>
      </c>
      <c r="U400">
        <v>3.3739428734629817E-2</v>
      </c>
      <c r="V400" t="s">
        <v>166</v>
      </c>
    </row>
    <row r="401" spans="9:22" x14ac:dyDescent="0.45">
      <c r="I401" t="s">
        <v>186</v>
      </c>
      <c r="J401" t="s">
        <v>172</v>
      </c>
      <c r="K401">
        <v>2.6180196300013368E-2</v>
      </c>
      <c r="L401" t="s">
        <v>166</v>
      </c>
      <c r="N401" t="s">
        <v>251</v>
      </c>
      <c r="O401" t="s">
        <v>172</v>
      </c>
      <c r="P401">
        <v>1.2486398298042373E-2</v>
      </c>
      <c r="Q401" t="s">
        <v>166</v>
      </c>
      <c r="S401" t="s">
        <v>316</v>
      </c>
      <c r="T401" t="s">
        <v>172</v>
      </c>
      <c r="U401">
        <v>2.8446412278815822E-2</v>
      </c>
      <c r="V401" t="s">
        <v>166</v>
      </c>
    </row>
    <row r="402" spans="9:22" x14ac:dyDescent="0.45">
      <c r="I402" t="s">
        <v>186</v>
      </c>
      <c r="J402" t="s">
        <v>173</v>
      </c>
      <c r="K402">
        <v>1.0051764938521284E-2</v>
      </c>
      <c r="L402" t="s">
        <v>166</v>
      </c>
      <c r="N402" t="s">
        <v>251</v>
      </c>
      <c r="O402" t="s">
        <v>173</v>
      </c>
      <c r="P402">
        <v>1.2297179421468991E-3</v>
      </c>
      <c r="Q402" t="s">
        <v>166</v>
      </c>
      <c r="S402" t="s">
        <v>316</v>
      </c>
      <c r="T402" t="s">
        <v>173</v>
      </c>
      <c r="U402">
        <v>2.550658215600448E-3</v>
      </c>
      <c r="V402" t="s">
        <v>166</v>
      </c>
    </row>
    <row r="403" spans="9:22" x14ac:dyDescent="0.45">
      <c r="I403" t="s">
        <v>186</v>
      </c>
      <c r="J403" t="s">
        <v>174</v>
      </c>
      <c r="K403">
        <v>6.1962051610094826E-2</v>
      </c>
      <c r="L403" t="s">
        <v>166</v>
      </c>
      <c r="N403" t="s">
        <v>251</v>
      </c>
      <c r="O403" t="s">
        <v>174</v>
      </c>
      <c r="P403">
        <v>1.207173063786946E-2</v>
      </c>
      <c r="Q403" t="s">
        <v>166</v>
      </c>
      <c r="S403" t="s">
        <v>316</v>
      </c>
      <c r="T403" t="s">
        <v>174</v>
      </c>
      <c r="U403">
        <v>2.6228872416586013E-2</v>
      </c>
      <c r="V403" t="s">
        <v>166</v>
      </c>
    </row>
    <row r="404" spans="9:22" x14ac:dyDescent="0.45">
      <c r="I404" t="s">
        <v>186</v>
      </c>
      <c r="J404" t="s">
        <v>339</v>
      </c>
      <c r="K404">
        <v>7.9977177244476283E-3</v>
      </c>
      <c r="L404" t="s">
        <v>166</v>
      </c>
      <c r="N404" t="s">
        <v>251</v>
      </c>
      <c r="O404" t="s">
        <v>339</v>
      </c>
      <c r="P404">
        <v>2.9785909127747799E-3</v>
      </c>
      <c r="Q404" t="s">
        <v>166</v>
      </c>
      <c r="S404" t="s">
        <v>316</v>
      </c>
      <c r="T404" t="s">
        <v>339</v>
      </c>
      <c r="U404">
        <v>4.998855772573421E-3</v>
      </c>
      <c r="V404" t="s">
        <v>166</v>
      </c>
    </row>
    <row r="405" spans="9:22" x14ac:dyDescent="0.45">
      <c r="I405" t="s">
        <v>186</v>
      </c>
      <c r="J405" t="s">
        <v>340</v>
      </c>
      <c r="K405">
        <v>5.9643163112883093E-3</v>
      </c>
      <c r="L405" t="s">
        <v>166</v>
      </c>
      <c r="N405" t="s">
        <v>251</v>
      </c>
      <c r="O405" t="s">
        <v>340</v>
      </c>
      <c r="P405">
        <v>3.4121585399932144E-3</v>
      </c>
      <c r="Q405" t="s">
        <v>166</v>
      </c>
      <c r="S405" t="s">
        <v>316</v>
      </c>
      <c r="T405" t="s">
        <v>340</v>
      </c>
      <c r="U405">
        <v>4.5382948382884326E-3</v>
      </c>
      <c r="V405" t="s">
        <v>166</v>
      </c>
    </row>
    <row r="406" spans="9:22" x14ac:dyDescent="0.45">
      <c r="I406" t="s">
        <v>186</v>
      </c>
      <c r="J406" t="s">
        <v>341</v>
      </c>
      <c r="K406">
        <v>2.9671639389113103E-3</v>
      </c>
      <c r="L406" t="s">
        <v>166</v>
      </c>
      <c r="N406" t="s">
        <v>251</v>
      </c>
      <c r="O406" t="s">
        <v>341</v>
      </c>
      <c r="P406">
        <v>1.5280862180857259E-2</v>
      </c>
      <c r="Q406" t="s">
        <v>166</v>
      </c>
      <c r="S406" t="s">
        <v>316</v>
      </c>
      <c r="T406" t="s">
        <v>341</v>
      </c>
      <c r="U406">
        <v>1.8073148275369617E-2</v>
      </c>
      <c r="V406" t="s">
        <v>166</v>
      </c>
    </row>
    <row r="407" spans="9:22" x14ac:dyDescent="0.45">
      <c r="I407" t="s">
        <v>186</v>
      </c>
      <c r="J407" t="s">
        <v>175</v>
      </c>
      <c r="K407">
        <v>2.2270874526045949E-2</v>
      </c>
      <c r="L407" t="s">
        <v>166</v>
      </c>
      <c r="N407" t="s">
        <v>251</v>
      </c>
      <c r="O407" t="s">
        <v>175</v>
      </c>
      <c r="P407">
        <v>7.2080386333061722E-3</v>
      </c>
      <c r="Q407" t="s">
        <v>166</v>
      </c>
      <c r="S407" t="s">
        <v>316</v>
      </c>
      <c r="T407" t="s">
        <v>175</v>
      </c>
      <c r="U407">
        <v>1.1405707773575899E-2</v>
      </c>
      <c r="V407" t="s">
        <v>166</v>
      </c>
    </row>
    <row r="408" spans="9:22" x14ac:dyDescent="0.45">
      <c r="I408" t="s">
        <v>186</v>
      </c>
      <c r="J408" t="s">
        <v>176</v>
      </c>
      <c r="K408">
        <v>9.6752316186262451E-3</v>
      </c>
      <c r="L408" t="s">
        <v>166</v>
      </c>
      <c r="N408" t="s">
        <v>251</v>
      </c>
      <c r="O408" t="s">
        <v>176</v>
      </c>
      <c r="P408">
        <v>5.379803844078986E-4</v>
      </c>
      <c r="Q408" t="s">
        <v>166</v>
      </c>
      <c r="S408" t="s">
        <v>316</v>
      </c>
      <c r="T408" t="s">
        <v>176</v>
      </c>
      <c r="U408">
        <v>8.8347453790391919E-4</v>
      </c>
      <c r="V408" t="s">
        <v>166</v>
      </c>
    </row>
    <row r="409" spans="9:22" x14ac:dyDescent="0.45">
      <c r="I409" t="s">
        <v>186</v>
      </c>
      <c r="J409" t="s">
        <v>177</v>
      </c>
      <c r="K409">
        <v>6.0684787240697015E-2</v>
      </c>
      <c r="L409" t="s">
        <v>166</v>
      </c>
      <c r="N409" t="s">
        <v>251</v>
      </c>
      <c r="O409" t="s">
        <v>177</v>
      </c>
      <c r="P409">
        <v>7.313671437135922E-3</v>
      </c>
      <c r="Q409" t="s">
        <v>166</v>
      </c>
      <c r="S409" t="s">
        <v>316</v>
      </c>
      <c r="T409" t="s">
        <v>177</v>
      </c>
      <c r="U409">
        <v>1.6086238481401498E-2</v>
      </c>
      <c r="V409" t="s">
        <v>166</v>
      </c>
    </row>
    <row r="410" spans="9:22" x14ac:dyDescent="0.45">
      <c r="I410" t="s">
        <v>186</v>
      </c>
      <c r="J410" t="s">
        <v>342</v>
      </c>
      <c r="K410">
        <v>7.877857079166245E-3</v>
      </c>
      <c r="L410" t="s">
        <v>166</v>
      </c>
      <c r="N410" t="s">
        <v>251</v>
      </c>
      <c r="O410" t="s">
        <v>342</v>
      </c>
      <c r="P410">
        <v>2.2941104200954678E-3</v>
      </c>
      <c r="Q410" t="s">
        <v>166</v>
      </c>
      <c r="S410" t="s">
        <v>316</v>
      </c>
      <c r="T410" t="s">
        <v>342</v>
      </c>
      <c r="U410">
        <v>3.384223755748319E-3</v>
      </c>
      <c r="V410" t="s">
        <v>166</v>
      </c>
    </row>
    <row r="411" spans="9:22" x14ac:dyDescent="0.45">
      <c r="I411" t="s">
        <v>186</v>
      </c>
      <c r="J411" t="s">
        <v>343</v>
      </c>
      <c r="K411">
        <v>5.8405355154552236E-3</v>
      </c>
      <c r="L411" t="s">
        <v>166</v>
      </c>
      <c r="N411" t="s">
        <v>251</v>
      </c>
      <c r="O411" t="s">
        <v>343</v>
      </c>
      <c r="P411">
        <v>2.5732141710758201E-3</v>
      </c>
      <c r="Q411" t="s">
        <v>166</v>
      </c>
      <c r="S411" t="s">
        <v>316</v>
      </c>
      <c r="T411" t="s">
        <v>343</v>
      </c>
      <c r="U411">
        <v>3.0587741207716299E-3</v>
      </c>
      <c r="V411" t="s">
        <v>166</v>
      </c>
    </row>
    <row r="412" spans="9:22" x14ac:dyDescent="0.45">
      <c r="I412" t="s">
        <v>186</v>
      </c>
      <c r="J412" t="s">
        <v>344</v>
      </c>
      <c r="K412">
        <v>2.9206449256216627E-3</v>
      </c>
      <c r="L412" t="s">
        <v>166</v>
      </c>
      <c r="N412" t="s">
        <v>251</v>
      </c>
      <c r="O412" t="s">
        <v>344</v>
      </c>
      <c r="P412">
        <v>1.2152679078116783E-2</v>
      </c>
      <c r="Q412" t="s">
        <v>166</v>
      </c>
      <c r="S412" t="s">
        <v>316</v>
      </c>
      <c r="T412" t="s">
        <v>344</v>
      </c>
      <c r="U412">
        <v>1.0855825242665859E-2</v>
      </c>
      <c r="V412" t="s">
        <v>166</v>
      </c>
    </row>
    <row r="413" spans="9:22" x14ac:dyDescent="0.45">
      <c r="I413" t="s">
        <v>186</v>
      </c>
      <c r="J413" t="s">
        <v>345</v>
      </c>
      <c r="K413">
        <v>3.8414863602325149E-2</v>
      </c>
      <c r="L413" t="s">
        <v>166</v>
      </c>
      <c r="N413" t="s">
        <v>251</v>
      </c>
      <c r="O413" t="s">
        <v>345</v>
      </c>
      <c r="P413">
        <v>1.4358856872777343E-2</v>
      </c>
      <c r="Q413" t="s">
        <v>166</v>
      </c>
      <c r="S413" t="s">
        <v>316</v>
      </c>
      <c r="T413" t="s">
        <v>345</v>
      </c>
      <c r="U413">
        <v>2.478495033742556E-2</v>
      </c>
      <c r="V413" t="s">
        <v>166</v>
      </c>
    </row>
    <row r="414" spans="9:22" x14ac:dyDescent="0.45">
      <c r="I414" t="s">
        <v>186</v>
      </c>
      <c r="J414" t="s">
        <v>346</v>
      </c>
      <c r="K414">
        <v>1.8209436082366005E-2</v>
      </c>
      <c r="L414" t="s">
        <v>166</v>
      </c>
      <c r="N414" t="s">
        <v>251</v>
      </c>
      <c r="O414" t="s">
        <v>346</v>
      </c>
      <c r="P414">
        <v>1.4827521397917163E-3</v>
      </c>
      <c r="Q414" t="s">
        <v>166</v>
      </c>
      <c r="S414" t="s">
        <v>316</v>
      </c>
      <c r="T414" t="s">
        <v>346</v>
      </c>
      <c r="U414">
        <v>2.2736063698310244E-3</v>
      </c>
      <c r="V414" t="s">
        <v>166</v>
      </c>
    </row>
    <row r="415" spans="9:22" x14ac:dyDescent="0.45">
      <c r="I415" t="s">
        <v>186</v>
      </c>
      <c r="J415" t="s">
        <v>347</v>
      </c>
      <c r="K415">
        <v>0.11058732004774223</v>
      </c>
      <c r="L415" t="s">
        <v>166</v>
      </c>
      <c r="N415" t="s">
        <v>251</v>
      </c>
      <c r="O415" t="s">
        <v>347</v>
      </c>
      <c r="P415">
        <v>2.146759913864028E-2</v>
      </c>
      <c r="Q415" t="s">
        <v>166</v>
      </c>
      <c r="S415" t="s">
        <v>316</v>
      </c>
      <c r="T415" t="s">
        <v>347</v>
      </c>
      <c r="U415">
        <v>3.1351185692057984E-2</v>
      </c>
      <c r="V415" t="s">
        <v>166</v>
      </c>
    </row>
    <row r="416" spans="9:22" x14ac:dyDescent="0.45">
      <c r="I416" t="s">
        <v>186</v>
      </c>
      <c r="J416" t="s">
        <v>348</v>
      </c>
      <c r="K416">
        <v>1.3225186313093209E-2</v>
      </c>
      <c r="L416" t="s">
        <v>166</v>
      </c>
      <c r="N416" t="s">
        <v>251</v>
      </c>
      <c r="O416" t="s">
        <v>348</v>
      </c>
      <c r="P416">
        <v>5.0548361617519747E-3</v>
      </c>
      <c r="Q416" t="s">
        <v>166</v>
      </c>
      <c r="S416" t="s">
        <v>316</v>
      </c>
      <c r="T416" t="s">
        <v>348</v>
      </c>
      <c r="U416">
        <v>7.386086878799927E-3</v>
      </c>
      <c r="V416" t="s">
        <v>166</v>
      </c>
    </row>
    <row r="417" spans="9:22" x14ac:dyDescent="0.45">
      <c r="I417" t="s">
        <v>186</v>
      </c>
      <c r="J417" t="s">
        <v>349</v>
      </c>
      <c r="K417">
        <v>8.4252920723967735E-3</v>
      </c>
      <c r="L417" t="s">
        <v>166</v>
      </c>
      <c r="N417" t="s">
        <v>251</v>
      </c>
      <c r="O417" t="s">
        <v>349</v>
      </c>
      <c r="P417">
        <v>4.9380189930234306E-3</v>
      </c>
      <c r="Q417" t="s">
        <v>166</v>
      </c>
      <c r="S417" t="s">
        <v>316</v>
      </c>
      <c r="T417" t="s">
        <v>349</v>
      </c>
      <c r="U417">
        <v>6.6402549489724622E-3</v>
      </c>
      <c r="V417" t="s">
        <v>166</v>
      </c>
    </row>
    <row r="418" spans="9:22" x14ac:dyDescent="0.45">
      <c r="I418" t="s">
        <v>186</v>
      </c>
      <c r="J418" t="s">
        <v>350</v>
      </c>
      <c r="K418">
        <v>2.1722205451904474E-3</v>
      </c>
      <c r="L418" t="s">
        <v>166</v>
      </c>
      <c r="N418" t="s">
        <v>251</v>
      </c>
      <c r="O418" t="s">
        <v>350</v>
      </c>
      <c r="P418">
        <v>1.946215613374799E-2</v>
      </c>
      <c r="Q418" t="s">
        <v>166</v>
      </c>
      <c r="S418" t="s">
        <v>316</v>
      </c>
      <c r="T418" t="s">
        <v>350</v>
      </c>
      <c r="U418">
        <v>2.4643383263578018E-2</v>
      </c>
      <c r="V418" t="s">
        <v>166</v>
      </c>
    </row>
    <row r="419" spans="9:22" x14ac:dyDescent="0.45">
      <c r="I419" t="s">
        <v>186</v>
      </c>
      <c r="J419" t="s">
        <v>351</v>
      </c>
      <c r="K419">
        <v>1.4971388989991646E-2</v>
      </c>
      <c r="L419" t="s">
        <v>166</v>
      </c>
      <c r="N419" t="s">
        <v>251</v>
      </c>
      <c r="O419" t="s">
        <v>351</v>
      </c>
      <c r="P419">
        <v>1.3791696793506085E-2</v>
      </c>
      <c r="Q419" t="s">
        <v>166</v>
      </c>
      <c r="S419" t="s">
        <v>316</v>
      </c>
      <c r="T419" t="s">
        <v>351</v>
      </c>
      <c r="U419">
        <v>1.0997417791807332E-2</v>
      </c>
      <c r="V419" t="s">
        <v>166</v>
      </c>
    </row>
    <row r="420" spans="9:22" x14ac:dyDescent="0.45">
      <c r="I420" t="s">
        <v>186</v>
      </c>
      <c r="J420" t="s">
        <v>352</v>
      </c>
      <c r="K420">
        <v>8.3920464491493273E-3</v>
      </c>
      <c r="L420" t="s">
        <v>166</v>
      </c>
      <c r="N420" t="s">
        <v>251</v>
      </c>
      <c r="O420" t="s">
        <v>352</v>
      </c>
      <c r="P420">
        <v>1.1790483342131797E-3</v>
      </c>
      <c r="Q420" t="s">
        <v>166</v>
      </c>
      <c r="S420" t="s">
        <v>316</v>
      </c>
      <c r="T420" t="s">
        <v>352</v>
      </c>
      <c r="U420">
        <v>8.2901891582771981E-4</v>
      </c>
      <c r="V420" t="s">
        <v>166</v>
      </c>
    </row>
    <row r="421" spans="9:22" x14ac:dyDescent="0.45">
      <c r="I421" t="s">
        <v>186</v>
      </c>
      <c r="J421" t="s">
        <v>353</v>
      </c>
      <c r="K421">
        <v>4.8789512216366245E-2</v>
      </c>
      <c r="L421" t="s">
        <v>166</v>
      </c>
      <c r="N421" t="s">
        <v>251</v>
      </c>
      <c r="O421" t="s">
        <v>353</v>
      </c>
      <c r="P421">
        <v>8.2155961589083122E-3</v>
      </c>
      <c r="Q421" t="s">
        <v>166</v>
      </c>
      <c r="S421" t="s">
        <v>316</v>
      </c>
      <c r="T421" t="s">
        <v>353</v>
      </c>
      <c r="U421">
        <v>7.3489920510268992E-3</v>
      </c>
      <c r="V421" t="s">
        <v>166</v>
      </c>
    </row>
    <row r="422" spans="9:22" x14ac:dyDescent="0.45">
      <c r="I422" t="s">
        <v>186</v>
      </c>
      <c r="J422" t="s">
        <v>354</v>
      </c>
      <c r="K422">
        <v>4.4401448981370032E-3</v>
      </c>
      <c r="L422" t="s">
        <v>166</v>
      </c>
      <c r="N422" t="s">
        <v>251</v>
      </c>
      <c r="O422" t="s">
        <v>354</v>
      </c>
      <c r="P422">
        <v>1.7747135003194224E-3</v>
      </c>
      <c r="Q422" t="s">
        <v>166</v>
      </c>
      <c r="S422" t="s">
        <v>316</v>
      </c>
      <c r="T422" t="s">
        <v>354</v>
      </c>
      <c r="U422">
        <v>1.7001307509002764E-3</v>
      </c>
      <c r="V422" t="s">
        <v>166</v>
      </c>
    </row>
    <row r="423" spans="9:22" x14ac:dyDescent="0.45">
      <c r="I423" t="s">
        <v>186</v>
      </c>
      <c r="J423" t="s">
        <v>355</v>
      </c>
      <c r="K423">
        <v>2.6123758949067979E-4</v>
      </c>
      <c r="L423" t="s">
        <v>166</v>
      </c>
      <c r="N423" t="s">
        <v>251</v>
      </c>
      <c r="O423" t="s">
        <v>355</v>
      </c>
      <c r="P423">
        <v>2.1547729858259006E-3</v>
      </c>
      <c r="Q423" t="s">
        <v>166</v>
      </c>
      <c r="S423" t="s">
        <v>316</v>
      </c>
      <c r="T423" t="s">
        <v>355</v>
      </c>
      <c r="U423">
        <v>1.5858507733167548E-3</v>
      </c>
      <c r="V423" t="s">
        <v>166</v>
      </c>
    </row>
    <row r="424" spans="9:22" x14ac:dyDescent="0.45">
      <c r="I424" t="s">
        <v>186</v>
      </c>
      <c r="J424" t="s">
        <v>356</v>
      </c>
      <c r="K424">
        <v>0</v>
      </c>
      <c r="L424" t="s">
        <v>166</v>
      </c>
      <c r="N424" t="s">
        <v>251</v>
      </c>
      <c r="O424" t="s">
        <v>356</v>
      </c>
      <c r="P424">
        <v>1.1526584661343871E-2</v>
      </c>
      <c r="Q424" t="s">
        <v>166</v>
      </c>
      <c r="S424" t="s">
        <v>316</v>
      </c>
      <c r="T424" t="s">
        <v>356</v>
      </c>
      <c r="U424">
        <v>6.16117628273066E-3</v>
      </c>
      <c r="V424" t="s">
        <v>166</v>
      </c>
    </row>
    <row r="425" spans="9:22" x14ac:dyDescent="0.45">
      <c r="I425" t="s">
        <v>186</v>
      </c>
      <c r="J425" t="s">
        <v>357</v>
      </c>
      <c r="K425">
        <v>1.7312755004300993E-2</v>
      </c>
      <c r="L425" t="s">
        <v>166</v>
      </c>
      <c r="N425" t="s">
        <v>251</v>
      </c>
      <c r="O425" t="s">
        <v>357</v>
      </c>
      <c r="P425">
        <v>5.6617692164123955E-2</v>
      </c>
      <c r="Q425" t="s">
        <v>166</v>
      </c>
      <c r="S425" t="s">
        <v>316</v>
      </c>
      <c r="T425" t="s">
        <v>357</v>
      </c>
      <c r="U425">
        <v>5.6271672591622045E-2</v>
      </c>
      <c r="V425" t="s">
        <v>166</v>
      </c>
    </row>
    <row r="426" spans="9:22" x14ac:dyDescent="0.45">
      <c r="I426" t="s">
        <v>186</v>
      </c>
      <c r="J426" t="s">
        <v>358</v>
      </c>
      <c r="K426">
        <v>1.2793700289347879E-2</v>
      </c>
      <c r="L426" t="s">
        <v>166</v>
      </c>
      <c r="N426" t="s">
        <v>251</v>
      </c>
      <c r="O426" t="s">
        <v>358</v>
      </c>
      <c r="P426">
        <v>6.4553858107140013E-3</v>
      </c>
      <c r="Q426" t="s">
        <v>166</v>
      </c>
      <c r="S426" t="s">
        <v>316</v>
      </c>
      <c r="T426" t="s">
        <v>358</v>
      </c>
      <c r="U426">
        <v>5.3685178120704662E-3</v>
      </c>
      <c r="V426" t="s">
        <v>166</v>
      </c>
    </row>
    <row r="427" spans="9:22" x14ac:dyDescent="0.45">
      <c r="I427" t="s">
        <v>186</v>
      </c>
      <c r="J427" t="s">
        <v>359</v>
      </c>
      <c r="K427">
        <v>7.1048399888063427E-2</v>
      </c>
      <c r="L427" t="s">
        <v>166</v>
      </c>
      <c r="N427" t="s">
        <v>251</v>
      </c>
      <c r="O427" t="s">
        <v>359</v>
      </c>
      <c r="P427">
        <v>4.6092310998578509E-2</v>
      </c>
      <c r="Q427" t="s">
        <v>166</v>
      </c>
      <c r="S427" t="s">
        <v>316</v>
      </c>
      <c r="T427" t="s">
        <v>359</v>
      </c>
      <c r="U427">
        <v>3.5591453874528951E-2</v>
      </c>
      <c r="V427" t="s">
        <v>166</v>
      </c>
    </row>
    <row r="428" spans="9:22" x14ac:dyDescent="0.45">
      <c r="I428" t="s">
        <v>186</v>
      </c>
      <c r="J428" t="s">
        <v>360</v>
      </c>
      <c r="K428">
        <v>5.5659244759570462E-3</v>
      </c>
      <c r="L428" t="s">
        <v>166</v>
      </c>
      <c r="N428" t="s">
        <v>251</v>
      </c>
      <c r="O428" t="s">
        <v>360</v>
      </c>
      <c r="P428">
        <v>6.5778968414703194E-3</v>
      </c>
      <c r="Q428" t="s">
        <v>166</v>
      </c>
      <c r="S428" t="s">
        <v>316</v>
      </c>
      <c r="T428" t="s">
        <v>360</v>
      </c>
      <c r="U428">
        <v>6.2940919703618568E-3</v>
      </c>
      <c r="V428" t="s">
        <v>166</v>
      </c>
    </row>
    <row r="429" spans="9:22" x14ac:dyDescent="0.45">
      <c r="I429" t="s">
        <v>186</v>
      </c>
      <c r="J429" t="s">
        <v>361</v>
      </c>
      <c r="K429">
        <v>0</v>
      </c>
      <c r="L429" t="s">
        <v>166</v>
      </c>
      <c r="N429" t="s">
        <v>251</v>
      </c>
      <c r="O429" t="s">
        <v>361</v>
      </c>
      <c r="P429">
        <v>6.23222166003969E-3</v>
      </c>
      <c r="Q429" t="s">
        <v>166</v>
      </c>
      <c r="S429" t="s">
        <v>316</v>
      </c>
      <c r="T429" t="s">
        <v>361</v>
      </c>
      <c r="U429">
        <v>6.2118486668062359E-3</v>
      </c>
      <c r="V429" t="s">
        <v>166</v>
      </c>
    </row>
    <row r="430" spans="9:22" x14ac:dyDescent="0.45">
      <c r="I430" t="s">
        <v>186</v>
      </c>
      <c r="J430" t="s">
        <v>362</v>
      </c>
      <c r="K430">
        <v>0</v>
      </c>
      <c r="L430" t="s">
        <v>166</v>
      </c>
      <c r="N430" t="s">
        <v>251</v>
      </c>
      <c r="O430" t="s">
        <v>362</v>
      </c>
      <c r="P430">
        <v>2.8845029000495952E-2</v>
      </c>
      <c r="Q430" t="s">
        <v>166</v>
      </c>
      <c r="S430" t="s">
        <v>316</v>
      </c>
      <c r="T430" t="s">
        <v>362</v>
      </c>
      <c r="U430">
        <v>2.94390471988208E-2</v>
      </c>
      <c r="V430" t="s">
        <v>166</v>
      </c>
    </row>
    <row r="431" spans="9:22" x14ac:dyDescent="0.45">
      <c r="I431" t="s">
        <v>187</v>
      </c>
      <c r="J431" t="s">
        <v>165</v>
      </c>
      <c r="K431">
        <v>3.1843952498132599E-2</v>
      </c>
      <c r="L431" t="s">
        <v>166</v>
      </c>
      <c r="N431" t="s">
        <v>252</v>
      </c>
      <c r="O431" t="s">
        <v>165</v>
      </c>
      <c r="P431">
        <v>9.6746758789017728E-2</v>
      </c>
      <c r="Q431" t="s">
        <v>166</v>
      </c>
    </row>
    <row r="432" spans="9:22" x14ac:dyDescent="0.45">
      <c r="I432" t="s">
        <v>187</v>
      </c>
      <c r="J432" t="s">
        <v>167</v>
      </c>
      <c r="K432">
        <v>2.1382842526877575E-2</v>
      </c>
      <c r="L432" t="s">
        <v>166</v>
      </c>
      <c r="N432" t="s">
        <v>252</v>
      </c>
      <c r="O432" t="s">
        <v>167</v>
      </c>
      <c r="P432">
        <v>7.0388766989306637E-3</v>
      </c>
      <c r="Q432" t="s">
        <v>166</v>
      </c>
    </row>
    <row r="433" spans="9:17" x14ac:dyDescent="0.45">
      <c r="I433" t="s">
        <v>187</v>
      </c>
      <c r="J433" t="s">
        <v>168</v>
      </c>
      <c r="K433">
        <v>0.12892808908849357</v>
      </c>
      <c r="L433" t="s">
        <v>166</v>
      </c>
      <c r="N433" t="s">
        <v>252</v>
      </c>
      <c r="O433" t="s">
        <v>168</v>
      </c>
      <c r="P433">
        <v>6.2300555330759337E-2</v>
      </c>
      <c r="Q433" t="s">
        <v>166</v>
      </c>
    </row>
    <row r="434" spans="9:17" x14ac:dyDescent="0.45">
      <c r="I434" t="s">
        <v>187</v>
      </c>
      <c r="J434" t="s">
        <v>333</v>
      </c>
      <c r="K434">
        <v>1.362590594580664E-2</v>
      </c>
      <c r="L434" t="s">
        <v>166</v>
      </c>
      <c r="N434" t="s">
        <v>252</v>
      </c>
      <c r="O434" t="s">
        <v>333</v>
      </c>
      <c r="P434">
        <v>1.187414721851233E-2</v>
      </c>
      <c r="Q434" t="s">
        <v>166</v>
      </c>
    </row>
    <row r="435" spans="9:17" x14ac:dyDescent="0.45">
      <c r="I435" t="s">
        <v>187</v>
      </c>
      <c r="J435" t="s">
        <v>334</v>
      </c>
      <c r="K435">
        <v>4.4376610746454295E-3</v>
      </c>
      <c r="L435" t="s">
        <v>166</v>
      </c>
      <c r="N435" t="s">
        <v>252</v>
      </c>
      <c r="O435" t="s">
        <v>334</v>
      </c>
      <c r="P435">
        <v>1.2709594668192872E-2</v>
      </c>
      <c r="Q435" t="s">
        <v>166</v>
      </c>
    </row>
    <row r="436" spans="9:17" x14ac:dyDescent="0.45">
      <c r="I436" t="s">
        <v>187</v>
      </c>
      <c r="J436" t="s">
        <v>335</v>
      </c>
      <c r="K436">
        <v>0</v>
      </c>
      <c r="L436" t="s">
        <v>166</v>
      </c>
      <c r="N436" t="s">
        <v>252</v>
      </c>
      <c r="O436" t="s">
        <v>335</v>
      </c>
      <c r="P436">
        <v>6.5527217778562546E-2</v>
      </c>
      <c r="Q436" t="s">
        <v>166</v>
      </c>
    </row>
    <row r="437" spans="9:17" x14ac:dyDescent="0.45">
      <c r="I437" t="s">
        <v>187</v>
      </c>
      <c r="J437" t="s">
        <v>169</v>
      </c>
      <c r="K437">
        <v>4.1197753057903075E-2</v>
      </c>
      <c r="L437" t="s">
        <v>166</v>
      </c>
      <c r="N437" t="s">
        <v>252</v>
      </c>
      <c r="O437" t="s">
        <v>169</v>
      </c>
      <c r="P437">
        <v>8.9706494763241815E-2</v>
      </c>
      <c r="Q437" t="s">
        <v>166</v>
      </c>
    </row>
    <row r="438" spans="9:17" x14ac:dyDescent="0.45">
      <c r="I438" t="s">
        <v>187</v>
      </c>
      <c r="J438" t="s">
        <v>170</v>
      </c>
      <c r="K438">
        <v>1.7476055974719379E-2</v>
      </c>
      <c r="L438" t="s">
        <v>166</v>
      </c>
      <c r="N438" t="s">
        <v>252</v>
      </c>
      <c r="O438" t="s">
        <v>170</v>
      </c>
      <c r="P438">
        <v>8.0393995780145191E-3</v>
      </c>
      <c r="Q438" t="s">
        <v>166</v>
      </c>
    </row>
    <row r="439" spans="9:17" x14ac:dyDescent="0.45">
      <c r="I439" t="s">
        <v>187</v>
      </c>
      <c r="J439" t="s">
        <v>171</v>
      </c>
      <c r="K439">
        <v>0.1087259725100055</v>
      </c>
      <c r="L439" t="s">
        <v>166</v>
      </c>
      <c r="N439" t="s">
        <v>252</v>
      </c>
      <c r="O439" t="s">
        <v>171</v>
      </c>
      <c r="P439">
        <v>6.6651035801844394E-2</v>
      </c>
      <c r="Q439" t="s">
        <v>166</v>
      </c>
    </row>
    <row r="440" spans="9:17" x14ac:dyDescent="0.45">
      <c r="I440" t="s">
        <v>187</v>
      </c>
      <c r="J440" t="s">
        <v>336</v>
      </c>
      <c r="K440">
        <v>1.365247229842953E-2</v>
      </c>
      <c r="L440" t="s">
        <v>166</v>
      </c>
      <c r="N440" t="s">
        <v>252</v>
      </c>
      <c r="O440" t="s">
        <v>336</v>
      </c>
      <c r="P440">
        <v>1.1638600689072149E-2</v>
      </c>
      <c r="Q440" t="s">
        <v>166</v>
      </c>
    </row>
    <row r="441" spans="9:17" x14ac:dyDescent="0.45">
      <c r="I441" t="s">
        <v>187</v>
      </c>
      <c r="J441" t="s">
        <v>337</v>
      </c>
      <c r="K441">
        <v>9.3403347740116556E-3</v>
      </c>
      <c r="L441" t="s">
        <v>166</v>
      </c>
      <c r="N441" t="s">
        <v>252</v>
      </c>
      <c r="O441" t="s">
        <v>337</v>
      </c>
      <c r="P441">
        <v>1.1117498785593791E-2</v>
      </c>
      <c r="Q441" t="s">
        <v>166</v>
      </c>
    </row>
    <row r="442" spans="9:17" x14ac:dyDescent="0.45">
      <c r="I442" t="s">
        <v>187</v>
      </c>
      <c r="J442" t="s">
        <v>338</v>
      </c>
      <c r="K442">
        <v>2.5587662232817638E-3</v>
      </c>
      <c r="L442" t="s">
        <v>166</v>
      </c>
      <c r="N442" t="s">
        <v>252</v>
      </c>
      <c r="O442" t="s">
        <v>338</v>
      </c>
      <c r="P442">
        <v>6.2361123686823686E-2</v>
      </c>
      <c r="Q442" t="s">
        <v>166</v>
      </c>
    </row>
    <row r="443" spans="9:17" x14ac:dyDescent="0.45">
      <c r="I443" t="s">
        <v>187</v>
      </c>
      <c r="J443" t="s">
        <v>172</v>
      </c>
      <c r="K443">
        <v>2.7704181488483814E-2</v>
      </c>
      <c r="L443" t="s">
        <v>166</v>
      </c>
      <c r="N443" t="s">
        <v>252</v>
      </c>
      <c r="O443" t="s">
        <v>172</v>
      </c>
      <c r="P443">
        <v>3.8332843097119977E-2</v>
      </c>
      <c r="Q443" t="s">
        <v>166</v>
      </c>
    </row>
    <row r="444" spans="9:17" x14ac:dyDescent="0.45">
      <c r="I444" t="s">
        <v>187</v>
      </c>
      <c r="J444" t="s">
        <v>173</v>
      </c>
      <c r="K444">
        <v>1.0512904884994801E-2</v>
      </c>
      <c r="L444" t="s">
        <v>166</v>
      </c>
      <c r="N444" t="s">
        <v>252</v>
      </c>
      <c r="O444" t="s">
        <v>173</v>
      </c>
      <c r="P444">
        <v>2.8768810681207291E-3</v>
      </c>
      <c r="Q444" t="s">
        <v>166</v>
      </c>
    </row>
    <row r="445" spans="9:17" x14ac:dyDescent="0.45">
      <c r="I445" t="s">
        <v>187</v>
      </c>
      <c r="J445" t="s">
        <v>174</v>
      </c>
      <c r="K445">
        <v>6.2961782068680749E-2</v>
      </c>
      <c r="L445" t="s">
        <v>166</v>
      </c>
      <c r="N445" t="s">
        <v>252</v>
      </c>
      <c r="O445" t="s">
        <v>174</v>
      </c>
      <c r="P445">
        <v>1.2303292524991131E-2</v>
      </c>
      <c r="Q445" t="s">
        <v>166</v>
      </c>
    </row>
    <row r="446" spans="9:17" x14ac:dyDescent="0.45">
      <c r="I446" t="s">
        <v>187</v>
      </c>
      <c r="J446" t="s">
        <v>339</v>
      </c>
      <c r="K446">
        <v>7.763078237618657E-3</v>
      </c>
      <c r="L446" t="s">
        <v>166</v>
      </c>
      <c r="N446" t="s">
        <v>252</v>
      </c>
      <c r="O446" t="s">
        <v>339</v>
      </c>
      <c r="P446">
        <v>2.5829196480403301E-3</v>
      </c>
      <c r="Q446" t="s">
        <v>166</v>
      </c>
    </row>
    <row r="447" spans="9:17" x14ac:dyDescent="0.45">
      <c r="I447" t="s">
        <v>187</v>
      </c>
      <c r="J447" t="s">
        <v>340</v>
      </c>
      <c r="K447">
        <v>5.7000684386286776E-3</v>
      </c>
      <c r="L447" t="s">
        <v>166</v>
      </c>
      <c r="N447" t="s">
        <v>252</v>
      </c>
      <c r="O447" t="s">
        <v>340</v>
      </c>
      <c r="P447">
        <v>3.1348685541140106E-3</v>
      </c>
      <c r="Q447" t="s">
        <v>166</v>
      </c>
    </row>
    <row r="448" spans="9:17" x14ac:dyDescent="0.45">
      <c r="I448" t="s">
        <v>187</v>
      </c>
      <c r="J448" t="s">
        <v>341</v>
      </c>
      <c r="K448">
        <v>2.8132384502762321E-3</v>
      </c>
      <c r="L448" t="s">
        <v>166</v>
      </c>
      <c r="N448" t="s">
        <v>252</v>
      </c>
      <c r="O448" t="s">
        <v>341</v>
      </c>
      <c r="P448">
        <v>2.4324986745617821E-2</v>
      </c>
      <c r="Q448" t="s">
        <v>166</v>
      </c>
    </row>
    <row r="449" spans="9:17" x14ac:dyDescent="0.45">
      <c r="I449" t="s">
        <v>187</v>
      </c>
      <c r="J449" t="s">
        <v>175</v>
      </c>
      <c r="K449">
        <v>2.4120668406084459E-2</v>
      </c>
      <c r="L449" t="s">
        <v>166</v>
      </c>
      <c r="N449" t="s">
        <v>252</v>
      </c>
      <c r="O449" t="s">
        <v>175</v>
      </c>
      <c r="P449">
        <v>4.2617285315664451E-2</v>
      </c>
      <c r="Q449" t="s">
        <v>166</v>
      </c>
    </row>
    <row r="450" spans="9:17" x14ac:dyDescent="0.45">
      <c r="I450" t="s">
        <v>187</v>
      </c>
      <c r="J450" t="s">
        <v>176</v>
      </c>
      <c r="K450">
        <v>9.9959909428054688E-3</v>
      </c>
      <c r="L450" t="s">
        <v>166</v>
      </c>
      <c r="N450" t="s">
        <v>252</v>
      </c>
      <c r="O450" t="s">
        <v>176</v>
      </c>
      <c r="P450">
        <v>2.7193514096220429E-3</v>
      </c>
      <c r="Q450" t="s">
        <v>166</v>
      </c>
    </row>
    <row r="451" spans="9:17" x14ac:dyDescent="0.45">
      <c r="I451" t="s">
        <v>187</v>
      </c>
      <c r="J451" t="s">
        <v>177</v>
      </c>
      <c r="K451">
        <v>6.0797183693358778E-2</v>
      </c>
      <c r="L451" t="s">
        <v>166</v>
      </c>
      <c r="N451" t="s">
        <v>252</v>
      </c>
      <c r="O451" t="s">
        <v>177</v>
      </c>
      <c r="P451">
        <v>1.37961656293522E-2</v>
      </c>
      <c r="Q451" t="s">
        <v>166</v>
      </c>
    </row>
    <row r="452" spans="9:17" x14ac:dyDescent="0.45">
      <c r="I452" t="s">
        <v>187</v>
      </c>
      <c r="J452" t="s">
        <v>342</v>
      </c>
      <c r="K452">
        <v>7.400655436771192E-3</v>
      </c>
      <c r="L452" t="s">
        <v>166</v>
      </c>
      <c r="N452" t="s">
        <v>252</v>
      </c>
      <c r="O452" t="s">
        <v>342</v>
      </c>
      <c r="P452">
        <v>2.9281384892577153E-3</v>
      </c>
      <c r="Q452" t="s">
        <v>166</v>
      </c>
    </row>
    <row r="453" spans="9:17" x14ac:dyDescent="0.45">
      <c r="I453" t="s">
        <v>187</v>
      </c>
      <c r="J453" t="s">
        <v>343</v>
      </c>
      <c r="K453">
        <v>5.4316639922020425E-3</v>
      </c>
      <c r="L453" t="s">
        <v>166</v>
      </c>
      <c r="N453" t="s">
        <v>252</v>
      </c>
      <c r="O453" t="s">
        <v>343</v>
      </c>
      <c r="P453">
        <v>3.486013684253904E-3</v>
      </c>
      <c r="Q453" t="s">
        <v>166</v>
      </c>
    </row>
    <row r="454" spans="9:17" x14ac:dyDescent="0.45">
      <c r="I454" t="s">
        <v>187</v>
      </c>
      <c r="J454" t="s">
        <v>344</v>
      </c>
      <c r="K454">
        <v>2.7382549660354282E-3</v>
      </c>
      <c r="L454" t="s">
        <v>166</v>
      </c>
      <c r="N454" t="s">
        <v>252</v>
      </c>
      <c r="O454" t="s">
        <v>344</v>
      </c>
      <c r="P454">
        <v>2.557603235756338E-2</v>
      </c>
      <c r="Q454" t="s">
        <v>166</v>
      </c>
    </row>
    <row r="455" spans="9:17" x14ac:dyDescent="0.45">
      <c r="I455" t="s">
        <v>187</v>
      </c>
      <c r="J455" t="s">
        <v>345</v>
      </c>
      <c r="K455">
        <v>4.2359010180957293E-2</v>
      </c>
      <c r="L455" t="s">
        <v>166</v>
      </c>
      <c r="N455" t="s">
        <v>252</v>
      </c>
      <c r="O455" t="s">
        <v>345</v>
      </c>
      <c r="P455">
        <v>8.3560253327977535E-2</v>
      </c>
      <c r="Q455" t="s">
        <v>166</v>
      </c>
    </row>
    <row r="456" spans="9:17" x14ac:dyDescent="0.45">
      <c r="I456" t="s">
        <v>187</v>
      </c>
      <c r="J456" t="s">
        <v>346</v>
      </c>
      <c r="K456">
        <v>1.9146109155394223E-2</v>
      </c>
      <c r="L456" t="s">
        <v>166</v>
      </c>
      <c r="N456" t="s">
        <v>252</v>
      </c>
      <c r="O456" t="s">
        <v>346</v>
      </c>
      <c r="P456">
        <v>6.2097255304348663E-3</v>
      </c>
      <c r="Q456" t="s">
        <v>166</v>
      </c>
    </row>
    <row r="457" spans="9:17" x14ac:dyDescent="0.45">
      <c r="I457" t="s">
        <v>187</v>
      </c>
      <c r="J457" t="s">
        <v>347</v>
      </c>
      <c r="K457">
        <v>0.11042605305983771</v>
      </c>
      <c r="L457" t="s">
        <v>166</v>
      </c>
      <c r="N457" t="s">
        <v>252</v>
      </c>
      <c r="O457" t="s">
        <v>347</v>
      </c>
      <c r="P457">
        <v>1.9034987010253562E-2</v>
      </c>
      <c r="Q457" t="s">
        <v>166</v>
      </c>
    </row>
    <row r="458" spans="9:17" x14ac:dyDescent="0.45">
      <c r="I458" t="s">
        <v>187</v>
      </c>
      <c r="J458" t="s">
        <v>348</v>
      </c>
      <c r="K458">
        <v>1.2116215723471659E-2</v>
      </c>
      <c r="L458" t="s">
        <v>166</v>
      </c>
      <c r="N458" t="s">
        <v>252</v>
      </c>
      <c r="O458" t="s">
        <v>348</v>
      </c>
      <c r="P458">
        <v>3.0304927625782354E-3</v>
      </c>
      <c r="Q458" t="s">
        <v>166</v>
      </c>
    </row>
    <row r="459" spans="9:17" x14ac:dyDescent="0.45">
      <c r="I459" t="s">
        <v>187</v>
      </c>
      <c r="J459" t="s">
        <v>349</v>
      </c>
      <c r="K459">
        <v>7.9259095081744696E-3</v>
      </c>
      <c r="L459" t="s">
        <v>166</v>
      </c>
      <c r="N459" t="s">
        <v>252</v>
      </c>
      <c r="O459" t="s">
        <v>349</v>
      </c>
      <c r="P459">
        <v>4.4503182037840061E-3</v>
      </c>
      <c r="Q459" t="s">
        <v>166</v>
      </c>
    </row>
    <row r="460" spans="9:17" x14ac:dyDescent="0.45">
      <c r="I460" t="s">
        <v>187</v>
      </c>
      <c r="J460" t="s">
        <v>350</v>
      </c>
      <c r="K460">
        <v>1.9148982564717899E-3</v>
      </c>
      <c r="L460" t="s">
        <v>166</v>
      </c>
      <c r="N460" t="s">
        <v>252</v>
      </c>
      <c r="O460" t="s">
        <v>350</v>
      </c>
      <c r="P460">
        <v>4.2915909187370517E-2</v>
      </c>
      <c r="Q460" t="s">
        <v>166</v>
      </c>
    </row>
    <row r="461" spans="9:17" x14ac:dyDescent="0.45">
      <c r="I461" t="s">
        <v>187</v>
      </c>
      <c r="J461" t="s">
        <v>351</v>
      </c>
      <c r="K461">
        <v>1.7296878968290498E-2</v>
      </c>
      <c r="L461" t="s">
        <v>166</v>
      </c>
      <c r="N461" t="s">
        <v>252</v>
      </c>
      <c r="O461" t="s">
        <v>351</v>
      </c>
      <c r="P461">
        <v>2.0525156213820339E-2</v>
      </c>
      <c r="Q461" t="s">
        <v>166</v>
      </c>
    </row>
    <row r="462" spans="9:17" x14ac:dyDescent="0.45">
      <c r="I462" t="s">
        <v>187</v>
      </c>
      <c r="J462" t="s">
        <v>352</v>
      </c>
      <c r="K462">
        <v>9.0366689090989119E-3</v>
      </c>
      <c r="L462" t="s">
        <v>166</v>
      </c>
      <c r="N462" t="s">
        <v>252</v>
      </c>
      <c r="O462" t="s">
        <v>352</v>
      </c>
      <c r="P462">
        <v>1.4288973400355498E-3</v>
      </c>
      <c r="Q462" t="s">
        <v>166</v>
      </c>
    </row>
    <row r="463" spans="9:17" x14ac:dyDescent="0.45">
      <c r="I463" t="s">
        <v>187</v>
      </c>
      <c r="J463" t="s">
        <v>353</v>
      </c>
      <c r="K463">
        <v>5.0173780963193929E-2</v>
      </c>
      <c r="L463" t="s">
        <v>166</v>
      </c>
      <c r="N463" t="s">
        <v>252</v>
      </c>
      <c r="O463" t="s">
        <v>353</v>
      </c>
      <c r="P463">
        <v>5.9124082938769055E-3</v>
      </c>
      <c r="Q463" t="s">
        <v>166</v>
      </c>
    </row>
    <row r="464" spans="9:17" x14ac:dyDescent="0.45">
      <c r="I464" t="s">
        <v>187</v>
      </c>
      <c r="J464" t="s">
        <v>354</v>
      </c>
      <c r="K464">
        <v>4.5083763924902509E-3</v>
      </c>
      <c r="L464" t="s">
        <v>166</v>
      </c>
      <c r="N464" t="s">
        <v>252</v>
      </c>
      <c r="O464" t="s">
        <v>354</v>
      </c>
      <c r="P464">
        <v>1.4193615168426957E-3</v>
      </c>
      <c r="Q464" t="s">
        <v>166</v>
      </c>
    </row>
    <row r="465" spans="9:17" x14ac:dyDescent="0.45">
      <c r="I465" t="s">
        <v>187</v>
      </c>
      <c r="J465" t="s">
        <v>355</v>
      </c>
      <c r="K465">
        <v>1.4168821772533543E-4</v>
      </c>
      <c r="L465" t="s">
        <v>166</v>
      </c>
      <c r="N465" t="s">
        <v>252</v>
      </c>
      <c r="O465" t="s">
        <v>355</v>
      </c>
      <c r="P465">
        <v>2.0082778652660265E-3</v>
      </c>
      <c r="Q465" t="s">
        <v>166</v>
      </c>
    </row>
    <row r="466" spans="9:17" x14ac:dyDescent="0.45">
      <c r="I466" t="s">
        <v>187</v>
      </c>
      <c r="J466" t="s">
        <v>356</v>
      </c>
      <c r="K466">
        <v>0</v>
      </c>
      <c r="L466" t="s">
        <v>166</v>
      </c>
      <c r="N466" t="s">
        <v>252</v>
      </c>
      <c r="O466" t="s">
        <v>356</v>
      </c>
      <c r="P466">
        <v>1.1900989322563496E-2</v>
      </c>
      <c r="Q466" t="s">
        <v>166</v>
      </c>
    </row>
    <row r="467" spans="9:17" x14ac:dyDescent="0.45">
      <c r="I467" t="s">
        <v>187</v>
      </c>
      <c r="J467" t="s">
        <v>357</v>
      </c>
      <c r="K467">
        <v>1.6892436816120206E-2</v>
      </c>
      <c r="L467" t="s">
        <v>166</v>
      </c>
      <c r="N467" t="s">
        <v>252</v>
      </c>
      <c r="O467" t="s">
        <v>357</v>
      </c>
      <c r="P467">
        <v>4.1174144128743463E-2</v>
      </c>
      <c r="Q467" t="s">
        <v>166</v>
      </c>
    </row>
    <row r="468" spans="9:17" x14ac:dyDescent="0.45">
      <c r="I468" t="s">
        <v>187</v>
      </c>
      <c r="J468" t="s">
        <v>358</v>
      </c>
      <c r="K468">
        <v>1.2592467267726696E-2</v>
      </c>
      <c r="L468" t="s">
        <v>166</v>
      </c>
      <c r="N468" t="s">
        <v>252</v>
      </c>
      <c r="O468" t="s">
        <v>358</v>
      </c>
      <c r="P468">
        <v>2.9305516103021248E-3</v>
      </c>
      <c r="Q468" t="s">
        <v>166</v>
      </c>
    </row>
    <row r="469" spans="9:17" x14ac:dyDescent="0.45">
      <c r="I469" t="s">
        <v>187</v>
      </c>
      <c r="J469" t="s">
        <v>359</v>
      </c>
      <c r="K469">
        <v>6.9171858468193084E-2</v>
      </c>
      <c r="L469" t="s">
        <v>166</v>
      </c>
      <c r="N469" t="s">
        <v>252</v>
      </c>
      <c r="O469" t="s">
        <v>359</v>
      </c>
      <c r="P469">
        <v>2.6628826659646783E-2</v>
      </c>
      <c r="Q469" t="s">
        <v>166</v>
      </c>
    </row>
    <row r="470" spans="9:17" x14ac:dyDescent="0.45">
      <c r="I470" t="s">
        <v>187</v>
      </c>
      <c r="J470" t="s">
        <v>360</v>
      </c>
      <c r="K470">
        <v>5.1881711346055751E-3</v>
      </c>
      <c r="L470" t="s">
        <v>166</v>
      </c>
      <c r="N470" t="s">
        <v>252</v>
      </c>
      <c r="O470" t="s">
        <v>360</v>
      </c>
      <c r="P470">
        <v>5.4728692383433485E-3</v>
      </c>
      <c r="Q470" t="s">
        <v>166</v>
      </c>
    </row>
    <row r="471" spans="9:17" x14ac:dyDescent="0.45">
      <c r="I471" t="s">
        <v>187</v>
      </c>
      <c r="J471" t="s">
        <v>361</v>
      </c>
      <c r="K471">
        <v>0</v>
      </c>
      <c r="L471" t="s">
        <v>166</v>
      </c>
      <c r="N471" t="s">
        <v>252</v>
      </c>
      <c r="O471" t="s">
        <v>361</v>
      </c>
      <c r="P471">
        <v>6.3723519608761704E-3</v>
      </c>
      <c r="Q471" t="s">
        <v>166</v>
      </c>
    </row>
    <row r="472" spans="9:17" x14ac:dyDescent="0.45">
      <c r="I472" t="s">
        <v>187</v>
      </c>
      <c r="J472" t="s">
        <v>362</v>
      </c>
      <c r="K472">
        <v>0</v>
      </c>
      <c r="L472" t="s">
        <v>166</v>
      </c>
      <c r="N472" t="s">
        <v>252</v>
      </c>
      <c r="O472" t="s">
        <v>362</v>
      </c>
      <c r="P472">
        <v>3.4634397514999443E-2</v>
      </c>
      <c r="Q472" t="s">
        <v>166</v>
      </c>
    </row>
    <row r="473" spans="9:17" x14ac:dyDescent="0.45">
      <c r="I473" t="s">
        <v>188</v>
      </c>
      <c r="J473" t="s">
        <v>165</v>
      </c>
      <c r="K473">
        <v>3.3405564643377718E-2</v>
      </c>
      <c r="L473" t="s">
        <v>166</v>
      </c>
      <c r="N473" t="s">
        <v>253</v>
      </c>
      <c r="O473" t="s">
        <v>165</v>
      </c>
      <c r="P473">
        <v>0.10131804226371806</v>
      </c>
      <c r="Q473" t="s">
        <v>166</v>
      </c>
    </row>
    <row r="474" spans="9:17" x14ac:dyDescent="0.45">
      <c r="I474" t="s">
        <v>188</v>
      </c>
      <c r="J474" t="s">
        <v>167</v>
      </c>
      <c r="K474">
        <v>2.193562820557271E-2</v>
      </c>
      <c r="L474" t="s">
        <v>166</v>
      </c>
      <c r="N474" t="s">
        <v>253</v>
      </c>
      <c r="O474" t="s">
        <v>167</v>
      </c>
      <c r="P474">
        <v>8.2814512910756415E-3</v>
      </c>
      <c r="Q474" t="s">
        <v>166</v>
      </c>
    </row>
    <row r="475" spans="9:17" x14ac:dyDescent="0.45">
      <c r="I475" t="s">
        <v>188</v>
      </c>
      <c r="J475" t="s">
        <v>168</v>
      </c>
      <c r="K475">
        <v>0.13070472084286308</v>
      </c>
      <c r="L475" t="s">
        <v>166</v>
      </c>
      <c r="N475" t="s">
        <v>253</v>
      </c>
      <c r="O475" t="s">
        <v>168</v>
      </c>
      <c r="P475">
        <v>7.9277502088924368E-2</v>
      </c>
      <c r="Q475" t="s">
        <v>166</v>
      </c>
    </row>
    <row r="476" spans="9:17" x14ac:dyDescent="0.45">
      <c r="I476" t="s">
        <v>188</v>
      </c>
      <c r="J476" t="s">
        <v>333</v>
      </c>
      <c r="K476">
        <v>1.549473956128365E-2</v>
      </c>
      <c r="L476" t="s">
        <v>166</v>
      </c>
      <c r="N476" t="s">
        <v>253</v>
      </c>
      <c r="O476" t="s">
        <v>333</v>
      </c>
      <c r="P476">
        <v>1.6775426540788084E-2</v>
      </c>
      <c r="Q476" t="s">
        <v>166</v>
      </c>
    </row>
    <row r="477" spans="9:17" x14ac:dyDescent="0.45">
      <c r="I477" t="s">
        <v>188</v>
      </c>
      <c r="J477" t="s">
        <v>334</v>
      </c>
      <c r="K477">
        <v>6.5048912789154659E-3</v>
      </c>
      <c r="L477" t="s">
        <v>166</v>
      </c>
      <c r="N477" t="s">
        <v>253</v>
      </c>
      <c r="O477" t="s">
        <v>334</v>
      </c>
      <c r="P477">
        <v>1.6373115498604845E-2</v>
      </c>
      <c r="Q477" t="s">
        <v>166</v>
      </c>
    </row>
    <row r="478" spans="9:17" x14ac:dyDescent="0.45">
      <c r="I478" t="s">
        <v>188</v>
      </c>
      <c r="J478" t="s">
        <v>335</v>
      </c>
      <c r="K478">
        <v>0</v>
      </c>
      <c r="L478" t="s">
        <v>166</v>
      </c>
      <c r="N478" t="s">
        <v>253</v>
      </c>
      <c r="O478" t="s">
        <v>335</v>
      </c>
      <c r="P478">
        <v>6.3121626997100791E-2</v>
      </c>
      <c r="Q478" t="s">
        <v>166</v>
      </c>
    </row>
    <row r="479" spans="9:17" x14ac:dyDescent="0.45">
      <c r="I479" t="s">
        <v>188</v>
      </c>
      <c r="J479" t="s">
        <v>169</v>
      </c>
      <c r="K479">
        <v>4.1693982154950168E-2</v>
      </c>
      <c r="L479" t="s">
        <v>166</v>
      </c>
      <c r="N479" t="s">
        <v>253</v>
      </c>
      <c r="O479" t="s">
        <v>169</v>
      </c>
      <c r="P479">
        <v>9.8843713053411567E-2</v>
      </c>
      <c r="Q479" t="s">
        <v>166</v>
      </c>
    </row>
    <row r="480" spans="9:17" x14ac:dyDescent="0.45">
      <c r="I480" t="s">
        <v>188</v>
      </c>
      <c r="J480" t="s">
        <v>170</v>
      </c>
      <c r="K480">
        <v>1.8296916194677611E-2</v>
      </c>
      <c r="L480" t="s">
        <v>166</v>
      </c>
      <c r="N480" t="s">
        <v>253</v>
      </c>
      <c r="O480" t="s">
        <v>170</v>
      </c>
      <c r="P480">
        <v>8.3937725694799119E-3</v>
      </c>
      <c r="Q480" t="s">
        <v>166</v>
      </c>
    </row>
    <row r="481" spans="9:17" x14ac:dyDescent="0.45">
      <c r="I481" t="s">
        <v>188</v>
      </c>
      <c r="J481" t="s">
        <v>171</v>
      </c>
      <c r="K481">
        <v>0.110576387484893</v>
      </c>
      <c r="L481" t="s">
        <v>166</v>
      </c>
      <c r="N481" t="s">
        <v>253</v>
      </c>
      <c r="O481" t="s">
        <v>171</v>
      </c>
      <c r="P481">
        <v>7.7938654748062053E-2</v>
      </c>
      <c r="Q481" t="s">
        <v>166</v>
      </c>
    </row>
    <row r="482" spans="9:17" x14ac:dyDescent="0.45">
      <c r="I482" t="s">
        <v>188</v>
      </c>
      <c r="J482" t="s">
        <v>336</v>
      </c>
      <c r="K482">
        <v>1.3177056942493024E-2</v>
      </c>
      <c r="L482" t="s">
        <v>166</v>
      </c>
      <c r="N482" t="s">
        <v>253</v>
      </c>
      <c r="O482" t="s">
        <v>336</v>
      </c>
      <c r="P482">
        <v>1.3333920978077977E-2</v>
      </c>
      <c r="Q482" t="s">
        <v>166</v>
      </c>
    </row>
    <row r="483" spans="9:17" x14ac:dyDescent="0.45">
      <c r="I483" t="s">
        <v>188</v>
      </c>
      <c r="J483" t="s">
        <v>337</v>
      </c>
      <c r="K483">
        <v>9.3551767117638698E-3</v>
      </c>
      <c r="L483" t="s">
        <v>166</v>
      </c>
      <c r="N483" t="s">
        <v>253</v>
      </c>
      <c r="O483" t="s">
        <v>337</v>
      </c>
      <c r="P483">
        <v>1.2942216816447782E-2</v>
      </c>
      <c r="Q483" t="s">
        <v>166</v>
      </c>
    </row>
    <row r="484" spans="9:17" x14ac:dyDescent="0.45">
      <c r="I484" t="s">
        <v>188</v>
      </c>
      <c r="J484" t="s">
        <v>338</v>
      </c>
      <c r="K484">
        <v>3.6511511765174149E-3</v>
      </c>
      <c r="L484" t="s">
        <v>166</v>
      </c>
      <c r="N484" t="s">
        <v>253</v>
      </c>
      <c r="O484" t="s">
        <v>338</v>
      </c>
      <c r="P484">
        <v>5.6526235404798328E-2</v>
      </c>
      <c r="Q484" t="s">
        <v>166</v>
      </c>
    </row>
    <row r="485" spans="9:17" x14ac:dyDescent="0.45">
      <c r="I485" t="s">
        <v>188</v>
      </c>
      <c r="J485" t="s">
        <v>172</v>
      </c>
      <c r="K485">
        <v>2.5291860982514482E-2</v>
      </c>
      <c r="L485" t="s">
        <v>166</v>
      </c>
      <c r="N485" t="s">
        <v>253</v>
      </c>
      <c r="O485" t="s">
        <v>172</v>
      </c>
      <c r="P485">
        <v>2.9529293392439163E-2</v>
      </c>
      <c r="Q485" t="s">
        <v>166</v>
      </c>
    </row>
    <row r="486" spans="9:17" x14ac:dyDescent="0.45">
      <c r="I486" t="s">
        <v>188</v>
      </c>
      <c r="J486" t="s">
        <v>173</v>
      </c>
      <c r="K486">
        <v>9.8051986058899226E-3</v>
      </c>
      <c r="L486" t="s">
        <v>166</v>
      </c>
      <c r="N486" t="s">
        <v>253</v>
      </c>
      <c r="O486" t="s">
        <v>173</v>
      </c>
      <c r="P486">
        <v>2.7514041095619188E-3</v>
      </c>
      <c r="Q486" t="s">
        <v>166</v>
      </c>
    </row>
    <row r="487" spans="9:17" x14ac:dyDescent="0.45">
      <c r="I487" t="s">
        <v>188</v>
      </c>
      <c r="J487" t="s">
        <v>174</v>
      </c>
      <c r="K487">
        <v>5.8964988614951065E-2</v>
      </c>
      <c r="L487" t="s">
        <v>166</v>
      </c>
      <c r="N487" t="s">
        <v>253</v>
      </c>
      <c r="O487" t="s">
        <v>174</v>
      </c>
      <c r="P487">
        <v>1.283489774118415E-2</v>
      </c>
      <c r="Q487" t="s">
        <v>166</v>
      </c>
    </row>
    <row r="488" spans="9:17" x14ac:dyDescent="0.45">
      <c r="I488" t="s">
        <v>188</v>
      </c>
      <c r="J488" t="s">
        <v>339</v>
      </c>
      <c r="K488">
        <v>7.1481586198776691E-3</v>
      </c>
      <c r="L488" t="s">
        <v>166</v>
      </c>
      <c r="N488" t="s">
        <v>253</v>
      </c>
      <c r="O488" t="s">
        <v>339</v>
      </c>
      <c r="P488">
        <v>2.4479867706782171E-3</v>
      </c>
      <c r="Q488" t="s">
        <v>166</v>
      </c>
    </row>
    <row r="489" spans="9:17" x14ac:dyDescent="0.45">
      <c r="I489" t="s">
        <v>188</v>
      </c>
      <c r="J489" t="s">
        <v>340</v>
      </c>
      <c r="K489">
        <v>5.3875437213969785E-3</v>
      </c>
      <c r="L489" t="s">
        <v>166</v>
      </c>
      <c r="N489" t="s">
        <v>253</v>
      </c>
      <c r="O489" t="s">
        <v>340</v>
      </c>
      <c r="P489">
        <v>3.0252155050082977E-3</v>
      </c>
      <c r="Q489" t="s">
        <v>166</v>
      </c>
    </row>
    <row r="490" spans="9:17" x14ac:dyDescent="0.45">
      <c r="I490" t="s">
        <v>188</v>
      </c>
      <c r="J490" t="s">
        <v>341</v>
      </c>
      <c r="K490">
        <v>2.9566534880036371E-3</v>
      </c>
      <c r="L490" t="s">
        <v>166</v>
      </c>
      <c r="N490" t="s">
        <v>253</v>
      </c>
      <c r="O490" t="s">
        <v>341</v>
      </c>
      <c r="P490">
        <v>1.820705691661469E-2</v>
      </c>
      <c r="Q490" t="s">
        <v>166</v>
      </c>
    </row>
    <row r="491" spans="9:17" x14ac:dyDescent="0.45">
      <c r="I491" t="s">
        <v>188</v>
      </c>
      <c r="J491" t="s">
        <v>175</v>
      </c>
      <c r="K491">
        <v>2.172717594232226E-2</v>
      </c>
      <c r="L491" t="s">
        <v>166</v>
      </c>
      <c r="N491" t="s">
        <v>253</v>
      </c>
      <c r="O491" t="s">
        <v>175</v>
      </c>
      <c r="P491">
        <v>3.0716895617816181E-2</v>
      </c>
      <c r="Q491" t="s">
        <v>166</v>
      </c>
    </row>
    <row r="492" spans="9:17" x14ac:dyDescent="0.45">
      <c r="I492" t="s">
        <v>188</v>
      </c>
      <c r="J492" t="s">
        <v>176</v>
      </c>
      <c r="K492">
        <v>9.4076757579871721E-3</v>
      </c>
      <c r="L492" t="s">
        <v>166</v>
      </c>
      <c r="N492" t="s">
        <v>253</v>
      </c>
      <c r="O492" t="s">
        <v>176</v>
      </c>
      <c r="P492">
        <v>3.3742925756632017E-3</v>
      </c>
      <c r="Q492" t="s">
        <v>166</v>
      </c>
    </row>
    <row r="493" spans="9:17" x14ac:dyDescent="0.45">
      <c r="I493" t="s">
        <v>188</v>
      </c>
      <c r="J493" t="s">
        <v>177</v>
      </c>
      <c r="K493">
        <v>5.7335720975773635E-2</v>
      </c>
      <c r="L493" t="s">
        <v>166</v>
      </c>
      <c r="N493" t="s">
        <v>253</v>
      </c>
      <c r="O493" t="s">
        <v>177</v>
      </c>
      <c r="P493">
        <v>1.9269232532926041E-2</v>
      </c>
      <c r="Q493" t="s">
        <v>166</v>
      </c>
    </row>
    <row r="494" spans="9:17" x14ac:dyDescent="0.45">
      <c r="I494" t="s">
        <v>188</v>
      </c>
      <c r="J494" t="s">
        <v>342</v>
      </c>
      <c r="K494">
        <v>6.8006327132313273E-3</v>
      </c>
      <c r="L494" t="s">
        <v>166</v>
      </c>
      <c r="N494" t="s">
        <v>253</v>
      </c>
      <c r="O494" t="s">
        <v>342</v>
      </c>
      <c r="P494">
        <v>3.5902995196891345E-3</v>
      </c>
      <c r="Q494" t="s">
        <v>166</v>
      </c>
    </row>
    <row r="495" spans="9:17" x14ac:dyDescent="0.45">
      <c r="I495" t="s">
        <v>188</v>
      </c>
      <c r="J495" t="s">
        <v>343</v>
      </c>
      <c r="K495">
        <v>4.8419615634558225E-3</v>
      </c>
      <c r="L495" t="s">
        <v>166</v>
      </c>
      <c r="N495" t="s">
        <v>253</v>
      </c>
      <c r="O495" t="s">
        <v>343</v>
      </c>
      <c r="P495">
        <v>3.9879050739763076E-3</v>
      </c>
      <c r="Q495" t="s">
        <v>166</v>
      </c>
    </row>
    <row r="496" spans="9:17" x14ac:dyDescent="0.45">
      <c r="I496" t="s">
        <v>188</v>
      </c>
      <c r="J496" t="s">
        <v>344</v>
      </c>
      <c r="K496">
        <v>2.6361076039573893E-3</v>
      </c>
      <c r="L496" t="s">
        <v>166</v>
      </c>
      <c r="N496" t="s">
        <v>253</v>
      </c>
      <c r="O496" t="s">
        <v>344</v>
      </c>
      <c r="P496">
        <v>1.8879547552303224E-2</v>
      </c>
      <c r="Q496" t="s">
        <v>166</v>
      </c>
    </row>
    <row r="497" spans="9:17" x14ac:dyDescent="0.45">
      <c r="I497" t="s">
        <v>188</v>
      </c>
      <c r="J497" t="s">
        <v>345</v>
      </c>
      <c r="K497">
        <v>3.8603909850381313E-2</v>
      </c>
      <c r="L497" t="s">
        <v>166</v>
      </c>
      <c r="N497" t="s">
        <v>253</v>
      </c>
      <c r="O497" t="s">
        <v>345</v>
      </c>
      <c r="P497">
        <v>6.3753929958630884E-2</v>
      </c>
      <c r="Q497" t="s">
        <v>166</v>
      </c>
    </row>
    <row r="498" spans="9:17" x14ac:dyDescent="0.45">
      <c r="I498" t="s">
        <v>188</v>
      </c>
      <c r="J498" t="s">
        <v>346</v>
      </c>
      <c r="K498">
        <v>1.8461701465579312E-2</v>
      </c>
      <c r="L498" t="s">
        <v>166</v>
      </c>
      <c r="N498" t="s">
        <v>253</v>
      </c>
      <c r="O498" t="s">
        <v>346</v>
      </c>
      <c r="P498">
        <v>5.8453258833085706E-3</v>
      </c>
      <c r="Q498" t="s">
        <v>166</v>
      </c>
    </row>
    <row r="499" spans="9:17" x14ac:dyDescent="0.45">
      <c r="I499" t="s">
        <v>188</v>
      </c>
      <c r="J499" t="s">
        <v>347</v>
      </c>
      <c r="K499">
        <v>0.10431969802417895</v>
      </c>
      <c r="L499" t="s">
        <v>166</v>
      </c>
      <c r="N499" t="s">
        <v>253</v>
      </c>
      <c r="O499" t="s">
        <v>347</v>
      </c>
      <c r="P499">
        <v>2.1346156695441754E-2</v>
      </c>
      <c r="Q499" t="s">
        <v>166</v>
      </c>
    </row>
    <row r="500" spans="9:17" x14ac:dyDescent="0.45">
      <c r="I500" t="s">
        <v>188</v>
      </c>
      <c r="J500" t="s">
        <v>348</v>
      </c>
      <c r="K500">
        <v>1.1417472567075038E-2</v>
      </c>
      <c r="L500" t="s">
        <v>166</v>
      </c>
      <c r="N500" t="s">
        <v>253</v>
      </c>
      <c r="O500" t="s">
        <v>348</v>
      </c>
      <c r="P500">
        <v>3.4806294040510026E-3</v>
      </c>
      <c r="Q500" t="s">
        <v>166</v>
      </c>
    </row>
    <row r="501" spans="9:17" x14ac:dyDescent="0.45">
      <c r="I501" t="s">
        <v>188</v>
      </c>
      <c r="J501" t="s">
        <v>349</v>
      </c>
      <c r="K501">
        <v>7.58318463147777E-3</v>
      </c>
      <c r="L501" t="s">
        <v>166</v>
      </c>
      <c r="N501" t="s">
        <v>253</v>
      </c>
      <c r="O501" t="s">
        <v>349</v>
      </c>
      <c r="P501">
        <v>4.2705593082045471E-3</v>
      </c>
      <c r="Q501" t="s">
        <v>166</v>
      </c>
    </row>
    <row r="502" spans="9:17" x14ac:dyDescent="0.45">
      <c r="I502" t="s">
        <v>188</v>
      </c>
      <c r="J502" t="s">
        <v>350</v>
      </c>
      <c r="K502">
        <v>2.3213690698801956E-3</v>
      </c>
      <c r="L502" t="s">
        <v>166</v>
      </c>
      <c r="N502" t="s">
        <v>253</v>
      </c>
      <c r="O502" t="s">
        <v>350</v>
      </c>
      <c r="P502">
        <v>3.0668218276598373E-2</v>
      </c>
      <c r="Q502" t="s">
        <v>166</v>
      </c>
    </row>
    <row r="503" spans="9:17" x14ac:dyDescent="0.45">
      <c r="I503" t="s">
        <v>188</v>
      </c>
      <c r="J503" t="s">
        <v>351</v>
      </c>
      <c r="K503">
        <v>1.8191919045931284E-2</v>
      </c>
      <c r="L503" t="s">
        <v>166</v>
      </c>
      <c r="N503" t="s">
        <v>253</v>
      </c>
      <c r="O503" t="s">
        <v>351</v>
      </c>
      <c r="P503">
        <v>1.1408706715797544E-2</v>
      </c>
      <c r="Q503" t="s">
        <v>166</v>
      </c>
    </row>
    <row r="504" spans="9:17" x14ac:dyDescent="0.45">
      <c r="I504" t="s">
        <v>188</v>
      </c>
      <c r="J504" t="s">
        <v>352</v>
      </c>
      <c r="K504">
        <v>9.1756689119573669E-3</v>
      </c>
      <c r="L504" t="s">
        <v>166</v>
      </c>
      <c r="N504" t="s">
        <v>253</v>
      </c>
      <c r="O504" t="s">
        <v>352</v>
      </c>
      <c r="P504">
        <v>8.7030843018872902E-4</v>
      </c>
      <c r="Q504" t="s">
        <v>166</v>
      </c>
    </row>
    <row r="505" spans="9:17" x14ac:dyDescent="0.45">
      <c r="I505" t="s">
        <v>188</v>
      </c>
      <c r="J505" t="s">
        <v>353</v>
      </c>
      <c r="K505">
        <v>4.9431599045539759E-2</v>
      </c>
      <c r="L505" t="s">
        <v>166</v>
      </c>
      <c r="N505" t="s">
        <v>253</v>
      </c>
      <c r="O505" t="s">
        <v>353</v>
      </c>
      <c r="P505">
        <v>6.3763815902351789E-3</v>
      </c>
      <c r="Q505" t="s">
        <v>166</v>
      </c>
    </row>
    <row r="506" spans="9:17" x14ac:dyDescent="0.45">
      <c r="I506" t="s">
        <v>188</v>
      </c>
      <c r="J506" t="s">
        <v>354</v>
      </c>
      <c r="K506">
        <v>4.6204001370129602E-3</v>
      </c>
      <c r="L506" t="s">
        <v>166</v>
      </c>
      <c r="N506" t="s">
        <v>253</v>
      </c>
      <c r="O506" t="s">
        <v>354</v>
      </c>
      <c r="P506">
        <v>2.1504509380762351E-3</v>
      </c>
      <c r="Q506" t="s">
        <v>166</v>
      </c>
    </row>
    <row r="507" spans="9:17" x14ac:dyDescent="0.45">
      <c r="I507" t="s">
        <v>188</v>
      </c>
      <c r="J507" t="s">
        <v>355</v>
      </c>
      <c r="K507">
        <v>8.9792340856410086E-4</v>
      </c>
      <c r="L507" t="s">
        <v>166</v>
      </c>
      <c r="N507" t="s">
        <v>253</v>
      </c>
      <c r="O507" t="s">
        <v>355</v>
      </c>
      <c r="P507">
        <v>2.6352291123348873E-3</v>
      </c>
      <c r="Q507" t="s">
        <v>166</v>
      </c>
    </row>
    <row r="508" spans="9:17" x14ac:dyDescent="0.45">
      <c r="I508" t="s">
        <v>188</v>
      </c>
      <c r="J508" t="s">
        <v>356</v>
      </c>
      <c r="K508">
        <v>0</v>
      </c>
      <c r="L508" t="s">
        <v>166</v>
      </c>
      <c r="N508" t="s">
        <v>253</v>
      </c>
      <c r="O508" t="s">
        <v>356</v>
      </c>
      <c r="P508">
        <v>1.0171633913462258E-2</v>
      </c>
      <c r="Q508" t="s">
        <v>166</v>
      </c>
    </row>
    <row r="509" spans="9:17" x14ac:dyDescent="0.45">
      <c r="I509" t="s">
        <v>188</v>
      </c>
      <c r="J509" t="s">
        <v>357</v>
      </c>
      <c r="K509">
        <v>1.8221738626234756E-2</v>
      </c>
      <c r="L509" t="s">
        <v>166</v>
      </c>
      <c r="N509" t="s">
        <v>253</v>
      </c>
      <c r="O509" t="s">
        <v>357</v>
      </c>
      <c r="P509">
        <v>4.6768604156869988E-2</v>
      </c>
      <c r="Q509" t="s">
        <v>166</v>
      </c>
    </row>
    <row r="510" spans="9:17" x14ac:dyDescent="0.45">
      <c r="I510" t="s">
        <v>188</v>
      </c>
      <c r="J510" t="s">
        <v>358</v>
      </c>
      <c r="K510">
        <v>1.3810717988979189E-2</v>
      </c>
      <c r="L510" t="s">
        <v>166</v>
      </c>
      <c r="N510" t="s">
        <v>253</v>
      </c>
      <c r="O510" t="s">
        <v>358</v>
      </c>
      <c r="P510">
        <v>3.4299767868116232E-3</v>
      </c>
      <c r="Q510" t="s">
        <v>166</v>
      </c>
    </row>
    <row r="511" spans="9:17" x14ac:dyDescent="0.45">
      <c r="I511" t="s">
        <v>188</v>
      </c>
      <c r="J511" t="s">
        <v>359</v>
      </c>
      <c r="K511">
        <v>7.9259186982534743E-2</v>
      </c>
      <c r="L511" t="s">
        <v>166</v>
      </c>
      <c r="N511" t="s">
        <v>253</v>
      </c>
      <c r="O511" t="s">
        <v>359</v>
      </c>
      <c r="P511">
        <v>3.796928677072537E-2</v>
      </c>
      <c r="Q511" t="s">
        <v>166</v>
      </c>
    </row>
    <row r="512" spans="9:17" x14ac:dyDescent="0.45">
      <c r="I512" t="s">
        <v>188</v>
      </c>
      <c r="J512" t="s">
        <v>360</v>
      </c>
      <c r="K512">
        <v>6.5836164580055706E-3</v>
      </c>
      <c r="L512" t="s">
        <v>166</v>
      </c>
      <c r="N512" t="s">
        <v>253</v>
      </c>
      <c r="O512" t="s">
        <v>360</v>
      </c>
      <c r="P512">
        <v>7.5571164887860481E-3</v>
      </c>
      <c r="Q512" t="s">
        <v>166</v>
      </c>
    </row>
    <row r="513" spans="9:17" x14ac:dyDescent="0.45">
      <c r="I513" t="s">
        <v>188</v>
      </c>
      <c r="J513" t="s">
        <v>361</v>
      </c>
      <c r="K513">
        <v>0</v>
      </c>
      <c r="L513" t="s">
        <v>166</v>
      </c>
      <c r="N513" t="s">
        <v>253</v>
      </c>
      <c r="O513" t="s">
        <v>361</v>
      </c>
      <c r="P513">
        <v>7.9185917993368771E-3</v>
      </c>
      <c r="Q513" t="s">
        <v>166</v>
      </c>
    </row>
    <row r="514" spans="9:17" x14ac:dyDescent="0.45">
      <c r="I514" t="s">
        <v>188</v>
      </c>
      <c r="J514" t="s">
        <v>362</v>
      </c>
      <c r="K514">
        <v>0</v>
      </c>
      <c r="L514" t="s">
        <v>166</v>
      </c>
      <c r="N514" t="s">
        <v>253</v>
      </c>
      <c r="O514" t="s">
        <v>362</v>
      </c>
      <c r="P514">
        <v>3.1639188212786357E-2</v>
      </c>
      <c r="Q514" t="s">
        <v>166</v>
      </c>
    </row>
    <row r="515" spans="9:17" x14ac:dyDescent="0.45">
      <c r="I515" t="s">
        <v>189</v>
      </c>
      <c r="J515" t="s">
        <v>165</v>
      </c>
      <c r="K515">
        <v>3.1747319084837883E-2</v>
      </c>
      <c r="L515" t="s">
        <v>166</v>
      </c>
      <c r="N515" t="s">
        <v>254</v>
      </c>
      <c r="O515" t="s">
        <v>165</v>
      </c>
      <c r="P515">
        <v>0.11166681733937041</v>
      </c>
      <c r="Q515" t="s">
        <v>166</v>
      </c>
    </row>
    <row r="516" spans="9:17" x14ac:dyDescent="0.45">
      <c r="I516" t="s">
        <v>189</v>
      </c>
      <c r="J516" t="s">
        <v>167</v>
      </c>
      <c r="K516">
        <v>2.1482390636024775E-2</v>
      </c>
      <c r="L516" t="s">
        <v>166</v>
      </c>
      <c r="N516" t="s">
        <v>254</v>
      </c>
      <c r="O516" t="s">
        <v>167</v>
      </c>
      <c r="P516">
        <v>7.0797985077376852E-3</v>
      </c>
      <c r="Q516" t="s">
        <v>166</v>
      </c>
    </row>
    <row r="517" spans="9:17" x14ac:dyDescent="0.45">
      <c r="I517" t="s">
        <v>189</v>
      </c>
      <c r="J517" t="s">
        <v>168</v>
      </c>
      <c r="K517">
        <v>0.13217545041962545</v>
      </c>
      <c r="L517" t="s">
        <v>166</v>
      </c>
      <c r="N517" t="s">
        <v>254</v>
      </c>
      <c r="O517" t="s">
        <v>168</v>
      </c>
      <c r="P517">
        <v>4.9773603733157222E-2</v>
      </c>
      <c r="Q517" t="s">
        <v>166</v>
      </c>
    </row>
    <row r="518" spans="9:17" x14ac:dyDescent="0.45">
      <c r="I518" t="s">
        <v>189</v>
      </c>
      <c r="J518" t="s">
        <v>333</v>
      </c>
      <c r="K518">
        <v>1.5830844389944188E-2</v>
      </c>
      <c r="L518" t="s">
        <v>166</v>
      </c>
      <c r="N518" t="s">
        <v>254</v>
      </c>
      <c r="O518" t="s">
        <v>333</v>
      </c>
      <c r="P518">
        <v>9.5273885482129415E-3</v>
      </c>
      <c r="Q518" t="s">
        <v>166</v>
      </c>
    </row>
    <row r="519" spans="9:17" x14ac:dyDescent="0.45">
      <c r="I519" t="s">
        <v>189</v>
      </c>
      <c r="J519" t="s">
        <v>334</v>
      </c>
      <c r="K519">
        <v>6.4186616726741611E-3</v>
      </c>
      <c r="L519" t="s">
        <v>166</v>
      </c>
      <c r="N519" t="s">
        <v>254</v>
      </c>
      <c r="O519" t="s">
        <v>334</v>
      </c>
      <c r="P519">
        <v>1.0586924228550001E-2</v>
      </c>
      <c r="Q519" t="s">
        <v>166</v>
      </c>
    </row>
    <row r="520" spans="9:17" x14ac:dyDescent="0.45">
      <c r="I520" t="s">
        <v>189</v>
      </c>
      <c r="J520" t="s">
        <v>335</v>
      </c>
      <c r="K520">
        <v>0</v>
      </c>
      <c r="L520" t="s">
        <v>166</v>
      </c>
      <c r="N520" t="s">
        <v>254</v>
      </c>
      <c r="O520" t="s">
        <v>335</v>
      </c>
      <c r="P520">
        <v>6.4702661447764626E-2</v>
      </c>
      <c r="Q520" t="s">
        <v>166</v>
      </c>
    </row>
    <row r="521" spans="9:17" x14ac:dyDescent="0.45">
      <c r="I521" t="s">
        <v>189</v>
      </c>
      <c r="J521" t="s">
        <v>169</v>
      </c>
      <c r="K521">
        <v>3.9441903484970155E-2</v>
      </c>
      <c r="L521" t="s">
        <v>166</v>
      </c>
      <c r="N521" t="s">
        <v>254</v>
      </c>
      <c r="O521" t="s">
        <v>169</v>
      </c>
      <c r="P521">
        <v>9.7045856574191139E-2</v>
      </c>
      <c r="Q521" t="s">
        <v>166</v>
      </c>
    </row>
    <row r="522" spans="9:17" x14ac:dyDescent="0.45">
      <c r="I522" t="s">
        <v>189</v>
      </c>
      <c r="J522" t="s">
        <v>170</v>
      </c>
      <c r="K522">
        <v>1.7814208440846375E-2</v>
      </c>
      <c r="L522" t="s">
        <v>166</v>
      </c>
      <c r="N522" t="s">
        <v>254</v>
      </c>
      <c r="O522" t="s">
        <v>170</v>
      </c>
      <c r="P522">
        <v>6.5539108282981779E-3</v>
      </c>
      <c r="Q522" t="s">
        <v>166</v>
      </c>
    </row>
    <row r="523" spans="9:17" x14ac:dyDescent="0.45">
      <c r="I523" t="s">
        <v>189</v>
      </c>
      <c r="J523" t="s">
        <v>171</v>
      </c>
      <c r="K523">
        <v>0.11417931176414263</v>
      </c>
      <c r="L523" t="s">
        <v>166</v>
      </c>
      <c r="N523" t="s">
        <v>254</v>
      </c>
      <c r="O523" t="s">
        <v>171</v>
      </c>
      <c r="P523">
        <v>5.0336927887542279E-2</v>
      </c>
      <c r="Q523" t="s">
        <v>166</v>
      </c>
    </row>
    <row r="524" spans="9:17" x14ac:dyDescent="0.45">
      <c r="I524" t="s">
        <v>189</v>
      </c>
      <c r="J524" t="s">
        <v>336</v>
      </c>
      <c r="K524">
        <v>1.4544075583875386E-2</v>
      </c>
      <c r="L524" t="s">
        <v>166</v>
      </c>
      <c r="N524" t="s">
        <v>254</v>
      </c>
      <c r="O524" t="s">
        <v>336</v>
      </c>
      <c r="P524">
        <v>8.8339390787638989E-3</v>
      </c>
      <c r="Q524" t="s">
        <v>166</v>
      </c>
    </row>
    <row r="525" spans="9:17" x14ac:dyDescent="0.45">
      <c r="I525" t="s">
        <v>189</v>
      </c>
      <c r="J525" t="s">
        <v>337</v>
      </c>
      <c r="K525">
        <v>1.0380354810257239E-2</v>
      </c>
      <c r="L525" t="s">
        <v>166</v>
      </c>
      <c r="N525" t="s">
        <v>254</v>
      </c>
      <c r="O525" t="s">
        <v>337</v>
      </c>
      <c r="P525">
        <v>8.5427698573318101E-3</v>
      </c>
      <c r="Q525" t="s">
        <v>166</v>
      </c>
    </row>
    <row r="526" spans="9:17" x14ac:dyDescent="0.45">
      <c r="I526" t="s">
        <v>189</v>
      </c>
      <c r="J526" t="s">
        <v>338</v>
      </c>
      <c r="K526">
        <v>4.0826094802022339E-3</v>
      </c>
      <c r="L526" t="s">
        <v>166</v>
      </c>
      <c r="N526" t="s">
        <v>254</v>
      </c>
      <c r="O526" t="s">
        <v>338</v>
      </c>
      <c r="P526">
        <v>5.3163766045344757E-2</v>
      </c>
      <c r="Q526" t="s">
        <v>166</v>
      </c>
    </row>
    <row r="527" spans="9:17" x14ac:dyDescent="0.45">
      <c r="I527" t="s">
        <v>189</v>
      </c>
      <c r="J527" t="s">
        <v>172</v>
      </c>
      <c r="K527">
        <v>2.3832090720849762E-2</v>
      </c>
      <c r="L527" t="s">
        <v>166</v>
      </c>
      <c r="N527" t="s">
        <v>254</v>
      </c>
      <c r="O527" t="s">
        <v>172</v>
      </c>
      <c r="P527">
        <v>3.7469460428398209E-2</v>
      </c>
      <c r="Q527" t="s">
        <v>166</v>
      </c>
    </row>
    <row r="528" spans="9:17" x14ac:dyDescent="0.45">
      <c r="I528" t="s">
        <v>189</v>
      </c>
      <c r="J528" t="s">
        <v>173</v>
      </c>
      <c r="K528">
        <v>9.6684204823550661E-3</v>
      </c>
      <c r="L528" t="s">
        <v>166</v>
      </c>
      <c r="N528" t="s">
        <v>254</v>
      </c>
      <c r="O528" t="s">
        <v>173</v>
      </c>
      <c r="P528">
        <v>2.8015415453461891E-3</v>
      </c>
      <c r="Q528" t="s">
        <v>166</v>
      </c>
    </row>
    <row r="529" spans="9:17" x14ac:dyDescent="0.45">
      <c r="I529" t="s">
        <v>189</v>
      </c>
      <c r="J529" t="s">
        <v>174</v>
      </c>
      <c r="K529">
        <v>6.0806593623093604E-2</v>
      </c>
      <c r="L529" t="s">
        <v>166</v>
      </c>
      <c r="N529" t="s">
        <v>254</v>
      </c>
      <c r="O529" t="s">
        <v>174</v>
      </c>
      <c r="P529">
        <v>1.0110045668300011E-2</v>
      </c>
      <c r="Q529" t="s">
        <v>166</v>
      </c>
    </row>
    <row r="530" spans="9:17" x14ac:dyDescent="0.45">
      <c r="I530" t="s">
        <v>189</v>
      </c>
      <c r="J530" t="s">
        <v>339</v>
      </c>
      <c r="K530">
        <v>7.7933695821671613E-3</v>
      </c>
      <c r="L530" t="s">
        <v>166</v>
      </c>
      <c r="N530" t="s">
        <v>254</v>
      </c>
      <c r="O530" t="s">
        <v>339</v>
      </c>
      <c r="P530">
        <v>1.3722830445464214E-3</v>
      </c>
      <c r="Q530" t="s">
        <v>166</v>
      </c>
    </row>
    <row r="531" spans="9:17" x14ac:dyDescent="0.45">
      <c r="I531" t="s">
        <v>189</v>
      </c>
      <c r="J531" t="s">
        <v>340</v>
      </c>
      <c r="K531">
        <v>5.8235882980052465E-3</v>
      </c>
      <c r="L531" t="s">
        <v>166</v>
      </c>
      <c r="N531" t="s">
        <v>254</v>
      </c>
      <c r="O531" t="s">
        <v>340</v>
      </c>
      <c r="P531">
        <v>1.6562608216530742E-3</v>
      </c>
      <c r="Q531" t="s">
        <v>166</v>
      </c>
    </row>
    <row r="532" spans="9:17" x14ac:dyDescent="0.45">
      <c r="I532" t="s">
        <v>189</v>
      </c>
      <c r="J532" t="s">
        <v>341</v>
      </c>
      <c r="K532">
        <v>3.121045751103058E-3</v>
      </c>
      <c r="L532" t="s">
        <v>166</v>
      </c>
      <c r="N532" t="s">
        <v>254</v>
      </c>
      <c r="O532" t="s">
        <v>341</v>
      </c>
      <c r="P532">
        <v>1.5363684885361276E-2</v>
      </c>
      <c r="Q532" t="s">
        <v>166</v>
      </c>
    </row>
    <row r="533" spans="9:17" x14ac:dyDescent="0.45">
      <c r="I533" t="s">
        <v>189</v>
      </c>
      <c r="J533" t="s">
        <v>175</v>
      </c>
      <c r="K533">
        <v>1.9903254834024914E-2</v>
      </c>
      <c r="L533" t="s">
        <v>166</v>
      </c>
      <c r="N533" t="s">
        <v>254</v>
      </c>
      <c r="O533" t="s">
        <v>175</v>
      </c>
      <c r="P533">
        <v>4.6539390037243257E-2</v>
      </c>
      <c r="Q533" t="s">
        <v>166</v>
      </c>
    </row>
    <row r="534" spans="9:17" x14ac:dyDescent="0.45">
      <c r="I534" t="s">
        <v>189</v>
      </c>
      <c r="J534" t="s">
        <v>176</v>
      </c>
      <c r="K534">
        <v>9.0683041856901882E-3</v>
      </c>
      <c r="L534" t="s">
        <v>166</v>
      </c>
      <c r="N534" t="s">
        <v>254</v>
      </c>
      <c r="O534" t="s">
        <v>176</v>
      </c>
      <c r="P534">
        <v>3.3670402341370652E-3</v>
      </c>
      <c r="Q534" t="s">
        <v>166</v>
      </c>
    </row>
    <row r="535" spans="9:17" x14ac:dyDescent="0.45">
      <c r="I535" t="s">
        <v>189</v>
      </c>
      <c r="J535" t="s">
        <v>177</v>
      </c>
      <c r="K535">
        <v>5.9038156138439747E-2</v>
      </c>
      <c r="L535" t="s">
        <v>166</v>
      </c>
      <c r="N535" t="s">
        <v>254</v>
      </c>
      <c r="O535" t="s">
        <v>177</v>
      </c>
      <c r="P535">
        <v>1.6109412091322026E-2</v>
      </c>
      <c r="Q535" t="s">
        <v>166</v>
      </c>
    </row>
    <row r="536" spans="9:17" x14ac:dyDescent="0.45">
      <c r="I536" t="s">
        <v>189</v>
      </c>
      <c r="J536" t="s">
        <v>342</v>
      </c>
      <c r="K536">
        <v>7.6721619316459742E-3</v>
      </c>
      <c r="L536" t="s">
        <v>166</v>
      </c>
      <c r="N536" t="s">
        <v>254</v>
      </c>
      <c r="O536" t="s">
        <v>342</v>
      </c>
      <c r="P536">
        <v>2.9650421814249412E-3</v>
      </c>
      <c r="Q536" t="s">
        <v>166</v>
      </c>
    </row>
    <row r="537" spans="9:17" x14ac:dyDescent="0.45">
      <c r="I537" t="s">
        <v>189</v>
      </c>
      <c r="J537" t="s">
        <v>343</v>
      </c>
      <c r="K537">
        <v>5.725064075614331E-3</v>
      </c>
      <c r="L537" t="s">
        <v>166</v>
      </c>
      <c r="N537" t="s">
        <v>254</v>
      </c>
      <c r="O537" t="s">
        <v>343</v>
      </c>
      <c r="P537">
        <v>3.098756153604435E-3</v>
      </c>
      <c r="Q537" t="s">
        <v>166</v>
      </c>
    </row>
    <row r="538" spans="9:17" x14ac:dyDescent="0.45">
      <c r="I538" t="s">
        <v>189</v>
      </c>
      <c r="J538" t="s">
        <v>344</v>
      </c>
      <c r="K538">
        <v>2.9709305522565496E-3</v>
      </c>
      <c r="L538" t="s">
        <v>166</v>
      </c>
      <c r="N538" t="s">
        <v>254</v>
      </c>
      <c r="O538" t="s">
        <v>344</v>
      </c>
      <c r="P538">
        <v>2.4063346871439486E-2</v>
      </c>
      <c r="Q538" t="s">
        <v>166</v>
      </c>
    </row>
    <row r="539" spans="9:17" x14ac:dyDescent="0.45">
      <c r="I539" t="s">
        <v>189</v>
      </c>
      <c r="J539" t="s">
        <v>345</v>
      </c>
      <c r="K539">
        <v>3.4960250574263545E-2</v>
      </c>
      <c r="L539" t="s">
        <v>166</v>
      </c>
      <c r="N539" t="s">
        <v>254</v>
      </c>
      <c r="O539" t="s">
        <v>345</v>
      </c>
      <c r="P539">
        <v>8.9432356065667365E-2</v>
      </c>
      <c r="Q539" t="s">
        <v>166</v>
      </c>
    </row>
    <row r="540" spans="9:17" x14ac:dyDescent="0.45">
      <c r="I540" t="s">
        <v>189</v>
      </c>
      <c r="J540" t="s">
        <v>346</v>
      </c>
      <c r="K540">
        <v>1.7583463233819159E-2</v>
      </c>
      <c r="L540" t="s">
        <v>166</v>
      </c>
      <c r="N540" t="s">
        <v>254</v>
      </c>
      <c r="O540" t="s">
        <v>346</v>
      </c>
      <c r="P540">
        <v>6.4406882674378869E-3</v>
      </c>
      <c r="Q540" t="s">
        <v>166</v>
      </c>
    </row>
    <row r="541" spans="9:17" x14ac:dyDescent="0.45">
      <c r="I541" t="s">
        <v>189</v>
      </c>
      <c r="J541" t="s">
        <v>347</v>
      </c>
      <c r="K541">
        <v>0.10700464183243275</v>
      </c>
      <c r="L541" t="s">
        <v>166</v>
      </c>
      <c r="N541" t="s">
        <v>254</v>
      </c>
      <c r="O541" t="s">
        <v>347</v>
      </c>
      <c r="P541">
        <v>1.9320509924680297E-2</v>
      </c>
      <c r="Q541" t="s">
        <v>166</v>
      </c>
    </row>
    <row r="542" spans="9:17" x14ac:dyDescent="0.45">
      <c r="I542" t="s">
        <v>189</v>
      </c>
      <c r="J542" t="s">
        <v>348</v>
      </c>
      <c r="K542">
        <v>1.285315741357804E-2</v>
      </c>
      <c r="L542" t="s">
        <v>166</v>
      </c>
      <c r="N542" t="s">
        <v>254</v>
      </c>
      <c r="O542" t="s">
        <v>348</v>
      </c>
      <c r="P542">
        <v>2.5009675911881598E-3</v>
      </c>
      <c r="Q542" t="s">
        <v>166</v>
      </c>
    </row>
    <row r="543" spans="9:17" x14ac:dyDescent="0.45">
      <c r="I543" t="s">
        <v>189</v>
      </c>
      <c r="J543" t="s">
        <v>349</v>
      </c>
      <c r="K543">
        <v>8.4611511969863024E-3</v>
      </c>
      <c r="L543" t="s">
        <v>166</v>
      </c>
      <c r="N543" t="s">
        <v>254</v>
      </c>
      <c r="O543" t="s">
        <v>349</v>
      </c>
      <c r="P543">
        <v>3.2098970669413528E-3</v>
      </c>
      <c r="Q543" t="s">
        <v>166</v>
      </c>
    </row>
    <row r="544" spans="9:17" x14ac:dyDescent="0.45">
      <c r="I544" t="s">
        <v>189</v>
      </c>
      <c r="J544" t="s">
        <v>350</v>
      </c>
      <c r="K544">
        <v>2.5088380051305733E-3</v>
      </c>
      <c r="L544" t="s">
        <v>166</v>
      </c>
      <c r="N544" t="s">
        <v>254</v>
      </c>
      <c r="O544" t="s">
        <v>350</v>
      </c>
      <c r="P544">
        <v>3.6095305069527767E-2</v>
      </c>
      <c r="Q544" t="s">
        <v>166</v>
      </c>
    </row>
    <row r="545" spans="9:17" x14ac:dyDescent="0.45">
      <c r="I545" t="s">
        <v>189</v>
      </c>
      <c r="J545" t="s">
        <v>351</v>
      </c>
      <c r="K545">
        <v>1.5462879985780019E-2</v>
      </c>
      <c r="L545" t="s">
        <v>166</v>
      </c>
      <c r="N545" t="s">
        <v>254</v>
      </c>
      <c r="O545" t="s">
        <v>351</v>
      </c>
      <c r="P545">
        <v>3.2782889710258147E-2</v>
      </c>
      <c r="Q545" t="s">
        <v>166</v>
      </c>
    </row>
    <row r="546" spans="9:17" x14ac:dyDescent="0.45">
      <c r="I546" t="s">
        <v>189</v>
      </c>
      <c r="J546" t="s">
        <v>352</v>
      </c>
      <c r="K546">
        <v>8.4461603614060712E-3</v>
      </c>
      <c r="L546" t="s">
        <v>166</v>
      </c>
      <c r="N546" t="s">
        <v>254</v>
      </c>
      <c r="O546" t="s">
        <v>352</v>
      </c>
      <c r="P546">
        <v>1.6531527119529618E-3</v>
      </c>
      <c r="Q546" t="s">
        <v>166</v>
      </c>
    </row>
    <row r="547" spans="9:17" x14ac:dyDescent="0.45">
      <c r="I547" t="s">
        <v>189</v>
      </c>
      <c r="J547" t="s">
        <v>353</v>
      </c>
      <c r="K547">
        <v>4.8712473388490524E-2</v>
      </c>
      <c r="L547" t="s">
        <v>166</v>
      </c>
      <c r="N547" t="s">
        <v>254</v>
      </c>
      <c r="O547" t="s">
        <v>353</v>
      </c>
      <c r="P547">
        <v>6.0927851633091386E-3</v>
      </c>
      <c r="Q547" t="s">
        <v>166</v>
      </c>
    </row>
    <row r="548" spans="9:17" x14ac:dyDescent="0.45">
      <c r="I548" t="s">
        <v>189</v>
      </c>
      <c r="J548" t="s">
        <v>354</v>
      </c>
      <c r="K548">
        <v>4.7185653393322542E-3</v>
      </c>
      <c r="L548" t="s">
        <v>166</v>
      </c>
      <c r="N548" t="s">
        <v>254</v>
      </c>
      <c r="O548" t="s">
        <v>354</v>
      </c>
      <c r="P548">
        <v>1.2669103441251268E-3</v>
      </c>
      <c r="Q548" t="s">
        <v>166</v>
      </c>
    </row>
    <row r="549" spans="9:17" x14ac:dyDescent="0.45">
      <c r="I549" t="s">
        <v>189</v>
      </c>
      <c r="J549" t="s">
        <v>355</v>
      </c>
      <c r="K549">
        <v>7.7473684707031498E-4</v>
      </c>
      <c r="L549" t="s">
        <v>166</v>
      </c>
      <c r="N549" t="s">
        <v>254</v>
      </c>
      <c r="O549" t="s">
        <v>355</v>
      </c>
      <c r="P549">
        <v>1.6955012323541941E-3</v>
      </c>
      <c r="Q549" t="s">
        <v>166</v>
      </c>
    </row>
    <row r="550" spans="9:17" x14ac:dyDescent="0.45">
      <c r="I550" t="s">
        <v>189</v>
      </c>
      <c r="J550" t="s">
        <v>356</v>
      </c>
      <c r="K550">
        <v>0</v>
      </c>
      <c r="L550" t="s">
        <v>166</v>
      </c>
      <c r="N550" t="s">
        <v>254</v>
      </c>
      <c r="O550" t="s">
        <v>356</v>
      </c>
      <c r="P550">
        <v>1.4740502941658804E-2</v>
      </c>
      <c r="Q550" t="s">
        <v>166</v>
      </c>
    </row>
    <row r="551" spans="9:17" x14ac:dyDescent="0.45">
      <c r="I551" t="s">
        <v>189</v>
      </c>
      <c r="J551" t="s">
        <v>357</v>
      </c>
      <c r="K551">
        <v>1.7469663006942141E-2</v>
      </c>
      <c r="L551" t="s">
        <v>166</v>
      </c>
      <c r="N551" t="s">
        <v>254</v>
      </c>
      <c r="O551" t="s">
        <v>357</v>
      </c>
      <c r="P551">
        <v>5.9164483019651354E-2</v>
      </c>
      <c r="Q551" t="s">
        <v>166</v>
      </c>
    </row>
    <row r="552" spans="9:17" x14ac:dyDescent="0.45">
      <c r="I552" t="s">
        <v>189</v>
      </c>
      <c r="J552" t="s">
        <v>358</v>
      </c>
      <c r="K552">
        <v>1.3394270854323148E-2</v>
      </c>
      <c r="L552" t="s">
        <v>166</v>
      </c>
      <c r="N552" t="s">
        <v>254</v>
      </c>
      <c r="O552" t="s">
        <v>358</v>
      </c>
      <c r="P552">
        <v>3.3547992732735135E-3</v>
      </c>
      <c r="Q552" t="s">
        <v>166</v>
      </c>
    </row>
    <row r="553" spans="9:17" x14ac:dyDescent="0.45">
      <c r="I553" t="s">
        <v>189</v>
      </c>
      <c r="J553" t="s">
        <v>359</v>
      </c>
      <c r="K553">
        <v>7.7753863961836811E-2</v>
      </c>
      <c r="L553" t="s">
        <v>166</v>
      </c>
      <c r="N553" t="s">
        <v>254</v>
      </c>
      <c r="O553" t="s">
        <v>359</v>
      </c>
      <c r="P553">
        <v>2.6735208671748598E-2</v>
      </c>
      <c r="Q553" t="s">
        <v>166</v>
      </c>
    </row>
    <row r="554" spans="9:17" x14ac:dyDescent="0.45">
      <c r="I554" t="s">
        <v>189</v>
      </c>
      <c r="J554" t="s">
        <v>360</v>
      </c>
      <c r="K554">
        <v>6.3757740559625678E-3</v>
      </c>
      <c r="L554" t="s">
        <v>166</v>
      </c>
      <c r="N554" t="s">
        <v>254</v>
      </c>
      <c r="O554" t="s">
        <v>360</v>
      </c>
      <c r="P554">
        <v>5.4468671525644136E-3</v>
      </c>
      <c r="Q554" t="s">
        <v>166</v>
      </c>
    </row>
    <row r="555" spans="9:17" x14ac:dyDescent="0.45">
      <c r="I555" t="s">
        <v>189</v>
      </c>
      <c r="J555" t="s">
        <v>361</v>
      </c>
      <c r="K555">
        <v>0</v>
      </c>
      <c r="L555" t="s">
        <v>166</v>
      </c>
      <c r="N555" t="s">
        <v>254</v>
      </c>
      <c r="O555" t="s">
        <v>361</v>
      </c>
      <c r="P555">
        <v>6.5360974789203819E-3</v>
      </c>
      <c r="Q555" t="s">
        <v>166</v>
      </c>
    </row>
    <row r="556" spans="9:17" x14ac:dyDescent="0.45">
      <c r="I556" t="s">
        <v>189</v>
      </c>
      <c r="J556" t="s">
        <v>362</v>
      </c>
      <c r="K556">
        <v>0</v>
      </c>
      <c r="L556" t="s">
        <v>166</v>
      </c>
      <c r="N556" t="s">
        <v>254</v>
      </c>
      <c r="O556" t="s">
        <v>362</v>
      </c>
      <c r="P556">
        <v>4.0800450275702373E-2</v>
      </c>
      <c r="Q556" t="s">
        <v>166</v>
      </c>
    </row>
    <row r="557" spans="9:17" x14ac:dyDescent="0.45">
      <c r="I557" t="s">
        <v>190</v>
      </c>
      <c r="J557" t="s">
        <v>165</v>
      </c>
      <c r="K557">
        <v>4.0464557111497934E-2</v>
      </c>
      <c r="L557" t="s">
        <v>166</v>
      </c>
      <c r="N557" t="s">
        <v>255</v>
      </c>
      <c r="O557" t="s">
        <v>165</v>
      </c>
      <c r="P557">
        <v>0.10943339310372523</v>
      </c>
      <c r="Q557" t="s">
        <v>166</v>
      </c>
    </row>
    <row r="558" spans="9:17" x14ac:dyDescent="0.45">
      <c r="I558" t="s">
        <v>190</v>
      </c>
      <c r="J558" t="s">
        <v>167</v>
      </c>
      <c r="K558">
        <v>2.4190947053770947E-2</v>
      </c>
      <c r="L558" t="s">
        <v>166</v>
      </c>
      <c r="N558" t="s">
        <v>255</v>
      </c>
      <c r="O558" t="s">
        <v>167</v>
      </c>
      <c r="P558">
        <v>9.7064526482852301E-3</v>
      </c>
      <c r="Q558" t="s">
        <v>166</v>
      </c>
    </row>
    <row r="559" spans="9:17" x14ac:dyDescent="0.45">
      <c r="I559" t="s">
        <v>190</v>
      </c>
      <c r="J559" t="s">
        <v>168</v>
      </c>
      <c r="K559">
        <v>0.12927296590214737</v>
      </c>
      <c r="L559" t="s">
        <v>166</v>
      </c>
      <c r="N559" t="s">
        <v>255</v>
      </c>
      <c r="O559" t="s">
        <v>168</v>
      </c>
      <c r="P559">
        <v>6.5266212431203882E-2</v>
      </c>
      <c r="Q559" t="s">
        <v>166</v>
      </c>
    </row>
    <row r="560" spans="9:17" x14ac:dyDescent="0.45">
      <c r="I560" t="s">
        <v>190</v>
      </c>
      <c r="J560" t="s">
        <v>333</v>
      </c>
      <c r="K560">
        <v>1.1094801297607567E-2</v>
      </c>
      <c r="L560" t="s">
        <v>166</v>
      </c>
      <c r="N560" t="s">
        <v>255</v>
      </c>
      <c r="O560" t="s">
        <v>333</v>
      </c>
      <c r="P560">
        <v>1.0766855395960589E-2</v>
      </c>
      <c r="Q560" t="s">
        <v>166</v>
      </c>
    </row>
    <row r="561" spans="9:17" x14ac:dyDescent="0.45">
      <c r="I561" t="s">
        <v>190</v>
      </c>
      <c r="J561" t="s">
        <v>334</v>
      </c>
      <c r="K561">
        <v>2.5039084219166097E-3</v>
      </c>
      <c r="L561" t="s">
        <v>166</v>
      </c>
      <c r="N561" t="s">
        <v>255</v>
      </c>
      <c r="O561" t="s">
        <v>334</v>
      </c>
      <c r="P561">
        <v>1.1121104626712642E-2</v>
      </c>
      <c r="Q561" t="s">
        <v>166</v>
      </c>
    </row>
    <row r="562" spans="9:17" x14ac:dyDescent="0.45">
      <c r="I562" t="s">
        <v>190</v>
      </c>
      <c r="J562" t="s">
        <v>335</v>
      </c>
      <c r="K562">
        <v>0</v>
      </c>
      <c r="L562" t="s">
        <v>166</v>
      </c>
      <c r="N562" t="s">
        <v>255</v>
      </c>
      <c r="O562" t="s">
        <v>335</v>
      </c>
      <c r="P562">
        <v>6.0412302276549763E-2</v>
      </c>
      <c r="Q562" t="s">
        <v>166</v>
      </c>
    </row>
    <row r="563" spans="9:17" x14ac:dyDescent="0.45">
      <c r="I563" t="s">
        <v>190</v>
      </c>
      <c r="J563" t="s">
        <v>169</v>
      </c>
      <c r="K563">
        <v>5.2135066813367395E-2</v>
      </c>
      <c r="L563" t="s">
        <v>166</v>
      </c>
      <c r="N563" t="s">
        <v>255</v>
      </c>
      <c r="O563" t="s">
        <v>169</v>
      </c>
      <c r="P563">
        <v>8.5233102042870851E-2</v>
      </c>
      <c r="Q563" t="s">
        <v>166</v>
      </c>
    </row>
    <row r="564" spans="9:17" x14ac:dyDescent="0.45">
      <c r="I564" t="s">
        <v>190</v>
      </c>
      <c r="J564" t="s">
        <v>170</v>
      </c>
      <c r="K564">
        <v>2.0208131864940578E-2</v>
      </c>
      <c r="L564" t="s">
        <v>166</v>
      </c>
      <c r="N564" t="s">
        <v>255</v>
      </c>
      <c r="O564" t="s">
        <v>170</v>
      </c>
      <c r="P564">
        <v>7.1954860069029722E-3</v>
      </c>
      <c r="Q564" t="s">
        <v>166</v>
      </c>
    </row>
    <row r="565" spans="9:17" x14ac:dyDescent="0.45">
      <c r="I565" t="s">
        <v>190</v>
      </c>
      <c r="J565" t="s">
        <v>171</v>
      </c>
      <c r="K565">
        <v>0.10997208938902955</v>
      </c>
      <c r="L565" t="s">
        <v>166</v>
      </c>
      <c r="N565" t="s">
        <v>255</v>
      </c>
      <c r="O565" t="s">
        <v>171</v>
      </c>
      <c r="P565">
        <v>4.7011561314565874E-2</v>
      </c>
      <c r="Q565" t="s">
        <v>166</v>
      </c>
    </row>
    <row r="566" spans="9:17" x14ac:dyDescent="0.45">
      <c r="I566" t="s">
        <v>190</v>
      </c>
      <c r="J566" t="s">
        <v>336</v>
      </c>
      <c r="K566">
        <v>1.1386766858545245E-2</v>
      </c>
      <c r="L566" t="s">
        <v>166</v>
      </c>
      <c r="N566" t="s">
        <v>255</v>
      </c>
      <c r="O566" t="s">
        <v>336</v>
      </c>
      <c r="P566">
        <v>8.1030492333328229E-3</v>
      </c>
      <c r="Q566" t="s">
        <v>166</v>
      </c>
    </row>
    <row r="567" spans="9:17" x14ac:dyDescent="0.45">
      <c r="I567" t="s">
        <v>190</v>
      </c>
      <c r="J567" t="s">
        <v>337</v>
      </c>
      <c r="K567">
        <v>6.8680376826068855E-3</v>
      </c>
      <c r="L567" t="s">
        <v>166</v>
      </c>
      <c r="N567" t="s">
        <v>255</v>
      </c>
      <c r="O567" t="s">
        <v>337</v>
      </c>
      <c r="P567">
        <v>8.1516393541677494E-3</v>
      </c>
      <c r="Q567" t="s">
        <v>166</v>
      </c>
    </row>
    <row r="568" spans="9:17" x14ac:dyDescent="0.45">
      <c r="I568" t="s">
        <v>190</v>
      </c>
      <c r="J568" t="s">
        <v>338</v>
      </c>
      <c r="K568">
        <v>6.8356209885610719E-4</v>
      </c>
      <c r="L568" t="s">
        <v>166</v>
      </c>
      <c r="N568" t="s">
        <v>255</v>
      </c>
      <c r="O568" t="s">
        <v>338</v>
      </c>
      <c r="P568">
        <v>4.7688798297410032E-2</v>
      </c>
      <c r="Q568" t="s">
        <v>166</v>
      </c>
    </row>
    <row r="569" spans="9:17" x14ac:dyDescent="0.45">
      <c r="I569" t="s">
        <v>190</v>
      </c>
      <c r="J569" t="s">
        <v>172</v>
      </c>
      <c r="K569">
        <v>2.8874859805984008E-2</v>
      </c>
      <c r="L569" t="s">
        <v>166</v>
      </c>
      <c r="N569" t="s">
        <v>255</v>
      </c>
      <c r="O569" t="s">
        <v>172</v>
      </c>
      <c r="P569">
        <v>3.4511008896845066E-2</v>
      </c>
      <c r="Q569" t="s">
        <v>166</v>
      </c>
    </row>
    <row r="570" spans="9:17" x14ac:dyDescent="0.45">
      <c r="I570" t="s">
        <v>190</v>
      </c>
      <c r="J570" t="s">
        <v>173</v>
      </c>
      <c r="K570">
        <v>1.0437595625863457E-2</v>
      </c>
      <c r="L570" t="s">
        <v>166</v>
      </c>
      <c r="N570" t="s">
        <v>255</v>
      </c>
      <c r="O570" t="s">
        <v>173</v>
      </c>
      <c r="P570">
        <v>2.8256567064307279E-3</v>
      </c>
      <c r="Q570" t="s">
        <v>166</v>
      </c>
    </row>
    <row r="571" spans="9:17" x14ac:dyDescent="0.45">
      <c r="I571" t="s">
        <v>190</v>
      </c>
      <c r="J571" t="s">
        <v>174</v>
      </c>
      <c r="K571">
        <v>5.9748695468494054E-2</v>
      </c>
      <c r="L571" t="s">
        <v>166</v>
      </c>
      <c r="N571" t="s">
        <v>255</v>
      </c>
      <c r="O571" t="s">
        <v>174</v>
      </c>
      <c r="P571">
        <v>1.2483399382989979E-2</v>
      </c>
      <c r="Q571" t="s">
        <v>166</v>
      </c>
    </row>
    <row r="572" spans="9:17" x14ac:dyDescent="0.45">
      <c r="I572" t="s">
        <v>190</v>
      </c>
      <c r="J572" t="s">
        <v>339</v>
      </c>
      <c r="K572">
        <v>6.7292523095793385E-3</v>
      </c>
      <c r="L572" t="s">
        <v>166</v>
      </c>
      <c r="N572" t="s">
        <v>255</v>
      </c>
      <c r="O572" t="s">
        <v>339</v>
      </c>
      <c r="P572">
        <v>2.2842878558505331E-3</v>
      </c>
      <c r="Q572" t="s">
        <v>166</v>
      </c>
    </row>
    <row r="573" spans="9:17" x14ac:dyDescent="0.45">
      <c r="I573" t="s">
        <v>190</v>
      </c>
      <c r="J573" t="s">
        <v>340</v>
      </c>
      <c r="K573">
        <v>4.6703709512127796E-3</v>
      </c>
      <c r="L573" t="s">
        <v>166</v>
      </c>
      <c r="N573" t="s">
        <v>255</v>
      </c>
      <c r="O573" t="s">
        <v>340</v>
      </c>
      <c r="P573">
        <v>2.6400436267542825E-3</v>
      </c>
      <c r="Q573" t="s">
        <v>166</v>
      </c>
    </row>
    <row r="574" spans="9:17" x14ac:dyDescent="0.45">
      <c r="I574" t="s">
        <v>190</v>
      </c>
      <c r="J574" t="s">
        <v>341</v>
      </c>
      <c r="K574">
        <v>1.9580012951535726E-3</v>
      </c>
      <c r="L574" t="s">
        <v>166</v>
      </c>
      <c r="N574" t="s">
        <v>255</v>
      </c>
      <c r="O574" t="s">
        <v>341</v>
      </c>
      <c r="P574">
        <v>2.131102468872818E-2</v>
      </c>
      <c r="Q574" t="s">
        <v>166</v>
      </c>
    </row>
    <row r="575" spans="9:17" x14ac:dyDescent="0.45">
      <c r="I575" t="s">
        <v>190</v>
      </c>
      <c r="J575" t="s">
        <v>175</v>
      </c>
      <c r="K575">
        <v>2.7571539050050518E-2</v>
      </c>
      <c r="L575" t="s">
        <v>166</v>
      </c>
      <c r="N575" t="s">
        <v>255</v>
      </c>
      <c r="O575" t="s">
        <v>175</v>
      </c>
      <c r="P575">
        <v>3.557787635992038E-2</v>
      </c>
      <c r="Q575" t="s">
        <v>166</v>
      </c>
    </row>
    <row r="576" spans="9:17" x14ac:dyDescent="0.45">
      <c r="I576" t="s">
        <v>190</v>
      </c>
      <c r="J576" t="s">
        <v>176</v>
      </c>
      <c r="K576">
        <v>1.0383567393613348E-2</v>
      </c>
      <c r="L576" t="s">
        <v>166</v>
      </c>
      <c r="N576" t="s">
        <v>255</v>
      </c>
      <c r="O576" t="s">
        <v>176</v>
      </c>
      <c r="P576">
        <v>3.1360132576731085E-3</v>
      </c>
      <c r="Q576" t="s">
        <v>166</v>
      </c>
    </row>
    <row r="577" spans="9:17" x14ac:dyDescent="0.45">
      <c r="I577" t="s">
        <v>190</v>
      </c>
      <c r="J577" t="s">
        <v>177</v>
      </c>
      <c r="K577">
        <v>5.8669769266902934E-2</v>
      </c>
      <c r="L577" t="s">
        <v>166</v>
      </c>
      <c r="N577" t="s">
        <v>255</v>
      </c>
      <c r="O577" t="s">
        <v>177</v>
      </c>
      <c r="P577">
        <v>1.9756616095083505E-2</v>
      </c>
      <c r="Q577" t="s">
        <v>166</v>
      </c>
    </row>
    <row r="578" spans="9:17" x14ac:dyDescent="0.45">
      <c r="I578" t="s">
        <v>190</v>
      </c>
      <c r="J578" t="s">
        <v>342</v>
      </c>
      <c r="K578">
        <v>6.1902812777473917E-3</v>
      </c>
      <c r="L578" t="s">
        <v>166</v>
      </c>
      <c r="N578" t="s">
        <v>255</v>
      </c>
      <c r="O578" t="s">
        <v>342</v>
      </c>
      <c r="P578">
        <v>4.0964661284908239E-3</v>
      </c>
      <c r="Q578" t="s">
        <v>166</v>
      </c>
    </row>
    <row r="579" spans="9:17" x14ac:dyDescent="0.45">
      <c r="I579" t="s">
        <v>190</v>
      </c>
      <c r="J579" t="s">
        <v>343</v>
      </c>
      <c r="K579">
        <v>4.1253025875996937E-3</v>
      </c>
      <c r="L579" t="s">
        <v>166</v>
      </c>
      <c r="N579" t="s">
        <v>255</v>
      </c>
      <c r="O579" t="s">
        <v>343</v>
      </c>
      <c r="P579">
        <v>4.3660783166667352E-3</v>
      </c>
      <c r="Q579" t="s">
        <v>166</v>
      </c>
    </row>
    <row r="580" spans="9:17" x14ac:dyDescent="0.45">
      <c r="I580" t="s">
        <v>190</v>
      </c>
      <c r="J580" t="s">
        <v>344</v>
      </c>
      <c r="K580">
        <v>1.8701319134086939E-3</v>
      </c>
      <c r="L580" t="s">
        <v>166</v>
      </c>
      <c r="N580" t="s">
        <v>255</v>
      </c>
      <c r="O580" t="s">
        <v>344</v>
      </c>
      <c r="P580">
        <v>2.7584331265378067E-2</v>
      </c>
      <c r="Q580" t="s">
        <v>166</v>
      </c>
    </row>
    <row r="581" spans="9:17" x14ac:dyDescent="0.45">
      <c r="I581" t="s">
        <v>190</v>
      </c>
      <c r="J581" t="s">
        <v>345</v>
      </c>
      <c r="K581">
        <v>4.5703228871412309E-2</v>
      </c>
      <c r="L581" t="s">
        <v>166</v>
      </c>
      <c r="N581" t="s">
        <v>255</v>
      </c>
      <c r="O581" t="s">
        <v>345</v>
      </c>
      <c r="P581">
        <v>6.9886243248159757E-2</v>
      </c>
      <c r="Q581" t="s">
        <v>166</v>
      </c>
    </row>
    <row r="582" spans="9:17" x14ac:dyDescent="0.45">
      <c r="I582" t="s">
        <v>190</v>
      </c>
      <c r="J582" t="s">
        <v>346</v>
      </c>
      <c r="K582">
        <v>1.8987718024851032E-2</v>
      </c>
      <c r="L582" t="s">
        <v>166</v>
      </c>
      <c r="N582" t="s">
        <v>255</v>
      </c>
      <c r="O582" t="s">
        <v>346</v>
      </c>
      <c r="P582">
        <v>6.8807643036618744E-3</v>
      </c>
      <c r="Q582" t="s">
        <v>166</v>
      </c>
    </row>
    <row r="583" spans="9:17" x14ac:dyDescent="0.45">
      <c r="I583" t="s">
        <v>190</v>
      </c>
      <c r="J583" t="s">
        <v>347</v>
      </c>
      <c r="K583">
        <v>0.10549645910074336</v>
      </c>
      <c r="L583" t="s">
        <v>166</v>
      </c>
      <c r="N583" t="s">
        <v>255</v>
      </c>
      <c r="O583" t="s">
        <v>347</v>
      </c>
      <c r="P583">
        <v>2.6223767530129158E-2</v>
      </c>
      <c r="Q583" t="s">
        <v>166</v>
      </c>
    </row>
    <row r="584" spans="9:17" x14ac:dyDescent="0.45">
      <c r="I584" t="s">
        <v>190</v>
      </c>
      <c r="J584" t="s">
        <v>348</v>
      </c>
      <c r="K584">
        <v>1.0493447876665167E-2</v>
      </c>
      <c r="L584" t="s">
        <v>166</v>
      </c>
      <c r="N584" t="s">
        <v>255</v>
      </c>
      <c r="O584" t="s">
        <v>348</v>
      </c>
      <c r="P584">
        <v>4.6933139350298411E-3</v>
      </c>
      <c r="Q584" t="s">
        <v>166</v>
      </c>
    </row>
    <row r="585" spans="9:17" x14ac:dyDescent="0.45">
      <c r="I585" t="s">
        <v>190</v>
      </c>
      <c r="J585" t="s">
        <v>349</v>
      </c>
      <c r="K585">
        <v>4.9368853918363709E-3</v>
      </c>
      <c r="L585" t="s">
        <v>166</v>
      </c>
      <c r="N585" t="s">
        <v>255</v>
      </c>
      <c r="O585" t="s">
        <v>349</v>
      </c>
      <c r="P585">
        <v>5.9541887011107797E-3</v>
      </c>
      <c r="Q585" t="s">
        <v>166</v>
      </c>
    </row>
    <row r="586" spans="9:17" x14ac:dyDescent="0.45">
      <c r="I586" t="s">
        <v>190</v>
      </c>
      <c r="J586" t="s">
        <v>350</v>
      </c>
      <c r="K586">
        <v>4.9536785118052702E-4</v>
      </c>
      <c r="L586" t="s">
        <v>166</v>
      </c>
      <c r="N586" t="s">
        <v>255</v>
      </c>
      <c r="O586" t="s">
        <v>350</v>
      </c>
      <c r="P586">
        <v>4.6405593503007082E-2</v>
      </c>
      <c r="Q586" t="s">
        <v>166</v>
      </c>
    </row>
    <row r="587" spans="9:17" x14ac:dyDescent="0.45">
      <c r="I587" t="s">
        <v>190</v>
      </c>
      <c r="J587" t="s">
        <v>351</v>
      </c>
      <c r="K587">
        <v>1.9799364750642378E-2</v>
      </c>
      <c r="L587" t="s">
        <v>166</v>
      </c>
      <c r="N587" t="s">
        <v>255</v>
      </c>
      <c r="O587" t="s">
        <v>351</v>
      </c>
      <c r="P587">
        <v>2.7418038355773524E-2</v>
      </c>
      <c r="Q587" t="s">
        <v>166</v>
      </c>
    </row>
    <row r="588" spans="9:17" x14ac:dyDescent="0.45">
      <c r="I588" t="s">
        <v>190</v>
      </c>
      <c r="J588" t="s">
        <v>352</v>
      </c>
      <c r="K588">
        <v>9.0012044707723105E-3</v>
      </c>
      <c r="L588" t="s">
        <v>166</v>
      </c>
      <c r="N588" t="s">
        <v>255</v>
      </c>
      <c r="O588" t="s">
        <v>352</v>
      </c>
      <c r="P588">
        <v>2.4616127286423433E-3</v>
      </c>
      <c r="Q588" t="s">
        <v>166</v>
      </c>
    </row>
    <row r="589" spans="9:17" x14ac:dyDescent="0.45">
      <c r="I589" t="s">
        <v>190</v>
      </c>
      <c r="J589" t="s">
        <v>353</v>
      </c>
      <c r="K589">
        <v>4.7377314282296822E-2</v>
      </c>
      <c r="L589" t="s">
        <v>166</v>
      </c>
      <c r="N589" t="s">
        <v>255</v>
      </c>
      <c r="O589" t="s">
        <v>353</v>
      </c>
      <c r="P589">
        <v>1.3146721827980951E-2</v>
      </c>
      <c r="Q589" t="s">
        <v>166</v>
      </c>
    </row>
    <row r="590" spans="9:17" x14ac:dyDescent="0.45">
      <c r="I590" t="s">
        <v>190</v>
      </c>
      <c r="J590" t="s">
        <v>354</v>
      </c>
      <c r="K590">
        <v>3.4325572476503708E-3</v>
      </c>
      <c r="L590" t="s">
        <v>166</v>
      </c>
      <c r="N590" t="s">
        <v>255</v>
      </c>
      <c r="O590" t="s">
        <v>354</v>
      </c>
      <c r="P590">
        <v>2.542537722149163E-3</v>
      </c>
      <c r="Q590" t="s">
        <v>166</v>
      </c>
    </row>
    <row r="591" spans="9:17" x14ac:dyDescent="0.45">
      <c r="I591" t="s">
        <v>190</v>
      </c>
      <c r="J591" t="s">
        <v>355</v>
      </c>
      <c r="K591">
        <v>0</v>
      </c>
      <c r="L591" t="s">
        <v>166</v>
      </c>
      <c r="N591" t="s">
        <v>255</v>
      </c>
      <c r="O591" t="s">
        <v>355</v>
      </c>
      <c r="P591">
        <v>3.0728762020499432E-3</v>
      </c>
      <c r="Q591" t="s">
        <v>166</v>
      </c>
    </row>
    <row r="592" spans="9:17" x14ac:dyDescent="0.45">
      <c r="I592" t="s">
        <v>190</v>
      </c>
      <c r="J592" t="s">
        <v>356</v>
      </c>
      <c r="K592">
        <v>0</v>
      </c>
      <c r="L592" t="s">
        <v>166</v>
      </c>
      <c r="N592" t="s">
        <v>255</v>
      </c>
      <c r="O592" t="s">
        <v>356</v>
      </c>
      <c r="P592">
        <v>1.8761081738446272E-2</v>
      </c>
      <c r="Q592" t="s">
        <v>166</v>
      </c>
    </row>
    <row r="593" spans="9:17" x14ac:dyDescent="0.45">
      <c r="I593" t="s">
        <v>190</v>
      </c>
      <c r="J593" t="s">
        <v>357</v>
      </c>
      <c r="K593">
        <v>2.0099855717931634E-2</v>
      </c>
      <c r="L593" t="s">
        <v>166</v>
      </c>
      <c r="N593" t="s">
        <v>255</v>
      </c>
      <c r="O593" t="s">
        <v>357</v>
      </c>
      <c r="P593">
        <v>5.044273899258183E-2</v>
      </c>
      <c r="Q593" t="s">
        <v>166</v>
      </c>
    </row>
    <row r="594" spans="9:17" x14ac:dyDescent="0.45">
      <c r="I594" t="s">
        <v>190</v>
      </c>
      <c r="J594" t="s">
        <v>358</v>
      </c>
      <c r="K594">
        <v>1.3454591569429646E-2</v>
      </c>
      <c r="L594" t="s">
        <v>166</v>
      </c>
      <c r="N594" t="s">
        <v>255</v>
      </c>
      <c r="O594" t="s">
        <v>358</v>
      </c>
      <c r="P594">
        <v>4.1423752099228172E-3</v>
      </c>
      <c r="Q594" t="s">
        <v>166</v>
      </c>
    </row>
    <row r="595" spans="9:17" x14ac:dyDescent="0.45">
      <c r="I595" t="s">
        <v>190</v>
      </c>
      <c r="J595" t="s">
        <v>359</v>
      </c>
      <c r="K595">
        <v>7.025630221918415E-2</v>
      </c>
      <c r="L595" t="s">
        <v>166</v>
      </c>
      <c r="N595" t="s">
        <v>255</v>
      </c>
      <c r="O595" t="s">
        <v>359</v>
      </c>
      <c r="P595">
        <v>3.1892376650187272E-2</v>
      </c>
      <c r="Q595" t="s">
        <v>166</v>
      </c>
    </row>
    <row r="596" spans="9:17" x14ac:dyDescent="0.45">
      <c r="I596" t="s">
        <v>190</v>
      </c>
      <c r="J596" t="s">
        <v>360</v>
      </c>
      <c r="K596">
        <v>4.5550118550860612E-4</v>
      </c>
      <c r="L596" t="s">
        <v>166</v>
      </c>
      <c r="N596" t="s">
        <v>255</v>
      </c>
      <c r="O596" t="s">
        <v>360</v>
      </c>
      <c r="P596">
        <v>5.8294613540582933E-3</v>
      </c>
      <c r="Q596" t="s">
        <v>166</v>
      </c>
    </row>
    <row r="597" spans="9:17" x14ac:dyDescent="0.45">
      <c r="I597" t="s">
        <v>190</v>
      </c>
      <c r="J597" t="s">
        <v>361</v>
      </c>
      <c r="K597">
        <v>0</v>
      </c>
      <c r="L597" t="s">
        <v>166</v>
      </c>
      <c r="N597" t="s">
        <v>255</v>
      </c>
      <c r="O597" t="s">
        <v>361</v>
      </c>
      <c r="P597">
        <v>6.4366445841580596E-3</v>
      </c>
      <c r="Q597" t="s">
        <v>166</v>
      </c>
    </row>
    <row r="598" spans="9:17" x14ac:dyDescent="0.45">
      <c r="I598" t="s">
        <v>190</v>
      </c>
      <c r="J598" t="s">
        <v>362</v>
      </c>
      <c r="K598">
        <v>0</v>
      </c>
      <c r="L598" t="s">
        <v>166</v>
      </c>
      <c r="N598" t="s">
        <v>255</v>
      </c>
      <c r="O598" t="s">
        <v>362</v>
      </c>
      <c r="P598">
        <v>3.3146904100454198E-2</v>
      </c>
      <c r="Q598" t="s">
        <v>166</v>
      </c>
    </row>
    <row r="599" spans="9:17" x14ac:dyDescent="0.45">
      <c r="I599" t="s">
        <v>191</v>
      </c>
      <c r="J599" t="s">
        <v>165</v>
      </c>
      <c r="K599">
        <v>4.0041436626943566E-2</v>
      </c>
      <c r="L599" t="s">
        <v>166</v>
      </c>
      <c r="N599" t="s">
        <v>256</v>
      </c>
      <c r="O599" t="s">
        <v>165</v>
      </c>
      <c r="P599">
        <v>9.1059118277570669E-2</v>
      </c>
      <c r="Q599" t="s">
        <v>166</v>
      </c>
    </row>
    <row r="600" spans="9:17" x14ac:dyDescent="0.45">
      <c r="I600" t="s">
        <v>191</v>
      </c>
      <c r="J600" t="s">
        <v>167</v>
      </c>
      <c r="K600">
        <v>2.3811476792218261E-2</v>
      </c>
      <c r="L600" t="s">
        <v>166</v>
      </c>
      <c r="N600" t="s">
        <v>256</v>
      </c>
      <c r="O600" t="s">
        <v>167</v>
      </c>
      <c r="P600">
        <v>8.5195841584051451E-3</v>
      </c>
      <c r="Q600" t="s">
        <v>166</v>
      </c>
    </row>
    <row r="601" spans="9:17" x14ac:dyDescent="0.45">
      <c r="I601" t="s">
        <v>191</v>
      </c>
      <c r="J601" t="s">
        <v>168</v>
      </c>
      <c r="K601">
        <v>0.12779808518010116</v>
      </c>
      <c r="L601" t="s">
        <v>166</v>
      </c>
      <c r="N601" t="s">
        <v>256</v>
      </c>
      <c r="O601" t="s">
        <v>168</v>
      </c>
      <c r="P601">
        <v>6.6153365819337409E-2</v>
      </c>
      <c r="Q601" t="s">
        <v>166</v>
      </c>
    </row>
    <row r="602" spans="9:17" x14ac:dyDescent="0.45">
      <c r="I602" t="s">
        <v>191</v>
      </c>
      <c r="J602" t="s">
        <v>333</v>
      </c>
      <c r="K602">
        <v>9.4545505571959135E-3</v>
      </c>
      <c r="L602" t="s">
        <v>166</v>
      </c>
      <c r="N602" t="s">
        <v>256</v>
      </c>
      <c r="O602" t="s">
        <v>333</v>
      </c>
      <c r="P602">
        <v>1.2485798670291729E-2</v>
      </c>
      <c r="Q602" t="s">
        <v>166</v>
      </c>
    </row>
    <row r="603" spans="9:17" x14ac:dyDescent="0.45">
      <c r="I603" t="s">
        <v>191</v>
      </c>
      <c r="J603" t="s">
        <v>334</v>
      </c>
      <c r="K603">
        <v>2.0721363717416358E-3</v>
      </c>
      <c r="L603" t="s">
        <v>166</v>
      </c>
      <c r="N603" t="s">
        <v>256</v>
      </c>
      <c r="O603" t="s">
        <v>334</v>
      </c>
      <c r="P603">
        <v>1.300275046128899E-2</v>
      </c>
      <c r="Q603" t="s">
        <v>166</v>
      </c>
    </row>
    <row r="604" spans="9:17" x14ac:dyDescent="0.45">
      <c r="I604" t="s">
        <v>191</v>
      </c>
      <c r="J604" t="s">
        <v>335</v>
      </c>
      <c r="K604">
        <v>0</v>
      </c>
      <c r="L604" t="s">
        <v>166</v>
      </c>
      <c r="N604" t="s">
        <v>256</v>
      </c>
      <c r="O604" t="s">
        <v>335</v>
      </c>
      <c r="P604">
        <v>5.556288880687666E-2</v>
      </c>
      <c r="Q604" t="s">
        <v>166</v>
      </c>
    </row>
    <row r="605" spans="9:17" x14ac:dyDescent="0.45">
      <c r="I605" t="s">
        <v>191</v>
      </c>
      <c r="J605" t="s">
        <v>169</v>
      </c>
      <c r="K605">
        <v>5.4139291665886331E-2</v>
      </c>
      <c r="L605" t="s">
        <v>166</v>
      </c>
      <c r="N605" t="s">
        <v>256</v>
      </c>
      <c r="O605" t="s">
        <v>169</v>
      </c>
      <c r="P605">
        <v>9.0172153969059823E-2</v>
      </c>
      <c r="Q605" t="s">
        <v>166</v>
      </c>
    </row>
    <row r="606" spans="9:17" x14ac:dyDescent="0.45">
      <c r="I606" t="s">
        <v>191</v>
      </c>
      <c r="J606" t="s">
        <v>170</v>
      </c>
      <c r="K606">
        <v>2.0279239062500988E-2</v>
      </c>
      <c r="L606" t="s">
        <v>166</v>
      </c>
      <c r="N606" t="s">
        <v>256</v>
      </c>
      <c r="O606" t="s">
        <v>170</v>
      </c>
      <c r="P606">
        <v>8.1603818751117378E-3</v>
      </c>
      <c r="Q606" t="s">
        <v>166</v>
      </c>
    </row>
    <row r="607" spans="9:17" x14ac:dyDescent="0.45">
      <c r="I607" t="s">
        <v>191</v>
      </c>
      <c r="J607" t="s">
        <v>171</v>
      </c>
      <c r="K607">
        <v>0.11099748094777455</v>
      </c>
      <c r="L607" t="s">
        <v>166</v>
      </c>
      <c r="N607" t="s">
        <v>256</v>
      </c>
      <c r="O607" t="s">
        <v>171</v>
      </c>
      <c r="P607">
        <v>5.8665811647347327E-2</v>
      </c>
      <c r="Q607" t="s">
        <v>166</v>
      </c>
    </row>
    <row r="608" spans="9:17" x14ac:dyDescent="0.45">
      <c r="I608" t="s">
        <v>191</v>
      </c>
      <c r="J608" t="s">
        <v>336</v>
      </c>
      <c r="K608">
        <v>1.1204584739322595E-2</v>
      </c>
      <c r="L608" t="s">
        <v>166</v>
      </c>
      <c r="N608" t="s">
        <v>256</v>
      </c>
      <c r="O608" t="s">
        <v>336</v>
      </c>
      <c r="P608">
        <v>1.1676269340841067E-2</v>
      </c>
      <c r="Q608" t="s">
        <v>166</v>
      </c>
    </row>
    <row r="609" spans="9:17" x14ac:dyDescent="0.45">
      <c r="I609" t="s">
        <v>191</v>
      </c>
      <c r="J609" t="s">
        <v>337</v>
      </c>
      <c r="K609">
        <v>6.7234548521592028E-3</v>
      </c>
      <c r="L609" t="s">
        <v>166</v>
      </c>
      <c r="N609" t="s">
        <v>256</v>
      </c>
      <c r="O609" t="s">
        <v>337</v>
      </c>
      <c r="P609">
        <v>1.1895730996702304E-2</v>
      </c>
      <c r="Q609" t="s">
        <v>166</v>
      </c>
    </row>
    <row r="610" spans="9:17" x14ac:dyDescent="0.45">
      <c r="I610" t="s">
        <v>191</v>
      </c>
      <c r="J610" t="s">
        <v>338</v>
      </c>
      <c r="K610">
        <v>4.4821480122290503E-4</v>
      </c>
      <c r="L610" t="s">
        <v>166</v>
      </c>
      <c r="N610" t="s">
        <v>256</v>
      </c>
      <c r="O610" t="s">
        <v>338</v>
      </c>
      <c r="P610">
        <v>6.4261768106861197E-2</v>
      </c>
      <c r="Q610" t="s">
        <v>166</v>
      </c>
    </row>
    <row r="611" spans="9:17" x14ac:dyDescent="0.45">
      <c r="I611" t="s">
        <v>191</v>
      </c>
      <c r="J611" t="s">
        <v>172</v>
      </c>
      <c r="K611">
        <v>3.1785805665133712E-2</v>
      </c>
      <c r="L611" t="s">
        <v>166</v>
      </c>
      <c r="N611" t="s">
        <v>256</v>
      </c>
      <c r="O611" t="s">
        <v>172</v>
      </c>
      <c r="P611">
        <v>3.0858347772110602E-2</v>
      </c>
      <c r="Q611" t="s">
        <v>166</v>
      </c>
    </row>
    <row r="612" spans="9:17" x14ac:dyDescent="0.45">
      <c r="I612" t="s">
        <v>191</v>
      </c>
      <c r="J612" t="s">
        <v>173</v>
      </c>
      <c r="K612">
        <v>1.0762935258941222E-2</v>
      </c>
      <c r="L612" t="s">
        <v>166</v>
      </c>
      <c r="N612" t="s">
        <v>256</v>
      </c>
      <c r="O612" t="s">
        <v>173</v>
      </c>
      <c r="P612">
        <v>2.4942875621936436E-3</v>
      </c>
      <c r="Q612" t="s">
        <v>166</v>
      </c>
    </row>
    <row r="613" spans="9:17" x14ac:dyDescent="0.45">
      <c r="I613" t="s">
        <v>191</v>
      </c>
      <c r="J613" t="s">
        <v>174</v>
      </c>
      <c r="K613">
        <v>6.1388625117604338E-2</v>
      </c>
      <c r="L613" t="s">
        <v>166</v>
      </c>
      <c r="N613" t="s">
        <v>256</v>
      </c>
      <c r="O613" t="s">
        <v>174</v>
      </c>
      <c r="P613">
        <v>1.2097902663519519E-2</v>
      </c>
      <c r="Q613" t="s">
        <v>166</v>
      </c>
    </row>
    <row r="614" spans="9:17" x14ac:dyDescent="0.45">
      <c r="I614" t="s">
        <v>191</v>
      </c>
      <c r="J614" t="s">
        <v>339</v>
      </c>
      <c r="K614">
        <v>6.781494580394537E-3</v>
      </c>
      <c r="L614" t="s">
        <v>166</v>
      </c>
      <c r="N614" t="s">
        <v>256</v>
      </c>
      <c r="O614" t="s">
        <v>339</v>
      </c>
      <c r="P614">
        <v>3.3711294155057154E-3</v>
      </c>
      <c r="Q614" t="s">
        <v>166</v>
      </c>
    </row>
    <row r="615" spans="9:17" x14ac:dyDescent="0.45">
      <c r="I615" t="s">
        <v>191</v>
      </c>
      <c r="J615" t="s">
        <v>340</v>
      </c>
      <c r="K615">
        <v>4.5697280978390844E-3</v>
      </c>
      <c r="L615" t="s">
        <v>166</v>
      </c>
      <c r="N615" t="s">
        <v>256</v>
      </c>
      <c r="O615" t="s">
        <v>340</v>
      </c>
      <c r="P615">
        <v>4.3518834509583427E-3</v>
      </c>
      <c r="Q615" t="s">
        <v>166</v>
      </c>
    </row>
    <row r="616" spans="9:17" x14ac:dyDescent="0.45">
      <c r="I616" t="s">
        <v>191</v>
      </c>
      <c r="J616" t="s">
        <v>341</v>
      </c>
      <c r="K616">
        <v>1.8834233318643521E-3</v>
      </c>
      <c r="L616" t="s">
        <v>166</v>
      </c>
      <c r="N616" t="s">
        <v>256</v>
      </c>
      <c r="O616" t="s">
        <v>341</v>
      </c>
      <c r="P616">
        <v>2.7879896339752051E-2</v>
      </c>
      <c r="Q616" t="s">
        <v>166</v>
      </c>
    </row>
    <row r="617" spans="9:17" x14ac:dyDescent="0.45">
      <c r="I617" t="s">
        <v>191</v>
      </c>
      <c r="J617" t="s">
        <v>175</v>
      </c>
      <c r="K617">
        <v>2.9300875953325037E-2</v>
      </c>
      <c r="L617" t="s">
        <v>166</v>
      </c>
      <c r="N617" t="s">
        <v>256</v>
      </c>
      <c r="O617" t="s">
        <v>175</v>
      </c>
      <c r="P617">
        <v>3.2544443278969146E-2</v>
      </c>
      <c r="Q617" t="s">
        <v>166</v>
      </c>
    </row>
    <row r="618" spans="9:17" x14ac:dyDescent="0.45">
      <c r="I618" t="s">
        <v>191</v>
      </c>
      <c r="J618" t="s">
        <v>176</v>
      </c>
      <c r="K618">
        <v>1.0695986933360315E-2</v>
      </c>
      <c r="L618" t="s">
        <v>166</v>
      </c>
      <c r="N618" t="s">
        <v>256</v>
      </c>
      <c r="O618" t="s">
        <v>176</v>
      </c>
      <c r="P618">
        <v>2.2086466935169169E-3</v>
      </c>
      <c r="Q618" t="s">
        <v>166</v>
      </c>
    </row>
    <row r="619" spans="9:17" x14ac:dyDescent="0.45">
      <c r="I619" t="s">
        <v>191</v>
      </c>
      <c r="J619" t="s">
        <v>177</v>
      </c>
      <c r="K619">
        <v>6.0386859974784067E-2</v>
      </c>
      <c r="L619" t="s">
        <v>166</v>
      </c>
      <c r="N619" t="s">
        <v>256</v>
      </c>
      <c r="O619" t="s">
        <v>177</v>
      </c>
      <c r="P619">
        <v>1.5352940835503941E-2</v>
      </c>
      <c r="Q619" t="s">
        <v>166</v>
      </c>
    </row>
    <row r="620" spans="9:17" x14ac:dyDescent="0.45">
      <c r="I620" t="s">
        <v>191</v>
      </c>
      <c r="J620" t="s">
        <v>342</v>
      </c>
      <c r="K620">
        <v>6.4830955597352776E-3</v>
      </c>
      <c r="L620" t="s">
        <v>166</v>
      </c>
      <c r="N620" t="s">
        <v>256</v>
      </c>
      <c r="O620" t="s">
        <v>342</v>
      </c>
      <c r="P620">
        <v>4.1288243730934942E-3</v>
      </c>
      <c r="Q620" t="s">
        <v>166</v>
      </c>
    </row>
    <row r="621" spans="9:17" x14ac:dyDescent="0.45">
      <c r="I621" t="s">
        <v>191</v>
      </c>
      <c r="J621" t="s">
        <v>343</v>
      </c>
      <c r="K621">
        <v>4.3017706014021172E-3</v>
      </c>
      <c r="L621" t="s">
        <v>166</v>
      </c>
      <c r="N621" t="s">
        <v>256</v>
      </c>
      <c r="O621" t="s">
        <v>343</v>
      </c>
      <c r="P621">
        <v>4.9281263836089516E-3</v>
      </c>
      <c r="Q621" t="s">
        <v>166</v>
      </c>
    </row>
    <row r="622" spans="9:17" x14ac:dyDescent="0.45">
      <c r="I622" t="s">
        <v>191</v>
      </c>
      <c r="J622" t="s">
        <v>344</v>
      </c>
      <c r="K622">
        <v>1.931748762859943E-3</v>
      </c>
      <c r="L622" t="s">
        <v>166</v>
      </c>
      <c r="N622" t="s">
        <v>256</v>
      </c>
      <c r="O622" t="s">
        <v>344</v>
      </c>
      <c r="P622">
        <v>3.2680922143921647E-2</v>
      </c>
      <c r="Q622" t="s">
        <v>166</v>
      </c>
    </row>
    <row r="623" spans="9:17" x14ac:dyDescent="0.45">
      <c r="I623" t="s">
        <v>191</v>
      </c>
      <c r="J623" t="s">
        <v>345</v>
      </c>
      <c r="K623">
        <v>4.5712131865717105E-2</v>
      </c>
      <c r="L623" t="s">
        <v>166</v>
      </c>
      <c r="N623" t="s">
        <v>256</v>
      </c>
      <c r="O623" t="s">
        <v>345</v>
      </c>
      <c r="P623">
        <v>5.9893641423891038E-2</v>
      </c>
      <c r="Q623" t="s">
        <v>166</v>
      </c>
    </row>
    <row r="624" spans="9:17" x14ac:dyDescent="0.45">
      <c r="I624" t="s">
        <v>191</v>
      </c>
      <c r="J624" t="s">
        <v>346</v>
      </c>
      <c r="K624">
        <v>1.9244574948762388E-2</v>
      </c>
      <c r="L624" t="s">
        <v>166</v>
      </c>
      <c r="N624" t="s">
        <v>256</v>
      </c>
      <c r="O624" t="s">
        <v>346</v>
      </c>
      <c r="P624">
        <v>5.3549553750783189E-3</v>
      </c>
      <c r="Q624" t="s">
        <v>166</v>
      </c>
    </row>
    <row r="625" spans="9:17" x14ac:dyDescent="0.45">
      <c r="I625" t="s">
        <v>191</v>
      </c>
      <c r="J625" t="s">
        <v>347</v>
      </c>
      <c r="K625">
        <v>0.10463171585958245</v>
      </c>
      <c r="L625" t="s">
        <v>166</v>
      </c>
      <c r="N625" t="s">
        <v>256</v>
      </c>
      <c r="O625" t="s">
        <v>347</v>
      </c>
      <c r="P625">
        <v>2.3032237194766207E-2</v>
      </c>
      <c r="Q625" t="s">
        <v>166</v>
      </c>
    </row>
    <row r="626" spans="9:17" x14ac:dyDescent="0.45">
      <c r="I626" t="s">
        <v>191</v>
      </c>
      <c r="J626" t="s">
        <v>348</v>
      </c>
      <c r="K626">
        <v>9.970385163832144E-3</v>
      </c>
      <c r="L626" t="s">
        <v>166</v>
      </c>
      <c r="N626" t="s">
        <v>256</v>
      </c>
      <c r="O626" t="s">
        <v>348</v>
      </c>
      <c r="P626">
        <v>5.8978343714307111E-3</v>
      </c>
      <c r="Q626" t="s">
        <v>166</v>
      </c>
    </row>
    <row r="627" spans="9:17" x14ac:dyDescent="0.45">
      <c r="I627" t="s">
        <v>191</v>
      </c>
      <c r="J627" t="s">
        <v>349</v>
      </c>
      <c r="K627">
        <v>4.6061035498642334E-3</v>
      </c>
      <c r="L627" t="s">
        <v>166</v>
      </c>
      <c r="N627" t="s">
        <v>256</v>
      </c>
      <c r="O627" t="s">
        <v>349</v>
      </c>
      <c r="P627">
        <v>8.3942341390591119E-3</v>
      </c>
      <c r="Q627" t="s">
        <v>166</v>
      </c>
    </row>
    <row r="628" spans="9:17" x14ac:dyDescent="0.45">
      <c r="I628" t="s">
        <v>191</v>
      </c>
      <c r="J628" t="s">
        <v>350</v>
      </c>
      <c r="K628">
        <v>1.3810560734911948E-4</v>
      </c>
      <c r="L628" t="s">
        <v>166</v>
      </c>
      <c r="N628" t="s">
        <v>256</v>
      </c>
      <c r="O628" t="s">
        <v>350</v>
      </c>
      <c r="P628">
        <v>5.6040764816850032E-2</v>
      </c>
      <c r="Q628" t="s">
        <v>166</v>
      </c>
    </row>
    <row r="629" spans="9:17" x14ac:dyDescent="0.45">
      <c r="I629" t="s">
        <v>191</v>
      </c>
      <c r="J629" t="s">
        <v>351</v>
      </c>
      <c r="K629">
        <v>1.9608446719511063E-2</v>
      </c>
      <c r="L629" t="s">
        <v>166</v>
      </c>
      <c r="N629" t="s">
        <v>256</v>
      </c>
      <c r="O629" t="s">
        <v>351</v>
      </c>
      <c r="P629">
        <v>2.2406195524054068E-2</v>
      </c>
      <c r="Q629" t="s">
        <v>166</v>
      </c>
    </row>
    <row r="630" spans="9:17" x14ac:dyDescent="0.45">
      <c r="I630" t="s">
        <v>191</v>
      </c>
      <c r="J630" t="s">
        <v>352</v>
      </c>
      <c r="K630">
        <v>9.3357058551288962E-3</v>
      </c>
      <c r="L630" t="s">
        <v>166</v>
      </c>
      <c r="N630" t="s">
        <v>256</v>
      </c>
      <c r="O630" t="s">
        <v>352</v>
      </c>
      <c r="P630">
        <v>2.1817114130766612E-3</v>
      </c>
      <c r="Q630" t="s">
        <v>166</v>
      </c>
    </row>
    <row r="631" spans="9:17" x14ac:dyDescent="0.45">
      <c r="I631" t="s">
        <v>191</v>
      </c>
      <c r="J631" t="s">
        <v>353</v>
      </c>
      <c r="K631">
        <v>4.6716776254739925E-2</v>
      </c>
      <c r="L631" t="s">
        <v>166</v>
      </c>
      <c r="N631" t="s">
        <v>256</v>
      </c>
      <c r="O631" t="s">
        <v>353</v>
      </c>
      <c r="P631">
        <v>1.0848981137321705E-2</v>
      </c>
      <c r="Q631" t="s">
        <v>166</v>
      </c>
    </row>
    <row r="632" spans="9:17" x14ac:dyDescent="0.45">
      <c r="I632" t="s">
        <v>191</v>
      </c>
      <c r="J632" t="s">
        <v>354</v>
      </c>
      <c r="K632">
        <v>3.0643827694389874E-3</v>
      </c>
      <c r="L632" t="s">
        <v>166</v>
      </c>
      <c r="N632" t="s">
        <v>256</v>
      </c>
      <c r="O632" t="s">
        <v>354</v>
      </c>
      <c r="P632">
        <v>3.24625791634229E-3</v>
      </c>
      <c r="Q632" t="s">
        <v>166</v>
      </c>
    </row>
    <row r="633" spans="9:17" x14ac:dyDescent="0.45">
      <c r="I633" t="s">
        <v>191</v>
      </c>
      <c r="J633" t="s">
        <v>355</v>
      </c>
      <c r="K633">
        <v>0</v>
      </c>
      <c r="L633" t="s">
        <v>166</v>
      </c>
      <c r="N633" t="s">
        <v>256</v>
      </c>
      <c r="O633" t="s">
        <v>355</v>
      </c>
      <c r="P633">
        <v>4.1576120583898431E-3</v>
      </c>
      <c r="Q633" t="s">
        <v>166</v>
      </c>
    </row>
    <row r="634" spans="9:17" x14ac:dyDescent="0.45">
      <c r="I634" t="s">
        <v>191</v>
      </c>
      <c r="J634" t="s">
        <v>356</v>
      </c>
      <c r="K634">
        <v>0</v>
      </c>
      <c r="L634" t="s">
        <v>166</v>
      </c>
      <c r="N634" t="s">
        <v>256</v>
      </c>
      <c r="O634" t="s">
        <v>356</v>
      </c>
      <c r="P634">
        <v>2.040732273675739E-2</v>
      </c>
      <c r="Q634" t="s">
        <v>166</v>
      </c>
    </row>
    <row r="635" spans="9:17" x14ac:dyDescent="0.45">
      <c r="I635" t="s">
        <v>191</v>
      </c>
      <c r="J635" t="s">
        <v>357</v>
      </c>
      <c r="K635">
        <v>1.9428893411430444E-2</v>
      </c>
      <c r="L635" t="s">
        <v>166</v>
      </c>
      <c r="N635" t="s">
        <v>256</v>
      </c>
      <c r="O635" t="s">
        <v>357</v>
      </c>
      <c r="P635">
        <v>3.6235004759541667E-2</v>
      </c>
      <c r="Q635" t="s">
        <v>166</v>
      </c>
    </row>
    <row r="636" spans="9:17" x14ac:dyDescent="0.45">
      <c r="I636" t="s">
        <v>191</v>
      </c>
      <c r="J636" t="s">
        <v>358</v>
      </c>
      <c r="K636">
        <v>1.2864680372462611E-2</v>
      </c>
      <c r="L636" t="s">
        <v>166</v>
      </c>
      <c r="N636" t="s">
        <v>256</v>
      </c>
      <c r="O636" t="s">
        <v>358</v>
      </c>
      <c r="P636">
        <v>3.3951894873248158E-3</v>
      </c>
      <c r="Q636" t="s">
        <v>166</v>
      </c>
    </row>
    <row r="637" spans="9:17" x14ac:dyDescent="0.45">
      <c r="I637" t="s">
        <v>191</v>
      </c>
      <c r="J637" t="s">
        <v>359</v>
      </c>
      <c r="K637">
        <v>6.7424213933266641E-2</v>
      </c>
      <c r="L637" t="s">
        <v>166</v>
      </c>
      <c r="N637" t="s">
        <v>256</v>
      </c>
      <c r="O637" t="s">
        <v>359</v>
      </c>
      <c r="P637">
        <v>3.0562949261722452E-2</v>
      </c>
      <c r="Q637" t="s">
        <v>166</v>
      </c>
    </row>
    <row r="638" spans="9:17" x14ac:dyDescent="0.45">
      <c r="I638" t="s">
        <v>191</v>
      </c>
      <c r="J638" t="s">
        <v>360</v>
      </c>
      <c r="K638">
        <v>1.1582254602129115E-5</v>
      </c>
      <c r="L638" t="s">
        <v>166</v>
      </c>
      <c r="N638" t="s">
        <v>256</v>
      </c>
      <c r="O638" t="s">
        <v>360</v>
      </c>
      <c r="P638">
        <v>7.2168066721582397E-3</v>
      </c>
      <c r="Q638" t="s">
        <v>166</v>
      </c>
    </row>
    <row r="639" spans="9:17" x14ac:dyDescent="0.45">
      <c r="I639" t="s">
        <v>191</v>
      </c>
      <c r="J639" t="s">
        <v>361</v>
      </c>
      <c r="K639">
        <v>0</v>
      </c>
      <c r="L639" t="s">
        <v>166</v>
      </c>
      <c r="N639" t="s">
        <v>256</v>
      </c>
      <c r="O639" t="s">
        <v>361</v>
      </c>
      <c r="P639">
        <v>7.3333219186582973E-3</v>
      </c>
      <c r="Q639" t="s">
        <v>166</v>
      </c>
    </row>
    <row r="640" spans="9:17" x14ac:dyDescent="0.45">
      <c r="I640" t="s">
        <v>191</v>
      </c>
      <c r="J640" t="s">
        <v>362</v>
      </c>
      <c r="K640">
        <v>0</v>
      </c>
      <c r="L640" t="s">
        <v>166</v>
      </c>
      <c r="N640" t="s">
        <v>256</v>
      </c>
      <c r="O640" t="s">
        <v>362</v>
      </c>
      <c r="P640">
        <v>2.8882006751229896E-2</v>
      </c>
      <c r="Q640" t="s">
        <v>166</v>
      </c>
    </row>
    <row r="641" spans="9:17" x14ac:dyDescent="0.45">
      <c r="I641" t="s">
        <v>192</v>
      </c>
      <c r="J641" t="s">
        <v>165</v>
      </c>
      <c r="K641">
        <v>4.2697293873377319E-2</v>
      </c>
      <c r="L641" t="s">
        <v>166</v>
      </c>
      <c r="N641" t="s">
        <v>257</v>
      </c>
      <c r="O641" t="s">
        <v>165</v>
      </c>
      <c r="P641">
        <v>7.5739903017536789E-2</v>
      </c>
      <c r="Q641" t="s">
        <v>166</v>
      </c>
    </row>
    <row r="642" spans="9:17" x14ac:dyDescent="0.45">
      <c r="I642" t="s">
        <v>192</v>
      </c>
      <c r="J642" t="s">
        <v>167</v>
      </c>
      <c r="K642">
        <v>2.3581675357297684E-2</v>
      </c>
      <c r="L642" t="s">
        <v>166</v>
      </c>
      <c r="N642" t="s">
        <v>257</v>
      </c>
      <c r="O642" t="s">
        <v>167</v>
      </c>
      <c r="P642">
        <v>4.7453136945558895E-3</v>
      </c>
      <c r="Q642" t="s">
        <v>166</v>
      </c>
    </row>
    <row r="643" spans="9:17" x14ac:dyDescent="0.45">
      <c r="I643" t="s">
        <v>192</v>
      </c>
      <c r="J643" t="s">
        <v>168</v>
      </c>
      <c r="K643">
        <v>0.12276544266356056</v>
      </c>
      <c r="L643" t="s">
        <v>166</v>
      </c>
      <c r="N643" t="s">
        <v>257</v>
      </c>
      <c r="O643" t="s">
        <v>168</v>
      </c>
      <c r="P643">
        <v>5.1800276837639353E-2</v>
      </c>
      <c r="Q643" t="s">
        <v>166</v>
      </c>
    </row>
    <row r="644" spans="9:17" x14ac:dyDescent="0.45">
      <c r="I644" t="s">
        <v>192</v>
      </c>
      <c r="J644" t="s">
        <v>333</v>
      </c>
      <c r="K644">
        <v>8.1893180041260703E-3</v>
      </c>
      <c r="L644" t="s">
        <v>166</v>
      </c>
      <c r="N644" t="s">
        <v>257</v>
      </c>
      <c r="O644" t="s">
        <v>333</v>
      </c>
      <c r="P644">
        <v>9.9223272451007469E-3</v>
      </c>
      <c r="Q644" t="s">
        <v>166</v>
      </c>
    </row>
    <row r="645" spans="9:17" x14ac:dyDescent="0.45">
      <c r="I645" t="s">
        <v>192</v>
      </c>
      <c r="J645" t="s">
        <v>334</v>
      </c>
      <c r="K645">
        <v>1.2664778607008311E-3</v>
      </c>
      <c r="L645" t="s">
        <v>166</v>
      </c>
      <c r="N645" t="s">
        <v>257</v>
      </c>
      <c r="O645" t="s">
        <v>334</v>
      </c>
      <c r="P645">
        <v>9.8742086583395519E-3</v>
      </c>
      <c r="Q645" t="s">
        <v>166</v>
      </c>
    </row>
    <row r="646" spans="9:17" x14ac:dyDescent="0.45">
      <c r="I646" t="s">
        <v>192</v>
      </c>
      <c r="J646" t="s">
        <v>335</v>
      </c>
      <c r="K646">
        <v>0</v>
      </c>
      <c r="L646" t="s">
        <v>166</v>
      </c>
      <c r="N646" t="s">
        <v>257</v>
      </c>
      <c r="O646" t="s">
        <v>335</v>
      </c>
      <c r="P646">
        <v>5.1449966738772342E-2</v>
      </c>
      <c r="Q646" t="s">
        <v>166</v>
      </c>
    </row>
    <row r="647" spans="9:17" x14ac:dyDescent="0.45">
      <c r="I647" t="s">
        <v>192</v>
      </c>
      <c r="J647" t="s">
        <v>169</v>
      </c>
      <c r="K647">
        <v>5.4997743597682544E-2</v>
      </c>
      <c r="L647" t="s">
        <v>166</v>
      </c>
      <c r="N647" t="s">
        <v>257</v>
      </c>
      <c r="O647" t="s">
        <v>169</v>
      </c>
      <c r="P647">
        <v>7.470111658219622E-2</v>
      </c>
      <c r="Q647" t="s">
        <v>166</v>
      </c>
    </row>
    <row r="648" spans="9:17" x14ac:dyDescent="0.45">
      <c r="I648" t="s">
        <v>192</v>
      </c>
      <c r="J648" t="s">
        <v>170</v>
      </c>
      <c r="K648">
        <v>2.0300893406011707E-2</v>
      </c>
      <c r="L648" t="s">
        <v>166</v>
      </c>
      <c r="N648" t="s">
        <v>257</v>
      </c>
      <c r="O648" t="s">
        <v>170</v>
      </c>
      <c r="P648">
        <v>7.0379002828610234E-3</v>
      </c>
      <c r="Q648" t="s">
        <v>166</v>
      </c>
    </row>
    <row r="649" spans="9:17" x14ac:dyDescent="0.45">
      <c r="I649" t="s">
        <v>192</v>
      </c>
      <c r="J649" t="s">
        <v>171</v>
      </c>
      <c r="K649">
        <v>0.11170248951763158</v>
      </c>
      <c r="L649" t="s">
        <v>166</v>
      </c>
      <c r="N649" t="s">
        <v>257</v>
      </c>
      <c r="O649" t="s">
        <v>171</v>
      </c>
      <c r="P649">
        <v>5.7291166558961312E-2</v>
      </c>
      <c r="Q649" t="s">
        <v>166</v>
      </c>
    </row>
    <row r="650" spans="9:17" x14ac:dyDescent="0.45">
      <c r="I650" t="s">
        <v>192</v>
      </c>
      <c r="J650" t="s">
        <v>336</v>
      </c>
      <c r="K650">
        <v>1.0953068983812054E-2</v>
      </c>
      <c r="L650" t="s">
        <v>166</v>
      </c>
      <c r="N650" t="s">
        <v>257</v>
      </c>
      <c r="O650" t="s">
        <v>336</v>
      </c>
      <c r="P650">
        <v>1.1793879047947506E-2</v>
      </c>
      <c r="Q650" t="s">
        <v>166</v>
      </c>
    </row>
    <row r="651" spans="9:17" x14ac:dyDescent="0.45">
      <c r="I651" t="s">
        <v>192</v>
      </c>
      <c r="J651" t="s">
        <v>337</v>
      </c>
      <c r="K651">
        <v>6.1832414201667468E-3</v>
      </c>
      <c r="L651" t="s">
        <v>166</v>
      </c>
      <c r="N651" t="s">
        <v>257</v>
      </c>
      <c r="O651" t="s">
        <v>337</v>
      </c>
      <c r="P651">
        <v>1.1821962908766708E-2</v>
      </c>
      <c r="Q651" t="s">
        <v>166</v>
      </c>
    </row>
    <row r="652" spans="9:17" x14ac:dyDescent="0.45">
      <c r="I652" t="s">
        <v>192</v>
      </c>
      <c r="J652" t="s">
        <v>338</v>
      </c>
      <c r="K652">
        <v>8.5046594421764915E-5</v>
      </c>
      <c r="L652" t="s">
        <v>166</v>
      </c>
      <c r="N652" t="s">
        <v>257</v>
      </c>
      <c r="O652" t="s">
        <v>338</v>
      </c>
      <c r="P652">
        <v>6.1915927615748177E-2</v>
      </c>
      <c r="Q652" t="s">
        <v>166</v>
      </c>
    </row>
    <row r="653" spans="9:17" x14ac:dyDescent="0.45">
      <c r="I653" t="s">
        <v>192</v>
      </c>
      <c r="J653" t="s">
        <v>172</v>
      </c>
      <c r="K653">
        <v>3.1858633977045005E-2</v>
      </c>
      <c r="L653" t="s">
        <v>166</v>
      </c>
      <c r="N653" t="s">
        <v>257</v>
      </c>
      <c r="O653" t="s">
        <v>172</v>
      </c>
      <c r="P653">
        <v>4.7947984088240886E-2</v>
      </c>
      <c r="Q653" t="s">
        <v>166</v>
      </c>
    </row>
    <row r="654" spans="9:17" x14ac:dyDescent="0.45">
      <c r="I654" t="s">
        <v>192</v>
      </c>
      <c r="J654" t="s">
        <v>173</v>
      </c>
      <c r="K654">
        <v>1.0735787124111284E-2</v>
      </c>
      <c r="L654" t="s">
        <v>166</v>
      </c>
      <c r="N654" t="s">
        <v>257</v>
      </c>
      <c r="O654" t="s">
        <v>173</v>
      </c>
      <c r="P654">
        <v>2.9826346685593737E-3</v>
      </c>
      <c r="Q654" t="s">
        <v>166</v>
      </c>
    </row>
    <row r="655" spans="9:17" x14ac:dyDescent="0.45">
      <c r="I655" t="s">
        <v>192</v>
      </c>
      <c r="J655" t="s">
        <v>174</v>
      </c>
      <c r="K655">
        <v>6.2395617836870559E-2</v>
      </c>
      <c r="L655" t="s">
        <v>166</v>
      </c>
      <c r="N655" t="s">
        <v>257</v>
      </c>
      <c r="O655" t="s">
        <v>174</v>
      </c>
      <c r="P655">
        <v>1.0936183425804305E-2</v>
      </c>
      <c r="Q655" t="s">
        <v>166</v>
      </c>
    </row>
    <row r="656" spans="9:17" x14ac:dyDescent="0.45">
      <c r="I656" t="s">
        <v>192</v>
      </c>
      <c r="J656" t="s">
        <v>339</v>
      </c>
      <c r="K656">
        <v>6.5812156523379012E-3</v>
      </c>
      <c r="L656" t="s">
        <v>166</v>
      </c>
      <c r="N656" t="s">
        <v>257</v>
      </c>
      <c r="O656" t="s">
        <v>339</v>
      </c>
      <c r="P656">
        <v>2.3070048805099966E-3</v>
      </c>
      <c r="Q656" t="s">
        <v>166</v>
      </c>
    </row>
    <row r="657" spans="9:17" x14ac:dyDescent="0.45">
      <c r="I657" t="s">
        <v>192</v>
      </c>
      <c r="J657" t="s">
        <v>340</v>
      </c>
      <c r="K657">
        <v>4.1935719346781405E-3</v>
      </c>
      <c r="L657" t="s">
        <v>166</v>
      </c>
      <c r="N657" t="s">
        <v>257</v>
      </c>
      <c r="O657" t="s">
        <v>340</v>
      </c>
      <c r="P657">
        <v>2.6976236538972321E-3</v>
      </c>
      <c r="Q657" t="s">
        <v>166</v>
      </c>
    </row>
    <row r="658" spans="9:17" x14ac:dyDescent="0.45">
      <c r="I658" t="s">
        <v>192</v>
      </c>
      <c r="J658" t="s">
        <v>341</v>
      </c>
      <c r="K658">
        <v>1.6617257150380418E-3</v>
      </c>
      <c r="L658" t="s">
        <v>166</v>
      </c>
      <c r="N658" t="s">
        <v>257</v>
      </c>
      <c r="O658" t="s">
        <v>341</v>
      </c>
      <c r="P658">
        <v>2.584051825167559E-2</v>
      </c>
      <c r="Q658" t="s">
        <v>166</v>
      </c>
    </row>
    <row r="659" spans="9:17" x14ac:dyDescent="0.45">
      <c r="I659" t="s">
        <v>192</v>
      </c>
      <c r="J659" t="s">
        <v>175</v>
      </c>
      <c r="K659">
        <v>3.0702121480573386E-2</v>
      </c>
      <c r="L659" t="s">
        <v>166</v>
      </c>
      <c r="N659" t="s">
        <v>257</v>
      </c>
      <c r="O659" t="s">
        <v>175</v>
      </c>
      <c r="P659">
        <v>6.1073841483659026E-2</v>
      </c>
      <c r="Q659" t="s">
        <v>166</v>
      </c>
    </row>
    <row r="660" spans="9:17" x14ac:dyDescent="0.45">
      <c r="I660" t="s">
        <v>192</v>
      </c>
      <c r="J660" t="s">
        <v>176</v>
      </c>
      <c r="K660">
        <v>1.078156253178484E-2</v>
      </c>
      <c r="L660" t="s">
        <v>166</v>
      </c>
      <c r="N660" t="s">
        <v>257</v>
      </c>
      <c r="O660" t="s">
        <v>176</v>
      </c>
      <c r="P660">
        <v>3.7976785420849092E-3</v>
      </c>
      <c r="Q660" t="s">
        <v>166</v>
      </c>
    </row>
    <row r="661" spans="9:17" x14ac:dyDescent="0.45">
      <c r="I661" t="s">
        <v>192</v>
      </c>
      <c r="J661" t="s">
        <v>177</v>
      </c>
      <c r="K661">
        <v>6.1417333218050131E-2</v>
      </c>
      <c r="L661" t="s">
        <v>166</v>
      </c>
      <c r="N661" t="s">
        <v>257</v>
      </c>
      <c r="O661" t="s">
        <v>177</v>
      </c>
      <c r="P661">
        <v>1.0505000300343811E-2</v>
      </c>
      <c r="Q661" t="s">
        <v>166</v>
      </c>
    </row>
    <row r="662" spans="9:17" x14ac:dyDescent="0.45">
      <c r="I662" t="s">
        <v>192</v>
      </c>
      <c r="J662" t="s">
        <v>342</v>
      </c>
      <c r="K662">
        <v>6.7270893065593919E-3</v>
      </c>
      <c r="L662" t="s">
        <v>166</v>
      </c>
      <c r="N662" t="s">
        <v>257</v>
      </c>
      <c r="O662" t="s">
        <v>342</v>
      </c>
      <c r="P662">
        <v>2.2173634744634815E-3</v>
      </c>
      <c r="Q662" t="s">
        <v>166</v>
      </c>
    </row>
    <row r="663" spans="9:17" x14ac:dyDescent="0.45">
      <c r="I663" t="s">
        <v>192</v>
      </c>
      <c r="J663" t="s">
        <v>343</v>
      </c>
      <c r="K663">
        <v>4.4242706514301261E-3</v>
      </c>
      <c r="L663" t="s">
        <v>166</v>
      </c>
      <c r="N663" t="s">
        <v>257</v>
      </c>
      <c r="O663" t="s">
        <v>343</v>
      </c>
      <c r="P663">
        <v>2.6603209755285658E-3</v>
      </c>
      <c r="Q663" t="s">
        <v>166</v>
      </c>
    </row>
    <row r="664" spans="9:17" x14ac:dyDescent="0.45">
      <c r="I664" t="s">
        <v>192</v>
      </c>
      <c r="J664" t="s">
        <v>344</v>
      </c>
      <c r="K664">
        <v>1.577048484072179E-3</v>
      </c>
      <c r="L664" t="s">
        <v>166</v>
      </c>
      <c r="N664" t="s">
        <v>257</v>
      </c>
      <c r="O664" t="s">
        <v>344</v>
      </c>
      <c r="P664">
        <v>2.6568532868527277E-2</v>
      </c>
      <c r="Q664" t="s">
        <v>166</v>
      </c>
    </row>
    <row r="665" spans="9:17" x14ac:dyDescent="0.45">
      <c r="I665" t="s">
        <v>192</v>
      </c>
      <c r="J665" t="s">
        <v>345</v>
      </c>
      <c r="K665">
        <v>4.6865044396983163E-2</v>
      </c>
      <c r="L665" t="s">
        <v>166</v>
      </c>
      <c r="N665" t="s">
        <v>257</v>
      </c>
      <c r="O665" t="s">
        <v>345</v>
      </c>
      <c r="P665">
        <v>0.10801544201277258</v>
      </c>
      <c r="Q665" t="s">
        <v>166</v>
      </c>
    </row>
    <row r="666" spans="9:17" x14ac:dyDescent="0.45">
      <c r="I666" t="s">
        <v>192</v>
      </c>
      <c r="J666" t="s">
        <v>346</v>
      </c>
      <c r="K666">
        <v>1.8812396943189695E-2</v>
      </c>
      <c r="L666" t="s">
        <v>166</v>
      </c>
      <c r="N666" t="s">
        <v>257</v>
      </c>
      <c r="O666" t="s">
        <v>346</v>
      </c>
      <c r="P666">
        <v>6.8442249066472532E-3</v>
      </c>
      <c r="Q666" t="s">
        <v>166</v>
      </c>
    </row>
    <row r="667" spans="9:17" x14ac:dyDescent="0.45">
      <c r="I667" t="s">
        <v>192</v>
      </c>
      <c r="J667" t="s">
        <v>347</v>
      </c>
      <c r="K667">
        <v>0.10463491845202806</v>
      </c>
      <c r="L667" t="s">
        <v>166</v>
      </c>
      <c r="N667" t="s">
        <v>257</v>
      </c>
      <c r="O667" t="s">
        <v>347</v>
      </c>
      <c r="P667">
        <v>1.1986840535792166E-2</v>
      </c>
      <c r="Q667" t="s">
        <v>166</v>
      </c>
    </row>
    <row r="668" spans="9:17" x14ac:dyDescent="0.45">
      <c r="I668" t="s">
        <v>192</v>
      </c>
      <c r="J668" t="s">
        <v>348</v>
      </c>
      <c r="K668">
        <v>9.2579485195960296E-3</v>
      </c>
      <c r="L668" t="s">
        <v>166</v>
      </c>
      <c r="N668" t="s">
        <v>257</v>
      </c>
      <c r="O668" t="s">
        <v>348</v>
      </c>
      <c r="P668">
        <v>2.6350817428417279E-3</v>
      </c>
      <c r="Q668" t="s">
        <v>166</v>
      </c>
    </row>
    <row r="669" spans="9:17" x14ac:dyDescent="0.45">
      <c r="I669" t="s">
        <v>192</v>
      </c>
      <c r="J669" t="s">
        <v>349</v>
      </c>
      <c r="K669">
        <v>4.0833276595527365E-3</v>
      </c>
      <c r="L669" t="s">
        <v>166</v>
      </c>
      <c r="N669" t="s">
        <v>257</v>
      </c>
      <c r="O669" t="s">
        <v>349</v>
      </c>
      <c r="P669">
        <v>4.8126735963134821E-3</v>
      </c>
      <c r="Q669" t="s">
        <v>166</v>
      </c>
    </row>
    <row r="670" spans="9:17" x14ac:dyDescent="0.45">
      <c r="I670" t="s">
        <v>192</v>
      </c>
      <c r="J670" t="s">
        <v>350</v>
      </c>
      <c r="K670">
        <v>0</v>
      </c>
      <c r="L670" t="s">
        <v>166</v>
      </c>
      <c r="N670" t="s">
        <v>257</v>
      </c>
      <c r="O670" t="s">
        <v>350</v>
      </c>
      <c r="P670">
        <v>5.4133936803812753E-2</v>
      </c>
      <c r="Q670" t="s">
        <v>166</v>
      </c>
    </row>
    <row r="671" spans="9:17" x14ac:dyDescent="0.45">
      <c r="I671" t="s">
        <v>192</v>
      </c>
      <c r="J671" t="s">
        <v>351</v>
      </c>
      <c r="K671">
        <v>1.9944309651435139E-2</v>
      </c>
      <c r="L671" t="s">
        <v>166</v>
      </c>
      <c r="N671" t="s">
        <v>257</v>
      </c>
      <c r="O671" t="s">
        <v>351</v>
      </c>
      <c r="P671">
        <v>4.0757048460579842E-2</v>
      </c>
      <c r="Q671" t="s">
        <v>166</v>
      </c>
    </row>
    <row r="672" spans="9:17" x14ac:dyDescent="0.45">
      <c r="I672" t="s">
        <v>192</v>
      </c>
      <c r="J672" t="s">
        <v>352</v>
      </c>
      <c r="K672">
        <v>9.1138687425775418E-3</v>
      </c>
      <c r="L672" t="s">
        <v>166</v>
      </c>
      <c r="N672" t="s">
        <v>257</v>
      </c>
      <c r="O672" t="s">
        <v>352</v>
      </c>
      <c r="P672">
        <v>2.829521623665507E-3</v>
      </c>
      <c r="Q672" t="s">
        <v>166</v>
      </c>
    </row>
    <row r="673" spans="9:17" x14ac:dyDescent="0.45">
      <c r="I673" t="s">
        <v>192</v>
      </c>
      <c r="J673" t="s">
        <v>353</v>
      </c>
      <c r="K673">
        <v>4.7206947425856481E-2</v>
      </c>
      <c r="L673" t="s">
        <v>166</v>
      </c>
      <c r="N673" t="s">
        <v>257</v>
      </c>
      <c r="O673" t="s">
        <v>353</v>
      </c>
      <c r="P673">
        <v>5.1906677932020027E-3</v>
      </c>
      <c r="Q673" t="s">
        <v>166</v>
      </c>
    </row>
    <row r="674" spans="9:17" x14ac:dyDescent="0.45">
      <c r="I674" t="s">
        <v>192</v>
      </c>
      <c r="J674" t="s">
        <v>354</v>
      </c>
      <c r="K674">
        <v>2.4357091220602086E-3</v>
      </c>
      <c r="L674" t="s">
        <v>166</v>
      </c>
      <c r="N674" t="s">
        <v>257</v>
      </c>
      <c r="O674" t="s">
        <v>354</v>
      </c>
      <c r="P674">
        <v>1.0923570020027892E-3</v>
      </c>
      <c r="Q674" t="s">
        <v>166</v>
      </c>
    </row>
    <row r="675" spans="9:17" x14ac:dyDescent="0.45">
      <c r="I675" t="s">
        <v>192</v>
      </c>
      <c r="J675" t="s">
        <v>355</v>
      </c>
      <c r="K675">
        <v>0</v>
      </c>
      <c r="L675" t="s">
        <v>166</v>
      </c>
      <c r="N675" t="s">
        <v>257</v>
      </c>
      <c r="O675" t="s">
        <v>355</v>
      </c>
      <c r="P675">
        <v>1.9558565372306872E-3</v>
      </c>
      <c r="Q675" t="s">
        <v>166</v>
      </c>
    </row>
    <row r="676" spans="9:17" x14ac:dyDescent="0.45">
      <c r="I676" t="s">
        <v>192</v>
      </c>
      <c r="J676" t="s">
        <v>356</v>
      </c>
      <c r="K676">
        <v>0</v>
      </c>
      <c r="L676" t="s">
        <v>166</v>
      </c>
      <c r="N676" t="s">
        <v>257</v>
      </c>
      <c r="O676" t="s">
        <v>356</v>
      </c>
      <c r="P676">
        <v>2.1280406689471225E-2</v>
      </c>
      <c r="Q676" t="s">
        <v>166</v>
      </c>
    </row>
    <row r="677" spans="9:17" x14ac:dyDescent="0.45">
      <c r="I677" t="s">
        <v>192</v>
      </c>
      <c r="J677" t="s">
        <v>357</v>
      </c>
      <c r="K677">
        <v>2.2002516445219566E-2</v>
      </c>
      <c r="L677" t="s">
        <v>166</v>
      </c>
      <c r="N677" t="s">
        <v>257</v>
      </c>
      <c r="O677" t="s">
        <v>357</v>
      </c>
      <c r="P677">
        <v>4.2615662641425057E-2</v>
      </c>
      <c r="Q677" t="s">
        <v>166</v>
      </c>
    </row>
    <row r="678" spans="9:17" x14ac:dyDescent="0.45">
      <c r="I678" t="s">
        <v>192</v>
      </c>
      <c r="J678" t="s">
        <v>358</v>
      </c>
      <c r="K678">
        <v>1.3460747646863495E-2</v>
      </c>
      <c r="L678" t="s">
        <v>166</v>
      </c>
      <c r="N678" t="s">
        <v>257</v>
      </c>
      <c r="O678" t="s">
        <v>358</v>
      </c>
      <c r="P678">
        <v>2.8139327912375008E-3</v>
      </c>
      <c r="Q678" t="s">
        <v>166</v>
      </c>
    </row>
    <row r="679" spans="9:17" x14ac:dyDescent="0.45">
      <c r="I679" t="s">
        <v>192</v>
      </c>
      <c r="J679" t="s">
        <v>359</v>
      </c>
      <c r="K679">
        <v>6.6403595803298979E-2</v>
      </c>
      <c r="L679" t="s">
        <v>166</v>
      </c>
      <c r="N679" t="s">
        <v>257</v>
      </c>
      <c r="O679" t="s">
        <v>359</v>
      </c>
      <c r="P679">
        <v>2.0891609995112026E-2</v>
      </c>
      <c r="Q679" t="s">
        <v>166</v>
      </c>
    </row>
    <row r="680" spans="9:17" x14ac:dyDescent="0.45">
      <c r="I680" t="s">
        <v>192</v>
      </c>
      <c r="J680" t="s">
        <v>360</v>
      </c>
      <c r="K680">
        <v>0</v>
      </c>
      <c r="L680" t="s">
        <v>166</v>
      </c>
      <c r="N680" t="s">
        <v>257</v>
      </c>
      <c r="O680" t="s">
        <v>360</v>
      </c>
      <c r="P680">
        <v>4.5122681589434607E-3</v>
      </c>
      <c r="Q680" t="s">
        <v>166</v>
      </c>
    </row>
    <row r="681" spans="9:17" x14ac:dyDescent="0.45">
      <c r="I681" t="s">
        <v>192</v>
      </c>
      <c r="J681" t="s">
        <v>361</v>
      </c>
      <c r="K681">
        <v>0</v>
      </c>
      <c r="L681" t="s">
        <v>166</v>
      </c>
      <c r="N681" t="s">
        <v>257</v>
      </c>
      <c r="O681" t="s">
        <v>361</v>
      </c>
      <c r="P681">
        <v>5.6984918569347618E-3</v>
      </c>
      <c r="Q681" t="s">
        <v>166</v>
      </c>
    </row>
    <row r="682" spans="9:17" x14ac:dyDescent="0.45">
      <c r="I682" t="s">
        <v>192</v>
      </c>
      <c r="J682" t="s">
        <v>362</v>
      </c>
      <c r="K682">
        <v>0</v>
      </c>
      <c r="L682" t="s">
        <v>166</v>
      </c>
      <c r="N682" t="s">
        <v>257</v>
      </c>
      <c r="O682" t="s">
        <v>362</v>
      </c>
      <c r="P682">
        <v>3.4305341050292593E-2</v>
      </c>
      <c r="Q682" t="s">
        <v>166</v>
      </c>
    </row>
    <row r="683" spans="9:17" x14ac:dyDescent="0.45">
      <c r="I683" t="s">
        <v>193</v>
      </c>
      <c r="J683" t="s">
        <v>165</v>
      </c>
      <c r="K683">
        <v>4.7430772421577672E-2</v>
      </c>
      <c r="L683" t="s">
        <v>166</v>
      </c>
      <c r="N683" t="s">
        <v>258</v>
      </c>
      <c r="O683" t="s">
        <v>165</v>
      </c>
      <c r="P683">
        <v>0.10592035049539958</v>
      </c>
      <c r="Q683" t="s">
        <v>166</v>
      </c>
    </row>
    <row r="684" spans="9:17" x14ac:dyDescent="0.45">
      <c r="I684" t="s">
        <v>193</v>
      </c>
      <c r="J684" t="s">
        <v>167</v>
      </c>
      <c r="K684">
        <v>2.5314334396095827E-2</v>
      </c>
      <c r="L684" t="s">
        <v>166</v>
      </c>
      <c r="N684" t="s">
        <v>258</v>
      </c>
      <c r="O684" t="s">
        <v>167</v>
      </c>
      <c r="P684">
        <v>8.2986791196753319E-3</v>
      </c>
      <c r="Q684" t="s">
        <v>166</v>
      </c>
    </row>
    <row r="685" spans="9:17" x14ac:dyDescent="0.45">
      <c r="I685" t="s">
        <v>193</v>
      </c>
      <c r="J685" t="s">
        <v>168</v>
      </c>
      <c r="K685">
        <v>0.13095726564599927</v>
      </c>
      <c r="L685" t="s">
        <v>166</v>
      </c>
      <c r="N685" t="s">
        <v>258</v>
      </c>
      <c r="O685" t="s">
        <v>168</v>
      </c>
      <c r="P685">
        <v>6.9422846142742634E-2</v>
      </c>
      <c r="Q685" t="s">
        <v>166</v>
      </c>
    </row>
    <row r="686" spans="9:17" x14ac:dyDescent="0.45">
      <c r="I686" t="s">
        <v>193</v>
      </c>
      <c r="J686" t="s">
        <v>333</v>
      </c>
      <c r="K686">
        <v>9.2565825238764953E-3</v>
      </c>
      <c r="L686" t="s">
        <v>166</v>
      </c>
      <c r="N686" t="s">
        <v>258</v>
      </c>
      <c r="O686" t="s">
        <v>333</v>
      </c>
      <c r="P686">
        <v>1.2922445159790548E-2</v>
      </c>
      <c r="Q686" t="s">
        <v>166</v>
      </c>
    </row>
    <row r="687" spans="9:17" x14ac:dyDescent="0.45">
      <c r="I687" t="s">
        <v>193</v>
      </c>
      <c r="J687" t="s">
        <v>334</v>
      </c>
      <c r="K687">
        <v>1.5617694078925363E-3</v>
      </c>
      <c r="L687" t="s">
        <v>166</v>
      </c>
      <c r="N687" t="s">
        <v>258</v>
      </c>
      <c r="O687" t="s">
        <v>334</v>
      </c>
      <c r="P687">
        <v>1.2763939398357869E-2</v>
      </c>
      <c r="Q687" t="s">
        <v>166</v>
      </c>
    </row>
    <row r="688" spans="9:17" x14ac:dyDescent="0.45">
      <c r="I688" t="s">
        <v>193</v>
      </c>
      <c r="J688" t="s">
        <v>335</v>
      </c>
      <c r="K688">
        <v>0</v>
      </c>
      <c r="L688" t="s">
        <v>166</v>
      </c>
      <c r="N688" t="s">
        <v>258</v>
      </c>
      <c r="O688" t="s">
        <v>335</v>
      </c>
      <c r="P688">
        <v>5.4620466660652164E-2</v>
      </c>
      <c r="Q688" t="s">
        <v>166</v>
      </c>
    </row>
    <row r="689" spans="9:17" x14ac:dyDescent="0.45">
      <c r="I689" t="s">
        <v>193</v>
      </c>
      <c r="J689" t="s">
        <v>169</v>
      </c>
      <c r="K689">
        <v>5.6570454503322869E-2</v>
      </c>
      <c r="L689" t="s">
        <v>166</v>
      </c>
      <c r="N689" t="s">
        <v>258</v>
      </c>
      <c r="O689" t="s">
        <v>169</v>
      </c>
      <c r="P689">
        <v>8.2199317190946655E-2</v>
      </c>
      <c r="Q689" t="s">
        <v>166</v>
      </c>
    </row>
    <row r="690" spans="9:17" x14ac:dyDescent="0.45">
      <c r="I690" t="s">
        <v>193</v>
      </c>
      <c r="J690" t="s">
        <v>170</v>
      </c>
      <c r="K690">
        <v>2.0856228529569514E-2</v>
      </c>
      <c r="L690" t="s">
        <v>166</v>
      </c>
      <c r="N690" t="s">
        <v>258</v>
      </c>
      <c r="O690" t="s">
        <v>170</v>
      </c>
      <c r="P690">
        <v>7.5374333742736629E-3</v>
      </c>
      <c r="Q690" t="s">
        <v>166</v>
      </c>
    </row>
    <row r="691" spans="9:17" x14ac:dyDescent="0.45">
      <c r="I691" t="s">
        <v>193</v>
      </c>
      <c r="J691" t="s">
        <v>171</v>
      </c>
      <c r="K691">
        <v>0.10919715508886645</v>
      </c>
      <c r="L691" t="s">
        <v>166</v>
      </c>
      <c r="N691" t="s">
        <v>258</v>
      </c>
      <c r="O691" t="s">
        <v>171</v>
      </c>
      <c r="P691">
        <v>7.3022412609701187E-2</v>
      </c>
      <c r="Q691" t="s">
        <v>166</v>
      </c>
    </row>
    <row r="692" spans="9:17" x14ac:dyDescent="0.45">
      <c r="I692" t="s">
        <v>193</v>
      </c>
      <c r="J692" t="s">
        <v>336</v>
      </c>
      <c r="K692">
        <v>1.0406614458555586E-2</v>
      </c>
      <c r="L692" t="s">
        <v>166</v>
      </c>
      <c r="N692" t="s">
        <v>258</v>
      </c>
      <c r="O692" t="s">
        <v>336</v>
      </c>
      <c r="P692">
        <v>1.3805476138847131E-2</v>
      </c>
      <c r="Q692" t="s">
        <v>166</v>
      </c>
    </row>
    <row r="693" spans="9:17" x14ac:dyDescent="0.45">
      <c r="I693" t="s">
        <v>193</v>
      </c>
      <c r="J693" t="s">
        <v>337</v>
      </c>
      <c r="K693">
        <v>6.1602781306589454E-3</v>
      </c>
      <c r="L693" t="s">
        <v>166</v>
      </c>
      <c r="N693" t="s">
        <v>258</v>
      </c>
      <c r="O693" t="s">
        <v>337</v>
      </c>
      <c r="P693">
        <v>1.2698500247217121E-2</v>
      </c>
      <c r="Q693" t="s">
        <v>166</v>
      </c>
    </row>
    <row r="694" spans="9:17" x14ac:dyDescent="0.45">
      <c r="I694" t="s">
        <v>193</v>
      </c>
      <c r="J694" t="s">
        <v>338</v>
      </c>
      <c r="K694">
        <v>6.4090978066152202E-5</v>
      </c>
      <c r="L694" t="s">
        <v>166</v>
      </c>
      <c r="N694" t="s">
        <v>258</v>
      </c>
      <c r="O694" t="s">
        <v>338</v>
      </c>
      <c r="P694">
        <v>5.0101226160890786E-2</v>
      </c>
      <c r="Q694" t="s">
        <v>166</v>
      </c>
    </row>
    <row r="695" spans="9:17" x14ac:dyDescent="0.45">
      <c r="I695" t="s">
        <v>193</v>
      </c>
      <c r="J695" t="s">
        <v>172</v>
      </c>
      <c r="K695">
        <v>3.2461828699661438E-2</v>
      </c>
      <c r="L695" t="s">
        <v>166</v>
      </c>
      <c r="N695" t="s">
        <v>258</v>
      </c>
      <c r="O695" t="s">
        <v>172</v>
      </c>
      <c r="P695">
        <v>4.3578274001381548E-2</v>
      </c>
      <c r="Q695" t="s">
        <v>166</v>
      </c>
    </row>
    <row r="696" spans="9:17" x14ac:dyDescent="0.45">
      <c r="I696" t="s">
        <v>193</v>
      </c>
      <c r="J696" t="s">
        <v>173</v>
      </c>
      <c r="K696">
        <v>1.0523140453869937E-2</v>
      </c>
      <c r="L696" t="s">
        <v>166</v>
      </c>
      <c r="N696" t="s">
        <v>258</v>
      </c>
      <c r="O696" t="s">
        <v>173</v>
      </c>
      <c r="P696">
        <v>3.035147156613073E-3</v>
      </c>
      <c r="Q696" t="s">
        <v>166</v>
      </c>
    </row>
    <row r="697" spans="9:17" x14ac:dyDescent="0.45">
      <c r="I697" t="s">
        <v>193</v>
      </c>
      <c r="J697" t="s">
        <v>174</v>
      </c>
      <c r="K697">
        <v>5.7125369379231079E-2</v>
      </c>
      <c r="L697" t="s">
        <v>166</v>
      </c>
      <c r="N697" t="s">
        <v>258</v>
      </c>
      <c r="O697" t="s">
        <v>174</v>
      </c>
      <c r="P697">
        <v>1.409854021306417E-2</v>
      </c>
      <c r="Q697" t="s">
        <v>166</v>
      </c>
    </row>
    <row r="698" spans="9:17" x14ac:dyDescent="0.45">
      <c r="I698" t="s">
        <v>193</v>
      </c>
      <c r="J698" t="s">
        <v>339</v>
      </c>
      <c r="K698">
        <v>5.6954194448622705E-3</v>
      </c>
      <c r="L698" t="s">
        <v>166</v>
      </c>
      <c r="N698" t="s">
        <v>258</v>
      </c>
      <c r="O698" t="s">
        <v>339</v>
      </c>
      <c r="P698">
        <v>3.1111987935829575E-3</v>
      </c>
      <c r="Q698" t="s">
        <v>166</v>
      </c>
    </row>
    <row r="699" spans="9:17" x14ac:dyDescent="0.45">
      <c r="I699" t="s">
        <v>193</v>
      </c>
      <c r="J699" t="s">
        <v>340</v>
      </c>
      <c r="K699">
        <v>3.7200477077184982E-3</v>
      </c>
      <c r="L699" t="s">
        <v>166</v>
      </c>
      <c r="N699" t="s">
        <v>258</v>
      </c>
      <c r="O699" t="s">
        <v>340</v>
      </c>
      <c r="P699">
        <v>3.547039471808833E-3</v>
      </c>
      <c r="Q699" t="s">
        <v>166</v>
      </c>
    </row>
    <row r="700" spans="9:17" x14ac:dyDescent="0.45">
      <c r="I700" t="s">
        <v>193</v>
      </c>
      <c r="J700" t="s">
        <v>341</v>
      </c>
      <c r="K700">
        <v>1.5091204232259294E-3</v>
      </c>
      <c r="L700" t="s">
        <v>166</v>
      </c>
      <c r="N700" t="s">
        <v>258</v>
      </c>
      <c r="O700" t="s">
        <v>341</v>
      </c>
      <c r="P700">
        <v>1.9929549174629864E-2</v>
      </c>
      <c r="Q700" t="s">
        <v>166</v>
      </c>
    </row>
    <row r="701" spans="9:17" x14ac:dyDescent="0.45">
      <c r="I701" t="s">
        <v>193</v>
      </c>
      <c r="J701" t="s">
        <v>175</v>
      </c>
      <c r="K701">
        <v>3.046364362197157E-2</v>
      </c>
      <c r="L701" t="s">
        <v>166</v>
      </c>
      <c r="N701" t="s">
        <v>258</v>
      </c>
      <c r="O701" t="s">
        <v>175</v>
      </c>
      <c r="P701">
        <v>5.5358125387939751E-2</v>
      </c>
      <c r="Q701" t="s">
        <v>166</v>
      </c>
    </row>
    <row r="702" spans="9:17" x14ac:dyDescent="0.45">
      <c r="I702" t="s">
        <v>193</v>
      </c>
      <c r="J702" t="s">
        <v>176</v>
      </c>
      <c r="K702">
        <v>1.0445210821281185E-2</v>
      </c>
      <c r="L702" t="s">
        <v>166</v>
      </c>
      <c r="N702" t="s">
        <v>258</v>
      </c>
      <c r="O702" t="s">
        <v>176</v>
      </c>
      <c r="P702">
        <v>3.5764659319655577E-3</v>
      </c>
      <c r="Q702" t="s">
        <v>166</v>
      </c>
    </row>
    <row r="703" spans="9:17" x14ac:dyDescent="0.45">
      <c r="I703" t="s">
        <v>193</v>
      </c>
      <c r="J703" t="s">
        <v>177</v>
      </c>
      <c r="K703">
        <v>5.3800098042027414E-2</v>
      </c>
      <c r="L703" t="s">
        <v>166</v>
      </c>
      <c r="N703" t="s">
        <v>258</v>
      </c>
      <c r="O703" t="s">
        <v>177</v>
      </c>
      <c r="P703">
        <v>1.4763773276845124E-2</v>
      </c>
      <c r="Q703" t="s">
        <v>166</v>
      </c>
    </row>
    <row r="704" spans="9:17" x14ac:dyDescent="0.45">
      <c r="I704" t="s">
        <v>193</v>
      </c>
      <c r="J704" t="s">
        <v>342</v>
      </c>
      <c r="K704">
        <v>5.1698193206916312E-3</v>
      </c>
      <c r="L704" t="s">
        <v>166</v>
      </c>
      <c r="N704" t="s">
        <v>258</v>
      </c>
      <c r="O704" t="s">
        <v>342</v>
      </c>
      <c r="P704">
        <v>2.9443024779146161E-3</v>
      </c>
      <c r="Q704" t="s">
        <v>166</v>
      </c>
    </row>
    <row r="705" spans="9:17" x14ac:dyDescent="0.45">
      <c r="I705" t="s">
        <v>193</v>
      </c>
      <c r="J705" t="s">
        <v>343</v>
      </c>
      <c r="K705">
        <v>3.4201922563454118E-3</v>
      </c>
      <c r="L705" t="s">
        <v>166</v>
      </c>
      <c r="N705" t="s">
        <v>258</v>
      </c>
      <c r="O705" t="s">
        <v>343</v>
      </c>
      <c r="P705">
        <v>3.2956487800657082E-3</v>
      </c>
      <c r="Q705" t="s">
        <v>166</v>
      </c>
    </row>
    <row r="706" spans="9:17" x14ac:dyDescent="0.45">
      <c r="I706" t="s">
        <v>193</v>
      </c>
      <c r="J706" t="s">
        <v>344</v>
      </c>
      <c r="K706">
        <v>1.219790381758467E-3</v>
      </c>
      <c r="L706" t="s">
        <v>166</v>
      </c>
      <c r="N706" t="s">
        <v>258</v>
      </c>
      <c r="O706" t="s">
        <v>344</v>
      </c>
      <c r="P706">
        <v>1.9462196733451148E-2</v>
      </c>
      <c r="Q706" t="s">
        <v>166</v>
      </c>
    </row>
    <row r="707" spans="9:17" x14ac:dyDescent="0.45">
      <c r="I707" t="s">
        <v>193</v>
      </c>
      <c r="J707" t="s">
        <v>345</v>
      </c>
      <c r="K707">
        <v>4.9836645287020954E-2</v>
      </c>
      <c r="L707" t="s">
        <v>166</v>
      </c>
      <c r="N707" t="s">
        <v>258</v>
      </c>
      <c r="O707" t="s">
        <v>345</v>
      </c>
      <c r="P707">
        <v>8.3896449693547787E-2</v>
      </c>
      <c r="Q707" t="s">
        <v>166</v>
      </c>
    </row>
    <row r="708" spans="9:17" x14ac:dyDescent="0.45">
      <c r="I708" t="s">
        <v>193</v>
      </c>
      <c r="J708" t="s">
        <v>346</v>
      </c>
      <c r="K708">
        <v>1.9189242897915286E-2</v>
      </c>
      <c r="L708" t="s">
        <v>166</v>
      </c>
      <c r="N708" t="s">
        <v>258</v>
      </c>
      <c r="O708" t="s">
        <v>346</v>
      </c>
      <c r="P708">
        <v>6.0255306907465193E-3</v>
      </c>
      <c r="Q708" t="s">
        <v>166</v>
      </c>
    </row>
    <row r="709" spans="9:17" x14ac:dyDescent="0.45">
      <c r="I709" t="s">
        <v>193</v>
      </c>
      <c r="J709" t="s">
        <v>347</v>
      </c>
      <c r="K709">
        <v>0.10060588545097701</v>
      </c>
      <c r="L709" t="s">
        <v>166</v>
      </c>
      <c r="N709" t="s">
        <v>258</v>
      </c>
      <c r="O709" t="s">
        <v>347</v>
      </c>
      <c r="P709">
        <v>1.7917153155846296E-2</v>
      </c>
      <c r="Q709" t="s">
        <v>166</v>
      </c>
    </row>
    <row r="710" spans="9:17" x14ac:dyDescent="0.45">
      <c r="I710" t="s">
        <v>193</v>
      </c>
      <c r="J710" t="s">
        <v>348</v>
      </c>
      <c r="K710">
        <v>8.7791578088984128E-3</v>
      </c>
      <c r="L710" t="s">
        <v>166</v>
      </c>
      <c r="N710" t="s">
        <v>258</v>
      </c>
      <c r="O710" t="s">
        <v>348</v>
      </c>
      <c r="P710">
        <v>2.7533577543670481E-3</v>
      </c>
      <c r="Q710" t="s">
        <v>166</v>
      </c>
    </row>
    <row r="711" spans="9:17" x14ac:dyDescent="0.45">
      <c r="I711" t="s">
        <v>193</v>
      </c>
      <c r="J711" t="s">
        <v>349</v>
      </c>
      <c r="K711">
        <v>3.9442476941303423E-3</v>
      </c>
      <c r="L711" t="s">
        <v>166</v>
      </c>
      <c r="N711" t="s">
        <v>258</v>
      </c>
      <c r="O711" t="s">
        <v>349</v>
      </c>
      <c r="P711">
        <v>3.3783284665684422E-3</v>
      </c>
      <c r="Q711" t="s">
        <v>166</v>
      </c>
    </row>
    <row r="712" spans="9:17" x14ac:dyDescent="0.45">
      <c r="I712" t="s">
        <v>193</v>
      </c>
      <c r="J712" t="s">
        <v>350</v>
      </c>
      <c r="K712">
        <v>0</v>
      </c>
      <c r="L712" t="s">
        <v>166</v>
      </c>
      <c r="N712" t="s">
        <v>258</v>
      </c>
      <c r="O712" t="s">
        <v>350</v>
      </c>
      <c r="P712">
        <v>2.3675488886193179E-2</v>
      </c>
      <c r="Q712" t="s">
        <v>166</v>
      </c>
    </row>
    <row r="713" spans="9:17" x14ac:dyDescent="0.45">
      <c r="I713" t="s">
        <v>193</v>
      </c>
      <c r="J713" t="s">
        <v>351</v>
      </c>
      <c r="K713">
        <v>2.0867600797160647E-2</v>
      </c>
      <c r="L713" t="s">
        <v>166</v>
      </c>
      <c r="N713" t="s">
        <v>258</v>
      </c>
      <c r="O713" t="s">
        <v>351</v>
      </c>
      <c r="P713">
        <v>3.1617985678171777E-2</v>
      </c>
      <c r="Q713" t="s">
        <v>166</v>
      </c>
    </row>
    <row r="714" spans="9:17" x14ac:dyDescent="0.45">
      <c r="I714" t="s">
        <v>193</v>
      </c>
      <c r="J714" t="s">
        <v>352</v>
      </c>
      <c r="K714">
        <v>9.2231417707279474E-3</v>
      </c>
      <c r="L714" t="s">
        <v>166</v>
      </c>
      <c r="N714" t="s">
        <v>258</v>
      </c>
      <c r="O714" t="s">
        <v>352</v>
      </c>
      <c r="P714">
        <v>1.1660904602483527E-3</v>
      </c>
      <c r="Q714" t="s">
        <v>166</v>
      </c>
    </row>
    <row r="715" spans="9:17" x14ac:dyDescent="0.45">
      <c r="I715" t="s">
        <v>193</v>
      </c>
      <c r="J715" t="s">
        <v>353</v>
      </c>
      <c r="K715">
        <v>4.6277577430876383E-2</v>
      </c>
      <c r="L715" t="s">
        <v>166</v>
      </c>
      <c r="N715" t="s">
        <v>258</v>
      </c>
      <c r="O715" t="s">
        <v>353</v>
      </c>
      <c r="P715">
        <v>5.5833677401752003E-3</v>
      </c>
      <c r="Q715" t="s">
        <v>166</v>
      </c>
    </row>
    <row r="716" spans="9:17" x14ac:dyDescent="0.45">
      <c r="I716" t="s">
        <v>193</v>
      </c>
      <c r="J716" t="s">
        <v>354</v>
      </c>
      <c r="K716">
        <v>2.6808583588732761E-3</v>
      </c>
      <c r="L716" t="s">
        <v>166</v>
      </c>
      <c r="N716" t="s">
        <v>258</v>
      </c>
      <c r="O716" t="s">
        <v>354</v>
      </c>
      <c r="P716">
        <v>1.7955984255989749E-3</v>
      </c>
      <c r="Q716" t="s">
        <v>166</v>
      </c>
    </row>
    <row r="717" spans="9:17" x14ac:dyDescent="0.45">
      <c r="I717" t="s">
        <v>193</v>
      </c>
      <c r="J717" t="s">
        <v>355</v>
      </c>
      <c r="K717">
        <v>0</v>
      </c>
      <c r="L717" t="s">
        <v>166</v>
      </c>
      <c r="N717" t="s">
        <v>258</v>
      </c>
      <c r="O717" t="s">
        <v>355</v>
      </c>
      <c r="P717">
        <v>2.1903625311397606E-3</v>
      </c>
      <c r="Q717" t="s">
        <v>166</v>
      </c>
    </row>
    <row r="718" spans="9:17" x14ac:dyDescent="0.45">
      <c r="I718" t="s">
        <v>193</v>
      </c>
      <c r="J718" t="s">
        <v>356</v>
      </c>
      <c r="K718">
        <v>0</v>
      </c>
      <c r="L718" t="s">
        <v>166</v>
      </c>
      <c r="N718" t="s">
        <v>258</v>
      </c>
      <c r="O718" t="s">
        <v>356</v>
      </c>
      <c r="P718">
        <v>1.1608241994501703E-2</v>
      </c>
      <c r="Q718" t="s">
        <v>166</v>
      </c>
    </row>
    <row r="719" spans="9:17" x14ac:dyDescent="0.45">
      <c r="I719" t="s">
        <v>193</v>
      </c>
      <c r="J719" t="s">
        <v>357</v>
      </c>
      <c r="K719">
        <v>2.2942014797213538E-2</v>
      </c>
      <c r="L719" t="s">
        <v>166</v>
      </c>
      <c r="N719" t="s">
        <v>258</v>
      </c>
      <c r="O719" t="s">
        <v>357</v>
      </c>
      <c r="P719">
        <v>4.7362842264653114E-2</v>
      </c>
      <c r="Q719" t="s">
        <v>166</v>
      </c>
    </row>
    <row r="720" spans="9:17" x14ac:dyDescent="0.45">
      <c r="I720" t="s">
        <v>193</v>
      </c>
      <c r="J720" t="s">
        <v>358</v>
      </c>
      <c r="K720">
        <v>1.3697411722619039E-2</v>
      </c>
      <c r="L720" t="s">
        <v>166</v>
      </c>
      <c r="N720" t="s">
        <v>258</v>
      </c>
      <c r="O720" t="s">
        <v>358</v>
      </c>
      <c r="P720">
        <v>3.179808741172678E-3</v>
      </c>
      <c r="Q720" t="s">
        <v>166</v>
      </c>
    </row>
    <row r="721" spans="9:17" x14ac:dyDescent="0.45">
      <c r="I721" t="s">
        <v>193</v>
      </c>
      <c r="J721" t="s">
        <v>359</v>
      </c>
      <c r="K721">
        <v>6.8626679089148504E-2</v>
      </c>
      <c r="L721" t="s">
        <v>166</v>
      </c>
      <c r="N721" t="s">
        <v>258</v>
      </c>
      <c r="O721" t="s">
        <v>359</v>
      </c>
      <c r="P721">
        <v>2.9126809741973639E-2</v>
      </c>
      <c r="Q721" t="s">
        <v>166</v>
      </c>
    </row>
    <row r="722" spans="9:17" x14ac:dyDescent="0.45">
      <c r="I722" t="s">
        <v>193</v>
      </c>
      <c r="J722" t="s">
        <v>360</v>
      </c>
      <c r="K722">
        <v>3.1025731152527548E-7</v>
      </c>
      <c r="L722" t="s">
        <v>166</v>
      </c>
      <c r="N722" t="s">
        <v>258</v>
      </c>
      <c r="O722" t="s">
        <v>360</v>
      </c>
      <c r="P722">
        <v>5.7155823488102518E-3</v>
      </c>
      <c r="Q722" t="s">
        <v>166</v>
      </c>
    </row>
    <row r="723" spans="9:17" x14ac:dyDescent="0.45">
      <c r="I723" t="s">
        <v>193</v>
      </c>
      <c r="J723" t="s">
        <v>361</v>
      </c>
      <c r="K723">
        <v>0</v>
      </c>
      <c r="L723" t="s">
        <v>166</v>
      </c>
      <c r="N723" t="s">
        <v>258</v>
      </c>
      <c r="O723" t="s">
        <v>361</v>
      </c>
      <c r="P723">
        <v>6.1081232098812834E-3</v>
      </c>
      <c r="Q723" t="s">
        <v>166</v>
      </c>
    </row>
    <row r="724" spans="9:17" x14ac:dyDescent="0.45">
      <c r="I724" t="s">
        <v>193</v>
      </c>
      <c r="J724" t="s">
        <v>362</v>
      </c>
      <c r="K724">
        <v>0</v>
      </c>
      <c r="L724" t="s">
        <v>166</v>
      </c>
      <c r="N724" t="s">
        <v>258</v>
      </c>
      <c r="O724" t="s">
        <v>362</v>
      </c>
      <c r="P724">
        <v>2.6885524118649449E-2</v>
      </c>
      <c r="Q724" t="s">
        <v>166</v>
      </c>
    </row>
    <row r="725" spans="9:17" x14ac:dyDescent="0.45">
      <c r="I725" t="s">
        <v>194</v>
      </c>
      <c r="J725" t="s">
        <v>165</v>
      </c>
      <c r="K725">
        <v>4.4193343975978169E-2</v>
      </c>
      <c r="L725" t="s">
        <v>166</v>
      </c>
      <c r="N725" t="s">
        <v>259</v>
      </c>
      <c r="O725" t="s">
        <v>165</v>
      </c>
      <c r="P725">
        <v>7.3449147294099501E-2</v>
      </c>
      <c r="Q725" t="s">
        <v>166</v>
      </c>
    </row>
    <row r="726" spans="9:17" x14ac:dyDescent="0.45">
      <c r="I726" t="s">
        <v>194</v>
      </c>
      <c r="J726" t="s">
        <v>167</v>
      </c>
      <c r="K726">
        <v>2.4831996047203014E-2</v>
      </c>
      <c r="L726" t="s">
        <v>166</v>
      </c>
      <c r="N726" t="s">
        <v>259</v>
      </c>
      <c r="O726" t="s">
        <v>167</v>
      </c>
      <c r="P726">
        <v>7.7419943386113832E-3</v>
      </c>
      <c r="Q726" t="s">
        <v>166</v>
      </c>
    </row>
    <row r="727" spans="9:17" x14ac:dyDescent="0.45">
      <c r="I727" t="s">
        <v>194</v>
      </c>
      <c r="J727" t="s">
        <v>168</v>
      </c>
      <c r="K727">
        <v>0.1342307408741942</v>
      </c>
      <c r="L727" t="s">
        <v>166</v>
      </c>
      <c r="N727" t="s">
        <v>259</v>
      </c>
      <c r="O727" t="s">
        <v>168</v>
      </c>
      <c r="P727">
        <v>8.8949585009571355E-2</v>
      </c>
      <c r="Q727" t="s">
        <v>166</v>
      </c>
    </row>
    <row r="728" spans="9:17" x14ac:dyDescent="0.45">
      <c r="I728" t="s">
        <v>194</v>
      </c>
      <c r="J728" t="s">
        <v>333</v>
      </c>
      <c r="K728">
        <v>1.2354058099942295E-2</v>
      </c>
      <c r="L728" t="s">
        <v>166</v>
      </c>
      <c r="N728" t="s">
        <v>259</v>
      </c>
      <c r="O728" t="s">
        <v>333</v>
      </c>
      <c r="P728">
        <v>1.6877188648613015E-2</v>
      </c>
      <c r="Q728" t="s">
        <v>166</v>
      </c>
    </row>
    <row r="729" spans="9:17" x14ac:dyDescent="0.45">
      <c r="I729" t="s">
        <v>194</v>
      </c>
      <c r="J729" t="s">
        <v>334</v>
      </c>
      <c r="K729">
        <v>2.5738528332782552E-3</v>
      </c>
      <c r="L729" t="s">
        <v>166</v>
      </c>
      <c r="N729" t="s">
        <v>259</v>
      </c>
      <c r="O729" t="s">
        <v>334</v>
      </c>
      <c r="P729">
        <v>1.5254493278686479E-2</v>
      </c>
      <c r="Q729" t="s">
        <v>166</v>
      </c>
    </row>
    <row r="730" spans="9:17" x14ac:dyDescent="0.45">
      <c r="I730" t="s">
        <v>194</v>
      </c>
      <c r="J730" t="s">
        <v>335</v>
      </c>
      <c r="K730">
        <v>0</v>
      </c>
      <c r="L730" t="s">
        <v>166</v>
      </c>
      <c r="N730" t="s">
        <v>259</v>
      </c>
      <c r="O730" t="s">
        <v>335</v>
      </c>
      <c r="P730">
        <v>5.4581169580367107E-2</v>
      </c>
      <c r="Q730" t="s">
        <v>166</v>
      </c>
    </row>
    <row r="731" spans="9:17" x14ac:dyDescent="0.45">
      <c r="I731" t="s">
        <v>194</v>
      </c>
      <c r="J731" t="s">
        <v>169</v>
      </c>
      <c r="K731">
        <v>5.3585851863319836E-2</v>
      </c>
      <c r="L731" t="s">
        <v>166</v>
      </c>
      <c r="N731" t="s">
        <v>259</v>
      </c>
      <c r="O731" t="s">
        <v>169</v>
      </c>
      <c r="P731">
        <v>6.8368856625209889E-2</v>
      </c>
      <c r="Q731" t="s">
        <v>166</v>
      </c>
    </row>
    <row r="732" spans="9:17" x14ac:dyDescent="0.45">
      <c r="I732" t="s">
        <v>194</v>
      </c>
      <c r="J732" t="s">
        <v>170</v>
      </c>
      <c r="K732">
        <v>1.9780561013427154E-2</v>
      </c>
      <c r="L732" t="s">
        <v>166</v>
      </c>
      <c r="N732" t="s">
        <v>259</v>
      </c>
      <c r="O732" t="s">
        <v>170</v>
      </c>
      <c r="P732">
        <v>8.6647800510650484E-3</v>
      </c>
      <c r="Q732" t="s">
        <v>166</v>
      </c>
    </row>
    <row r="733" spans="9:17" x14ac:dyDescent="0.45">
      <c r="I733" t="s">
        <v>194</v>
      </c>
      <c r="J733" t="s">
        <v>171</v>
      </c>
      <c r="K733">
        <v>0.11089787923826526</v>
      </c>
      <c r="L733" t="s">
        <v>166</v>
      </c>
      <c r="N733" t="s">
        <v>259</v>
      </c>
      <c r="O733" t="s">
        <v>171</v>
      </c>
      <c r="P733">
        <v>9.2274335060145263E-2</v>
      </c>
      <c r="Q733" t="s">
        <v>166</v>
      </c>
    </row>
    <row r="734" spans="9:17" x14ac:dyDescent="0.45">
      <c r="I734" t="s">
        <v>194</v>
      </c>
      <c r="J734" t="s">
        <v>336</v>
      </c>
      <c r="K734">
        <v>1.1841879333009526E-2</v>
      </c>
      <c r="L734" t="s">
        <v>166</v>
      </c>
      <c r="N734" t="s">
        <v>259</v>
      </c>
      <c r="O734" t="s">
        <v>336</v>
      </c>
      <c r="P734">
        <v>1.845157282558316E-2</v>
      </c>
      <c r="Q734" t="s">
        <v>166</v>
      </c>
    </row>
    <row r="735" spans="9:17" x14ac:dyDescent="0.45">
      <c r="I735" t="s">
        <v>194</v>
      </c>
      <c r="J735" t="s">
        <v>337</v>
      </c>
      <c r="K735">
        <v>6.9946969268556546E-3</v>
      </c>
      <c r="L735" t="s">
        <v>166</v>
      </c>
      <c r="N735" t="s">
        <v>259</v>
      </c>
      <c r="O735" t="s">
        <v>337</v>
      </c>
      <c r="P735">
        <v>1.6718187736368878E-2</v>
      </c>
      <c r="Q735" t="s">
        <v>166</v>
      </c>
    </row>
    <row r="736" spans="9:17" x14ac:dyDescent="0.45">
      <c r="I736" t="s">
        <v>194</v>
      </c>
      <c r="J736" t="s">
        <v>338</v>
      </c>
      <c r="K736">
        <v>5.965699562118054E-4</v>
      </c>
      <c r="L736" t="s">
        <v>166</v>
      </c>
      <c r="N736" t="s">
        <v>259</v>
      </c>
      <c r="O736" t="s">
        <v>338</v>
      </c>
      <c r="P736">
        <v>6.014023637346428E-2</v>
      </c>
      <c r="Q736" t="s">
        <v>166</v>
      </c>
    </row>
    <row r="737" spans="9:17" x14ac:dyDescent="0.45">
      <c r="I737" t="s">
        <v>194</v>
      </c>
      <c r="J737" t="s">
        <v>172</v>
      </c>
      <c r="K737">
        <v>2.7808053972078531E-2</v>
      </c>
      <c r="L737" t="s">
        <v>166</v>
      </c>
      <c r="N737" t="s">
        <v>259</v>
      </c>
      <c r="O737" t="s">
        <v>172</v>
      </c>
      <c r="P737">
        <v>3.2136934904001296E-2</v>
      </c>
      <c r="Q737" t="s">
        <v>166</v>
      </c>
    </row>
    <row r="738" spans="9:17" x14ac:dyDescent="0.45">
      <c r="I738" t="s">
        <v>194</v>
      </c>
      <c r="J738" t="s">
        <v>173</v>
      </c>
      <c r="K738">
        <v>9.7412712727409749E-3</v>
      </c>
      <c r="L738" t="s">
        <v>166</v>
      </c>
      <c r="N738" t="s">
        <v>259</v>
      </c>
      <c r="O738" t="s">
        <v>173</v>
      </c>
      <c r="P738">
        <v>2.2594618935358776E-3</v>
      </c>
      <c r="Q738" t="s">
        <v>166</v>
      </c>
    </row>
    <row r="739" spans="9:17" x14ac:dyDescent="0.45">
      <c r="I739" t="s">
        <v>194</v>
      </c>
      <c r="J739" t="s">
        <v>174</v>
      </c>
      <c r="K739">
        <v>5.4947395423052117E-2</v>
      </c>
      <c r="L739" t="s">
        <v>166</v>
      </c>
      <c r="N739" t="s">
        <v>259</v>
      </c>
      <c r="O739" t="s">
        <v>174</v>
      </c>
      <c r="P739">
        <v>1.4798917030889459E-2</v>
      </c>
      <c r="Q739" t="s">
        <v>166</v>
      </c>
    </row>
    <row r="740" spans="9:17" x14ac:dyDescent="0.45">
      <c r="I740" t="s">
        <v>194</v>
      </c>
      <c r="J740" t="s">
        <v>339</v>
      </c>
      <c r="K740">
        <v>6.1701933167188439E-3</v>
      </c>
      <c r="L740" t="s">
        <v>166</v>
      </c>
      <c r="N740" t="s">
        <v>259</v>
      </c>
      <c r="O740" t="s">
        <v>339</v>
      </c>
      <c r="P740">
        <v>3.2530671326884788E-3</v>
      </c>
      <c r="Q740" t="s">
        <v>166</v>
      </c>
    </row>
    <row r="741" spans="9:17" x14ac:dyDescent="0.45">
      <c r="I741" t="s">
        <v>194</v>
      </c>
      <c r="J741" t="s">
        <v>340</v>
      </c>
      <c r="K741">
        <v>4.1109998245920073E-3</v>
      </c>
      <c r="L741" t="s">
        <v>166</v>
      </c>
      <c r="N741" t="s">
        <v>259</v>
      </c>
      <c r="O741" t="s">
        <v>340</v>
      </c>
      <c r="P741">
        <v>3.5282443081683431E-3</v>
      </c>
      <c r="Q741" t="s">
        <v>166</v>
      </c>
    </row>
    <row r="742" spans="9:17" x14ac:dyDescent="0.45">
      <c r="I742" t="s">
        <v>194</v>
      </c>
      <c r="J742" t="s">
        <v>341</v>
      </c>
      <c r="K742">
        <v>1.6546959889828475E-3</v>
      </c>
      <c r="L742" t="s">
        <v>166</v>
      </c>
      <c r="N742" t="s">
        <v>259</v>
      </c>
      <c r="O742" t="s">
        <v>341</v>
      </c>
      <c r="P742">
        <v>1.9839450471983225E-2</v>
      </c>
      <c r="Q742" t="s">
        <v>166</v>
      </c>
    </row>
    <row r="743" spans="9:17" x14ac:dyDescent="0.45">
      <c r="I743" t="s">
        <v>194</v>
      </c>
      <c r="J743" t="s">
        <v>175</v>
      </c>
      <c r="K743">
        <v>2.5650071932633838E-2</v>
      </c>
      <c r="L743" t="s">
        <v>166</v>
      </c>
      <c r="N743" t="s">
        <v>259</v>
      </c>
      <c r="O743" t="s">
        <v>175</v>
      </c>
      <c r="P743">
        <v>4.577896296071618E-2</v>
      </c>
      <c r="Q743" t="s">
        <v>166</v>
      </c>
    </row>
    <row r="744" spans="9:17" x14ac:dyDescent="0.45">
      <c r="I744" t="s">
        <v>194</v>
      </c>
      <c r="J744" t="s">
        <v>176</v>
      </c>
      <c r="K744">
        <v>9.4558768246809921E-3</v>
      </c>
      <c r="L744" t="s">
        <v>166</v>
      </c>
      <c r="N744" t="s">
        <v>259</v>
      </c>
      <c r="O744" t="s">
        <v>176</v>
      </c>
      <c r="P744">
        <v>3.5796707020643768E-3</v>
      </c>
      <c r="Q744" t="s">
        <v>166</v>
      </c>
    </row>
    <row r="745" spans="9:17" x14ac:dyDescent="0.45">
      <c r="I745" t="s">
        <v>194</v>
      </c>
      <c r="J745" t="s">
        <v>177</v>
      </c>
      <c r="K745">
        <v>5.3843932879685447E-2</v>
      </c>
      <c r="L745" t="s">
        <v>166</v>
      </c>
      <c r="N745" t="s">
        <v>259</v>
      </c>
      <c r="O745" t="s">
        <v>177</v>
      </c>
      <c r="P745">
        <v>1.6687146415096426E-2</v>
      </c>
      <c r="Q745" t="s">
        <v>166</v>
      </c>
    </row>
    <row r="746" spans="9:17" x14ac:dyDescent="0.45">
      <c r="I746" t="s">
        <v>194</v>
      </c>
      <c r="J746" t="s">
        <v>342</v>
      </c>
      <c r="K746">
        <v>5.8280750097708858E-3</v>
      </c>
      <c r="L746" t="s">
        <v>166</v>
      </c>
      <c r="N746" t="s">
        <v>259</v>
      </c>
      <c r="O746" t="s">
        <v>342</v>
      </c>
      <c r="P746">
        <v>3.9806338928491643E-3</v>
      </c>
      <c r="Q746" t="s">
        <v>166</v>
      </c>
    </row>
    <row r="747" spans="9:17" x14ac:dyDescent="0.45">
      <c r="I747" t="s">
        <v>194</v>
      </c>
      <c r="J747" t="s">
        <v>343</v>
      </c>
      <c r="K747">
        <v>3.513598027967173E-3</v>
      </c>
      <c r="L747" t="s">
        <v>166</v>
      </c>
      <c r="N747" t="s">
        <v>259</v>
      </c>
      <c r="O747" t="s">
        <v>343</v>
      </c>
      <c r="P747">
        <v>4.4817913674694756E-3</v>
      </c>
      <c r="Q747" t="s">
        <v>166</v>
      </c>
    </row>
    <row r="748" spans="9:17" x14ac:dyDescent="0.45">
      <c r="I748" t="s">
        <v>194</v>
      </c>
      <c r="J748" t="s">
        <v>344</v>
      </c>
      <c r="K748">
        <v>1.4289054128717416E-3</v>
      </c>
      <c r="L748" t="s">
        <v>166</v>
      </c>
      <c r="N748" t="s">
        <v>259</v>
      </c>
      <c r="O748" t="s">
        <v>344</v>
      </c>
      <c r="P748">
        <v>2.2857334068200914E-2</v>
      </c>
      <c r="Q748" t="s">
        <v>166</v>
      </c>
    </row>
    <row r="749" spans="9:17" x14ac:dyDescent="0.45">
      <c r="I749" t="s">
        <v>194</v>
      </c>
      <c r="J749" t="s">
        <v>345</v>
      </c>
      <c r="K749">
        <v>4.6445011361286544E-2</v>
      </c>
      <c r="L749" t="s">
        <v>166</v>
      </c>
      <c r="N749" t="s">
        <v>259</v>
      </c>
      <c r="O749" t="s">
        <v>345</v>
      </c>
      <c r="P749">
        <v>7.5171272360558844E-2</v>
      </c>
      <c r="Q749" t="s">
        <v>166</v>
      </c>
    </row>
    <row r="750" spans="9:17" x14ac:dyDescent="0.45">
      <c r="I750" t="s">
        <v>194</v>
      </c>
      <c r="J750" t="s">
        <v>346</v>
      </c>
      <c r="K750">
        <v>1.8132054566716686E-2</v>
      </c>
      <c r="L750" t="s">
        <v>166</v>
      </c>
      <c r="N750" t="s">
        <v>259</v>
      </c>
      <c r="O750" t="s">
        <v>346</v>
      </c>
      <c r="P750">
        <v>5.8245138870727121E-3</v>
      </c>
      <c r="Q750" t="s">
        <v>166</v>
      </c>
    </row>
    <row r="751" spans="9:17" x14ac:dyDescent="0.45">
      <c r="I751" t="s">
        <v>194</v>
      </c>
      <c r="J751" t="s">
        <v>347</v>
      </c>
      <c r="K751">
        <v>0.10047961503703254</v>
      </c>
      <c r="L751" t="s">
        <v>166</v>
      </c>
      <c r="N751" t="s">
        <v>259</v>
      </c>
      <c r="O751" t="s">
        <v>347</v>
      </c>
      <c r="P751">
        <v>1.9014438213524252E-2</v>
      </c>
      <c r="Q751" t="s">
        <v>166</v>
      </c>
    </row>
    <row r="752" spans="9:17" x14ac:dyDescent="0.45">
      <c r="I752" t="s">
        <v>194</v>
      </c>
      <c r="J752" t="s">
        <v>348</v>
      </c>
      <c r="K752">
        <v>1.0060112716992465E-2</v>
      </c>
      <c r="L752" t="s">
        <v>166</v>
      </c>
      <c r="N752" t="s">
        <v>259</v>
      </c>
      <c r="O752" t="s">
        <v>348</v>
      </c>
      <c r="P752">
        <v>4.12408260177974E-3</v>
      </c>
      <c r="Q752" t="s">
        <v>166</v>
      </c>
    </row>
    <row r="753" spans="9:17" x14ac:dyDescent="0.45">
      <c r="I753" t="s">
        <v>194</v>
      </c>
      <c r="J753" t="s">
        <v>349</v>
      </c>
      <c r="K753">
        <v>4.6585408498206471E-3</v>
      </c>
      <c r="L753" t="s">
        <v>166</v>
      </c>
      <c r="N753" t="s">
        <v>259</v>
      </c>
      <c r="O753" t="s">
        <v>349</v>
      </c>
      <c r="P753">
        <v>4.9450624285752188E-3</v>
      </c>
      <c r="Q753" t="s">
        <v>166</v>
      </c>
    </row>
    <row r="754" spans="9:17" x14ac:dyDescent="0.45">
      <c r="I754" t="s">
        <v>194</v>
      </c>
      <c r="J754" t="s">
        <v>350</v>
      </c>
      <c r="K754">
        <v>1.9236089838652721E-4</v>
      </c>
      <c r="L754" t="s">
        <v>166</v>
      </c>
      <c r="N754" t="s">
        <v>259</v>
      </c>
      <c r="O754" t="s">
        <v>350</v>
      </c>
      <c r="P754">
        <v>3.4790577996392437E-2</v>
      </c>
      <c r="Q754" t="s">
        <v>166</v>
      </c>
    </row>
    <row r="755" spans="9:17" x14ac:dyDescent="0.45">
      <c r="I755" t="s">
        <v>194</v>
      </c>
      <c r="J755" t="s">
        <v>351</v>
      </c>
      <c r="K755">
        <v>1.9824010017449312E-2</v>
      </c>
      <c r="L755" t="s">
        <v>166</v>
      </c>
      <c r="N755" t="s">
        <v>259</v>
      </c>
      <c r="O755" t="s">
        <v>351</v>
      </c>
      <c r="P755">
        <v>2.0132296849679859E-2</v>
      </c>
      <c r="Q755" t="s">
        <v>166</v>
      </c>
    </row>
    <row r="756" spans="9:17" x14ac:dyDescent="0.45">
      <c r="I756" t="s">
        <v>194</v>
      </c>
      <c r="J756" t="s">
        <v>352</v>
      </c>
      <c r="K756">
        <v>8.8413118098347315E-3</v>
      </c>
      <c r="L756" t="s">
        <v>166</v>
      </c>
      <c r="N756" t="s">
        <v>259</v>
      </c>
      <c r="O756" t="s">
        <v>352</v>
      </c>
      <c r="P756">
        <v>8.6465260520763405E-4</v>
      </c>
      <c r="Q756" t="s">
        <v>166</v>
      </c>
    </row>
    <row r="757" spans="9:17" x14ac:dyDescent="0.45">
      <c r="I757" t="s">
        <v>194</v>
      </c>
      <c r="J757" t="s">
        <v>353</v>
      </c>
      <c r="K757">
        <v>4.6723200182509431E-2</v>
      </c>
      <c r="L757" t="s">
        <v>166</v>
      </c>
      <c r="N757" t="s">
        <v>259</v>
      </c>
      <c r="O757" t="s">
        <v>353</v>
      </c>
      <c r="P757">
        <v>6.4506426742790548E-3</v>
      </c>
      <c r="Q757" t="s">
        <v>166</v>
      </c>
    </row>
    <row r="758" spans="9:17" x14ac:dyDescent="0.45">
      <c r="I758" t="s">
        <v>194</v>
      </c>
      <c r="J758" t="s">
        <v>354</v>
      </c>
      <c r="K758">
        <v>3.4946004366374094E-3</v>
      </c>
      <c r="L758" t="s">
        <v>166</v>
      </c>
      <c r="N758" t="s">
        <v>259</v>
      </c>
      <c r="O758" t="s">
        <v>354</v>
      </c>
      <c r="P758">
        <v>2.2029446791394891E-3</v>
      </c>
      <c r="Q758" t="s">
        <v>166</v>
      </c>
    </row>
    <row r="759" spans="9:17" x14ac:dyDescent="0.45">
      <c r="I759" t="s">
        <v>194</v>
      </c>
      <c r="J759" t="s">
        <v>355</v>
      </c>
      <c r="K759">
        <v>0</v>
      </c>
      <c r="L759" t="s">
        <v>166</v>
      </c>
      <c r="N759" t="s">
        <v>259</v>
      </c>
      <c r="O759" t="s">
        <v>355</v>
      </c>
      <c r="P759">
        <v>2.660767956487009E-3</v>
      </c>
      <c r="Q759" t="s">
        <v>166</v>
      </c>
    </row>
    <row r="760" spans="9:17" x14ac:dyDescent="0.45">
      <c r="I760" t="s">
        <v>194</v>
      </c>
      <c r="J760" t="s">
        <v>356</v>
      </c>
      <c r="K760">
        <v>0</v>
      </c>
      <c r="L760" t="s">
        <v>166</v>
      </c>
      <c r="N760" t="s">
        <v>259</v>
      </c>
      <c r="O760" t="s">
        <v>356</v>
      </c>
      <c r="P760">
        <v>1.3553720557785748E-2</v>
      </c>
      <c r="Q760" t="s">
        <v>166</v>
      </c>
    </row>
    <row r="761" spans="9:17" x14ac:dyDescent="0.45">
      <c r="I761" t="s">
        <v>194</v>
      </c>
      <c r="J761" t="s">
        <v>357</v>
      </c>
      <c r="K761">
        <v>2.4892781818299799E-2</v>
      </c>
      <c r="L761" t="s">
        <v>166</v>
      </c>
      <c r="N761" t="s">
        <v>259</v>
      </c>
      <c r="O761" t="s">
        <v>357</v>
      </c>
      <c r="P761">
        <v>3.2274706037071506E-2</v>
      </c>
      <c r="Q761" t="s">
        <v>166</v>
      </c>
    </row>
    <row r="762" spans="9:17" x14ac:dyDescent="0.45">
      <c r="I762" t="s">
        <v>194</v>
      </c>
      <c r="J762" t="s">
        <v>358</v>
      </c>
      <c r="K762">
        <v>1.4844530548352849E-2</v>
      </c>
      <c r="L762" t="s">
        <v>166</v>
      </c>
      <c r="N762" t="s">
        <v>259</v>
      </c>
      <c r="O762" t="s">
        <v>358</v>
      </c>
      <c r="P762">
        <v>3.3453357437454355E-3</v>
      </c>
      <c r="Q762" t="s">
        <v>166</v>
      </c>
    </row>
    <row r="763" spans="9:17" x14ac:dyDescent="0.45">
      <c r="I763" t="s">
        <v>194</v>
      </c>
      <c r="J763" t="s">
        <v>359</v>
      </c>
      <c r="K763">
        <v>7.468768086749164E-2</v>
      </c>
      <c r="L763" t="s">
        <v>166</v>
      </c>
      <c r="N763" t="s">
        <v>259</v>
      </c>
      <c r="O763" t="s">
        <v>359</v>
      </c>
      <c r="P763">
        <v>3.9691813789170693E-2</v>
      </c>
      <c r="Q763" t="s">
        <v>166</v>
      </c>
    </row>
    <row r="764" spans="9:17" x14ac:dyDescent="0.45">
      <c r="I764" t="s">
        <v>194</v>
      </c>
      <c r="J764" t="s">
        <v>360</v>
      </c>
      <c r="K764">
        <v>6.8968884173000746E-4</v>
      </c>
      <c r="L764" t="s">
        <v>166</v>
      </c>
      <c r="N764" t="s">
        <v>259</v>
      </c>
      <c r="O764" t="s">
        <v>360</v>
      </c>
      <c r="P764">
        <v>7.2561787638978021E-3</v>
      </c>
      <c r="Q764" t="s">
        <v>166</v>
      </c>
    </row>
    <row r="765" spans="9:17" x14ac:dyDescent="0.45">
      <c r="I765" t="s">
        <v>194</v>
      </c>
      <c r="J765" t="s">
        <v>361</v>
      </c>
      <c r="K765">
        <v>0</v>
      </c>
      <c r="L765" t="s">
        <v>166</v>
      </c>
      <c r="N765" t="s">
        <v>259</v>
      </c>
      <c r="O765" t="s">
        <v>361</v>
      </c>
      <c r="P765">
        <v>6.9330118377102738E-3</v>
      </c>
      <c r="Q765" t="s">
        <v>166</v>
      </c>
    </row>
    <row r="766" spans="9:17" x14ac:dyDescent="0.45">
      <c r="I766" t="s">
        <v>194</v>
      </c>
      <c r="J766" t="s">
        <v>362</v>
      </c>
      <c r="K766">
        <v>0</v>
      </c>
      <c r="L766" t="s">
        <v>166</v>
      </c>
      <c r="N766" t="s">
        <v>259</v>
      </c>
      <c r="O766" t="s">
        <v>362</v>
      </c>
      <c r="P766">
        <v>2.6110819048470516E-2</v>
      </c>
      <c r="Q766" t="s">
        <v>166</v>
      </c>
    </row>
    <row r="767" spans="9:17" x14ac:dyDescent="0.45">
      <c r="I767" t="s">
        <v>195</v>
      </c>
      <c r="J767" t="s">
        <v>165</v>
      </c>
      <c r="K767">
        <v>4.7331899254338436E-2</v>
      </c>
      <c r="L767" t="s">
        <v>166</v>
      </c>
      <c r="N767" t="s">
        <v>260</v>
      </c>
      <c r="O767" t="s">
        <v>165</v>
      </c>
      <c r="P767">
        <v>5.9425331830418621E-2</v>
      </c>
      <c r="Q767" t="s">
        <v>166</v>
      </c>
    </row>
    <row r="768" spans="9:17" x14ac:dyDescent="0.45">
      <c r="I768" t="s">
        <v>195</v>
      </c>
      <c r="J768" t="s">
        <v>167</v>
      </c>
      <c r="K768">
        <v>2.6011856590832688E-2</v>
      </c>
      <c r="L768" t="s">
        <v>166</v>
      </c>
      <c r="N768" t="s">
        <v>260</v>
      </c>
      <c r="O768" t="s">
        <v>167</v>
      </c>
      <c r="P768">
        <v>5.5775319983373166E-3</v>
      </c>
      <c r="Q768" t="s">
        <v>166</v>
      </c>
    </row>
    <row r="769" spans="9:17" x14ac:dyDescent="0.45">
      <c r="I769" t="s">
        <v>195</v>
      </c>
      <c r="J769" t="s">
        <v>168</v>
      </c>
      <c r="K769">
        <v>0.14214840557203062</v>
      </c>
      <c r="L769" t="s">
        <v>166</v>
      </c>
      <c r="N769" t="s">
        <v>260</v>
      </c>
      <c r="O769" t="s">
        <v>168</v>
      </c>
      <c r="P769">
        <v>6.3784698506555326E-2</v>
      </c>
      <c r="Q769" t="s">
        <v>166</v>
      </c>
    </row>
    <row r="770" spans="9:17" x14ac:dyDescent="0.45">
      <c r="I770" t="s">
        <v>195</v>
      </c>
      <c r="J770" t="s">
        <v>333</v>
      </c>
      <c r="K770">
        <v>1.2846664128107962E-2</v>
      </c>
      <c r="L770" t="s">
        <v>166</v>
      </c>
      <c r="N770" t="s">
        <v>260</v>
      </c>
      <c r="O770" t="s">
        <v>333</v>
      </c>
      <c r="P770">
        <v>1.2256826751352236E-2</v>
      </c>
      <c r="Q770" t="s">
        <v>166</v>
      </c>
    </row>
    <row r="771" spans="9:17" x14ac:dyDescent="0.45">
      <c r="I771" t="s">
        <v>195</v>
      </c>
      <c r="J771" t="s">
        <v>334</v>
      </c>
      <c r="K771">
        <v>2.287181377028563E-3</v>
      </c>
      <c r="L771" t="s">
        <v>166</v>
      </c>
      <c r="N771" t="s">
        <v>260</v>
      </c>
      <c r="O771" t="s">
        <v>334</v>
      </c>
      <c r="P771">
        <v>1.1770821606828049E-2</v>
      </c>
      <c r="Q771" t="s">
        <v>166</v>
      </c>
    </row>
    <row r="772" spans="9:17" x14ac:dyDescent="0.45">
      <c r="I772" t="s">
        <v>195</v>
      </c>
      <c r="J772" t="s">
        <v>335</v>
      </c>
      <c r="K772">
        <v>0</v>
      </c>
      <c r="L772" t="s">
        <v>166</v>
      </c>
      <c r="N772" t="s">
        <v>260</v>
      </c>
      <c r="O772" t="s">
        <v>335</v>
      </c>
      <c r="P772">
        <v>5.2155010771571121E-2</v>
      </c>
      <c r="Q772" t="s">
        <v>166</v>
      </c>
    </row>
    <row r="773" spans="9:17" x14ac:dyDescent="0.45">
      <c r="I773" t="s">
        <v>195</v>
      </c>
      <c r="J773" t="s">
        <v>169</v>
      </c>
      <c r="K773">
        <v>5.2624785247840852E-2</v>
      </c>
      <c r="L773" t="s">
        <v>166</v>
      </c>
      <c r="N773" t="s">
        <v>260</v>
      </c>
      <c r="O773" t="s">
        <v>169</v>
      </c>
      <c r="P773">
        <v>6.5232726285667106E-2</v>
      </c>
      <c r="Q773" t="s">
        <v>166</v>
      </c>
    </row>
    <row r="774" spans="9:17" x14ac:dyDescent="0.45">
      <c r="I774" t="s">
        <v>195</v>
      </c>
      <c r="J774" t="s">
        <v>170</v>
      </c>
      <c r="K774">
        <v>1.9061899438671422E-2</v>
      </c>
      <c r="L774" t="s">
        <v>166</v>
      </c>
      <c r="N774" t="s">
        <v>260</v>
      </c>
      <c r="O774" t="s">
        <v>170</v>
      </c>
      <c r="P774">
        <v>8.4338657742312161E-3</v>
      </c>
      <c r="Q774" t="s">
        <v>166</v>
      </c>
    </row>
    <row r="775" spans="9:17" x14ac:dyDescent="0.45">
      <c r="I775" t="s">
        <v>195</v>
      </c>
      <c r="J775" t="s">
        <v>171</v>
      </c>
      <c r="K775">
        <v>0.109076496977181</v>
      </c>
      <c r="L775" t="s">
        <v>166</v>
      </c>
      <c r="N775" t="s">
        <v>260</v>
      </c>
      <c r="O775" t="s">
        <v>171</v>
      </c>
      <c r="P775">
        <v>8.1136428090381546E-2</v>
      </c>
      <c r="Q775" t="s">
        <v>166</v>
      </c>
    </row>
    <row r="776" spans="9:17" x14ac:dyDescent="0.45">
      <c r="I776" t="s">
        <v>195</v>
      </c>
      <c r="J776" t="s">
        <v>336</v>
      </c>
      <c r="K776">
        <v>1.1960503058540605E-2</v>
      </c>
      <c r="L776" t="s">
        <v>166</v>
      </c>
      <c r="N776" t="s">
        <v>260</v>
      </c>
      <c r="O776" t="s">
        <v>336</v>
      </c>
      <c r="P776">
        <v>1.5932409679345793E-2</v>
      </c>
      <c r="Q776" t="s">
        <v>166</v>
      </c>
    </row>
    <row r="777" spans="9:17" x14ac:dyDescent="0.45">
      <c r="I777" t="s">
        <v>195</v>
      </c>
      <c r="J777" t="s">
        <v>337</v>
      </c>
      <c r="K777">
        <v>6.8568020670937407E-3</v>
      </c>
      <c r="L777" t="s">
        <v>166</v>
      </c>
      <c r="N777" t="s">
        <v>260</v>
      </c>
      <c r="O777" t="s">
        <v>337</v>
      </c>
      <c r="P777">
        <v>1.4485630173470833E-2</v>
      </c>
      <c r="Q777" t="s">
        <v>166</v>
      </c>
    </row>
    <row r="778" spans="9:17" x14ac:dyDescent="0.45">
      <c r="I778" t="s">
        <v>195</v>
      </c>
      <c r="J778" t="s">
        <v>338</v>
      </c>
      <c r="K778">
        <v>2.6455521461205716E-4</v>
      </c>
      <c r="L778" t="s">
        <v>166</v>
      </c>
      <c r="N778" t="s">
        <v>260</v>
      </c>
      <c r="O778" t="s">
        <v>338</v>
      </c>
      <c r="P778">
        <v>5.9949315099253733E-2</v>
      </c>
      <c r="Q778" t="s">
        <v>166</v>
      </c>
    </row>
    <row r="779" spans="9:17" x14ac:dyDescent="0.45">
      <c r="I779" t="s">
        <v>195</v>
      </c>
      <c r="J779" t="s">
        <v>172</v>
      </c>
      <c r="K779">
        <v>2.5855769975030418E-2</v>
      </c>
      <c r="L779" t="s">
        <v>166</v>
      </c>
      <c r="N779" t="s">
        <v>260</v>
      </c>
      <c r="O779" t="s">
        <v>172</v>
      </c>
      <c r="P779">
        <v>3.5335750931646995E-2</v>
      </c>
      <c r="Q779" t="s">
        <v>166</v>
      </c>
    </row>
    <row r="780" spans="9:17" x14ac:dyDescent="0.45">
      <c r="I780" t="s">
        <v>195</v>
      </c>
      <c r="J780" t="s">
        <v>173</v>
      </c>
      <c r="K780">
        <v>9.227569801202623E-3</v>
      </c>
      <c r="L780" t="s">
        <v>166</v>
      </c>
      <c r="N780" t="s">
        <v>260</v>
      </c>
      <c r="O780" t="s">
        <v>173</v>
      </c>
      <c r="P780">
        <v>3.2213563659052014E-3</v>
      </c>
      <c r="Q780" t="s">
        <v>166</v>
      </c>
    </row>
    <row r="781" spans="9:17" x14ac:dyDescent="0.45">
      <c r="I781" t="s">
        <v>195</v>
      </c>
      <c r="J781" t="s">
        <v>174</v>
      </c>
      <c r="K781">
        <v>5.3234091934088915E-2</v>
      </c>
      <c r="L781" t="s">
        <v>166</v>
      </c>
      <c r="N781" t="s">
        <v>260</v>
      </c>
      <c r="O781" t="s">
        <v>174</v>
      </c>
      <c r="P781">
        <v>1.294615904905934E-2</v>
      </c>
      <c r="Q781" t="s">
        <v>166</v>
      </c>
    </row>
    <row r="782" spans="9:17" x14ac:dyDescent="0.45">
      <c r="I782" t="s">
        <v>195</v>
      </c>
      <c r="J782" t="s">
        <v>339</v>
      </c>
      <c r="K782">
        <v>6.0559159682884714E-3</v>
      </c>
      <c r="L782" t="s">
        <v>166</v>
      </c>
      <c r="N782" t="s">
        <v>260</v>
      </c>
      <c r="O782" t="s">
        <v>339</v>
      </c>
      <c r="P782">
        <v>2.6456169229898091E-3</v>
      </c>
      <c r="Q782" t="s">
        <v>166</v>
      </c>
    </row>
    <row r="783" spans="9:17" x14ac:dyDescent="0.45">
      <c r="I783" t="s">
        <v>195</v>
      </c>
      <c r="J783" t="s">
        <v>340</v>
      </c>
      <c r="K783">
        <v>3.8592877763654748E-3</v>
      </c>
      <c r="L783" t="s">
        <v>166</v>
      </c>
      <c r="N783" t="s">
        <v>260</v>
      </c>
      <c r="O783" t="s">
        <v>340</v>
      </c>
      <c r="P783">
        <v>3.1970788762521155E-3</v>
      </c>
      <c r="Q783" t="s">
        <v>166</v>
      </c>
    </row>
    <row r="784" spans="9:17" x14ac:dyDescent="0.45">
      <c r="I784" t="s">
        <v>195</v>
      </c>
      <c r="J784" t="s">
        <v>341</v>
      </c>
      <c r="K784">
        <v>1.4422588622733685E-3</v>
      </c>
      <c r="L784" t="s">
        <v>166</v>
      </c>
      <c r="N784" t="s">
        <v>260</v>
      </c>
      <c r="O784" t="s">
        <v>341</v>
      </c>
      <c r="P784">
        <v>2.4298283258281858E-2</v>
      </c>
      <c r="Q784" t="s">
        <v>166</v>
      </c>
    </row>
    <row r="785" spans="9:17" x14ac:dyDescent="0.45">
      <c r="I785" t="s">
        <v>195</v>
      </c>
      <c r="J785" t="s">
        <v>175</v>
      </c>
      <c r="K785">
        <v>2.4016648678605344E-2</v>
      </c>
      <c r="L785" t="s">
        <v>166</v>
      </c>
      <c r="N785" t="s">
        <v>260</v>
      </c>
      <c r="O785" t="s">
        <v>175</v>
      </c>
      <c r="P785">
        <v>5.2804489170103663E-2</v>
      </c>
      <c r="Q785" t="s">
        <v>166</v>
      </c>
    </row>
    <row r="786" spans="9:17" x14ac:dyDescent="0.45">
      <c r="I786" t="s">
        <v>195</v>
      </c>
      <c r="J786" t="s">
        <v>176</v>
      </c>
      <c r="K786">
        <v>9.0128752923954846E-3</v>
      </c>
      <c r="L786" t="s">
        <v>166</v>
      </c>
      <c r="N786" t="s">
        <v>260</v>
      </c>
      <c r="O786" t="s">
        <v>176</v>
      </c>
      <c r="P786">
        <v>5.2404084340762517E-3</v>
      </c>
      <c r="Q786" t="s">
        <v>166</v>
      </c>
    </row>
    <row r="787" spans="9:17" x14ac:dyDescent="0.45">
      <c r="I787" t="s">
        <v>195</v>
      </c>
      <c r="J787" t="s">
        <v>177</v>
      </c>
      <c r="K787">
        <v>5.2791757747828578E-2</v>
      </c>
      <c r="L787" t="s">
        <v>166</v>
      </c>
      <c r="N787" t="s">
        <v>260</v>
      </c>
      <c r="O787" t="s">
        <v>177</v>
      </c>
      <c r="P787">
        <v>1.7613311325063573E-2</v>
      </c>
      <c r="Q787" t="s">
        <v>166</v>
      </c>
    </row>
    <row r="788" spans="9:17" x14ac:dyDescent="0.45">
      <c r="I788" t="s">
        <v>195</v>
      </c>
      <c r="J788" t="s">
        <v>342</v>
      </c>
      <c r="K788">
        <v>5.9832622368808739E-3</v>
      </c>
      <c r="L788" t="s">
        <v>166</v>
      </c>
      <c r="N788" t="s">
        <v>260</v>
      </c>
      <c r="O788" t="s">
        <v>342</v>
      </c>
      <c r="P788">
        <v>3.817599828541937E-3</v>
      </c>
      <c r="Q788" t="s">
        <v>166</v>
      </c>
    </row>
    <row r="789" spans="9:17" x14ac:dyDescent="0.45">
      <c r="I789" t="s">
        <v>195</v>
      </c>
      <c r="J789" t="s">
        <v>343</v>
      </c>
      <c r="K789">
        <v>3.6506085476395141E-3</v>
      </c>
      <c r="L789" t="s">
        <v>166</v>
      </c>
      <c r="N789" t="s">
        <v>260</v>
      </c>
      <c r="O789" t="s">
        <v>343</v>
      </c>
      <c r="P789">
        <v>4.9306035706847195E-3</v>
      </c>
      <c r="Q789" t="s">
        <v>166</v>
      </c>
    </row>
    <row r="790" spans="9:17" x14ac:dyDescent="0.45">
      <c r="I790" t="s">
        <v>195</v>
      </c>
      <c r="J790" t="s">
        <v>344</v>
      </c>
      <c r="K790">
        <v>1.2863172078786483E-3</v>
      </c>
      <c r="L790" t="s">
        <v>166</v>
      </c>
      <c r="N790" t="s">
        <v>260</v>
      </c>
      <c r="O790" t="s">
        <v>344</v>
      </c>
      <c r="P790">
        <v>3.5625767794399667E-2</v>
      </c>
      <c r="Q790" t="s">
        <v>166</v>
      </c>
    </row>
    <row r="791" spans="9:17" x14ac:dyDescent="0.45">
      <c r="I791" t="s">
        <v>195</v>
      </c>
      <c r="J791" t="s">
        <v>345</v>
      </c>
      <c r="K791">
        <v>4.5084124403906072E-2</v>
      </c>
      <c r="L791" t="s">
        <v>166</v>
      </c>
      <c r="N791" t="s">
        <v>260</v>
      </c>
      <c r="O791" t="s">
        <v>345</v>
      </c>
      <c r="P791">
        <v>8.7002559290928025E-2</v>
      </c>
      <c r="Q791" t="s">
        <v>166</v>
      </c>
    </row>
    <row r="792" spans="9:17" x14ac:dyDescent="0.45">
      <c r="I792" t="s">
        <v>195</v>
      </c>
      <c r="J792" t="s">
        <v>346</v>
      </c>
      <c r="K792">
        <v>1.7529078972602162E-2</v>
      </c>
      <c r="L792" t="s">
        <v>166</v>
      </c>
      <c r="N792" t="s">
        <v>260</v>
      </c>
      <c r="O792" t="s">
        <v>346</v>
      </c>
      <c r="P792">
        <v>6.2165441877495391E-3</v>
      </c>
      <c r="Q792" t="s">
        <v>166</v>
      </c>
    </row>
    <row r="793" spans="9:17" x14ac:dyDescent="0.45">
      <c r="I793" t="s">
        <v>195</v>
      </c>
      <c r="J793" t="s">
        <v>347</v>
      </c>
      <c r="K793">
        <v>9.9170396171098685E-2</v>
      </c>
      <c r="L793" t="s">
        <v>166</v>
      </c>
      <c r="N793" t="s">
        <v>260</v>
      </c>
      <c r="O793" t="s">
        <v>347</v>
      </c>
      <c r="P793">
        <v>1.9989869550142404E-2</v>
      </c>
      <c r="Q793" t="s">
        <v>166</v>
      </c>
    </row>
    <row r="794" spans="9:17" x14ac:dyDescent="0.45">
      <c r="I794" t="s">
        <v>195</v>
      </c>
      <c r="J794" t="s">
        <v>348</v>
      </c>
      <c r="K794">
        <v>1.0323509284007536E-2</v>
      </c>
      <c r="L794" t="s">
        <v>166</v>
      </c>
      <c r="N794" t="s">
        <v>260</v>
      </c>
      <c r="O794" t="s">
        <v>348</v>
      </c>
      <c r="P794">
        <v>4.9691853024315573E-3</v>
      </c>
      <c r="Q794" t="s">
        <v>166</v>
      </c>
    </row>
    <row r="795" spans="9:17" x14ac:dyDescent="0.45">
      <c r="I795" t="s">
        <v>195</v>
      </c>
      <c r="J795" t="s">
        <v>349</v>
      </c>
      <c r="K795">
        <v>4.6108438134574905E-3</v>
      </c>
      <c r="L795" t="s">
        <v>166</v>
      </c>
      <c r="N795" t="s">
        <v>260</v>
      </c>
      <c r="O795" t="s">
        <v>349</v>
      </c>
      <c r="P795">
        <v>7.8134027710776814E-3</v>
      </c>
      <c r="Q795" t="s">
        <v>166</v>
      </c>
    </row>
    <row r="796" spans="9:17" x14ac:dyDescent="0.45">
      <c r="I796" t="s">
        <v>195</v>
      </c>
      <c r="J796" t="s">
        <v>350</v>
      </c>
      <c r="K796">
        <v>2.9420589396858301E-5</v>
      </c>
      <c r="L796" t="s">
        <v>166</v>
      </c>
      <c r="N796" t="s">
        <v>260</v>
      </c>
      <c r="O796" t="s">
        <v>350</v>
      </c>
      <c r="P796">
        <v>7.1355418467350495E-2</v>
      </c>
      <c r="Q796" t="s">
        <v>166</v>
      </c>
    </row>
    <row r="797" spans="9:17" x14ac:dyDescent="0.45">
      <c r="I797" t="s">
        <v>195</v>
      </c>
      <c r="J797" t="s">
        <v>351</v>
      </c>
      <c r="K797">
        <v>1.9570197386208067E-2</v>
      </c>
      <c r="L797" t="s">
        <v>166</v>
      </c>
      <c r="N797" t="s">
        <v>260</v>
      </c>
      <c r="O797" t="s">
        <v>351</v>
      </c>
      <c r="P797">
        <v>1.5539950245844699E-2</v>
      </c>
      <c r="Q797" t="s">
        <v>166</v>
      </c>
    </row>
    <row r="798" spans="9:17" x14ac:dyDescent="0.45">
      <c r="I798" t="s">
        <v>195</v>
      </c>
      <c r="J798" t="s">
        <v>352</v>
      </c>
      <c r="K798">
        <v>8.628234264604925E-3</v>
      </c>
      <c r="L798" t="s">
        <v>166</v>
      </c>
      <c r="N798" t="s">
        <v>260</v>
      </c>
      <c r="O798" t="s">
        <v>352</v>
      </c>
      <c r="P798">
        <v>1.7671898301609013E-3</v>
      </c>
      <c r="Q798" t="s">
        <v>166</v>
      </c>
    </row>
    <row r="799" spans="9:17" x14ac:dyDescent="0.45">
      <c r="I799" t="s">
        <v>195</v>
      </c>
      <c r="J799" t="s">
        <v>353</v>
      </c>
      <c r="K799">
        <v>4.626963864847846E-2</v>
      </c>
      <c r="L799" t="s">
        <v>166</v>
      </c>
      <c r="N799" t="s">
        <v>260</v>
      </c>
      <c r="O799" t="s">
        <v>353</v>
      </c>
      <c r="P799">
        <v>8.2713363128920046E-3</v>
      </c>
      <c r="Q799" t="s">
        <v>166</v>
      </c>
    </row>
    <row r="800" spans="9:17" x14ac:dyDescent="0.45">
      <c r="I800" t="s">
        <v>195</v>
      </c>
      <c r="J800" t="s">
        <v>354</v>
      </c>
      <c r="K800">
        <v>3.3730938215157389E-3</v>
      </c>
      <c r="L800" t="s">
        <v>166</v>
      </c>
      <c r="N800" t="s">
        <v>260</v>
      </c>
      <c r="O800" t="s">
        <v>354</v>
      </c>
      <c r="P800">
        <v>2.088503416299767E-3</v>
      </c>
      <c r="Q800" t="s">
        <v>166</v>
      </c>
    </row>
    <row r="801" spans="9:17" x14ac:dyDescent="0.45">
      <c r="I801" t="s">
        <v>195</v>
      </c>
      <c r="J801" t="s">
        <v>355</v>
      </c>
      <c r="K801">
        <v>0</v>
      </c>
      <c r="L801" t="s">
        <v>166</v>
      </c>
      <c r="N801" t="s">
        <v>260</v>
      </c>
      <c r="O801" t="s">
        <v>355</v>
      </c>
      <c r="P801">
        <v>2.727534502618055E-3</v>
      </c>
      <c r="Q801" t="s">
        <v>166</v>
      </c>
    </row>
    <row r="802" spans="9:17" x14ac:dyDescent="0.45">
      <c r="I802" t="s">
        <v>195</v>
      </c>
      <c r="J802" t="s">
        <v>356</v>
      </c>
      <c r="K802">
        <v>0</v>
      </c>
      <c r="L802" t="s">
        <v>166</v>
      </c>
      <c r="N802" t="s">
        <v>260</v>
      </c>
      <c r="O802" t="s">
        <v>356</v>
      </c>
      <c r="P802">
        <v>1.6939474404635897E-2</v>
      </c>
      <c r="Q802" t="s">
        <v>166</v>
      </c>
    </row>
    <row r="803" spans="9:17" x14ac:dyDescent="0.45">
      <c r="I803" t="s">
        <v>195</v>
      </c>
      <c r="J803" t="s">
        <v>357</v>
      </c>
      <c r="K803">
        <v>2.6019470224972661E-2</v>
      </c>
      <c r="L803" t="s">
        <v>166</v>
      </c>
      <c r="N803" t="s">
        <v>260</v>
      </c>
      <c r="O803" t="s">
        <v>357</v>
      </c>
      <c r="P803">
        <v>2.8614671371434544E-2</v>
      </c>
      <c r="Q803" t="s">
        <v>166</v>
      </c>
    </row>
    <row r="804" spans="9:17" x14ac:dyDescent="0.45">
      <c r="I804" t="s">
        <v>195</v>
      </c>
      <c r="J804" t="s">
        <v>358</v>
      </c>
      <c r="K804">
        <v>1.4864512670638512E-2</v>
      </c>
      <c r="L804" t="s">
        <v>166</v>
      </c>
      <c r="N804" t="s">
        <v>260</v>
      </c>
      <c r="O804" t="s">
        <v>358</v>
      </c>
      <c r="P804">
        <v>2.3189743573821856E-3</v>
      </c>
      <c r="Q804" t="s">
        <v>166</v>
      </c>
    </row>
    <row r="805" spans="9:17" x14ac:dyDescent="0.45">
      <c r="I805" t="s">
        <v>195</v>
      </c>
      <c r="J805" t="s">
        <v>359</v>
      </c>
      <c r="K805">
        <v>7.6827017186004251E-2</v>
      </c>
      <c r="L805" t="s">
        <v>166</v>
      </c>
      <c r="N805" t="s">
        <v>260</v>
      </c>
      <c r="O805" t="s">
        <v>359</v>
      </c>
      <c r="P805">
        <v>2.4825891289008722E-2</v>
      </c>
      <c r="Q805" t="s">
        <v>166</v>
      </c>
    </row>
    <row r="806" spans="9:17" x14ac:dyDescent="0.45">
      <c r="I806" t="s">
        <v>195</v>
      </c>
      <c r="J806" t="s">
        <v>360</v>
      </c>
      <c r="K806">
        <v>8.1304960835452056E-4</v>
      </c>
      <c r="L806" t="s">
        <v>166</v>
      </c>
      <c r="N806" t="s">
        <v>260</v>
      </c>
      <c r="O806" t="s">
        <v>360</v>
      </c>
      <c r="P806">
        <v>5.8482669462433974E-3</v>
      </c>
      <c r="Q806" t="s">
        <v>166</v>
      </c>
    </row>
    <row r="807" spans="9:17" x14ac:dyDescent="0.45">
      <c r="I807" t="s">
        <v>195</v>
      </c>
      <c r="J807" t="s">
        <v>361</v>
      </c>
      <c r="K807">
        <v>0</v>
      </c>
      <c r="L807" t="s">
        <v>166</v>
      </c>
      <c r="N807" t="s">
        <v>260</v>
      </c>
      <c r="O807" t="s">
        <v>361</v>
      </c>
      <c r="P807">
        <v>7.1824583793284394E-3</v>
      </c>
      <c r="Q807" t="s">
        <v>166</v>
      </c>
    </row>
    <row r="808" spans="9:17" x14ac:dyDescent="0.45">
      <c r="I808" t="s">
        <v>195</v>
      </c>
      <c r="J808" t="s">
        <v>362</v>
      </c>
      <c r="K808">
        <v>0</v>
      </c>
      <c r="L808" t="s">
        <v>166</v>
      </c>
      <c r="N808" t="s">
        <v>260</v>
      </c>
      <c r="O808" t="s">
        <v>362</v>
      </c>
      <c r="P808">
        <v>3.4711747280053343E-2</v>
      </c>
      <c r="Q808" t="s">
        <v>166</v>
      </c>
    </row>
    <row r="809" spans="9:17" x14ac:dyDescent="0.45">
      <c r="I809" t="s">
        <v>196</v>
      </c>
      <c r="J809" t="s">
        <v>165</v>
      </c>
      <c r="K809">
        <v>5.1123067917214562E-2</v>
      </c>
      <c r="L809" t="s">
        <v>166</v>
      </c>
      <c r="N809" t="s">
        <v>261</v>
      </c>
      <c r="O809" t="s">
        <v>165</v>
      </c>
      <c r="P809">
        <v>5.2302045299689716E-2</v>
      </c>
      <c r="Q809" t="s">
        <v>166</v>
      </c>
    </row>
    <row r="810" spans="9:17" x14ac:dyDescent="0.45">
      <c r="I810" t="s">
        <v>196</v>
      </c>
      <c r="J810" t="s">
        <v>167</v>
      </c>
      <c r="K810">
        <v>2.6471491951778836E-2</v>
      </c>
      <c r="L810" t="s">
        <v>166</v>
      </c>
      <c r="N810" t="s">
        <v>261</v>
      </c>
      <c r="O810" t="s">
        <v>167</v>
      </c>
      <c r="P810">
        <v>4.3209282484840501E-3</v>
      </c>
      <c r="Q810" t="s">
        <v>166</v>
      </c>
    </row>
    <row r="811" spans="9:17" x14ac:dyDescent="0.45">
      <c r="I811" t="s">
        <v>196</v>
      </c>
      <c r="J811" t="s">
        <v>168</v>
      </c>
      <c r="K811">
        <v>0.14168253080952994</v>
      </c>
      <c r="L811" t="s">
        <v>166</v>
      </c>
      <c r="N811" t="s">
        <v>261</v>
      </c>
      <c r="O811" t="s">
        <v>168</v>
      </c>
      <c r="P811">
        <v>5.6690308061798596E-2</v>
      </c>
      <c r="Q811" t="s">
        <v>166</v>
      </c>
    </row>
    <row r="812" spans="9:17" x14ac:dyDescent="0.45">
      <c r="I812" t="s">
        <v>196</v>
      </c>
      <c r="J812" t="s">
        <v>333</v>
      </c>
      <c r="K812">
        <v>1.1467618983919412E-2</v>
      </c>
      <c r="L812" t="s">
        <v>166</v>
      </c>
      <c r="N812" t="s">
        <v>261</v>
      </c>
      <c r="O812" t="s">
        <v>333</v>
      </c>
      <c r="P812">
        <v>1.2084405209707695E-2</v>
      </c>
      <c r="Q812" t="s">
        <v>166</v>
      </c>
    </row>
    <row r="813" spans="9:17" x14ac:dyDescent="0.45">
      <c r="I813" t="s">
        <v>196</v>
      </c>
      <c r="J813" t="s">
        <v>334</v>
      </c>
      <c r="K813">
        <v>1.7547656818270028E-3</v>
      </c>
      <c r="L813" t="s">
        <v>166</v>
      </c>
      <c r="N813" t="s">
        <v>261</v>
      </c>
      <c r="O813" t="s">
        <v>334</v>
      </c>
      <c r="P813">
        <v>1.2438996400180641E-2</v>
      </c>
      <c r="Q813" t="s">
        <v>166</v>
      </c>
    </row>
    <row r="814" spans="9:17" x14ac:dyDescent="0.45">
      <c r="I814" t="s">
        <v>196</v>
      </c>
      <c r="J814" t="s">
        <v>335</v>
      </c>
      <c r="K814">
        <v>0</v>
      </c>
      <c r="L814" t="s">
        <v>166</v>
      </c>
      <c r="N814" t="s">
        <v>261</v>
      </c>
      <c r="O814" t="s">
        <v>335</v>
      </c>
      <c r="P814">
        <v>4.9420950931535541E-2</v>
      </c>
      <c r="Q814" t="s">
        <v>166</v>
      </c>
    </row>
    <row r="815" spans="9:17" x14ac:dyDescent="0.45">
      <c r="I815" t="s">
        <v>196</v>
      </c>
      <c r="J815" t="s">
        <v>169</v>
      </c>
      <c r="K815">
        <v>5.3651033970081155E-2</v>
      </c>
      <c r="L815" t="s">
        <v>166</v>
      </c>
      <c r="N815" t="s">
        <v>261</v>
      </c>
      <c r="O815" t="s">
        <v>169</v>
      </c>
      <c r="P815">
        <v>7.5062071920708254E-2</v>
      </c>
      <c r="Q815" t="s">
        <v>166</v>
      </c>
    </row>
    <row r="816" spans="9:17" x14ac:dyDescent="0.45">
      <c r="I816" t="s">
        <v>196</v>
      </c>
      <c r="J816" t="s">
        <v>170</v>
      </c>
      <c r="K816">
        <v>1.911899153169435E-2</v>
      </c>
      <c r="L816" t="s">
        <v>166</v>
      </c>
      <c r="N816" t="s">
        <v>261</v>
      </c>
      <c r="O816" t="s">
        <v>170</v>
      </c>
      <c r="P816">
        <v>9.6483289063601773E-3</v>
      </c>
      <c r="Q816" t="s">
        <v>166</v>
      </c>
    </row>
    <row r="817" spans="9:17" x14ac:dyDescent="0.45">
      <c r="I817" t="s">
        <v>196</v>
      </c>
      <c r="J817" t="s">
        <v>171</v>
      </c>
      <c r="K817">
        <v>0.10700045657809051</v>
      </c>
      <c r="L817" t="s">
        <v>166</v>
      </c>
      <c r="N817" t="s">
        <v>261</v>
      </c>
      <c r="O817" t="s">
        <v>171</v>
      </c>
      <c r="P817">
        <v>7.7428355439107532E-2</v>
      </c>
      <c r="Q817" t="s">
        <v>166</v>
      </c>
    </row>
    <row r="818" spans="9:17" x14ac:dyDescent="0.45">
      <c r="I818" t="s">
        <v>196</v>
      </c>
      <c r="J818" t="s">
        <v>336</v>
      </c>
      <c r="K818">
        <v>1.1157536655128525E-2</v>
      </c>
      <c r="L818" t="s">
        <v>166</v>
      </c>
      <c r="N818" t="s">
        <v>261</v>
      </c>
      <c r="O818" t="s">
        <v>336</v>
      </c>
      <c r="P818">
        <v>1.5778724242314354E-2</v>
      </c>
      <c r="Q818" t="s">
        <v>166</v>
      </c>
    </row>
    <row r="819" spans="9:17" x14ac:dyDescent="0.45">
      <c r="I819" t="s">
        <v>196</v>
      </c>
      <c r="J819" t="s">
        <v>337</v>
      </c>
      <c r="K819">
        <v>6.1069142991722449E-3</v>
      </c>
      <c r="L819" t="s">
        <v>166</v>
      </c>
      <c r="N819" t="s">
        <v>261</v>
      </c>
      <c r="O819" t="s">
        <v>337</v>
      </c>
      <c r="P819">
        <v>1.4627448990836006E-2</v>
      </c>
      <c r="Q819" t="s">
        <v>166</v>
      </c>
    </row>
    <row r="820" spans="9:17" x14ac:dyDescent="0.45">
      <c r="I820" t="s">
        <v>196</v>
      </c>
      <c r="J820" t="s">
        <v>338</v>
      </c>
      <c r="K820">
        <v>9.0480267782906093E-6</v>
      </c>
      <c r="L820" t="s">
        <v>166</v>
      </c>
      <c r="N820" t="s">
        <v>261</v>
      </c>
      <c r="O820" t="s">
        <v>338</v>
      </c>
      <c r="P820">
        <v>6.8483939602718188E-2</v>
      </c>
      <c r="Q820" t="s">
        <v>166</v>
      </c>
    </row>
    <row r="821" spans="9:17" x14ac:dyDescent="0.45">
      <c r="I821" t="s">
        <v>196</v>
      </c>
      <c r="J821" t="s">
        <v>172</v>
      </c>
      <c r="K821">
        <v>2.8273752187166067E-2</v>
      </c>
      <c r="L821" t="s">
        <v>166</v>
      </c>
      <c r="N821" t="s">
        <v>261</v>
      </c>
      <c r="O821" t="s">
        <v>172</v>
      </c>
      <c r="P821">
        <v>3.5059618189706029E-2</v>
      </c>
      <c r="Q821" t="s">
        <v>166</v>
      </c>
    </row>
    <row r="822" spans="9:17" x14ac:dyDescent="0.45">
      <c r="I822" t="s">
        <v>196</v>
      </c>
      <c r="J822" t="s">
        <v>173</v>
      </c>
      <c r="K822">
        <v>9.3569564495739124E-3</v>
      </c>
      <c r="L822" t="s">
        <v>166</v>
      </c>
      <c r="N822" t="s">
        <v>261</v>
      </c>
      <c r="O822" t="s">
        <v>173</v>
      </c>
      <c r="P822">
        <v>2.9319139039309617E-3</v>
      </c>
      <c r="Q822" t="s">
        <v>166</v>
      </c>
    </row>
    <row r="823" spans="9:17" x14ac:dyDescent="0.45">
      <c r="I823" t="s">
        <v>196</v>
      </c>
      <c r="J823" t="s">
        <v>174</v>
      </c>
      <c r="K823">
        <v>5.3384711804033279E-2</v>
      </c>
      <c r="L823" t="s">
        <v>166</v>
      </c>
      <c r="N823" t="s">
        <v>261</v>
      </c>
      <c r="O823" t="s">
        <v>174</v>
      </c>
      <c r="P823">
        <v>1.2432280494317292E-2</v>
      </c>
      <c r="Q823" t="s">
        <v>166</v>
      </c>
    </row>
    <row r="824" spans="9:17" x14ac:dyDescent="0.45">
      <c r="I824" t="s">
        <v>196</v>
      </c>
      <c r="J824" t="s">
        <v>339</v>
      </c>
      <c r="K824">
        <v>5.8336954483136031E-3</v>
      </c>
      <c r="L824" t="s">
        <v>166</v>
      </c>
      <c r="N824" t="s">
        <v>261</v>
      </c>
      <c r="O824" t="s">
        <v>339</v>
      </c>
      <c r="P824">
        <v>3.4743893247369132E-3</v>
      </c>
      <c r="Q824" t="s">
        <v>166</v>
      </c>
    </row>
    <row r="825" spans="9:17" x14ac:dyDescent="0.45">
      <c r="I825" t="s">
        <v>196</v>
      </c>
      <c r="J825" t="s">
        <v>340</v>
      </c>
      <c r="K825">
        <v>3.5987631842029875E-3</v>
      </c>
      <c r="L825" t="s">
        <v>166</v>
      </c>
      <c r="N825" t="s">
        <v>261</v>
      </c>
      <c r="O825" t="s">
        <v>340</v>
      </c>
      <c r="P825">
        <v>4.5840816079981391E-3</v>
      </c>
      <c r="Q825" t="s">
        <v>166</v>
      </c>
    </row>
    <row r="826" spans="9:17" x14ac:dyDescent="0.45">
      <c r="I826" t="s">
        <v>196</v>
      </c>
      <c r="J826" t="s">
        <v>341</v>
      </c>
      <c r="K826">
        <v>1.1487829336626499E-3</v>
      </c>
      <c r="L826" t="s">
        <v>166</v>
      </c>
      <c r="N826" t="s">
        <v>261</v>
      </c>
      <c r="O826" t="s">
        <v>341</v>
      </c>
      <c r="P826">
        <v>3.309281189574996E-2</v>
      </c>
      <c r="Q826" t="s">
        <v>166</v>
      </c>
    </row>
    <row r="827" spans="9:17" x14ac:dyDescent="0.45">
      <c r="I827" t="s">
        <v>196</v>
      </c>
      <c r="J827" t="s">
        <v>175</v>
      </c>
      <c r="K827">
        <v>2.6149571593323089E-2</v>
      </c>
      <c r="L827" t="s">
        <v>166</v>
      </c>
      <c r="N827" t="s">
        <v>261</v>
      </c>
      <c r="O827" t="s">
        <v>175</v>
      </c>
      <c r="P827">
        <v>4.2538389988308105E-2</v>
      </c>
      <c r="Q827" t="s">
        <v>166</v>
      </c>
    </row>
    <row r="828" spans="9:17" x14ac:dyDescent="0.45">
      <c r="I828" t="s">
        <v>196</v>
      </c>
      <c r="J828" t="s">
        <v>176</v>
      </c>
      <c r="K828">
        <v>9.3031917872073086E-3</v>
      </c>
      <c r="L828" t="s">
        <v>166</v>
      </c>
      <c r="N828" t="s">
        <v>261</v>
      </c>
      <c r="O828" t="s">
        <v>176</v>
      </c>
      <c r="P828">
        <v>3.7006458759934846E-3</v>
      </c>
      <c r="Q828" t="s">
        <v>166</v>
      </c>
    </row>
    <row r="829" spans="9:17" x14ac:dyDescent="0.45">
      <c r="I829" t="s">
        <v>196</v>
      </c>
      <c r="J829" t="s">
        <v>177</v>
      </c>
      <c r="K829">
        <v>5.2367317685737144E-2</v>
      </c>
      <c r="L829" t="s">
        <v>166</v>
      </c>
      <c r="N829" t="s">
        <v>261</v>
      </c>
      <c r="O829" t="s">
        <v>177</v>
      </c>
      <c r="P829">
        <v>2.0704122970241504E-2</v>
      </c>
      <c r="Q829" t="s">
        <v>166</v>
      </c>
    </row>
    <row r="830" spans="9:17" x14ac:dyDescent="0.45">
      <c r="I830" t="s">
        <v>196</v>
      </c>
      <c r="J830" t="s">
        <v>342</v>
      </c>
      <c r="K830">
        <v>5.6867559767184907E-3</v>
      </c>
      <c r="L830" t="s">
        <v>166</v>
      </c>
      <c r="N830" t="s">
        <v>261</v>
      </c>
      <c r="O830" t="s">
        <v>342</v>
      </c>
      <c r="P830">
        <v>5.3052700170898937E-3</v>
      </c>
      <c r="Q830" t="s">
        <v>166</v>
      </c>
    </row>
    <row r="831" spans="9:17" x14ac:dyDescent="0.45">
      <c r="I831" t="s">
        <v>196</v>
      </c>
      <c r="J831" t="s">
        <v>343</v>
      </c>
      <c r="K831">
        <v>3.4304462613311661E-3</v>
      </c>
      <c r="L831" t="s">
        <v>166</v>
      </c>
      <c r="N831" t="s">
        <v>261</v>
      </c>
      <c r="O831" t="s">
        <v>343</v>
      </c>
      <c r="P831">
        <v>6.4024584846957295E-3</v>
      </c>
      <c r="Q831" t="s">
        <v>166</v>
      </c>
    </row>
    <row r="832" spans="9:17" x14ac:dyDescent="0.45">
      <c r="I832" t="s">
        <v>196</v>
      </c>
      <c r="J832" t="s">
        <v>344</v>
      </c>
      <c r="K832">
        <v>9.6559565164037727E-4</v>
      </c>
      <c r="L832" t="s">
        <v>166</v>
      </c>
      <c r="N832" t="s">
        <v>261</v>
      </c>
      <c r="O832" t="s">
        <v>344</v>
      </c>
      <c r="P832">
        <v>3.9311304422611298E-2</v>
      </c>
      <c r="Q832" t="s">
        <v>166</v>
      </c>
    </row>
    <row r="833" spans="9:17" x14ac:dyDescent="0.45">
      <c r="I833" t="s">
        <v>196</v>
      </c>
      <c r="J833" t="s">
        <v>345</v>
      </c>
      <c r="K833">
        <v>4.8421638932542782E-2</v>
      </c>
      <c r="L833" t="s">
        <v>166</v>
      </c>
      <c r="N833" t="s">
        <v>261</v>
      </c>
      <c r="O833" t="s">
        <v>345</v>
      </c>
      <c r="P833">
        <v>6.4580153104318611E-2</v>
      </c>
      <c r="Q833" t="s">
        <v>166</v>
      </c>
    </row>
    <row r="834" spans="9:17" x14ac:dyDescent="0.45">
      <c r="I834" t="s">
        <v>196</v>
      </c>
      <c r="J834" t="s">
        <v>346</v>
      </c>
      <c r="K834">
        <v>1.8108852841047341E-2</v>
      </c>
      <c r="L834" t="s">
        <v>166</v>
      </c>
      <c r="N834" t="s">
        <v>261</v>
      </c>
      <c r="O834" t="s">
        <v>346</v>
      </c>
      <c r="P834">
        <v>5.1808012010204204E-3</v>
      </c>
      <c r="Q834" t="s">
        <v>166</v>
      </c>
    </row>
    <row r="835" spans="9:17" x14ac:dyDescent="0.45">
      <c r="I835" t="s">
        <v>196</v>
      </c>
      <c r="J835" t="s">
        <v>347</v>
      </c>
      <c r="K835">
        <v>9.8216311795840477E-2</v>
      </c>
      <c r="L835" t="s">
        <v>166</v>
      </c>
      <c r="N835" t="s">
        <v>261</v>
      </c>
      <c r="O835" t="s">
        <v>347</v>
      </c>
      <c r="P835">
        <v>2.8496769660117813E-2</v>
      </c>
      <c r="Q835" t="s">
        <v>166</v>
      </c>
    </row>
    <row r="836" spans="9:17" x14ac:dyDescent="0.45">
      <c r="I836" t="s">
        <v>196</v>
      </c>
      <c r="J836" t="s">
        <v>348</v>
      </c>
      <c r="K836">
        <v>9.2059580786101481E-3</v>
      </c>
      <c r="L836" t="s">
        <v>166</v>
      </c>
      <c r="N836" t="s">
        <v>261</v>
      </c>
      <c r="O836" t="s">
        <v>348</v>
      </c>
      <c r="P836">
        <v>8.171972350469214E-3</v>
      </c>
      <c r="Q836" t="s">
        <v>166</v>
      </c>
    </row>
    <row r="837" spans="9:17" x14ac:dyDescent="0.45">
      <c r="I837" t="s">
        <v>196</v>
      </c>
      <c r="J837" t="s">
        <v>349</v>
      </c>
      <c r="K837">
        <v>3.8168963754738518E-3</v>
      </c>
      <c r="L837" t="s">
        <v>166</v>
      </c>
      <c r="N837" t="s">
        <v>261</v>
      </c>
      <c r="O837" t="s">
        <v>349</v>
      </c>
      <c r="P837">
        <v>1.0929920987007539E-2</v>
      </c>
      <c r="Q837" t="s">
        <v>166</v>
      </c>
    </row>
    <row r="838" spans="9:17" x14ac:dyDescent="0.45">
      <c r="I838" t="s">
        <v>196</v>
      </c>
      <c r="J838" t="s">
        <v>350</v>
      </c>
      <c r="K838">
        <v>0</v>
      </c>
      <c r="L838" t="s">
        <v>166</v>
      </c>
      <c r="N838" t="s">
        <v>261</v>
      </c>
      <c r="O838" t="s">
        <v>350</v>
      </c>
      <c r="P838">
        <v>7.3867379089923593E-2</v>
      </c>
      <c r="Q838" t="s">
        <v>166</v>
      </c>
    </row>
    <row r="839" spans="9:17" x14ac:dyDescent="0.45">
      <c r="I839" t="s">
        <v>196</v>
      </c>
      <c r="J839" t="s">
        <v>351</v>
      </c>
      <c r="K839">
        <v>1.9979226552074413E-2</v>
      </c>
      <c r="L839" t="s">
        <v>166</v>
      </c>
      <c r="N839" t="s">
        <v>261</v>
      </c>
      <c r="O839" t="s">
        <v>351</v>
      </c>
      <c r="P839">
        <v>1.7777134054784798E-2</v>
      </c>
      <c r="Q839" t="s">
        <v>166</v>
      </c>
    </row>
    <row r="840" spans="9:17" x14ac:dyDescent="0.45">
      <c r="I840" t="s">
        <v>196</v>
      </c>
      <c r="J840" t="s">
        <v>352</v>
      </c>
      <c r="K840">
        <v>8.6373204188222325E-3</v>
      </c>
      <c r="L840" t="s">
        <v>166</v>
      </c>
      <c r="N840" t="s">
        <v>261</v>
      </c>
      <c r="O840" t="s">
        <v>352</v>
      </c>
      <c r="P840">
        <v>1.7805308389960634E-3</v>
      </c>
      <c r="Q840" t="s">
        <v>166</v>
      </c>
    </row>
    <row r="841" spans="9:17" x14ac:dyDescent="0.45">
      <c r="I841" t="s">
        <v>196</v>
      </c>
      <c r="J841" t="s">
        <v>353</v>
      </c>
      <c r="K841">
        <v>4.5938802011311369E-2</v>
      </c>
      <c r="L841" t="s">
        <v>166</v>
      </c>
      <c r="N841" t="s">
        <v>261</v>
      </c>
      <c r="O841" t="s">
        <v>353</v>
      </c>
      <c r="P841">
        <v>8.7184975337647255E-3</v>
      </c>
      <c r="Q841" t="s">
        <v>166</v>
      </c>
    </row>
    <row r="842" spans="9:17" x14ac:dyDescent="0.45">
      <c r="I842" t="s">
        <v>196</v>
      </c>
      <c r="J842" t="s">
        <v>354</v>
      </c>
      <c r="K842">
        <v>3.1122699267105186E-3</v>
      </c>
      <c r="L842" t="s">
        <v>166</v>
      </c>
      <c r="N842" t="s">
        <v>261</v>
      </c>
      <c r="O842" t="s">
        <v>354</v>
      </c>
      <c r="P842">
        <v>3.2958703661319744E-3</v>
      </c>
      <c r="Q842" t="s">
        <v>166</v>
      </c>
    </row>
    <row r="843" spans="9:17" x14ac:dyDescent="0.45">
      <c r="I843" t="s">
        <v>196</v>
      </c>
      <c r="J843" t="s">
        <v>355</v>
      </c>
      <c r="K843">
        <v>0</v>
      </c>
      <c r="L843" t="s">
        <v>166</v>
      </c>
      <c r="N843" t="s">
        <v>261</v>
      </c>
      <c r="O843" t="s">
        <v>355</v>
      </c>
      <c r="P843">
        <v>4.6959759234300093E-3</v>
      </c>
      <c r="Q843" t="s">
        <v>166</v>
      </c>
    </row>
    <row r="844" spans="9:17" x14ac:dyDescent="0.45">
      <c r="I844" t="s">
        <v>196</v>
      </c>
      <c r="J844" t="s">
        <v>356</v>
      </c>
      <c r="K844">
        <v>0</v>
      </c>
      <c r="L844" t="s">
        <v>166</v>
      </c>
      <c r="N844" t="s">
        <v>261</v>
      </c>
      <c r="O844" t="s">
        <v>356</v>
      </c>
      <c r="P844">
        <v>2.5230942704949948E-2</v>
      </c>
      <c r="Q844" t="s">
        <v>166</v>
      </c>
    </row>
    <row r="845" spans="9:17" x14ac:dyDescent="0.45">
      <c r="I845" t="s">
        <v>196</v>
      </c>
      <c r="J845" t="s">
        <v>357</v>
      </c>
      <c r="K845">
        <v>2.6751794139138561E-2</v>
      </c>
      <c r="L845" t="s">
        <v>166</v>
      </c>
      <c r="N845" t="s">
        <v>261</v>
      </c>
      <c r="O845" t="s">
        <v>357</v>
      </c>
      <c r="P845">
        <v>2.0466058864504449E-2</v>
      </c>
      <c r="Q845" t="s">
        <v>166</v>
      </c>
    </row>
    <row r="846" spans="9:17" x14ac:dyDescent="0.45">
      <c r="I846" t="s">
        <v>196</v>
      </c>
      <c r="J846" t="s">
        <v>358</v>
      </c>
      <c r="K846">
        <v>1.453761386821604E-2</v>
      </c>
      <c r="L846" t="s">
        <v>166</v>
      </c>
      <c r="N846" t="s">
        <v>261</v>
      </c>
      <c r="O846" t="s">
        <v>358</v>
      </c>
      <c r="P846">
        <v>1.6366560096930792E-3</v>
      </c>
      <c r="Q846" t="s">
        <v>166</v>
      </c>
    </row>
    <row r="847" spans="9:17" x14ac:dyDescent="0.45">
      <c r="I847" t="s">
        <v>196</v>
      </c>
      <c r="J847" t="s">
        <v>359</v>
      </c>
      <c r="K847">
        <v>7.4201767856121453E-2</v>
      </c>
      <c r="L847" t="s">
        <v>166</v>
      </c>
      <c r="N847" t="s">
        <v>261</v>
      </c>
      <c r="O847" t="s">
        <v>359</v>
      </c>
      <c r="P847">
        <v>2.2793061102522438E-2</v>
      </c>
      <c r="Q847" t="s">
        <v>166</v>
      </c>
    </row>
    <row r="848" spans="9:17" x14ac:dyDescent="0.45">
      <c r="I848" t="s">
        <v>196</v>
      </c>
      <c r="J848" t="s">
        <v>360</v>
      </c>
      <c r="K848">
        <v>2.8549835967471699E-5</v>
      </c>
      <c r="L848" t="s">
        <v>166</v>
      </c>
      <c r="N848" t="s">
        <v>261</v>
      </c>
      <c r="O848" t="s">
        <v>360</v>
      </c>
      <c r="P848">
        <v>6.4039239767937116E-3</v>
      </c>
      <c r="Q848" t="s">
        <v>166</v>
      </c>
    </row>
    <row r="849" spans="9:17" x14ac:dyDescent="0.45">
      <c r="I849" t="s">
        <v>196</v>
      </c>
      <c r="J849" t="s">
        <v>361</v>
      </c>
      <c r="K849">
        <v>0</v>
      </c>
      <c r="L849" t="s">
        <v>166</v>
      </c>
      <c r="N849" t="s">
        <v>261</v>
      </c>
      <c r="O849" t="s">
        <v>361</v>
      </c>
      <c r="P849">
        <v>7.3841617469476688E-3</v>
      </c>
      <c r="Q849" t="s">
        <v>166</v>
      </c>
    </row>
    <row r="850" spans="9:17" x14ac:dyDescent="0.45">
      <c r="I850" t="s">
        <v>196</v>
      </c>
      <c r="J850" t="s">
        <v>362</v>
      </c>
      <c r="K850">
        <v>0</v>
      </c>
      <c r="L850" t="s">
        <v>166</v>
      </c>
      <c r="N850" t="s">
        <v>261</v>
      </c>
      <c r="O850" t="s">
        <v>362</v>
      </c>
      <c r="P850">
        <v>3.0766400055807157E-2</v>
      </c>
      <c r="Q850" t="s">
        <v>166</v>
      </c>
    </row>
    <row r="851" spans="9:17" x14ac:dyDescent="0.45">
      <c r="I851" t="s">
        <v>197</v>
      </c>
      <c r="J851" t="s">
        <v>165</v>
      </c>
      <c r="K851">
        <v>4.1807705011119731E-2</v>
      </c>
      <c r="L851" t="s">
        <v>166</v>
      </c>
      <c r="N851" t="s">
        <v>262</v>
      </c>
      <c r="O851" t="s">
        <v>165</v>
      </c>
      <c r="P851">
        <v>6.7613489398882162E-2</v>
      </c>
      <c r="Q851" t="s">
        <v>166</v>
      </c>
    </row>
    <row r="852" spans="9:17" x14ac:dyDescent="0.45">
      <c r="I852" t="s">
        <v>197</v>
      </c>
      <c r="J852" t="s">
        <v>167</v>
      </c>
      <c r="K852">
        <v>2.4798910524064272E-2</v>
      </c>
      <c r="L852" t="s">
        <v>166</v>
      </c>
      <c r="N852" t="s">
        <v>262</v>
      </c>
      <c r="O852" t="s">
        <v>167</v>
      </c>
      <c r="P852">
        <v>8.4021059708730556E-3</v>
      </c>
      <c r="Q852" t="s">
        <v>166</v>
      </c>
    </row>
    <row r="853" spans="9:17" x14ac:dyDescent="0.45">
      <c r="I853" t="s">
        <v>197</v>
      </c>
      <c r="J853" t="s">
        <v>168</v>
      </c>
      <c r="K853">
        <v>0.14338546668561916</v>
      </c>
      <c r="L853" t="s">
        <v>166</v>
      </c>
      <c r="N853" t="s">
        <v>262</v>
      </c>
      <c r="O853" t="s">
        <v>168</v>
      </c>
      <c r="P853">
        <v>7.7598122259109184E-2</v>
      </c>
      <c r="Q853" t="s">
        <v>166</v>
      </c>
    </row>
    <row r="854" spans="9:17" x14ac:dyDescent="0.45">
      <c r="I854" t="s">
        <v>197</v>
      </c>
      <c r="J854" t="s">
        <v>333</v>
      </c>
      <c r="K854">
        <v>1.5194199098204329E-2</v>
      </c>
      <c r="L854" t="s">
        <v>166</v>
      </c>
      <c r="N854" t="s">
        <v>262</v>
      </c>
      <c r="O854" t="s">
        <v>333</v>
      </c>
      <c r="P854">
        <v>1.29601133696767E-2</v>
      </c>
      <c r="Q854" t="s">
        <v>166</v>
      </c>
    </row>
    <row r="855" spans="9:17" x14ac:dyDescent="0.45">
      <c r="I855" t="s">
        <v>197</v>
      </c>
      <c r="J855" t="s">
        <v>334</v>
      </c>
      <c r="K855">
        <v>4.6280403280571022E-3</v>
      </c>
      <c r="L855" t="s">
        <v>166</v>
      </c>
      <c r="N855" t="s">
        <v>262</v>
      </c>
      <c r="O855" t="s">
        <v>334</v>
      </c>
      <c r="P855">
        <v>1.19788805408645E-2</v>
      </c>
      <c r="Q855" t="s">
        <v>166</v>
      </c>
    </row>
    <row r="856" spans="9:17" x14ac:dyDescent="0.45">
      <c r="I856" t="s">
        <v>197</v>
      </c>
      <c r="J856" t="s">
        <v>335</v>
      </c>
      <c r="K856">
        <v>0</v>
      </c>
      <c r="L856" t="s">
        <v>166</v>
      </c>
      <c r="N856" t="s">
        <v>262</v>
      </c>
      <c r="O856" t="s">
        <v>335</v>
      </c>
      <c r="P856">
        <v>4.238989636757879E-2</v>
      </c>
      <c r="Q856" t="s">
        <v>166</v>
      </c>
    </row>
    <row r="857" spans="9:17" x14ac:dyDescent="0.45">
      <c r="I857" t="s">
        <v>197</v>
      </c>
      <c r="J857" t="s">
        <v>169</v>
      </c>
      <c r="K857">
        <v>5.0557174120051222E-2</v>
      </c>
      <c r="L857" t="s">
        <v>166</v>
      </c>
      <c r="N857" t="s">
        <v>262</v>
      </c>
      <c r="O857" t="s">
        <v>169</v>
      </c>
      <c r="P857">
        <v>7.011560453400327E-2</v>
      </c>
      <c r="Q857" t="s">
        <v>166</v>
      </c>
    </row>
    <row r="858" spans="9:17" x14ac:dyDescent="0.45">
      <c r="I858" t="s">
        <v>197</v>
      </c>
      <c r="J858" t="s">
        <v>170</v>
      </c>
      <c r="K858">
        <v>1.9341910634535216E-2</v>
      </c>
      <c r="L858" t="s">
        <v>166</v>
      </c>
      <c r="N858" t="s">
        <v>262</v>
      </c>
      <c r="O858" t="s">
        <v>170</v>
      </c>
      <c r="P858">
        <v>1.0570074761586147E-2</v>
      </c>
      <c r="Q858" t="s">
        <v>166</v>
      </c>
    </row>
    <row r="859" spans="9:17" x14ac:dyDescent="0.45">
      <c r="I859" t="s">
        <v>197</v>
      </c>
      <c r="J859" t="s">
        <v>171</v>
      </c>
      <c r="K859">
        <v>0.11091061641700606</v>
      </c>
      <c r="L859" t="s">
        <v>166</v>
      </c>
      <c r="N859" t="s">
        <v>262</v>
      </c>
      <c r="O859" t="s">
        <v>171</v>
      </c>
      <c r="P859">
        <v>8.3861529786521838E-2</v>
      </c>
      <c r="Q859" t="s">
        <v>166</v>
      </c>
    </row>
    <row r="860" spans="9:17" x14ac:dyDescent="0.45">
      <c r="I860" t="s">
        <v>197</v>
      </c>
      <c r="J860" t="s">
        <v>336</v>
      </c>
      <c r="K860">
        <v>1.2853961903438552E-2</v>
      </c>
      <c r="L860" t="s">
        <v>166</v>
      </c>
      <c r="N860" t="s">
        <v>262</v>
      </c>
      <c r="O860" t="s">
        <v>336</v>
      </c>
      <c r="P860">
        <v>1.5684024487699757E-2</v>
      </c>
      <c r="Q860" t="s">
        <v>166</v>
      </c>
    </row>
    <row r="861" spans="9:17" x14ac:dyDescent="0.45">
      <c r="I861" t="s">
        <v>197</v>
      </c>
      <c r="J861" t="s">
        <v>337</v>
      </c>
      <c r="K861">
        <v>8.2156188446100772E-3</v>
      </c>
      <c r="L861" t="s">
        <v>166</v>
      </c>
      <c r="N861" t="s">
        <v>262</v>
      </c>
      <c r="O861" t="s">
        <v>337</v>
      </c>
      <c r="P861">
        <v>1.4291289832821637E-2</v>
      </c>
      <c r="Q861" t="s">
        <v>166</v>
      </c>
    </row>
    <row r="862" spans="9:17" x14ac:dyDescent="0.45">
      <c r="I862" t="s">
        <v>197</v>
      </c>
      <c r="J862" t="s">
        <v>338</v>
      </c>
      <c r="K862">
        <v>1.2639024414396072E-3</v>
      </c>
      <c r="L862" t="s">
        <v>166</v>
      </c>
      <c r="N862" t="s">
        <v>262</v>
      </c>
      <c r="O862" t="s">
        <v>338</v>
      </c>
      <c r="P862">
        <v>5.8592506902721553E-2</v>
      </c>
      <c r="Q862" t="s">
        <v>166</v>
      </c>
    </row>
    <row r="863" spans="9:17" x14ac:dyDescent="0.45">
      <c r="I863" t="s">
        <v>197</v>
      </c>
      <c r="J863" t="s">
        <v>172</v>
      </c>
      <c r="K863">
        <v>2.5037210062289719E-2</v>
      </c>
      <c r="L863" t="s">
        <v>166</v>
      </c>
      <c r="N863" t="s">
        <v>262</v>
      </c>
      <c r="O863" t="s">
        <v>172</v>
      </c>
      <c r="P863">
        <v>3.7691774645783077E-2</v>
      </c>
      <c r="Q863" t="s">
        <v>166</v>
      </c>
    </row>
    <row r="864" spans="9:17" x14ac:dyDescent="0.45">
      <c r="I864" t="s">
        <v>197</v>
      </c>
      <c r="J864" t="s">
        <v>173</v>
      </c>
      <c r="K864">
        <v>9.1201658861028885E-3</v>
      </c>
      <c r="L864" t="s">
        <v>166</v>
      </c>
      <c r="N864" t="s">
        <v>262</v>
      </c>
      <c r="O864" t="s">
        <v>173</v>
      </c>
      <c r="P864">
        <v>3.8214230663820613E-3</v>
      </c>
      <c r="Q864" t="s">
        <v>166</v>
      </c>
    </row>
    <row r="865" spans="9:17" x14ac:dyDescent="0.45">
      <c r="I865" t="s">
        <v>197</v>
      </c>
      <c r="J865" t="s">
        <v>174</v>
      </c>
      <c r="K865">
        <v>5.3177438748169048E-2</v>
      </c>
      <c r="L865" t="s">
        <v>166</v>
      </c>
      <c r="N865" t="s">
        <v>262</v>
      </c>
      <c r="O865" t="s">
        <v>174</v>
      </c>
      <c r="P865">
        <v>1.9790523532892072E-2</v>
      </c>
      <c r="Q865" t="s">
        <v>166</v>
      </c>
    </row>
    <row r="866" spans="9:17" x14ac:dyDescent="0.45">
      <c r="I866" t="s">
        <v>197</v>
      </c>
      <c r="J866" t="s">
        <v>339</v>
      </c>
      <c r="K866">
        <v>5.9598255744647971E-3</v>
      </c>
      <c r="L866" t="s">
        <v>166</v>
      </c>
      <c r="N866" t="s">
        <v>262</v>
      </c>
      <c r="O866" t="s">
        <v>339</v>
      </c>
      <c r="P866">
        <v>5.1576025104728878E-3</v>
      </c>
      <c r="Q866" t="s">
        <v>166</v>
      </c>
    </row>
    <row r="867" spans="9:17" x14ac:dyDescent="0.45">
      <c r="I867" t="s">
        <v>197</v>
      </c>
      <c r="J867" t="s">
        <v>340</v>
      </c>
      <c r="K867">
        <v>4.0426207069128462E-3</v>
      </c>
      <c r="L867" t="s">
        <v>166</v>
      </c>
      <c r="N867" t="s">
        <v>262</v>
      </c>
      <c r="O867" t="s">
        <v>340</v>
      </c>
      <c r="P867">
        <v>5.8791574479526328E-3</v>
      </c>
      <c r="Q867" t="s">
        <v>166</v>
      </c>
    </row>
    <row r="868" spans="9:17" x14ac:dyDescent="0.45">
      <c r="I868" t="s">
        <v>197</v>
      </c>
      <c r="J868" t="s">
        <v>341</v>
      </c>
      <c r="K868">
        <v>1.7953349473945944E-3</v>
      </c>
      <c r="L868" t="s">
        <v>166</v>
      </c>
      <c r="N868" t="s">
        <v>262</v>
      </c>
      <c r="O868" t="s">
        <v>341</v>
      </c>
      <c r="P868">
        <v>2.6415409513104757E-2</v>
      </c>
      <c r="Q868" t="s">
        <v>166</v>
      </c>
    </row>
    <row r="869" spans="9:17" x14ac:dyDescent="0.45">
      <c r="I869" t="s">
        <v>197</v>
      </c>
      <c r="J869" t="s">
        <v>175</v>
      </c>
      <c r="K869">
        <v>2.2638992998396952E-2</v>
      </c>
      <c r="L869" t="s">
        <v>166</v>
      </c>
      <c r="N869" t="s">
        <v>262</v>
      </c>
      <c r="O869" t="s">
        <v>175</v>
      </c>
      <c r="P869">
        <v>3.6785685702751564E-2</v>
      </c>
      <c r="Q869" t="s">
        <v>166</v>
      </c>
    </row>
    <row r="870" spans="9:17" x14ac:dyDescent="0.45">
      <c r="I870" t="s">
        <v>197</v>
      </c>
      <c r="J870" t="s">
        <v>176</v>
      </c>
      <c r="K870">
        <v>8.8710208568194369E-3</v>
      </c>
      <c r="L870" t="s">
        <v>166</v>
      </c>
      <c r="N870" t="s">
        <v>262</v>
      </c>
      <c r="O870" t="s">
        <v>176</v>
      </c>
      <c r="P870">
        <v>2.4074716751652579E-3</v>
      </c>
      <c r="Q870" t="s">
        <v>166</v>
      </c>
    </row>
    <row r="871" spans="9:17" x14ac:dyDescent="0.45">
      <c r="I871" t="s">
        <v>197</v>
      </c>
      <c r="J871" t="s">
        <v>177</v>
      </c>
      <c r="K871">
        <v>5.0903288422330439E-2</v>
      </c>
      <c r="L871" t="s">
        <v>166</v>
      </c>
      <c r="N871" t="s">
        <v>262</v>
      </c>
      <c r="O871" t="s">
        <v>177</v>
      </c>
      <c r="P871">
        <v>1.6737534475392685E-2</v>
      </c>
      <c r="Q871" t="s">
        <v>166</v>
      </c>
    </row>
    <row r="872" spans="9:17" x14ac:dyDescent="0.45">
      <c r="I872" t="s">
        <v>197</v>
      </c>
      <c r="J872" t="s">
        <v>342</v>
      </c>
      <c r="K872">
        <v>5.2739236835125311E-3</v>
      </c>
      <c r="L872" t="s">
        <v>166</v>
      </c>
      <c r="N872" t="s">
        <v>262</v>
      </c>
      <c r="O872" t="s">
        <v>342</v>
      </c>
      <c r="P872">
        <v>5.2877371256616528E-3</v>
      </c>
      <c r="Q872" t="s">
        <v>166</v>
      </c>
    </row>
    <row r="873" spans="9:17" x14ac:dyDescent="0.45">
      <c r="I873" t="s">
        <v>197</v>
      </c>
      <c r="J873" t="s">
        <v>343</v>
      </c>
      <c r="K873">
        <v>3.3916027355783778E-3</v>
      </c>
      <c r="L873" t="s">
        <v>166</v>
      </c>
      <c r="N873" t="s">
        <v>262</v>
      </c>
      <c r="O873" t="s">
        <v>343</v>
      </c>
      <c r="P873">
        <v>7.0025861523073619E-3</v>
      </c>
      <c r="Q873" t="s">
        <v>166</v>
      </c>
    </row>
    <row r="874" spans="9:17" x14ac:dyDescent="0.45">
      <c r="I874" t="s">
        <v>197</v>
      </c>
      <c r="J874" t="s">
        <v>344</v>
      </c>
      <c r="K874">
        <v>1.3729147602875996E-3</v>
      </c>
      <c r="L874" t="s">
        <v>166</v>
      </c>
      <c r="N874" t="s">
        <v>262</v>
      </c>
      <c r="O874" t="s">
        <v>344</v>
      </c>
      <c r="P874">
        <v>3.8819563864030238E-2</v>
      </c>
      <c r="Q874" t="s">
        <v>166</v>
      </c>
    </row>
    <row r="875" spans="9:17" x14ac:dyDescent="0.45">
      <c r="I875" t="s">
        <v>197</v>
      </c>
      <c r="J875" t="s">
        <v>345</v>
      </c>
      <c r="K875">
        <v>4.3022906018658984E-2</v>
      </c>
      <c r="L875" t="s">
        <v>166</v>
      </c>
      <c r="N875" t="s">
        <v>262</v>
      </c>
      <c r="O875" t="s">
        <v>345</v>
      </c>
      <c r="P875">
        <v>6.8646259517462754E-2</v>
      </c>
      <c r="Q875" t="s">
        <v>166</v>
      </c>
    </row>
    <row r="876" spans="9:17" x14ac:dyDescent="0.45">
      <c r="I876" t="s">
        <v>197</v>
      </c>
      <c r="J876" t="s">
        <v>346</v>
      </c>
      <c r="K876">
        <v>1.7756471381030672E-2</v>
      </c>
      <c r="L876" t="s">
        <v>166</v>
      </c>
      <c r="N876" t="s">
        <v>262</v>
      </c>
      <c r="O876" t="s">
        <v>346</v>
      </c>
      <c r="P876">
        <v>5.3780715413770655E-3</v>
      </c>
      <c r="Q876" t="s">
        <v>166</v>
      </c>
    </row>
    <row r="877" spans="9:17" x14ac:dyDescent="0.45">
      <c r="I877" t="s">
        <v>197</v>
      </c>
      <c r="J877" t="s">
        <v>347</v>
      </c>
      <c r="K877">
        <v>9.9337925216978248E-2</v>
      </c>
      <c r="L877" t="s">
        <v>166</v>
      </c>
      <c r="N877" t="s">
        <v>262</v>
      </c>
      <c r="O877" t="s">
        <v>347</v>
      </c>
      <c r="P877">
        <v>1.8185105143198609E-2</v>
      </c>
      <c r="Q877" t="s">
        <v>166</v>
      </c>
    </row>
    <row r="878" spans="9:17" x14ac:dyDescent="0.45">
      <c r="I878" t="s">
        <v>197</v>
      </c>
      <c r="J878" t="s">
        <v>348</v>
      </c>
      <c r="K878">
        <v>1.0275364385302535E-2</v>
      </c>
      <c r="L878" t="s">
        <v>166</v>
      </c>
      <c r="N878" t="s">
        <v>262</v>
      </c>
      <c r="O878" t="s">
        <v>348</v>
      </c>
      <c r="P878">
        <v>6.9524457358225884E-3</v>
      </c>
      <c r="Q878" t="s">
        <v>166</v>
      </c>
    </row>
    <row r="879" spans="9:17" x14ac:dyDescent="0.45">
      <c r="I879" t="s">
        <v>197</v>
      </c>
      <c r="J879" t="s">
        <v>349</v>
      </c>
      <c r="K879">
        <v>5.8017141604524494E-3</v>
      </c>
      <c r="L879" t="s">
        <v>166</v>
      </c>
      <c r="N879" t="s">
        <v>262</v>
      </c>
      <c r="O879" t="s">
        <v>349</v>
      </c>
      <c r="P879">
        <v>1.0086131441980681E-2</v>
      </c>
      <c r="Q879" t="s">
        <v>166</v>
      </c>
    </row>
    <row r="880" spans="9:17" x14ac:dyDescent="0.45">
      <c r="I880" t="s">
        <v>197</v>
      </c>
      <c r="J880" t="s">
        <v>350</v>
      </c>
      <c r="K880">
        <v>8.3210111201555289E-4</v>
      </c>
      <c r="L880" t="s">
        <v>166</v>
      </c>
      <c r="N880" t="s">
        <v>262</v>
      </c>
      <c r="O880" t="s">
        <v>350</v>
      </c>
      <c r="P880">
        <v>6.0793638388469039E-2</v>
      </c>
      <c r="Q880" t="s">
        <v>166</v>
      </c>
    </row>
    <row r="881" spans="9:17" x14ac:dyDescent="0.45">
      <c r="I881" t="s">
        <v>197</v>
      </c>
      <c r="J881" t="s">
        <v>351</v>
      </c>
      <c r="K881">
        <v>1.9357557236953524E-2</v>
      </c>
      <c r="L881" t="s">
        <v>166</v>
      </c>
      <c r="N881" t="s">
        <v>262</v>
      </c>
      <c r="O881" t="s">
        <v>351</v>
      </c>
      <c r="P881">
        <v>2.5856047049852227E-2</v>
      </c>
      <c r="Q881" t="s">
        <v>166</v>
      </c>
    </row>
    <row r="882" spans="9:17" x14ac:dyDescent="0.45">
      <c r="I882" t="s">
        <v>197</v>
      </c>
      <c r="J882" t="s">
        <v>352</v>
      </c>
      <c r="K882">
        <v>8.766938871953605E-3</v>
      </c>
      <c r="L882" t="s">
        <v>166</v>
      </c>
      <c r="N882" t="s">
        <v>262</v>
      </c>
      <c r="O882" t="s">
        <v>352</v>
      </c>
      <c r="P882">
        <v>2.5849244659863538E-3</v>
      </c>
      <c r="Q882" t="s">
        <v>166</v>
      </c>
    </row>
    <row r="883" spans="9:17" x14ac:dyDescent="0.45">
      <c r="I883" t="s">
        <v>197</v>
      </c>
      <c r="J883" t="s">
        <v>353</v>
      </c>
      <c r="K883">
        <v>4.7774698460449787E-2</v>
      </c>
      <c r="L883" t="s">
        <v>166</v>
      </c>
      <c r="N883" t="s">
        <v>262</v>
      </c>
      <c r="O883" t="s">
        <v>353</v>
      </c>
      <c r="P883">
        <v>8.3511434079551975E-3</v>
      </c>
      <c r="Q883" t="s">
        <v>166</v>
      </c>
    </row>
    <row r="884" spans="9:17" x14ac:dyDescent="0.45">
      <c r="I884" t="s">
        <v>197</v>
      </c>
      <c r="J884" t="s">
        <v>354</v>
      </c>
      <c r="K884">
        <v>3.9987077795886963E-3</v>
      </c>
      <c r="L884" t="s">
        <v>166</v>
      </c>
      <c r="N884" t="s">
        <v>262</v>
      </c>
      <c r="O884" t="s">
        <v>354</v>
      </c>
      <c r="P884">
        <v>3.0728622831022213E-3</v>
      </c>
      <c r="Q884" t="s">
        <v>166</v>
      </c>
    </row>
    <row r="885" spans="9:17" x14ac:dyDescent="0.45">
      <c r="I885" t="s">
        <v>197</v>
      </c>
      <c r="J885" t="s">
        <v>355</v>
      </c>
      <c r="K885">
        <v>0</v>
      </c>
      <c r="L885" t="s">
        <v>166</v>
      </c>
      <c r="N885" t="s">
        <v>262</v>
      </c>
      <c r="O885" t="s">
        <v>355</v>
      </c>
      <c r="P885">
        <v>4.3165258314088063E-3</v>
      </c>
      <c r="Q885" t="s">
        <v>166</v>
      </c>
    </row>
    <row r="886" spans="9:17" x14ac:dyDescent="0.45">
      <c r="I886" t="s">
        <v>197</v>
      </c>
      <c r="J886" t="s">
        <v>356</v>
      </c>
      <c r="K886">
        <v>0</v>
      </c>
      <c r="L886" t="s">
        <v>166</v>
      </c>
      <c r="N886" t="s">
        <v>262</v>
      </c>
      <c r="O886" t="s">
        <v>356</v>
      </c>
      <c r="P886">
        <v>1.8611254555834046E-2</v>
      </c>
      <c r="Q886" t="s">
        <v>166</v>
      </c>
    </row>
    <row r="887" spans="9:17" x14ac:dyDescent="0.45">
      <c r="I887" t="s">
        <v>197</v>
      </c>
      <c r="J887" t="s">
        <v>357</v>
      </c>
      <c r="K887">
        <v>2.2972930537684313E-2</v>
      </c>
      <c r="L887" t="s">
        <v>166</v>
      </c>
      <c r="N887" t="s">
        <v>262</v>
      </c>
      <c r="O887" t="s">
        <v>357</v>
      </c>
      <c r="P887">
        <v>2.3430433464333187E-2</v>
      </c>
      <c r="Q887" t="s">
        <v>166</v>
      </c>
    </row>
    <row r="888" spans="9:17" x14ac:dyDescent="0.45">
      <c r="I888" t="s">
        <v>197</v>
      </c>
      <c r="J888" t="s">
        <v>358</v>
      </c>
      <c r="K888">
        <v>1.435949790592077E-2</v>
      </c>
      <c r="L888" t="s">
        <v>166</v>
      </c>
      <c r="N888" t="s">
        <v>262</v>
      </c>
      <c r="O888" t="s">
        <v>358</v>
      </c>
      <c r="P888">
        <v>2.7954201548746112E-3</v>
      </c>
      <c r="Q888" t="s">
        <v>166</v>
      </c>
    </row>
    <row r="889" spans="9:17" x14ac:dyDescent="0.45">
      <c r="I889" t="s">
        <v>197</v>
      </c>
      <c r="J889" t="s">
        <v>359</v>
      </c>
      <c r="K889">
        <v>7.5822057519571828E-2</v>
      </c>
      <c r="L889" t="s">
        <v>166</v>
      </c>
      <c r="N889" t="s">
        <v>262</v>
      </c>
      <c r="O889" t="s">
        <v>359</v>
      </c>
      <c r="P889">
        <v>2.7881563521778511E-2</v>
      </c>
      <c r="Q889" t="s">
        <v>166</v>
      </c>
    </row>
    <row r="890" spans="9:17" x14ac:dyDescent="0.45">
      <c r="I890" t="s">
        <v>197</v>
      </c>
      <c r="J890" t="s">
        <v>360</v>
      </c>
      <c r="K890">
        <v>5.3792840230376055E-3</v>
      </c>
      <c r="L890" t="s">
        <v>166</v>
      </c>
      <c r="N890" t="s">
        <v>262</v>
      </c>
      <c r="O890" t="s">
        <v>360</v>
      </c>
      <c r="P890">
        <v>5.8665297538201145E-3</v>
      </c>
      <c r="Q890" t="s">
        <v>166</v>
      </c>
    </row>
    <row r="891" spans="9:17" x14ac:dyDescent="0.45">
      <c r="I891" t="s">
        <v>197</v>
      </c>
      <c r="J891" t="s">
        <v>361</v>
      </c>
      <c r="K891">
        <v>0</v>
      </c>
      <c r="L891" t="s">
        <v>166</v>
      </c>
      <c r="N891" t="s">
        <v>262</v>
      </c>
      <c r="O891" t="s">
        <v>361</v>
      </c>
      <c r="P891">
        <v>6.0793209184393992E-3</v>
      </c>
      <c r="Q891" t="s">
        <v>166</v>
      </c>
    </row>
    <row r="892" spans="9:17" x14ac:dyDescent="0.45">
      <c r="I892" t="s">
        <v>197</v>
      </c>
      <c r="J892" t="s">
        <v>362</v>
      </c>
      <c r="K892">
        <v>0</v>
      </c>
      <c r="L892" t="s">
        <v>166</v>
      </c>
      <c r="N892" t="s">
        <v>262</v>
      </c>
      <c r="O892" t="s">
        <v>362</v>
      </c>
      <c r="P892">
        <v>2.1258214900067893E-2</v>
      </c>
      <c r="Q892" t="s">
        <v>166</v>
      </c>
    </row>
    <row r="893" spans="9:17" x14ac:dyDescent="0.45">
      <c r="I893" t="s">
        <v>198</v>
      </c>
      <c r="J893" t="s">
        <v>165</v>
      </c>
      <c r="K893">
        <v>4.5214246822748064E-2</v>
      </c>
      <c r="L893" t="s">
        <v>166</v>
      </c>
      <c r="N893" t="s">
        <v>263</v>
      </c>
      <c r="O893" t="s">
        <v>165</v>
      </c>
      <c r="P893">
        <v>0.11493224989355708</v>
      </c>
      <c r="Q893" t="s">
        <v>166</v>
      </c>
    </row>
    <row r="894" spans="9:17" x14ac:dyDescent="0.45">
      <c r="I894" t="s">
        <v>198</v>
      </c>
      <c r="J894" t="s">
        <v>167</v>
      </c>
      <c r="K894">
        <v>2.5597981701785368E-2</v>
      </c>
      <c r="L894" t="s">
        <v>166</v>
      </c>
      <c r="N894" t="s">
        <v>263</v>
      </c>
      <c r="O894" t="s">
        <v>167</v>
      </c>
      <c r="P894">
        <v>6.8483976195961296E-3</v>
      </c>
      <c r="Q894" t="s">
        <v>166</v>
      </c>
    </row>
    <row r="895" spans="9:17" x14ac:dyDescent="0.45">
      <c r="I895" t="s">
        <v>198</v>
      </c>
      <c r="J895" t="s">
        <v>168</v>
      </c>
      <c r="K895">
        <v>0.14226325247982502</v>
      </c>
      <c r="L895" t="s">
        <v>166</v>
      </c>
      <c r="N895" t="s">
        <v>263</v>
      </c>
      <c r="O895" t="s">
        <v>168</v>
      </c>
      <c r="P895">
        <v>4.2049783794246245E-2</v>
      </c>
      <c r="Q895" t="s">
        <v>166</v>
      </c>
    </row>
    <row r="896" spans="9:17" x14ac:dyDescent="0.45">
      <c r="I896" t="s">
        <v>198</v>
      </c>
      <c r="J896" t="s">
        <v>333</v>
      </c>
      <c r="K896">
        <v>1.3929529247847978E-2</v>
      </c>
      <c r="L896" t="s">
        <v>166</v>
      </c>
      <c r="N896" t="s">
        <v>263</v>
      </c>
      <c r="O896" t="s">
        <v>333</v>
      </c>
      <c r="P896">
        <v>7.1227688776640584E-3</v>
      </c>
      <c r="Q896" t="s">
        <v>166</v>
      </c>
    </row>
    <row r="897" spans="9:17" x14ac:dyDescent="0.45">
      <c r="I897" t="s">
        <v>198</v>
      </c>
      <c r="J897" t="s">
        <v>334</v>
      </c>
      <c r="K897">
        <v>3.2968029848089871E-3</v>
      </c>
      <c r="L897" t="s">
        <v>166</v>
      </c>
      <c r="N897" t="s">
        <v>263</v>
      </c>
      <c r="O897" t="s">
        <v>334</v>
      </c>
      <c r="P897">
        <v>6.7971488346326133E-3</v>
      </c>
      <c r="Q897" t="s">
        <v>166</v>
      </c>
    </row>
    <row r="898" spans="9:17" x14ac:dyDescent="0.45">
      <c r="I898" t="s">
        <v>198</v>
      </c>
      <c r="J898" t="s">
        <v>335</v>
      </c>
      <c r="K898">
        <v>0</v>
      </c>
      <c r="L898" t="s">
        <v>166</v>
      </c>
      <c r="N898" t="s">
        <v>263</v>
      </c>
      <c r="O898" t="s">
        <v>335</v>
      </c>
      <c r="P898">
        <v>4.566251539558127E-2</v>
      </c>
      <c r="Q898" t="s">
        <v>166</v>
      </c>
    </row>
    <row r="899" spans="9:17" x14ac:dyDescent="0.45">
      <c r="I899" t="s">
        <v>198</v>
      </c>
      <c r="J899" t="s">
        <v>169</v>
      </c>
      <c r="K899">
        <v>5.1618959341899182E-2</v>
      </c>
      <c r="L899" t="s">
        <v>166</v>
      </c>
      <c r="N899" t="s">
        <v>263</v>
      </c>
      <c r="O899" t="s">
        <v>169</v>
      </c>
      <c r="P899">
        <v>9.4213364665386296E-2</v>
      </c>
      <c r="Q899" t="s">
        <v>166</v>
      </c>
    </row>
    <row r="900" spans="9:17" x14ac:dyDescent="0.45">
      <c r="I900" t="s">
        <v>198</v>
      </c>
      <c r="J900" t="s">
        <v>170</v>
      </c>
      <c r="K900">
        <v>1.9317788275738181E-2</v>
      </c>
      <c r="L900" t="s">
        <v>166</v>
      </c>
      <c r="N900" t="s">
        <v>263</v>
      </c>
      <c r="O900" t="s">
        <v>170</v>
      </c>
      <c r="P900">
        <v>7.0504551050190271E-3</v>
      </c>
      <c r="Q900" t="s">
        <v>166</v>
      </c>
    </row>
    <row r="901" spans="9:17" x14ac:dyDescent="0.45">
      <c r="I901" t="s">
        <v>198</v>
      </c>
      <c r="J901" t="s">
        <v>171</v>
      </c>
      <c r="K901">
        <v>0.11046557524738679</v>
      </c>
      <c r="L901" t="s">
        <v>166</v>
      </c>
      <c r="N901" t="s">
        <v>263</v>
      </c>
      <c r="O901" t="s">
        <v>171</v>
      </c>
      <c r="P901">
        <v>4.7920952167123491E-2</v>
      </c>
      <c r="Q901" t="s">
        <v>166</v>
      </c>
    </row>
    <row r="902" spans="9:17" x14ac:dyDescent="0.45">
      <c r="I902" t="s">
        <v>198</v>
      </c>
      <c r="J902" t="s">
        <v>336</v>
      </c>
      <c r="K902">
        <v>1.2716640603269049E-2</v>
      </c>
      <c r="L902" t="s">
        <v>166</v>
      </c>
      <c r="N902" t="s">
        <v>263</v>
      </c>
      <c r="O902" t="s">
        <v>336</v>
      </c>
      <c r="P902">
        <v>8.4864549740705664E-3</v>
      </c>
      <c r="Q902" t="s">
        <v>166</v>
      </c>
    </row>
    <row r="903" spans="9:17" x14ac:dyDescent="0.45">
      <c r="I903" t="s">
        <v>198</v>
      </c>
      <c r="J903" t="s">
        <v>337</v>
      </c>
      <c r="K903">
        <v>7.7486462805851485E-3</v>
      </c>
      <c r="L903" t="s">
        <v>166</v>
      </c>
      <c r="N903" t="s">
        <v>263</v>
      </c>
      <c r="O903" t="s">
        <v>337</v>
      </c>
      <c r="P903">
        <v>7.6458167197186785E-3</v>
      </c>
      <c r="Q903" t="s">
        <v>166</v>
      </c>
    </row>
    <row r="904" spans="9:17" x14ac:dyDescent="0.45">
      <c r="I904" t="s">
        <v>198</v>
      </c>
      <c r="J904" t="s">
        <v>338</v>
      </c>
      <c r="K904">
        <v>8.7876602636478341E-4</v>
      </c>
      <c r="L904" t="s">
        <v>166</v>
      </c>
      <c r="N904" t="s">
        <v>263</v>
      </c>
      <c r="O904" t="s">
        <v>338</v>
      </c>
      <c r="P904">
        <v>3.9895225284479606E-2</v>
      </c>
      <c r="Q904" t="s">
        <v>166</v>
      </c>
    </row>
    <row r="905" spans="9:17" x14ac:dyDescent="0.45">
      <c r="I905" t="s">
        <v>198</v>
      </c>
      <c r="J905" t="s">
        <v>172</v>
      </c>
      <c r="K905">
        <v>2.5517092484356595E-2</v>
      </c>
      <c r="L905" t="s">
        <v>166</v>
      </c>
      <c r="N905" t="s">
        <v>263</v>
      </c>
      <c r="O905" t="s">
        <v>172</v>
      </c>
      <c r="P905">
        <v>3.3779640750631494E-2</v>
      </c>
      <c r="Q905" t="s">
        <v>166</v>
      </c>
    </row>
    <row r="906" spans="9:17" x14ac:dyDescent="0.45">
      <c r="I906" t="s">
        <v>198</v>
      </c>
      <c r="J906" t="s">
        <v>173</v>
      </c>
      <c r="K906">
        <v>9.1651158540322093E-3</v>
      </c>
      <c r="L906" t="s">
        <v>166</v>
      </c>
      <c r="N906" t="s">
        <v>263</v>
      </c>
      <c r="O906" t="s">
        <v>173</v>
      </c>
      <c r="P906">
        <v>2.4527620962053191E-3</v>
      </c>
      <c r="Q906" t="s">
        <v>166</v>
      </c>
    </row>
    <row r="907" spans="9:17" x14ac:dyDescent="0.45">
      <c r="I907" t="s">
        <v>198</v>
      </c>
      <c r="J907" t="s">
        <v>174</v>
      </c>
      <c r="K907">
        <v>5.3342718016900034E-2</v>
      </c>
      <c r="L907" t="s">
        <v>166</v>
      </c>
      <c r="N907" t="s">
        <v>263</v>
      </c>
      <c r="O907" t="s">
        <v>174</v>
      </c>
      <c r="P907">
        <v>1.0009645885328272E-2</v>
      </c>
      <c r="Q907" t="s">
        <v>166</v>
      </c>
    </row>
    <row r="908" spans="9:17" x14ac:dyDescent="0.45">
      <c r="I908" t="s">
        <v>198</v>
      </c>
      <c r="J908" t="s">
        <v>339</v>
      </c>
      <c r="K908">
        <v>6.1257805217380208E-3</v>
      </c>
      <c r="L908" t="s">
        <v>166</v>
      </c>
      <c r="N908" t="s">
        <v>263</v>
      </c>
      <c r="O908" t="s">
        <v>339</v>
      </c>
      <c r="P908">
        <v>1.5969794501558853E-3</v>
      </c>
      <c r="Q908" t="s">
        <v>166</v>
      </c>
    </row>
    <row r="909" spans="9:17" x14ac:dyDescent="0.45">
      <c r="I909" t="s">
        <v>198</v>
      </c>
      <c r="J909" t="s">
        <v>340</v>
      </c>
      <c r="K909">
        <v>3.9780021940412332E-3</v>
      </c>
      <c r="L909" t="s">
        <v>166</v>
      </c>
      <c r="N909" t="s">
        <v>263</v>
      </c>
      <c r="O909" t="s">
        <v>340</v>
      </c>
      <c r="P909">
        <v>1.5677254645362305E-3</v>
      </c>
      <c r="Q909" t="s">
        <v>166</v>
      </c>
    </row>
    <row r="910" spans="9:17" x14ac:dyDescent="0.45">
      <c r="I910" t="s">
        <v>198</v>
      </c>
      <c r="J910" t="s">
        <v>341</v>
      </c>
      <c r="K910">
        <v>1.5718423816686953E-3</v>
      </c>
      <c r="L910" t="s">
        <v>166</v>
      </c>
      <c r="N910" t="s">
        <v>263</v>
      </c>
      <c r="O910" t="s">
        <v>341</v>
      </c>
      <c r="P910">
        <v>1.0554838320279572E-2</v>
      </c>
      <c r="Q910" t="s">
        <v>166</v>
      </c>
    </row>
    <row r="911" spans="9:17" x14ac:dyDescent="0.45">
      <c r="I911" t="s">
        <v>198</v>
      </c>
      <c r="J911" t="s">
        <v>175</v>
      </c>
      <c r="K911">
        <v>2.3301427606691981E-2</v>
      </c>
      <c r="L911" t="s">
        <v>166</v>
      </c>
      <c r="N911" t="s">
        <v>263</v>
      </c>
      <c r="O911" t="s">
        <v>175</v>
      </c>
      <c r="P911">
        <v>5.0106335248783745E-2</v>
      </c>
      <c r="Q911" t="s">
        <v>166</v>
      </c>
    </row>
    <row r="912" spans="9:17" x14ac:dyDescent="0.45">
      <c r="I912" t="s">
        <v>198</v>
      </c>
      <c r="J912" t="s">
        <v>176</v>
      </c>
      <c r="K912">
        <v>8.9487985617179421E-3</v>
      </c>
      <c r="L912" t="s">
        <v>166</v>
      </c>
      <c r="N912" t="s">
        <v>263</v>
      </c>
      <c r="O912" t="s">
        <v>176</v>
      </c>
      <c r="P912">
        <v>3.6592102153275509E-3</v>
      </c>
      <c r="Q912" t="s">
        <v>166</v>
      </c>
    </row>
    <row r="913" spans="9:17" x14ac:dyDescent="0.45">
      <c r="I913" t="s">
        <v>198</v>
      </c>
      <c r="J913" t="s">
        <v>177</v>
      </c>
      <c r="K913">
        <v>5.1859726133632711E-2</v>
      </c>
      <c r="L913" t="s">
        <v>166</v>
      </c>
      <c r="N913" t="s">
        <v>263</v>
      </c>
      <c r="O913" t="s">
        <v>177</v>
      </c>
      <c r="P913">
        <v>1.5689154291337007E-2</v>
      </c>
      <c r="Q913" t="s">
        <v>166</v>
      </c>
    </row>
    <row r="914" spans="9:17" x14ac:dyDescent="0.45">
      <c r="I914" t="s">
        <v>198</v>
      </c>
      <c r="J914" t="s">
        <v>342</v>
      </c>
      <c r="K914">
        <v>5.5725672086165074E-3</v>
      </c>
      <c r="L914" t="s">
        <v>166</v>
      </c>
      <c r="N914" t="s">
        <v>263</v>
      </c>
      <c r="O914" t="s">
        <v>342</v>
      </c>
      <c r="P914">
        <v>2.1439302621935148E-3</v>
      </c>
      <c r="Q914" t="s">
        <v>166</v>
      </c>
    </row>
    <row r="915" spans="9:17" x14ac:dyDescent="0.45">
      <c r="I915" t="s">
        <v>198</v>
      </c>
      <c r="J915" t="s">
        <v>343</v>
      </c>
      <c r="K915">
        <v>3.4056510123516561E-3</v>
      </c>
      <c r="L915" t="s">
        <v>166</v>
      </c>
      <c r="N915" t="s">
        <v>263</v>
      </c>
      <c r="O915" t="s">
        <v>343</v>
      </c>
      <c r="P915">
        <v>2.1917263009630771E-3</v>
      </c>
      <c r="Q915" t="s">
        <v>166</v>
      </c>
    </row>
    <row r="916" spans="9:17" x14ac:dyDescent="0.45">
      <c r="I916" t="s">
        <v>198</v>
      </c>
      <c r="J916" t="s">
        <v>344</v>
      </c>
      <c r="K916">
        <v>1.2395778002212831E-3</v>
      </c>
      <c r="L916" t="s">
        <v>166</v>
      </c>
      <c r="N916" t="s">
        <v>263</v>
      </c>
      <c r="O916" t="s">
        <v>344</v>
      </c>
      <c r="P916">
        <v>1.6542497599612162E-2</v>
      </c>
      <c r="Q916" t="s">
        <v>166</v>
      </c>
    </row>
    <row r="917" spans="9:17" x14ac:dyDescent="0.45">
      <c r="I917" t="s">
        <v>198</v>
      </c>
      <c r="J917" t="s">
        <v>345</v>
      </c>
      <c r="K917">
        <v>4.4073287129393963E-2</v>
      </c>
      <c r="L917" t="s">
        <v>166</v>
      </c>
      <c r="N917" t="s">
        <v>263</v>
      </c>
      <c r="O917" t="s">
        <v>345</v>
      </c>
      <c r="P917">
        <v>0.11627126243545674</v>
      </c>
      <c r="Q917" t="s">
        <v>166</v>
      </c>
    </row>
    <row r="918" spans="9:17" x14ac:dyDescent="0.45">
      <c r="I918" t="s">
        <v>198</v>
      </c>
      <c r="J918" t="s">
        <v>346</v>
      </c>
      <c r="K918">
        <v>1.7605085373916213E-2</v>
      </c>
      <c r="L918" t="s">
        <v>166</v>
      </c>
      <c r="N918" t="s">
        <v>263</v>
      </c>
      <c r="O918" t="s">
        <v>346</v>
      </c>
      <c r="P918">
        <v>8.5106197636914283E-3</v>
      </c>
      <c r="Q918" t="s">
        <v>166</v>
      </c>
    </row>
    <row r="919" spans="9:17" x14ac:dyDescent="0.45">
      <c r="I919" t="s">
        <v>198</v>
      </c>
      <c r="J919" t="s">
        <v>347</v>
      </c>
      <c r="K919">
        <v>9.9035479052458561E-2</v>
      </c>
      <c r="L919" t="s">
        <v>166</v>
      </c>
      <c r="N919" t="s">
        <v>263</v>
      </c>
      <c r="O919" t="s">
        <v>347</v>
      </c>
      <c r="P919">
        <v>3.5144323492066594E-2</v>
      </c>
      <c r="Q919" t="s">
        <v>166</v>
      </c>
    </row>
    <row r="920" spans="9:17" x14ac:dyDescent="0.45">
      <c r="I920" t="s">
        <v>198</v>
      </c>
      <c r="J920" t="s">
        <v>348</v>
      </c>
      <c r="K920">
        <v>1.0079936563694356E-2</v>
      </c>
      <c r="L920" t="s">
        <v>166</v>
      </c>
      <c r="N920" t="s">
        <v>263</v>
      </c>
      <c r="O920" t="s">
        <v>348</v>
      </c>
      <c r="P920">
        <v>5.1117863787225101E-3</v>
      </c>
      <c r="Q920" t="s">
        <v>166</v>
      </c>
    </row>
    <row r="921" spans="9:17" x14ac:dyDescent="0.45">
      <c r="I921" t="s">
        <v>198</v>
      </c>
      <c r="J921" t="s">
        <v>349</v>
      </c>
      <c r="K921">
        <v>5.0619631815922569E-3</v>
      </c>
      <c r="L921" t="s">
        <v>166</v>
      </c>
      <c r="N921" t="s">
        <v>263</v>
      </c>
      <c r="O921" t="s">
        <v>349</v>
      </c>
      <c r="P921">
        <v>5.2149914589769922E-3</v>
      </c>
      <c r="Q921" t="s">
        <v>166</v>
      </c>
    </row>
    <row r="922" spans="9:17" x14ac:dyDescent="0.45">
      <c r="I922" t="s">
        <v>198</v>
      </c>
      <c r="J922" t="s">
        <v>350</v>
      </c>
      <c r="K922">
        <v>3.9138974101234943E-4</v>
      </c>
      <c r="L922" t="s">
        <v>166</v>
      </c>
      <c r="N922" t="s">
        <v>263</v>
      </c>
      <c r="O922" t="s">
        <v>350</v>
      </c>
      <c r="P922">
        <v>4.0305689916054613E-2</v>
      </c>
      <c r="Q922" t="s">
        <v>166</v>
      </c>
    </row>
    <row r="923" spans="9:17" x14ac:dyDescent="0.45">
      <c r="I923" t="s">
        <v>198</v>
      </c>
      <c r="J923" t="s">
        <v>351</v>
      </c>
      <c r="K923">
        <v>1.9215497064514E-2</v>
      </c>
      <c r="L923" t="s">
        <v>166</v>
      </c>
      <c r="N923" t="s">
        <v>263</v>
      </c>
      <c r="O923" t="s">
        <v>351</v>
      </c>
      <c r="P923">
        <v>3.3986252422466334E-2</v>
      </c>
      <c r="Q923" t="s">
        <v>166</v>
      </c>
    </row>
    <row r="924" spans="9:17" x14ac:dyDescent="0.45">
      <c r="I924" t="s">
        <v>198</v>
      </c>
      <c r="J924" t="s">
        <v>352</v>
      </c>
      <c r="K924">
        <v>8.5933949598263337E-3</v>
      </c>
      <c r="L924" t="s">
        <v>166</v>
      </c>
      <c r="N924" t="s">
        <v>263</v>
      </c>
      <c r="O924" t="s">
        <v>352</v>
      </c>
      <c r="P924">
        <v>1.3075189884079878E-3</v>
      </c>
      <c r="Q924" t="s">
        <v>166</v>
      </c>
    </row>
    <row r="925" spans="9:17" x14ac:dyDescent="0.45">
      <c r="I925" t="s">
        <v>198</v>
      </c>
      <c r="J925" t="s">
        <v>353</v>
      </c>
      <c r="K925">
        <v>4.6512103695417521E-2</v>
      </c>
      <c r="L925" t="s">
        <v>166</v>
      </c>
      <c r="N925" t="s">
        <v>263</v>
      </c>
      <c r="O925" t="s">
        <v>353</v>
      </c>
      <c r="P925">
        <v>5.0403891902272568E-3</v>
      </c>
      <c r="Q925" t="s">
        <v>166</v>
      </c>
    </row>
    <row r="926" spans="9:17" x14ac:dyDescent="0.45">
      <c r="I926" t="s">
        <v>198</v>
      </c>
      <c r="J926" t="s">
        <v>354</v>
      </c>
      <c r="K926">
        <v>3.6918973790022601E-3</v>
      </c>
      <c r="L926" t="s">
        <v>166</v>
      </c>
      <c r="N926" t="s">
        <v>263</v>
      </c>
      <c r="O926" t="s">
        <v>354</v>
      </c>
      <c r="P926">
        <v>8.6325448973114001E-4</v>
      </c>
      <c r="Q926" t="s">
        <v>166</v>
      </c>
    </row>
    <row r="927" spans="9:17" x14ac:dyDescent="0.45">
      <c r="I927" t="s">
        <v>198</v>
      </c>
      <c r="J927" t="s">
        <v>355</v>
      </c>
      <c r="K927">
        <v>0</v>
      </c>
      <c r="L927" t="s">
        <v>166</v>
      </c>
      <c r="N927" t="s">
        <v>263</v>
      </c>
      <c r="O927" t="s">
        <v>355</v>
      </c>
      <c r="P927">
        <v>1.0981824579999486E-3</v>
      </c>
      <c r="Q927" t="s">
        <v>166</v>
      </c>
    </row>
    <row r="928" spans="9:17" x14ac:dyDescent="0.45">
      <c r="I928" t="s">
        <v>198</v>
      </c>
      <c r="J928" t="s">
        <v>356</v>
      </c>
      <c r="K928">
        <v>0</v>
      </c>
      <c r="L928" t="s">
        <v>166</v>
      </c>
      <c r="N928" t="s">
        <v>263</v>
      </c>
      <c r="O928" t="s">
        <v>356</v>
      </c>
      <c r="P928">
        <v>1.1259459023742429E-2</v>
      </c>
      <c r="Q928" t="s">
        <v>166</v>
      </c>
    </row>
    <row r="929" spans="9:17" x14ac:dyDescent="0.45">
      <c r="I929" t="s">
        <v>198</v>
      </c>
      <c r="J929" t="s">
        <v>357</v>
      </c>
      <c r="K929">
        <v>2.4846429467734112E-2</v>
      </c>
      <c r="L929" t="s">
        <v>166</v>
      </c>
      <c r="N929" t="s">
        <v>263</v>
      </c>
      <c r="O929" t="s">
        <v>357</v>
      </c>
      <c r="P929">
        <v>8.1574774328609823E-2</v>
      </c>
      <c r="Q929" t="s">
        <v>166</v>
      </c>
    </row>
    <row r="930" spans="9:17" x14ac:dyDescent="0.45">
      <c r="I930" t="s">
        <v>198</v>
      </c>
      <c r="J930" t="s">
        <v>358</v>
      </c>
      <c r="K930">
        <v>1.4683675204471834E-2</v>
      </c>
      <c r="L930" t="s">
        <v>166</v>
      </c>
      <c r="N930" t="s">
        <v>263</v>
      </c>
      <c r="O930" t="s">
        <v>358</v>
      </c>
      <c r="P930">
        <v>4.1487997899583191E-3</v>
      </c>
      <c r="Q930" t="s">
        <v>166</v>
      </c>
    </row>
    <row r="931" spans="9:17" x14ac:dyDescent="0.45">
      <c r="I931" t="s">
        <v>198</v>
      </c>
      <c r="J931" t="s">
        <v>359</v>
      </c>
      <c r="K931">
        <v>7.6330326947073299E-2</v>
      </c>
      <c r="L931" t="s">
        <v>166</v>
      </c>
      <c r="N931" t="s">
        <v>263</v>
      </c>
      <c r="O931" t="s">
        <v>359</v>
      </c>
      <c r="P931">
        <v>2.446563923376531E-2</v>
      </c>
      <c r="Q931" t="s">
        <v>166</v>
      </c>
    </row>
    <row r="932" spans="9:17" x14ac:dyDescent="0.45">
      <c r="I932" t="s">
        <v>198</v>
      </c>
      <c r="J932" t="s">
        <v>360</v>
      </c>
      <c r="K932">
        <v>2.8030454516670376E-3</v>
      </c>
      <c r="L932" t="s">
        <v>166</v>
      </c>
      <c r="N932" t="s">
        <v>263</v>
      </c>
      <c r="O932" t="s">
        <v>360</v>
      </c>
      <c r="P932">
        <v>4.6509789947966635E-3</v>
      </c>
      <c r="Q932" t="s">
        <v>166</v>
      </c>
    </row>
    <row r="933" spans="9:17" x14ac:dyDescent="0.45">
      <c r="I933" t="s">
        <v>198</v>
      </c>
      <c r="J933" t="s">
        <v>361</v>
      </c>
      <c r="K933">
        <v>0</v>
      </c>
      <c r="L933" t="s">
        <v>166</v>
      </c>
      <c r="N933" t="s">
        <v>263</v>
      </c>
      <c r="O933" t="s">
        <v>361</v>
      </c>
      <c r="P933">
        <v>5.1806400911076009E-3</v>
      </c>
      <c r="Q933" t="s">
        <v>166</v>
      </c>
    </row>
    <row r="934" spans="9:17" x14ac:dyDescent="0.45">
      <c r="I934" t="s">
        <v>198</v>
      </c>
      <c r="J934" t="s">
        <v>362</v>
      </c>
      <c r="K934">
        <v>0</v>
      </c>
      <c r="L934" t="s">
        <v>166</v>
      </c>
      <c r="N934" t="s">
        <v>263</v>
      </c>
      <c r="O934" t="s">
        <v>362</v>
      </c>
      <c r="P934">
        <v>3.694585832779395E-2</v>
      </c>
      <c r="Q934" t="s">
        <v>166</v>
      </c>
    </row>
    <row r="935" spans="9:17" x14ac:dyDescent="0.45">
      <c r="I935" t="s">
        <v>199</v>
      </c>
      <c r="J935" t="s">
        <v>165</v>
      </c>
      <c r="K935">
        <v>4.3721543185333576E-2</v>
      </c>
      <c r="L935" t="s">
        <v>166</v>
      </c>
      <c r="N935" t="s">
        <v>264</v>
      </c>
      <c r="O935" t="s">
        <v>165</v>
      </c>
      <c r="P935">
        <v>0.10209822511887633</v>
      </c>
      <c r="Q935" t="s">
        <v>166</v>
      </c>
    </row>
    <row r="936" spans="9:17" x14ac:dyDescent="0.45">
      <c r="I936" t="s">
        <v>199</v>
      </c>
      <c r="J936" t="s">
        <v>167</v>
      </c>
      <c r="K936">
        <v>2.5789188506635308E-2</v>
      </c>
      <c r="L936" t="s">
        <v>166</v>
      </c>
      <c r="N936" t="s">
        <v>264</v>
      </c>
      <c r="O936" t="s">
        <v>167</v>
      </c>
      <c r="P936">
        <v>6.5788445927634845E-3</v>
      </c>
      <c r="Q936" t="s">
        <v>166</v>
      </c>
    </row>
    <row r="937" spans="9:17" x14ac:dyDescent="0.45">
      <c r="I937" t="s">
        <v>199</v>
      </c>
      <c r="J937" t="s">
        <v>168</v>
      </c>
      <c r="K937">
        <v>0.14623874723627273</v>
      </c>
      <c r="L937" t="s">
        <v>166</v>
      </c>
      <c r="N937" t="s">
        <v>264</v>
      </c>
      <c r="O937" t="s">
        <v>168</v>
      </c>
      <c r="P937">
        <v>3.9415665070020763E-2</v>
      </c>
      <c r="Q937" t="s">
        <v>166</v>
      </c>
    </row>
    <row r="938" spans="9:17" x14ac:dyDescent="0.45">
      <c r="I938" t="s">
        <v>199</v>
      </c>
      <c r="J938" t="s">
        <v>333</v>
      </c>
      <c r="K938">
        <v>1.5285985692074072E-2</v>
      </c>
      <c r="L938" t="s">
        <v>166</v>
      </c>
      <c r="N938" t="s">
        <v>264</v>
      </c>
      <c r="O938" t="s">
        <v>333</v>
      </c>
      <c r="P938">
        <v>6.8552408342470042E-3</v>
      </c>
      <c r="Q938" t="s">
        <v>166</v>
      </c>
    </row>
    <row r="939" spans="9:17" x14ac:dyDescent="0.45">
      <c r="I939" t="s">
        <v>199</v>
      </c>
      <c r="J939" t="s">
        <v>334</v>
      </c>
      <c r="K939">
        <v>4.1731154700333142E-3</v>
      </c>
      <c r="L939" t="s">
        <v>166</v>
      </c>
      <c r="N939" t="s">
        <v>264</v>
      </c>
      <c r="O939" t="s">
        <v>334</v>
      </c>
      <c r="P939">
        <v>7.0928027878569338E-3</v>
      </c>
      <c r="Q939" t="s">
        <v>166</v>
      </c>
    </row>
    <row r="940" spans="9:17" x14ac:dyDescent="0.45">
      <c r="I940" t="s">
        <v>199</v>
      </c>
      <c r="J940" t="s">
        <v>335</v>
      </c>
      <c r="K940">
        <v>0</v>
      </c>
      <c r="L940" t="s">
        <v>166</v>
      </c>
      <c r="N940" t="s">
        <v>264</v>
      </c>
      <c r="O940" t="s">
        <v>335</v>
      </c>
      <c r="P940">
        <v>4.8334097790775209E-2</v>
      </c>
      <c r="Q940" t="s">
        <v>166</v>
      </c>
    </row>
    <row r="941" spans="9:17" x14ac:dyDescent="0.45">
      <c r="I941" t="s">
        <v>199</v>
      </c>
      <c r="J941" t="s">
        <v>169</v>
      </c>
      <c r="K941">
        <v>4.7964056322707317E-2</v>
      </c>
      <c r="L941" t="s">
        <v>166</v>
      </c>
      <c r="N941" t="s">
        <v>264</v>
      </c>
      <c r="O941" t="s">
        <v>169</v>
      </c>
      <c r="P941">
        <v>7.6553071586720506E-2</v>
      </c>
      <c r="Q941" t="s">
        <v>166</v>
      </c>
    </row>
    <row r="942" spans="9:17" x14ac:dyDescent="0.45">
      <c r="I942" t="s">
        <v>199</v>
      </c>
      <c r="J942" t="s">
        <v>170</v>
      </c>
      <c r="K942">
        <v>1.8593633102784765E-2</v>
      </c>
      <c r="L942" t="s">
        <v>166</v>
      </c>
      <c r="N942" t="s">
        <v>264</v>
      </c>
      <c r="O942" t="s">
        <v>170</v>
      </c>
      <c r="P942">
        <v>6.1717847719732618E-3</v>
      </c>
      <c r="Q942" t="s">
        <v>166</v>
      </c>
    </row>
    <row r="943" spans="9:17" x14ac:dyDescent="0.45">
      <c r="I943" t="s">
        <v>199</v>
      </c>
      <c r="J943" t="s">
        <v>171</v>
      </c>
      <c r="K943">
        <v>0.1082980439884801</v>
      </c>
      <c r="L943" t="s">
        <v>166</v>
      </c>
      <c r="N943" t="s">
        <v>264</v>
      </c>
      <c r="O943" t="s">
        <v>171</v>
      </c>
      <c r="P943">
        <v>4.4802233866502512E-2</v>
      </c>
      <c r="Q943" t="s">
        <v>166</v>
      </c>
    </row>
    <row r="944" spans="9:17" x14ac:dyDescent="0.45">
      <c r="I944" t="s">
        <v>199</v>
      </c>
      <c r="J944" t="s">
        <v>336</v>
      </c>
      <c r="K944">
        <v>1.2773952244120678E-2</v>
      </c>
      <c r="L944" t="s">
        <v>166</v>
      </c>
      <c r="N944" t="s">
        <v>264</v>
      </c>
      <c r="O944" t="s">
        <v>336</v>
      </c>
      <c r="P944">
        <v>8.3093081759275864E-3</v>
      </c>
      <c r="Q944" t="s">
        <v>166</v>
      </c>
    </row>
    <row r="945" spans="9:17" x14ac:dyDescent="0.45">
      <c r="I945" t="s">
        <v>199</v>
      </c>
      <c r="J945" t="s">
        <v>337</v>
      </c>
      <c r="K945">
        <v>8.024139720088825E-3</v>
      </c>
      <c r="L945" t="s">
        <v>166</v>
      </c>
      <c r="N945" t="s">
        <v>264</v>
      </c>
      <c r="O945" t="s">
        <v>337</v>
      </c>
      <c r="P945">
        <v>8.0275710501567753E-3</v>
      </c>
      <c r="Q945" t="s">
        <v>166</v>
      </c>
    </row>
    <row r="946" spans="9:17" x14ac:dyDescent="0.45">
      <c r="I946" t="s">
        <v>199</v>
      </c>
      <c r="J946" t="s">
        <v>338</v>
      </c>
      <c r="K946">
        <v>1.0207252178120923E-3</v>
      </c>
      <c r="L946" t="s">
        <v>166</v>
      </c>
      <c r="N946" t="s">
        <v>264</v>
      </c>
      <c r="O946" t="s">
        <v>338</v>
      </c>
      <c r="P946">
        <v>4.2197827120196534E-2</v>
      </c>
      <c r="Q946" t="s">
        <v>166</v>
      </c>
    </row>
    <row r="947" spans="9:17" x14ac:dyDescent="0.45">
      <c r="I947" t="s">
        <v>199</v>
      </c>
      <c r="J947" t="s">
        <v>172</v>
      </c>
      <c r="K947">
        <v>2.3983342301424564E-2</v>
      </c>
      <c r="L947" t="s">
        <v>166</v>
      </c>
      <c r="N947" t="s">
        <v>264</v>
      </c>
      <c r="O947" t="s">
        <v>172</v>
      </c>
      <c r="P947">
        <v>3.7611151026780476E-2</v>
      </c>
      <c r="Q947" t="s">
        <v>166</v>
      </c>
    </row>
    <row r="948" spans="9:17" x14ac:dyDescent="0.45">
      <c r="I948" t="s">
        <v>199</v>
      </c>
      <c r="J948" t="s">
        <v>173</v>
      </c>
      <c r="K948">
        <v>8.8419772714525471E-3</v>
      </c>
      <c r="L948" t="s">
        <v>166</v>
      </c>
      <c r="N948" t="s">
        <v>264</v>
      </c>
      <c r="O948" t="s">
        <v>173</v>
      </c>
      <c r="P948">
        <v>2.5231319858873922E-3</v>
      </c>
      <c r="Q948" t="s">
        <v>166</v>
      </c>
    </row>
    <row r="949" spans="9:17" x14ac:dyDescent="0.45">
      <c r="I949" t="s">
        <v>199</v>
      </c>
      <c r="J949" t="s">
        <v>174</v>
      </c>
      <c r="K949">
        <v>5.2093267110189717E-2</v>
      </c>
      <c r="L949" t="s">
        <v>166</v>
      </c>
      <c r="N949" t="s">
        <v>264</v>
      </c>
      <c r="O949" t="s">
        <v>174</v>
      </c>
      <c r="P949">
        <v>9.3919887430921455E-3</v>
      </c>
      <c r="Q949" t="s">
        <v>166</v>
      </c>
    </row>
    <row r="950" spans="9:17" x14ac:dyDescent="0.45">
      <c r="I950" t="s">
        <v>199</v>
      </c>
      <c r="J950" t="s">
        <v>339</v>
      </c>
      <c r="K950">
        <v>6.1968742661652372E-3</v>
      </c>
      <c r="L950" t="s">
        <v>166</v>
      </c>
      <c r="N950" t="s">
        <v>264</v>
      </c>
      <c r="O950" t="s">
        <v>339</v>
      </c>
      <c r="P950">
        <v>1.8298299156968008E-3</v>
      </c>
      <c r="Q950" t="s">
        <v>166</v>
      </c>
    </row>
    <row r="951" spans="9:17" x14ac:dyDescent="0.45">
      <c r="I951" t="s">
        <v>199</v>
      </c>
      <c r="J951" t="s">
        <v>340</v>
      </c>
      <c r="K951">
        <v>4.2412139380538566E-3</v>
      </c>
      <c r="L951" t="s">
        <v>166</v>
      </c>
      <c r="N951" t="s">
        <v>264</v>
      </c>
      <c r="O951" t="s">
        <v>340</v>
      </c>
      <c r="P951">
        <v>2.0207897222694771E-3</v>
      </c>
      <c r="Q951" t="s">
        <v>166</v>
      </c>
    </row>
    <row r="952" spans="9:17" x14ac:dyDescent="0.45">
      <c r="I952" t="s">
        <v>199</v>
      </c>
      <c r="J952" t="s">
        <v>341</v>
      </c>
      <c r="K952">
        <v>1.7318005501124974E-3</v>
      </c>
      <c r="L952" t="s">
        <v>166</v>
      </c>
      <c r="N952" t="s">
        <v>264</v>
      </c>
      <c r="O952" t="s">
        <v>341</v>
      </c>
      <c r="P952">
        <v>1.7559004630604027E-2</v>
      </c>
      <c r="Q952" t="s">
        <v>166</v>
      </c>
    </row>
    <row r="953" spans="9:17" x14ac:dyDescent="0.45">
      <c r="I953" t="s">
        <v>199</v>
      </c>
      <c r="J953" t="s">
        <v>175</v>
      </c>
      <c r="K953">
        <v>2.194418765135888E-2</v>
      </c>
      <c r="L953" t="s">
        <v>166</v>
      </c>
      <c r="N953" t="s">
        <v>264</v>
      </c>
      <c r="O953" t="s">
        <v>175</v>
      </c>
      <c r="P953">
        <v>5.3414593696130538E-2</v>
      </c>
      <c r="Q953" t="s">
        <v>166</v>
      </c>
    </row>
    <row r="954" spans="9:17" x14ac:dyDescent="0.45">
      <c r="I954" t="s">
        <v>199</v>
      </c>
      <c r="J954" t="s">
        <v>176</v>
      </c>
      <c r="K954">
        <v>8.5571576170638802E-3</v>
      </c>
      <c r="L954" t="s">
        <v>166</v>
      </c>
      <c r="N954" t="s">
        <v>264</v>
      </c>
      <c r="O954" t="s">
        <v>176</v>
      </c>
      <c r="P954">
        <v>3.8348481261995145E-3</v>
      </c>
      <c r="Q954" t="s">
        <v>166</v>
      </c>
    </row>
    <row r="955" spans="9:17" x14ac:dyDescent="0.45">
      <c r="I955" t="s">
        <v>199</v>
      </c>
      <c r="J955" t="s">
        <v>177</v>
      </c>
      <c r="K955">
        <v>5.1210783029712298E-2</v>
      </c>
      <c r="L955" t="s">
        <v>166</v>
      </c>
      <c r="N955" t="s">
        <v>264</v>
      </c>
      <c r="O955" t="s">
        <v>177</v>
      </c>
      <c r="P955">
        <v>1.6123883665079539E-2</v>
      </c>
      <c r="Q955" t="s">
        <v>166</v>
      </c>
    </row>
    <row r="956" spans="9:17" x14ac:dyDescent="0.45">
      <c r="I956" t="s">
        <v>199</v>
      </c>
      <c r="J956" t="s">
        <v>342</v>
      </c>
      <c r="K956">
        <v>5.8860711832905924E-3</v>
      </c>
      <c r="L956" t="s">
        <v>166</v>
      </c>
      <c r="N956" t="s">
        <v>264</v>
      </c>
      <c r="O956" t="s">
        <v>342</v>
      </c>
      <c r="P956">
        <v>2.7997044363850558E-3</v>
      </c>
      <c r="Q956" t="s">
        <v>166</v>
      </c>
    </row>
    <row r="957" spans="9:17" x14ac:dyDescent="0.45">
      <c r="I957" t="s">
        <v>199</v>
      </c>
      <c r="J957" t="s">
        <v>343</v>
      </c>
      <c r="K957">
        <v>3.6461612070939581E-3</v>
      </c>
      <c r="L957" t="s">
        <v>166</v>
      </c>
      <c r="N957" t="s">
        <v>264</v>
      </c>
      <c r="O957" t="s">
        <v>343</v>
      </c>
      <c r="P957">
        <v>3.144422260489348E-3</v>
      </c>
      <c r="Q957" t="s">
        <v>166</v>
      </c>
    </row>
    <row r="958" spans="9:17" x14ac:dyDescent="0.45">
      <c r="I958" t="s">
        <v>199</v>
      </c>
      <c r="J958" t="s">
        <v>344</v>
      </c>
      <c r="K958">
        <v>1.3472611670228088E-3</v>
      </c>
      <c r="L958" t="s">
        <v>166</v>
      </c>
      <c r="N958" t="s">
        <v>264</v>
      </c>
      <c r="O958" t="s">
        <v>344</v>
      </c>
      <c r="P958">
        <v>2.3625654095015724E-2</v>
      </c>
      <c r="Q958" t="s">
        <v>166</v>
      </c>
    </row>
    <row r="959" spans="9:17" x14ac:dyDescent="0.45">
      <c r="I959" t="s">
        <v>199</v>
      </c>
      <c r="J959" t="s">
        <v>345</v>
      </c>
      <c r="K959">
        <v>4.181606368566225E-2</v>
      </c>
      <c r="L959" t="s">
        <v>166</v>
      </c>
      <c r="N959" t="s">
        <v>264</v>
      </c>
      <c r="O959" t="s">
        <v>345</v>
      </c>
      <c r="P959">
        <v>0.11251280593378322</v>
      </c>
      <c r="Q959" t="s">
        <v>166</v>
      </c>
    </row>
    <row r="960" spans="9:17" x14ac:dyDescent="0.45">
      <c r="I960" t="s">
        <v>199</v>
      </c>
      <c r="J960" t="s">
        <v>346</v>
      </c>
      <c r="K960">
        <v>1.7253381555414032E-2</v>
      </c>
      <c r="L960" t="s">
        <v>166</v>
      </c>
      <c r="N960" t="s">
        <v>264</v>
      </c>
      <c r="O960" t="s">
        <v>346</v>
      </c>
      <c r="P960">
        <v>7.9426047957431058E-3</v>
      </c>
      <c r="Q960" t="s">
        <v>166</v>
      </c>
    </row>
    <row r="961" spans="9:17" x14ac:dyDescent="0.45">
      <c r="I961" t="s">
        <v>199</v>
      </c>
      <c r="J961" t="s">
        <v>347</v>
      </c>
      <c r="K961">
        <v>9.8865353413129187E-2</v>
      </c>
      <c r="L961" t="s">
        <v>166</v>
      </c>
      <c r="N961" t="s">
        <v>264</v>
      </c>
      <c r="O961" t="s">
        <v>347</v>
      </c>
      <c r="P961">
        <v>3.0067920612717125E-2</v>
      </c>
      <c r="Q961" t="s">
        <v>166</v>
      </c>
    </row>
    <row r="962" spans="9:17" x14ac:dyDescent="0.45">
      <c r="I962" t="s">
        <v>199</v>
      </c>
      <c r="J962" t="s">
        <v>348</v>
      </c>
      <c r="K962">
        <v>1.1002699238093303E-2</v>
      </c>
      <c r="L962" t="s">
        <v>166</v>
      </c>
      <c r="N962" t="s">
        <v>264</v>
      </c>
      <c r="O962" t="s">
        <v>348</v>
      </c>
      <c r="P962">
        <v>5.1856517697809355E-3</v>
      </c>
      <c r="Q962" t="s">
        <v>166</v>
      </c>
    </row>
    <row r="963" spans="9:17" x14ac:dyDescent="0.45">
      <c r="I963" t="s">
        <v>199</v>
      </c>
      <c r="J963" t="s">
        <v>349</v>
      </c>
      <c r="K963">
        <v>5.9746989402725287E-3</v>
      </c>
      <c r="L963" t="s">
        <v>166</v>
      </c>
      <c r="N963" t="s">
        <v>264</v>
      </c>
      <c r="O963" t="s">
        <v>349</v>
      </c>
      <c r="P963">
        <v>6.331713381238285E-3</v>
      </c>
      <c r="Q963" t="s">
        <v>166</v>
      </c>
    </row>
    <row r="964" spans="9:17" x14ac:dyDescent="0.45">
      <c r="I964" t="s">
        <v>199</v>
      </c>
      <c r="J964" t="s">
        <v>350</v>
      </c>
      <c r="K964">
        <v>5.2109433612932765E-4</v>
      </c>
      <c r="L964" t="s">
        <v>166</v>
      </c>
      <c r="N964" t="s">
        <v>264</v>
      </c>
      <c r="O964" t="s">
        <v>350</v>
      </c>
      <c r="P964">
        <v>5.1847467067784418E-2</v>
      </c>
      <c r="Q964" t="s">
        <v>166</v>
      </c>
    </row>
    <row r="965" spans="9:17" x14ac:dyDescent="0.45">
      <c r="I965" t="s">
        <v>199</v>
      </c>
      <c r="J965" t="s">
        <v>351</v>
      </c>
      <c r="K965">
        <v>1.924485845740254E-2</v>
      </c>
      <c r="L965" t="s">
        <v>166</v>
      </c>
      <c r="N965" t="s">
        <v>264</v>
      </c>
      <c r="O965" t="s">
        <v>351</v>
      </c>
      <c r="P965">
        <v>3.6905840395485237E-2</v>
      </c>
      <c r="Q965" t="s">
        <v>166</v>
      </c>
    </row>
    <row r="966" spans="9:17" x14ac:dyDescent="0.45">
      <c r="I966" t="s">
        <v>199</v>
      </c>
      <c r="J966" t="s">
        <v>352</v>
      </c>
      <c r="K966">
        <v>8.6103898109295696E-3</v>
      </c>
      <c r="L966" t="s">
        <v>166</v>
      </c>
      <c r="N966" t="s">
        <v>264</v>
      </c>
      <c r="O966" t="s">
        <v>352</v>
      </c>
      <c r="P966">
        <v>1.3400446010056496E-3</v>
      </c>
      <c r="Q966" t="s">
        <v>166</v>
      </c>
    </row>
    <row r="967" spans="9:17" x14ac:dyDescent="0.45">
      <c r="I967" t="s">
        <v>199</v>
      </c>
      <c r="J967" t="s">
        <v>353</v>
      </c>
      <c r="K967">
        <v>4.7539492477110257E-2</v>
      </c>
      <c r="L967" t="s">
        <v>166</v>
      </c>
      <c r="N967" t="s">
        <v>264</v>
      </c>
      <c r="O967" t="s">
        <v>353</v>
      </c>
      <c r="P967">
        <v>5.5219582697210281E-3</v>
      </c>
      <c r="Q967" t="s">
        <v>166</v>
      </c>
    </row>
    <row r="968" spans="9:17" x14ac:dyDescent="0.45">
      <c r="I968" t="s">
        <v>199</v>
      </c>
      <c r="J968" t="s">
        <v>354</v>
      </c>
      <c r="K968">
        <v>4.1789555820405527E-3</v>
      </c>
      <c r="L968" t="s">
        <v>166</v>
      </c>
      <c r="N968" t="s">
        <v>264</v>
      </c>
      <c r="O968" t="s">
        <v>354</v>
      </c>
      <c r="P968">
        <v>1.152679817349782E-3</v>
      </c>
      <c r="Q968" t="s">
        <v>166</v>
      </c>
    </row>
    <row r="969" spans="9:17" x14ac:dyDescent="0.45">
      <c r="I969" t="s">
        <v>199</v>
      </c>
      <c r="J969" t="s">
        <v>355</v>
      </c>
      <c r="K969">
        <v>0</v>
      </c>
      <c r="L969" t="s">
        <v>166</v>
      </c>
      <c r="N969" t="s">
        <v>264</v>
      </c>
      <c r="O969" t="s">
        <v>355</v>
      </c>
      <c r="P969">
        <v>1.7196106604860076E-3</v>
      </c>
      <c r="Q969" t="s">
        <v>166</v>
      </c>
    </row>
    <row r="970" spans="9:17" x14ac:dyDescent="0.45">
      <c r="I970" t="s">
        <v>199</v>
      </c>
      <c r="J970" t="s">
        <v>356</v>
      </c>
      <c r="K970">
        <v>0</v>
      </c>
      <c r="L970" t="s">
        <v>166</v>
      </c>
      <c r="N970" t="s">
        <v>264</v>
      </c>
      <c r="O970" t="s">
        <v>356</v>
      </c>
      <c r="P970">
        <v>1.8224318008340058E-2</v>
      </c>
      <c r="Q970" t="s">
        <v>166</v>
      </c>
    </row>
    <row r="971" spans="9:17" x14ac:dyDescent="0.45">
      <c r="I971" t="s">
        <v>199</v>
      </c>
      <c r="J971" t="s">
        <v>357</v>
      </c>
      <c r="K971">
        <v>2.5048000241831708E-2</v>
      </c>
      <c r="L971" t="s">
        <v>166</v>
      </c>
      <c r="N971" t="s">
        <v>264</v>
      </c>
      <c r="O971" t="s">
        <v>357</v>
      </c>
      <c r="P971">
        <v>7.5557820241362747E-2</v>
      </c>
      <c r="Q971" t="s">
        <v>166</v>
      </c>
    </row>
    <row r="972" spans="9:17" x14ac:dyDescent="0.45">
      <c r="I972" t="s">
        <v>199</v>
      </c>
      <c r="J972" t="s">
        <v>358</v>
      </c>
      <c r="K972">
        <v>1.4532001541286137E-2</v>
      </c>
      <c r="L972" t="s">
        <v>166</v>
      </c>
      <c r="N972" t="s">
        <v>264</v>
      </c>
      <c r="O972" t="s">
        <v>358</v>
      </c>
      <c r="P972">
        <v>4.5848315415798349E-3</v>
      </c>
      <c r="Q972" t="s">
        <v>166</v>
      </c>
    </row>
    <row r="973" spans="9:17" x14ac:dyDescent="0.45">
      <c r="I973" t="s">
        <v>199</v>
      </c>
      <c r="J973" t="s">
        <v>359</v>
      </c>
      <c r="K973">
        <v>7.8135432721767928E-2</v>
      </c>
      <c r="L973" t="s">
        <v>166</v>
      </c>
      <c r="N973" t="s">
        <v>264</v>
      </c>
      <c r="O973" t="s">
        <v>359</v>
      </c>
      <c r="P973">
        <v>2.2869272281158638E-2</v>
      </c>
      <c r="Q973" t="s">
        <v>166</v>
      </c>
    </row>
    <row r="974" spans="9:17" x14ac:dyDescent="0.45">
      <c r="I974" t="s">
        <v>199</v>
      </c>
      <c r="J974" t="s">
        <v>360</v>
      </c>
      <c r="K974">
        <v>5.714350019646674E-3</v>
      </c>
      <c r="L974" t="s">
        <v>166</v>
      </c>
      <c r="N974" t="s">
        <v>264</v>
      </c>
      <c r="O974" t="s">
        <v>360</v>
      </c>
      <c r="P974">
        <v>4.5113462793993087E-3</v>
      </c>
      <c r="Q974" t="s">
        <v>166</v>
      </c>
    </row>
    <row r="975" spans="9:17" x14ac:dyDescent="0.45">
      <c r="I975" t="s">
        <v>199</v>
      </c>
      <c r="J975" t="s">
        <v>361</v>
      </c>
      <c r="K975">
        <v>0</v>
      </c>
      <c r="L975" t="s">
        <v>166</v>
      </c>
      <c r="N975" t="s">
        <v>264</v>
      </c>
      <c r="O975" t="s">
        <v>361</v>
      </c>
      <c r="P975">
        <v>5.4990379323396682E-3</v>
      </c>
      <c r="Q975" t="s">
        <v>166</v>
      </c>
    </row>
    <row r="976" spans="9:17" x14ac:dyDescent="0.45">
      <c r="I976" t="s">
        <v>199</v>
      </c>
      <c r="J976" t="s">
        <v>362</v>
      </c>
      <c r="K976">
        <v>0</v>
      </c>
      <c r="L976" t="s">
        <v>166</v>
      </c>
      <c r="N976" t="s">
        <v>264</v>
      </c>
      <c r="O976" t="s">
        <v>362</v>
      </c>
      <c r="P976">
        <v>3.7909401341077759E-2</v>
      </c>
      <c r="Q976" t="s">
        <v>166</v>
      </c>
    </row>
    <row r="977" spans="9:17" x14ac:dyDescent="0.45">
      <c r="I977" t="s">
        <v>200</v>
      </c>
      <c r="J977" t="s">
        <v>165</v>
      </c>
      <c r="K977">
        <v>4.6028938793441401E-2</v>
      </c>
      <c r="L977" t="s">
        <v>166</v>
      </c>
      <c r="N977" t="s">
        <v>265</v>
      </c>
      <c r="O977" t="s">
        <v>165</v>
      </c>
      <c r="P977">
        <v>9.5748736379790506E-2</v>
      </c>
      <c r="Q977" t="s">
        <v>166</v>
      </c>
    </row>
    <row r="978" spans="9:17" x14ac:dyDescent="0.45">
      <c r="I978" t="s">
        <v>200</v>
      </c>
      <c r="J978" t="s">
        <v>167</v>
      </c>
      <c r="K978">
        <v>2.6010735985940097E-2</v>
      </c>
      <c r="L978" t="s">
        <v>166</v>
      </c>
      <c r="N978" t="s">
        <v>265</v>
      </c>
      <c r="O978" t="s">
        <v>167</v>
      </c>
      <c r="P978">
        <v>6.6355457759597032E-3</v>
      </c>
      <c r="Q978" t="s">
        <v>166</v>
      </c>
    </row>
    <row r="979" spans="9:17" x14ac:dyDescent="0.45">
      <c r="I979" t="s">
        <v>200</v>
      </c>
      <c r="J979" t="s">
        <v>168</v>
      </c>
      <c r="K979">
        <v>0.1469641204376512</v>
      </c>
      <c r="L979" t="s">
        <v>166</v>
      </c>
      <c r="N979" t="s">
        <v>265</v>
      </c>
      <c r="O979" t="s">
        <v>168</v>
      </c>
      <c r="P979">
        <v>4.231536850358382E-2</v>
      </c>
      <c r="Q979" t="s">
        <v>166</v>
      </c>
    </row>
    <row r="980" spans="9:17" x14ac:dyDescent="0.45">
      <c r="I980" t="s">
        <v>200</v>
      </c>
      <c r="J980" t="s">
        <v>333</v>
      </c>
      <c r="K980">
        <v>1.4282118415606053E-2</v>
      </c>
      <c r="L980" t="s">
        <v>166</v>
      </c>
      <c r="N980" t="s">
        <v>265</v>
      </c>
      <c r="O980" t="s">
        <v>333</v>
      </c>
      <c r="P980">
        <v>7.3196664753823869E-3</v>
      </c>
      <c r="Q980" t="s">
        <v>166</v>
      </c>
    </row>
    <row r="981" spans="9:17" x14ac:dyDescent="0.45">
      <c r="I981" t="s">
        <v>200</v>
      </c>
      <c r="J981" t="s">
        <v>334</v>
      </c>
      <c r="K981">
        <v>3.1023623902102092E-3</v>
      </c>
      <c r="L981" t="s">
        <v>166</v>
      </c>
      <c r="N981" t="s">
        <v>265</v>
      </c>
      <c r="O981" t="s">
        <v>334</v>
      </c>
      <c r="P981">
        <v>7.433098090371665E-3</v>
      </c>
      <c r="Q981" t="s">
        <v>166</v>
      </c>
    </row>
    <row r="982" spans="9:17" x14ac:dyDescent="0.45">
      <c r="I982" t="s">
        <v>200</v>
      </c>
      <c r="J982" t="s">
        <v>335</v>
      </c>
      <c r="K982">
        <v>0</v>
      </c>
      <c r="L982" t="s">
        <v>166</v>
      </c>
      <c r="N982" t="s">
        <v>265</v>
      </c>
      <c r="O982" t="s">
        <v>335</v>
      </c>
      <c r="P982">
        <v>4.4987228729613769E-2</v>
      </c>
      <c r="Q982" t="s">
        <v>166</v>
      </c>
    </row>
    <row r="983" spans="9:17" x14ac:dyDescent="0.45">
      <c r="I983" t="s">
        <v>200</v>
      </c>
      <c r="J983" t="s">
        <v>169</v>
      </c>
      <c r="K983">
        <v>4.9573164847154051E-2</v>
      </c>
      <c r="L983" t="s">
        <v>166</v>
      </c>
      <c r="N983" t="s">
        <v>265</v>
      </c>
      <c r="O983" t="s">
        <v>169</v>
      </c>
      <c r="P983">
        <v>8.3159968953370605E-2</v>
      </c>
      <c r="Q983" t="s">
        <v>166</v>
      </c>
    </row>
    <row r="984" spans="9:17" x14ac:dyDescent="0.45">
      <c r="I984" t="s">
        <v>200</v>
      </c>
      <c r="J984" t="s">
        <v>170</v>
      </c>
      <c r="K984">
        <v>1.8480140878357466E-2</v>
      </c>
      <c r="L984" t="s">
        <v>166</v>
      </c>
      <c r="N984" t="s">
        <v>265</v>
      </c>
      <c r="O984" t="s">
        <v>170</v>
      </c>
      <c r="P984">
        <v>7.3487245858655853E-3</v>
      </c>
      <c r="Q984" t="s">
        <v>166</v>
      </c>
    </row>
    <row r="985" spans="9:17" x14ac:dyDescent="0.45">
      <c r="I985" t="s">
        <v>200</v>
      </c>
      <c r="J985" t="s">
        <v>171</v>
      </c>
      <c r="K985">
        <v>0.10674732820423538</v>
      </c>
      <c r="L985" t="s">
        <v>166</v>
      </c>
      <c r="N985" t="s">
        <v>265</v>
      </c>
      <c r="O985" t="s">
        <v>171</v>
      </c>
      <c r="P985">
        <v>4.7237779006306518E-2</v>
      </c>
      <c r="Q985" t="s">
        <v>166</v>
      </c>
    </row>
    <row r="986" spans="9:17" x14ac:dyDescent="0.45">
      <c r="I986" t="s">
        <v>200</v>
      </c>
      <c r="J986" t="s">
        <v>336</v>
      </c>
      <c r="K986">
        <v>1.2268140544840959E-2</v>
      </c>
      <c r="L986" t="s">
        <v>166</v>
      </c>
      <c r="N986" t="s">
        <v>265</v>
      </c>
      <c r="O986" t="s">
        <v>336</v>
      </c>
      <c r="P986">
        <v>8.3443832646011018E-3</v>
      </c>
      <c r="Q986" t="s">
        <v>166</v>
      </c>
    </row>
    <row r="987" spans="9:17" x14ac:dyDescent="0.45">
      <c r="I987" t="s">
        <v>200</v>
      </c>
      <c r="J987" t="s">
        <v>337</v>
      </c>
      <c r="K987">
        <v>7.2421490690672708E-3</v>
      </c>
      <c r="L987" t="s">
        <v>166</v>
      </c>
      <c r="N987" t="s">
        <v>265</v>
      </c>
      <c r="O987" t="s">
        <v>337</v>
      </c>
      <c r="P987">
        <v>8.1673752796391809E-3</v>
      </c>
      <c r="Q987" t="s">
        <v>166</v>
      </c>
    </row>
    <row r="988" spans="9:17" x14ac:dyDescent="0.45">
      <c r="I988" t="s">
        <v>200</v>
      </c>
      <c r="J988" t="s">
        <v>338</v>
      </c>
      <c r="K988">
        <v>3.7613503475430375E-4</v>
      </c>
      <c r="L988" t="s">
        <v>166</v>
      </c>
      <c r="N988" t="s">
        <v>265</v>
      </c>
      <c r="O988" t="s">
        <v>338</v>
      </c>
      <c r="P988">
        <v>4.1766398392805756E-2</v>
      </c>
      <c r="Q988" t="s">
        <v>166</v>
      </c>
    </row>
    <row r="989" spans="9:17" x14ac:dyDescent="0.45">
      <c r="I989" t="s">
        <v>200</v>
      </c>
      <c r="J989" t="s">
        <v>172</v>
      </c>
      <c r="K989">
        <v>2.4501622881728972E-2</v>
      </c>
      <c r="L989" t="s">
        <v>166</v>
      </c>
      <c r="N989" t="s">
        <v>265</v>
      </c>
      <c r="O989" t="s">
        <v>172</v>
      </c>
      <c r="P989">
        <v>4.4901416184904591E-2</v>
      </c>
      <c r="Q989" t="s">
        <v>166</v>
      </c>
    </row>
    <row r="990" spans="9:17" x14ac:dyDescent="0.45">
      <c r="I990" t="s">
        <v>200</v>
      </c>
      <c r="J990" t="s">
        <v>173</v>
      </c>
      <c r="K990">
        <v>8.9033212174593809E-3</v>
      </c>
      <c r="L990" t="s">
        <v>166</v>
      </c>
      <c r="N990" t="s">
        <v>265</v>
      </c>
      <c r="O990" t="s">
        <v>173</v>
      </c>
      <c r="P990">
        <v>3.4723123395923317E-3</v>
      </c>
      <c r="Q990" t="s">
        <v>166</v>
      </c>
    </row>
    <row r="991" spans="9:17" x14ac:dyDescent="0.45">
      <c r="I991" t="s">
        <v>200</v>
      </c>
      <c r="J991" t="s">
        <v>174</v>
      </c>
      <c r="K991">
        <v>5.2196066630819694E-2</v>
      </c>
      <c r="L991" t="s">
        <v>166</v>
      </c>
      <c r="N991" t="s">
        <v>265</v>
      </c>
      <c r="O991" t="s">
        <v>174</v>
      </c>
      <c r="P991">
        <v>1.7540580388718346E-2</v>
      </c>
      <c r="Q991" t="s">
        <v>166</v>
      </c>
    </row>
    <row r="992" spans="9:17" x14ac:dyDescent="0.45">
      <c r="I992" t="s">
        <v>200</v>
      </c>
      <c r="J992" t="s">
        <v>339</v>
      </c>
      <c r="K992">
        <v>6.0927208633964934E-3</v>
      </c>
      <c r="L992" t="s">
        <v>166</v>
      </c>
      <c r="N992" t="s">
        <v>265</v>
      </c>
      <c r="O992" t="s">
        <v>339</v>
      </c>
      <c r="P992">
        <v>3.0648036175296113E-3</v>
      </c>
      <c r="Q992" t="s">
        <v>166</v>
      </c>
    </row>
    <row r="993" spans="9:17" x14ac:dyDescent="0.45">
      <c r="I993" t="s">
        <v>200</v>
      </c>
      <c r="J993" t="s">
        <v>340</v>
      </c>
      <c r="K993">
        <v>3.9611860809379172E-3</v>
      </c>
      <c r="L993" t="s">
        <v>166</v>
      </c>
      <c r="N993" t="s">
        <v>265</v>
      </c>
      <c r="O993" t="s">
        <v>340</v>
      </c>
      <c r="P993">
        <v>3.1298208995817201E-3</v>
      </c>
      <c r="Q993" t="s">
        <v>166</v>
      </c>
    </row>
    <row r="994" spans="9:17" x14ac:dyDescent="0.45">
      <c r="I994" t="s">
        <v>200</v>
      </c>
      <c r="J994" t="s">
        <v>341</v>
      </c>
      <c r="K994">
        <v>1.49035722239186E-3</v>
      </c>
      <c r="L994" t="s">
        <v>166</v>
      </c>
      <c r="N994" t="s">
        <v>265</v>
      </c>
      <c r="O994" t="s">
        <v>341</v>
      </c>
      <c r="P994">
        <v>1.8845459753713892E-2</v>
      </c>
      <c r="Q994" t="s">
        <v>166</v>
      </c>
    </row>
    <row r="995" spans="9:17" x14ac:dyDescent="0.45">
      <c r="I995" t="s">
        <v>200</v>
      </c>
      <c r="J995" t="s">
        <v>175</v>
      </c>
      <c r="K995">
        <v>2.2844181610299705E-2</v>
      </c>
      <c r="L995" t="s">
        <v>166</v>
      </c>
      <c r="N995" t="s">
        <v>265</v>
      </c>
      <c r="O995" t="s">
        <v>175</v>
      </c>
      <c r="P995">
        <v>5.3440599006082466E-2</v>
      </c>
      <c r="Q995" t="s">
        <v>166</v>
      </c>
    </row>
    <row r="996" spans="9:17" x14ac:dyDescent="0.45">
      <c r="I996" t="s">
        <v>200</v>
      </c>
      <c r="J996" t="s">
        <v>176</v>
      </c>
      <c r="K996">
        <v>8.7366016821941572E-3</v>
      </c>
      <c r="L996" t="s">
        <v>166</v>
      </c>
      <c r="N996" t="s">
        <v>265</v>
      </c>
      <c r="O996" t="s">
        <v>176</v>
      </c>
      <c r="P996">
        <v>4.2809617273500489E-3</v>
      </c>
      <c r="Q996" t="s">
        <v>166</v>
      </c>
    </row>
    <row r="997" spans="9:17" x14ac:dyDescent="0.45">
      <c r="I997" t="s">
        <v>200</v>
      </c>
      <c r="J997" t="s">
        <v>177</v>
      </c>
      <c r="K997">
        <v>5.1639923710726343E-2</v>
      </c>
      <c r="L997" t="s">
        <v>166</v>
      </c>
      <c r="N997" t="s">
        <v>265</v>
      </c>
      <c r="O997" t="s">
        <v>177</v>
      </c>
      <c r="P997">
        <v>1.5380622232621858E-2</v>
      </c>
      <c r="Q997" t="s">
        <v>166</v>
      </c>
    </row>
    <row r="998" spans="9:17" x14ac:dyDescent="0.45">
      <c r="I998" t="s">
        <v>200</v>
      </c>
      <c r="J998" t="s">
        <v>342</v>
      </c>
      <c r="K998">
        <v>5.9383568914450988E-3</v>
      </c>
      <c r="L998" t="s">
        <v>166</v>
      </c>
      <c r="N998" t="s">
        <v>265</v>
      </c>
      <c r="O998" t="s">
        <v>342</v>
      </c>
      <c r="P998">
        <v>2.2095351415835048E-3</v>
      </c>
      <c r="Q998" t="s">
        <v>166</v>
      </c>
    </row>
    <row r="999" spans="9:17" x14ac:dyDescent="0.45">
      <c r="I999" t="s">
        <v>200</v>
      </c>
      <c r="J999" t="s">
        <v>343</v>
      </c>
      <c r="K999">
        <v>3.6501201173930273E-3</v>
      </c>
      <c r="L999" t="s">
        <v>166</v>
      </c>
      <c r="N999" t="s">
        <v>265</v>
      </c>
      <c r="O999" t="s">
        <v>343</v>
      </c>
      <c r="P999">
        <v>2.4462253701522298E-3</v>
      </c>
      <c r="Q999" t="s">
        <v>166</v>
      </c>
    </row>
    <row r="1000" spans="9:17" x14ac:dyDescent="0.45">
      <c r="I1000" t="s">
        <v>200</v>
      </c>
      <c r="J1000" t="s">
        <v>344</v>
      </c>
      <c r="K1000">
        <v>1.2867127796065793E-3</v>
      </c>
      <c r="L1000" t="s">
        <v>166</v>
      </c>
      <c r="N1000" t="s">
        <v>265</v>
      </c>
      <c r="O1000" t="s">
        <v>344</v>
      </c>
      <c r="P1000">
        <v>1.9623495185607357E-2</v>
      </c>
      <c r="Q1000" t="s">
        <v>166</v>
      </c>
    </row>
    <row r="1001" spans="9:17" x14ac:dyDescent="0.45">
      <c r="I1001" t="s">
        <v>200</v>
      </c>
      <c r="J1001" t="s">
        <v>345</v>
      </c>
      <c r="K1001">
        <v>4.3773853637636646E-2</v>
      </c>
      <c r="L1001" t="s">
        <v>166</v>
      </c>
      <c r="N1001" t="s">
        <v>265</v>
      </c>
      <c r="O1001" t="s">
        <v>345</v>
      </c>
      <c r="P1001">
        <v>9.5907651652238093E-2</v>
      </c>
      <c r="Q1001" t="s">
        <v>166</v>
      </c>
    </row>
    <row r="1002" spans="9:17" x14ac:dyDescent="0.45">
      <c r="I1002" t="s">
        <v>200</v>
      </c>
      <c r="J1002" t="s">
        <v>346</v>
      </c>
      <c r="K1002">
        <v>1.7470727825948884E-2</v>
      </c>
      <c r="L1002" t="s">
        <v>166</v>
      </c>
      <c r="N1002" t="s">
        <v>265</v>
      </c>
      <c r="O1002" t="s">
        <v>346</v>
      </c>
      <c r="P1002">
        <v>7.1987642407155732E-3</v>
      </c>
      <c r="Q1002" t="s">
        <v>166</v>
      </c>
    </row>
    <row r="1003" spans="9:17" x14ac:dyDescent="0.45">
      <c r="I1003" t="s">
        <v>200</v>
      </c>
      <c r="J1003" t="s">
        <v>347</v>
      </c>
      <c r="K1003">
        <v>9.9248599617082128E-2</v>
      </c>
      <c r="L1003" t="s">
        <v>166</v>
      </c>
      <c r="N1003" t="s">
        <v>265</v>
      </c>
      <c r="O1003" t="s">
        <v>347</v>
      </c>
      <c r="P1003">
        <v>3.2363736562231869E-2</v>
      </c>
      <c r="Q1003" t="s">
        <v>166</v>
      </c>
    </row>
    <row r="1004" spans="9:17" x14ac:dyDescent="0.45">
      <c r="I1004" t="s">
        <v>200</v>
      </c>
      <c r="J1004" t="s">
        <v>348</v>
      </c>
      <c r="K1004">
        <v>1.0587787756773503E-2</v>
      </c>
      <c r="L1004" t="s">
        <v>166</v>
      </c>
      <c r="N1004" t="s">
        <v>265</v>
      </c>
      <c r="O1004" t="s">
        <v>348</v>
      </c>
      <c r="P1004">
        <v>5.7768174312722411E-3</v>
      </c>
      <c r="Q1004" t="s">
        <v>166</v>
      </c>
    </row>
    <row r="1005" spans="9:17" x14ac:dyDescent="0.45">
      <c r="I1005" t="s">
        <v>200</v>
      </c>
      <c r="J1005" t="s">
        <v>349</v>
      </c>
      <c r="K1005">
        <v>5.0418118459595214E-3</v>
      </c>
      <c r="L1005" t="s">
        <v>166</v>
      </c>
      <c r="N1005" t="s">
        <v>265</v>
      </c>
      <c r="O1005" t="s">
        <v>349</v>
      </c>
      <c r="P1005">
        <v>6.5582476483726053E-3</v>
      </c>
      <c r="Q1005" t="s">
        <v>166</v>
      </c>
    </row>
    <row r="1006" spans="9:17" x14ac:dyDescent="0.45">
      <c r="I1006" t="s">
        <v>200</v>
      </c>
      <c r="J1006" t="s">
        <v>350</v>
      </c>
      <c r="K1006">
        <v>8.2398653405949199E-5</v>
      </c>
      <c r="L1006" t="s">
        <v>166</v>
      </c>
      <c r="N1006" t="s">
        <v>265</v>
      </c>
      <c r="O1006" t="s">
        <v>350</v>
      </c>
      <c r="P1006">
        <v>4.5440808607943105E-2</v>
      </c>
      <c r="Q1006" t="s">
        <v>166</v>
      </c>
    </row>
    <row r="1007" spans="9:17" x14ac:dyDescent="0.45">
      <c r="I1007" t="s">
        <v>200</v>
      </c>
      <c r="J1007" t="s">
        <v>351</v>
      </c>
      <c r="K1007">
        <v>1.9361675907195799E-2</v>
      </c>
      <c r="L1007" t="s">
        <v>166</v>
      </c>
      <c r="N1007" t="s">
        <v>265</v>
      </c>
      <c r="O1007" t="s">
        <v>351</v>
      </c>
      <c r="P1007">
        <v>3.3803435504908101E-2</v>
      </c>
      <c r="Q1007" t="s">
        <v>166</v>
      </c>
    </row>
    <row r="1008" spans="9:17" x14ac:dyDescent="0.45">
      <c r="I1008" t="s">
        <v>200</v>
      </c>
      <c r="J1008" t="s">
        <v>352</v>
      </c>
      <c r="K1008">
        <v>8.6295687415915145E-3</v>
      </c>
      <c r="L1008" t="s">
        <v>166</v>
      </c>
      <c r="N1008" t="s">
        <v>265</v>
      </c>
      <c r="O1008" t="s">
        <v>352</v>
      </c>
      <c r="P1008">
        <v>1.8125009724273436E-3</v>
      </c>
      <c r="Q1008" t="s">
        <v>166</v>
      </c>
    </row>
    <row r="1009" spans="9:17" x14ac:dyDescent="0.45">
      <c r="I1009" t="s">
        <v>200</v>
      </c>
      <c r="J1009" t="s">
        <v>353</v>
      </c>
      <c r="K1009">
        <v>4.7127820875515529E-2</v>
      </c>
      <c r="L1009" t="s">
        <v>166</v>
      </c>
      <c r="N1009" t="s">
        <v>265</v>
      </c>
      <c r="O1009" t="s">
        <v>353</v>
      </c>
      <c r="P1009">
        <v>6.891814795871384E-3</v>
      </c>
      <c r="Q1009" t="s">
        <v>166</v>
      </c>
    </row>
    <row r="1010" spans="9:17" x14ac:dyDescent="0.45">
      <c r="I1010" t="s">
        <v>200</v>
      </c>
      <c r="J1010" t="s">
        <v>354</v>
      </c>
      <c r="K1010">
        <v>3.7808956905473093E-3</v>
      </c>
      <c r="L1010" t="s">
        <v>166</v>
      </c>
      <c r="N1010" t="s">
        <v>265</v>
      </c>
      <c r="O1010" t="s">
        <v>354</v>
      </c>
      <c r="P1010">
        <v>1.2848059888518801E-3</v>
      </c>
      <c r="Q1010" t="s">
        <v>166</v>
      </c>
    </row>
    <row r="1011" spans="9:17" x14ac:dyDescent="0.45">
      <c r="I1011" t="s">
        <v>200</v>
      </c>
      <c r="J1011" t="s">
        <v>355</v>
      </c>
      <c r="K1011">
        <v>0</v>
      </c>
      <c r="L1011" t="s">
        <v>166</v>
      </c>
      <c r="N1011" t="s">
        <v>265</v>
      </c>
      <c r="O1011" t="s">
        <v>355</v>
      </c>
      <c r="P1011">
        <v>1.7432612465457711E-3</v>
      </c>
      <c r="Q1011" t="s">
        <v>166</v>
      </c>
    </row>
    <row r="1012" spans="9:17" x14ac:dyDescent="0.45">
      <c r="I1012" t="s">
        <v>200</v>
      </c>
      <c r="J1012" t="s">
        <v>356</v>
      </c>
      <c r="K1012">
        <v>0</v>
      </c>
      <c r="L1012" t="s">
        <v>166</v>
      </c>
      <c r="N1012" t="s">
        <v>265</v>
      </c>
      <c r="O1012" t="s">
        <v>356</v>
      </c>
      <c r="P1012">
        <v>1.5743885465658743E-2</v>
      </c>
      <c r="Q1012" t="s">
        <v>166</v>
      </c>
    </row>
    <row r="1013" spans="9:17" x14ac:dyDescent="0.45">
      <c r="I1013" t="s">
        <v>200</v>
      </c>
      <c r="J1013" t="s">
        <v>357</v>
      </c>
      <c r="K1013">
        <v>2.5843544297725288E-2</v>
      </c>
      <c r="L1013" t="s">
        <v>166</v>
      </c>
      <c r="N1013" t="s">
        <v>265</v>
      </c>
      <c r="O1013" t="s">
        <v>357</v>
      </c>
      <c r="P1013">
        <v>7.2072992826366311E-2</v>
      </c>
      <c r="Q1013" t="s">
        <v>166</v>
      </c>
    </row>
    <row r="1014" spans="9:17" x14ac:dyDescent="0.45">
      <c r="I1014" t="s">
        <v>200</v>
      </c>
      <c r="J1014" t="s">
        <v>358</v>
      </c>
      <c r="K1014">
        <v>1.4546377085514298E-2</v>
      </c>
      <c r="L1014" t="s">
        <v>166</v>
      </c>
      <c r="N1014" t="s">
        <v>265</v>
      </c>
      <c r="O1014" t="s">
        <v>358</v>
      </c>
      <c r="P1014">
        <v>5.3004050154323874E-3</v>
      </c>
      <c r="Q1014" t="s">
        <v>166</v>
      </c>
    </row>
    <row r="1015" spans="9:17" x14ac:dyDescent="0.45">
      <c r="I1015" t="s">
        <v>200</v>
      </c>
      <c r="J1015" t="s">
        <v>359</v>
      </c>
      <c r="K1015">
        <v>7.8628389573104751E-2</v>
      </c>
      <c r="L1015" t="s">
        <v>166</v>
      </c>
      <c r="N1015" t="s">
        <v>265</v>
      </c>
      <c r="O1015" t="s">
        <v>359</v>
      </c>
      <c r="P1015">
        <v>3.0064794385998187E-2</v>
      </c>
      <c r="Q1015" t="s">
        <v>166</v>
      </c>
    </row>
    <row r="1016" spans="9:17" x14ac:dyDescent="0.45">
      <c r="I1016" t="s">
        <v>200</v>
      </c>
      <c r="J1016" t="s">
        <v>360</v>
      </c>
      <c r="K1016">
        <v>3.5600422023395516E-3</v>
      </c>
      <c r="L1016" t="s">
        <v>166</v>
      </c>
      <c r="N1016" t="s">
        <v>265</v>
      </c>
      <c r="O1016" t="s">
        <v>360</v>
      </c>
      <c r="P1016">
        <v>5.4662321188610535E-3</v>
      </c>
      <c r="Q1016" t="s">
        <v>166</v>
      </c>
    </row>
    <row r="1017" spans="9:17" x14ac:dyDescent="0.45">
      <c r="I1017" t="s">
        <v>200</v>
      </c>
      <c r="J1017" t="s">
        <v>361</v>
      </c>
      <c r="K1017">
        <v>0</v>
      </c>
      <c r="L1017" t="s">
        <v>166</v>
      </c>
      <c r="N1017" t="s">
        <v>265</v>
      </c>
      <c r="O1017" t="s">
        <v>361</v>
      </c>
      <c r="P1017">
        <v>6.268075058556347E-3</v>
      </c>
      <c r="Q1017" t="s">
        <v>166</v>
      </c>
    </row>
    <row r="1018" spans="9:17" x14ac:dyDescent="0.45">
      <c r="I1018" t="s">
        <v>200</v>
      </c>
      <c r="J1018" t="s">
        <v>362</v>
      </c>
      <c r="K1018">
        <v>0</v>
      </c>
      <c r="L1018" t="s">
        <v>166</v>
      </c>
      <c r="N1018" t="s">
        <v>265</v>
      </c>
      <c r="O1018" t="s">
        <v>362</v>
      </c>
      <c r="P1018">
        <v>3.7501665193019527E-2</v>
      </c>
      <c r="Q1018" t="s">
        <v>166</v>
      </c>
    </row>
    <row r="1019" spans="9:17" x14ac:dyDescent="0.45">
      <c r="I1019" t="s">
        <v>201</v>
      </c>
      <c r="J1019" t="s">
        <v>165</v>
      </c>
      <c r="K1019">
        <v>4.5006758457575152E-2</v>
      </c>
      <c r="L1019" t="s">
        <v>166</v>
      </c>
      <c r="N1019" t="s">
        <v>266</v>
      </c>
      <c r="O1019" t="s">
        <v>165</v>
      </c>
      <c r="P1019">
        <v>8.8768416944696713E-2</v>
      </c>
      <c r="Q1019" t="s">
        <v>166</v>
      </c>
    </row>
    <row r="1020" spans="9:17" x14ac:dyDescent="0.45">
      <c r="I1020" t="s">
        <v>201</v>
      </c>
      <c r="J1020" t="s">
        <v>167</v>
      </c>
      <c r="K1020">
        <v>2.6079920012438241E-2</v>
      </c>
      <c r="L1020" t="s">
        <v>166</v>
      </c>
      <c r="N1020" t="s">
        <v>266</v>
      </c>
      <c r="O1020" t="s">
        <v>167</v>
      </c>
      <c r="P1020">
        <v>5.0199947990291205E-3</v>
      </c>
      <c r="Q1020" t="s">
        <v>166</v>
      </c>
    </row>
    <row r="1021" spans="9:17" x14ac:dyDescent="0.45">
      <c r="I1021" t="s">
        <v>201</v>
      </c>
      <c r="J1021" t="s">
        <v>168</v>
      </c>
      <c r="K1021">
        <v>0.14936788651191854</v>
      </c>
      <c r="L1021" t="s">
        <v>166</v>
      </c>
      <c r="N1021" t="s">
        <v>266</v>
      </c>
      <c r="O1021" t="s">
        <v>168</v>
      </c>
      <c r="P1021">
        <v>3.9186998288539741E-2</v>
      </c>
      <c r="Q1021" t="s">
        <v>166</v>
      </c>
    </row>
    <row r="1022" spans="9:17" x14ac:dyDescent="0.45">
      <c r="I1022" t="s">
        <v>201</v>
      </c>
      <c r="J1022" t="s">
        <v>333</v>
      </c>
      <c r="K1022">
        <v>1.5369343051557972E-2</v>
      </c>
      <c r="L1022" t="s">
        <v>166</v>
      </c>
      <c r="N1022" t="s">
        <v>266</v>
      </c>
      <c r="O1022" t="s">
        <v>333</v>
      </c>
      <c r="P1022">
        <v>7.2536629319249861E-3</v>
      </c>
      <c r="Q1022" t="s">
        <v>166</v>
      </c>
    </row>
    <row r="1023" spans="9:17" x14ac:dyDescent="0.45">
      <c r="I1023" t="s">
        <v>201</v>
      </c>
      <c r="J1023" t="s">
        <v>334</v>
      </c>
      <c r="K1023">
        <v>3.7850141572440738E-3</v>
      </c>
      <c r="L1023" t="s">
        <v>166</v>
      </c>
      <c r="N1023" t="s">
        <v>266</v>
      </c>
      <c r="O1023" t="s">
        <v>334</v>
      </c>
      <c r="P1023">
        <v>7.6730088566283015E-3</v>
      </c>
      <c r="Q1023" t="s">
        <v>166</v>
      </c>
    </row>
    <row r="1024" spans="9:17" x14ac:dyDescent="0.45">
      <c r="I1024" t="s">
        <v>201</v>
      </c>
      <c r="J1024" t="s">
        <v>335</v>
      </c>
      <c r="K1024">
        <v>0</v>
      </c>
      <c r="L1024" t="s">
        <v>166</v>
      </c>
      <c r="N1024" t="s">
        <v>266</v>
      </c>
      <c r="O1024" t="s">
        <v>335</v>
      </c>
      <c r="P1024">
        <v>4.8349894329866007E-2</v>
      </c>
      <c r="Q1024" t="s">
        <v>166</v>
      </c>
    </row>
    <row r="1025" spans="9:17" x14ac:dyDescent="0.45">
      <c r="I1025" t="s">
        <v>201</v>
      </c>
      <c r="J1025" t="s">
        <v>169</v>
      </c>
      <c r="K1025">
        <v>4.5911226101829287E-2</v>
      </c>
      <c r="L1025" t="s">
        <v>166</v>
      </c>
      <c r="N1025" t="s">
        <v>266</v>
      </c>
      <c r="O1025" t="s">
        <v>169</v>
      </c>
      <c r="P1025">
        <v>8.6268905958201053E-2</v>
      </c>
      <c r="Q1025" t="s">
        <v>166</v>
      </c>
    </row>
    <row r="1026" spans="9:17" x14ac:dyDescent="0.45">
      <c r="I1026" t="s">
        <v>201</v>
      </c>
      <c r="J1026" t="s">
        <v>170</v>
      </c>
      <c r="K1026">
        <v>1.791427642348746E-2</v>
      </c>
      <c r="L1026" t="s">
        <v>166</v>
      </c>
      <c r="N1026" t="s">
        <v>266</v>
      </c>
      <c r="O1026" t="s">
        <v>170</v>
      </c>
      <c r="P1026">
        <v>6.8954754147588955E-3</v>
      </c>
      <c r="Q1026" t="s">
        <v>166</v>
      </c>
    </row>
    <row r="1027" spans="9:17" x14ac:dyDescent="0.45">
      <c r="I1027" t="s">
        <v>201</v>
      </c>
      <c r="J1027" t="s">
        <v>171</v>
      </c>
      <c r="K1027">
        <v>0.10468062811751187</v>
      </c>
      <c r="L1027" t="s">
        <v>166</v>
      </c>
      <c r="N1027" t="s">
        <v>266</v>
      </c>
      <c r="O1027" t="s">
        <v>171</v>
      </c>
      <c r="P1027">
        <v>4.7869693753933185E-2</v>
      </c>
      <c r="Q1027" t="s">
        <v>166</v>
      </c>
    </row>
    <row r="1028" spans="9:17" x14ac:dyDescent="0.45">
      <c r="I1028" t="s">
        <v>201</v>
      </c>
      <c r="J1028" t="s">
        <v>336</v>
      </c>
      <c r="K1028">
        <v>1.1949391986679469E-2</v>
      </c>
      <c r="L1028" t="s">
        <v>166</v>
      </c>
      <c r="N1028" t="s">
        <v>266</v>
      </c>
      <c r="O1028" t="s">
        <v>336</v>
      </c>
      <c r="P1028">
        <v>9.1164505287491225E-3</v>
      </c>
      <c r="Q1028" t="s">
        <v>166</v>
      </c>
    </row>
    <row r="1029" spans="9:17" x14ac:dyDescent="0.45">
      <c r="I1029" t="s">
        <v>201</v>
      </c>
      <c r="J1029" t="s">
        <v>337</v>
      </c>
      <c r="K1029">
        <v>7.0134278916558577E-3</v>
      </c>
      <c r="L1029" t="s">
        <v>166</v>
      </c>
      <c r="N1029" t="s">
        <v>266</v>
      </c>
      <c r="O1029" t="s">
        <v>337</v>
      </c>
      <c r="P1029">
        <v>9.131658197383756E-3</v>
      </c>
      <c r="Q1029" t="s">
        <v>166</v>
      </c>
    </row>
    <row r="1030" spans="9:17" x14ac:dyDescent="0.45">
      <c r="I1030" t="s">
        <v>201</v>
      </c>
      <c r="J1030" t="s">
        <v>338</v>
      </c>
      <c r="K1030">
        <v>3.3296858474843289E-4</v>
      </c>
      <c r="L1030" t="s">
        <v>166</v>
      </c>
      <c r="N1030" t="s">
        <v>266</v>
      </c>
      <c r="O1030" t="s">
        <v>338</v>
      </c>
      <c r="P1030">
        <v>5.1432600759131197E-2</v>
      </c>
      <c r="Q1030" t="s">
        <v>166</v>
      </c>
    </row>
    <row r="1031" spans="9:17" x14ac:dyDescent="0.45">
      <c r="I1031" t="s">
        <v>201</v>
      </c>
      <c r="J1031" t="s">
        <v>172</v>
      </c>
      <c r="K1031">
        <v>2.3325407298385465E-2</v>
      </c>
      <c r="L1031" t="s">
        <v>166</v>
      </c>
      <c r="N1031" t="s">
        <v>266</v>
      </c>
      <c r="O1031" t="s">
        <v>172</v>
      </c>
      <c r="P1031">
        <v>4.4659272941423259E-2</v>
      </c>
      <c r="Q1031" t="s">
        <v>166</v>
      </c>
    </row>
    <row r="1032" spans="9:17" x14ac:dyDescent="0.45">
      <c r="I1032" t="s">
        <v>201</v>
      </c>
      <c r="J1032" t="s">
        <v>173</v>
      </c>
      <c r="K1032">
        <v>8.6443666875379178E-3</v>
      </c>
      <c r="L1032" t="s">
        <v>166</v>
      </c>
      <c r="N1032" t="s">
        <v>266</v>
      </c>
      <c r="O1032" t="s">
        <v>173</v>
      </c>
      <c r="P1032">
        <v>3.2201337382501724E-3</v>
      </c>
      <c r="Q1032" t="s">
        <v>166</v>
      </c>
    </row>
    <row r="1033" spans="9:17" x14ac:dyDescent="0.45">
      <c r="I1033" t="s">
        <v>201</v>
      </c>
      <c r="J1033" t="s">
        <v>174</v>
      </c>
      <c r="K1033">
        <v>5.073690746791501E-2</v>
      </c>
      <c r="L1033" t="s">
        <v>166</v>
      </c>
      <c r="N1033" t="s">
        <v>266</v>
      </c>
      <c r="O1033" t="s">
        <v>174</v>
      </c>
      <c r="P1033">
        <v>1.3862688062041162E-2</v>
      </c>
      <c r="Q1033" t="s">
        <v>166</v>
      </c>
    </row>
    <row r="1034" spans="9:17" x14ac:dyDescent="0.45">
      <c r="I1034" t="s">
        <v>201</v>
      </c>
      <c r="J1034" t="s">
        <v>339</v>
      </c>
      <c r="K1034">
        <v>5.8962761931963346E-3</v>
      </c>
      <c r="L1034" t="s">
        <v>166</v>
      </c>
      <c r="N1034" t="s">
        <v>266</v>
      </c>
      <c r="O1034" t="s">
        <v>339</v>
      </c>
      <c r="P1034">
        <v>2.5671755783689175E-3</v>
      </c>
      <c r="Q1034" t="s">
        <v>166</v>
      </c>
    </row>
    <row r="1035" spans="9:17" x14ac:dyDescent="0.45">
      <c r="I1035" t="s">
        <v>201</v>
      </c>
      <c r="J1035" t="s">
        <v>340</v>
      </c>
      <c r="K1035">
        <v>3.8650656508275533E-3</v>
      </c>
      <c r="L1035" t="s">
        <v>166</v>
      </c>
      <c r="N1035" t="s">
        <v>266</v>
      </c>
      <c r="O1035" t="s">
        <v>340</v>
      </c>
      <c r="P1035">
        <v>3.0228548171877508E-3</v>
      </c>
      <c r="Q1035" t="s">
        <v>166</v>
      </c>
    </row>
    <row r="1036" spans="9:17" x14ac:dyDescent="0.45">
      <c r="I1036" t="s">
        <v>201</v>
      </c>
      <c r="J1036" t="s">
        <v>341</v>
      </c>
      <c r="K1036">
        <v>1.5213349758388891E-3</v>
      </c>
      <c r="L1036" t="s">
        <v>166</v>
      </c>
      <c r="N1036" t="s">
        <v>266</v>
      </c>
      <c r="O1036" t="s">
        <v>341</v>
      </c>
      <c r="P1036">
        <v>2.3677699119707865E-2</v>
      </c>
      <c r="Q1036" t="s">
        <v>166</v>
      </c>
    </row>
    <row r="1037" spans="9:17" x14ac:dyDescent="0.45">
      <c r="I1037" t="s">
        <v>201</v>
      </c>
      <c r="J1037" t="s">
        <v>175</v>
      </c>
      <c r="K1037">
        <v>2.1647893402639205E-2</v>
      </c>
      <c r="L1037" t="s">
        <v>166</v>
      </c>
      <c r="N1037" t="s">
        <v>266</v>
      </c>
      <c r="O1037" t="s">
        <v>175</v>
      </c>
      <c r="P1037">
        <v>5.2012383247579855E-2</v>
      </c>
      <c r="Q1037" t="s">
        <v>166</v>
      </c>
    </row>
    <row r="1038" spans="9:17" x14ac:dyDescent="0.45">
      <c r="I1038" t="s">
        <v>201</v>
      </c>
      <c r="J1038" t="s">
        <v>176</v>
      </c>
      <c r="K1038">
        <v>8.5095337039980904E-3</v>
      </c>
      <c r="L1038" t="s">
        <v>166</v>
      </c>
      <c r="N1038" t="s">
        <v>266</v>
      </c>
      <c r="O1038" t="s">
        <v>176</v>
      </c>
      <c r="P1038">
        <v>3.7690848017531624E-3</v>
      </c>
      <c r="Q1038" t="s">
        <v>166</v>
      </c>
    </row>
    <row r="1039" spans="9:17" x14ac:dyDescent="0.45">
      <c r="I1039" t="s">
        <v>201</v>
      </c>
      <c r="J1039" t="s">
        <v>177</v>
      </c>
      <c r="K1039">
        <v>5.0626508212661327E-2</v>
      </c>
      <c r="L1039" t="s">
        <v>166</v>
      </c>
      <c r="N1039" t="s">
        <v>266</v>
      </c>
      <c r="O1039" t="s">
        <v>177</v>
      </c>
      <c r="P1039">
        <v>1.6876769215928615E-2</v>
      </c>
      <c r="Q1039" t="s">
        <v>166</v>
      </c>
    </row>
    <row r="1040" spans="9:17" x14ac:dyDescent="0.45">
      <c r="I1040" t="s">
        <v>201</v>
      </c>
      <c r="J1040" t="s">
        <v>342</v>
      </c>
      <c r="K1040">
        <v>5.8583978769042545E-3</v>
      </c>
      <c r="L1040" t="s">
        <v>166</v>
      </c>
      <c r="N1040" t="s">
        <v>266</v>
      </c>
      <c r="O1040" t="s">
        <v>342</v>
      </c>
      <c r="P1040">
        <v>3.1782556663111469E-3</v>
      </c>
      <c r="Q1040" t="s">
        <v>166</v>
      </c>
    </row>
    <row r="1041" spans="9:17" x14ac:dyDescent="0.45">
      <c r="I1041" t="s">
        <v>201</v>
      </c>
      <c r="J1041" t="s">
        <v>343</v>
      </c>
      <c r="K1041">
        <v>3.5454370057069499E-3</v>
      </c>
      <c r="L1041" t="s">
        <v>166</v>
      </c>
      <c r="N1041" t="s">
        <v>266</v>
      </c>
      <c r="O1041" t="s">
        <v>343</v>
      </c>
      <c r="P1041">
        <v>3.5651806010866985E-3</v>
      </c>
      <c r="Q1041" t="s">
        <v>166</v>
      </c>
    </row>
    <row r="1042" spans="9:17" x14ac:dyDescent="0.45">
      <c r="I1042" t="s">
        <v>201</v>
      </c>
      <c r="J1042" t="s">
        <v>344</v>
      </c>
      <c r="K1042">
        <v>1.2569558970492887E-3</v>
      </c>
      <c r="L1042" t="s">
        <v>166</v>
      </c>
      <c r="N1042" t="s">
        <v>266</v>
      </c>
      <c r="O1042" t="s">
        <v>344</v>
      </c>
      <c r="P1042">
        <v>2.617529359782568E-2</v>
      </c>
      <c r="Q1042" t="s">
        <v>166</v>
      </c>
    </row>
    <row r="1043" spans="9:17" x14ac:dyDescent="0.45">
      <c r="I1043" t="s">
        <v>201</v>
      </c>
      <c r="J1043" t="s">
        <v>345</v>
      </c>
      <c r="K1043">
        <v>4.2245939748584392E-2</v>
      </c>
      <c r="L1043" t="s">
        <v>166</v>
      </c>
      <c r="N1043" t="s">
        <v>266</v>
      </c>
      <c r="O1043" t="s">
        <v>345</v>
      </c>
      <c r="P1043">
        <v>9.6759543532925318E-2</v>
      </c>
      <c r="Q1043" t="s">
        <v>166</v>
      </c>
    </row>
    <row r="1044" spans="9:17" x14ac:dyDescent="0.45">
      <c r="I1044" t="s">
        <v>201</v>
      </c>
      <c r="J1044" t="s">
        <v>346</v>
      </c>
      <c r="K1044">
        <v>1.7292850624818647E-2</v>
      </c>
      <c r="L1044" t="s">
        <v>166</v>
      </c>
      <c r="N1044" t="s">
        <v>266</v>
      </c>
      <c r="O1044" t="s">
        <v>346</v>
      </c>
      <c r="P1044">
        <v>6.1748481805130569E-3</v>
      </c>
      <c r="Q1044" t="s">
        <v>166</v>
      </c>
    </row>
    <row r="1045" spans="9:17" x14ac:dyDescent="0.45">
      <c r="I1045" t="s">
        <v>201</v>
      </c>
      <c r="J1045" t="s">
        <v>347</v>
      </c>
      <c r="K1045">
        <v>9.9771473490407686E-2</v>
      </c>
      <c r="L1045" t="s">
        <v>166</v>
      </c>
      <c r="N1045" t="s">
        <v>266</v>
      </c>
      <c r="O1045" t="s">
        <v>347</v>
      </c>
      <c r="P1045">
        <v>2.7459256585049673E-2</v>
      </c>
      <c r="Q1045" t="s">
        <v>166</v>
      </c>
    </row>
    <row r="1046" spans="9:17" x14ac:dyDescent="0.45">
      <c r="I1046" t="s">
        <v>201</v>
      </c>
      <c r="J1046" t="s">
        <v>348</v>
      </c>
      <c r="K1046">
        <v>1.0915413510867021E-2</v>
      </c>
      <c r="L1046" t="s">
        <v>166</v>
      </c>
      <c r="N1046" t="s">
        <v>266</v>
      </c>
      <c r="O1046" t="s">
        <v>348</v>
      </c>
      <c r="P1046">
        <v>5.7737086388440105E-3</v>
      </c>
      <c r="Q1046" t="s">
        <v>166</v>
      </c>
    </row>
    <row r="1047" spans="9:17" x14ac:dyDescent="0.45">
      <c r="I1047" t="s">
        <v>201</v>
      </c>
      <c r="J1047" t="s">
        <v>349</v>
      </c>
      <c r="K1047">
        <v>5.5270379300404486E-3</v>
      </c>
      <c r="L1047" t="s">
        <v>166</v>
      </c>
      <c r="N1047" t="s">
        <v>266</v>
      </c>
      <c r="O1047" t="s">
        <v>349</v>
      </c>
      <c r="P1047">
        <v>7.0575141995260918E-3</v>
      </c>
      <c r="Q1047" t="s">
        <v>166</v>
      </c>
    </row>
    <row r="1048" spans="9:17" x14ac:dyDescent="0.45">
      <c r="I1048" t="s">
        <v>201</v>
      </c>
      <c r="J1048" t="s">
        <v>350</v>
      </c>
      <c r="K1048">
        <v>8.1748694154974756E-5</v>
      </c>
      <c r="L1048" t="s">
        <v>166</v>
      </c>
      <c r="N1048" t="s">
        <v>266</v>
      </c>
      <c r="O1048" t="s">
        <v>350</v>
      </c>
      <c r="P1048">
        <v>5.4225448175560902E-2</v>
      </c>
      <c r="Q1048" t="s">
        <v>166</v>
      </c>
    </row>
    <row r="1049" spans="9:17" x14ac:dyDescent="0.45">
      <c r="I1049" t="s">
        <v>201</v>
      </c>
      <c r="J1049" t="s">
        <v>351</v>
      </c>
      <c r="K1049">
        <v>1.9666542865584929E-2</v>
      </c>
      <c r="L1049" t="s">
        <v>166</v>
      </c>
      <c r="N1049" t="s">
        <v>266</v>
      </c>
      <c r="O1049" t="s">
        <v>351</v>
      </c>
      <c r="P1049">
        <v>3.2365801839908358E-2</v>
      </c>
      <c r="Q1049" t="s">
        <v>166</v>
      </c>
    </row>
    <row r="1050" spans="9:17" x14ac:dyDescent="0.45">
      <c r="I1050" t="s">
        <v>201</v>
      </c>
      <c r="J1050" t="s">
        <v>352</v>
      </c>
      <c r="K1050">
        <v>8.6191936873626362E-3</v>
      </c>
      <c r="L1050" t="s">
        <v>166</v>
      </c>
      <c r="N1050" t="s">
        <v>266</v>
      </c>
      <c r="O1050" t="s">
        <v>352</v>
      </c>
      <c r="P1050">
        <v>1.5354997971979145E-3</v>
      </c>
      <c r="Q1050" t="s">
        <v>166</v>
      </c>
    </row>
    <row r="1051" spans="9:17" x14ac:dyDescent="0.45">
      <c r="I1051" t="s">
        <v>201</v>
      </c>
      <c r="J1051" t="s">
        <v>353</v>
      </c>
      <c r="K1051">
        <v>4.7070928250119666E-2</v>
      </c>
      <c r="L1051" t="s">
        <v>166</v>
      </c>
      <c r="N1051" t="s">
        <v>266</v>
      </c>
      <c r="O1051" t="s">
        <v>353</v>
      </c>
      <c r="P1051">
        <v>7.4525146808382672E-3</v>
      </c>
      <c r="Q1051" t="s">
        <v>166</v>
      </c>
    </row>
    <row r="1052" spans="9:17" x14ac:dyDescent="0.45">
      <c r="I1052" t="s">
        <v>201</v>
      </c>
      <c r="J1052" t="s">
        <v>354</v>
      </c>
      <c r="K1052">
        <v>4.0821759812591845E-3</v>
      </c>
      <c r="L1052" t="s">
        <v>166</v>
      </c>
      <c r="N1052" t="s">
        <v>266</v>
      </c>
      <c r="O1052" t="s">
        <v>354</v>
      </c>
      <c r="P1052">
        <v>1.8998833200964908E-3</v>
      </c>
      <c r="Q1052" t="s">
        <v>166</v>
      </c>
    </row>
    <row r="1053" spans="9:17" x14ac:dyDescent="0.45">
      <c r="I1053" t="s">
        <v>201</v>
      </c>
      <c r="J1053" t="s">
        <v>355</v>
      </c>
      <c r="K1053">
        <v>0</v>
      </c>
      <c r="L1053" t="s">
        <v>166</v>
      </c>
      <c r="N1053" t="s">
        <v>266</v>
      </c>
      <c r="O1053" t="s">
        <v>355</v>
      </c>
      <c r="P1053">
        <v>2.7980366706845542E-3</v>
      </c>
      <c r="Q1053" t="s">
        <v>166</v>
      </c>
    </row>
    <row r="1054" spans="9:17" x14ac:dyDescent="0.45">
      <c r="I1054" t="s">
        <v>201</v>
      </c>
      <c r="J1054" t="s">
        <v>356</v>
      </c>
      <c r="K1054">
        <v>0</v>
      </c>
      <c r="L1054" t="s">
        <v>166</v>
      </c>
      <c r="N1054" t="s">
        <v>266</v>
      </c>
      <c r="O1054" t="s">
        <v>356</v>
      </c>
      <c r="P1054">
        <v>2.0831620327623014E-2</v>
      </c>
      <c r="Q1054" t="s">
        <v>166</v>
      </c>
    </row>
    <row r="1055" spans="9:17" x14ac:dyDescent="0.45">
      <c r="I1055" t="s">
        <v>201</v>
      </c>
      <c r="J1055" t="s">
        <v>357</v>
      </c>
      <c r="K1055">
        <v>2.7166889037404295E-2</v>
      </c>
      <c r="L1055" t="s">
        <v>166</v>
      </c>
      <c r="N1055" t="s">
        <v>266</v>
      </c>
      <c r="O1055" t="s">
        <v>357</v>
      </c>
      <c r="P1055">
        <v>5.6472202618544319E-2</v>
      </c>
      <c r="Q1055" t="s">
        <v>166</v>
      </c>
    </row>
    <row r="1056" spans="9:17" x14ac:dyDescent="0.45">
      <c r="I1056" t="s">
        <v>201</v>
      </c>
      <c r="J1056" t="s">
        <v>358</v>
      </c>
      <c r="K1056">
        <v>1.5245041787711591E-2</v>
      </c>
      <c r="L1056" t="s">
        <v>166</v>
      </c>
      <c r="N1056" t="s">
        <v>266</v>
      </c>
      <c r="O1056" t="s">
        <v>358</v>
      </c>
      <c r="P1056">
        <v>3.2682139670851453E-3</v>
      </c>
      <c r="Q1056" t="s">
        <v>166</v>
      </c>
    </row>
    <row r="1057" spans="9:17" x14ac:dyDescent="0.45">
      <c r="I1057" t="s">
        <v>201</v>
      </c>
      <c r="J1057" t="s">
        <v>359</v>
      </c>
      <c r="K1057">
        <v>8.3265846384507722E-2</v>
      </c>
      <c r="L1057" t="s">
        <v>166</v>
      </c>
      <c r="N1057" t="s">
        <v>266</v>
      </c>
      <c r="O1057" t="s">
        <v>359</v>
      </c>
      <c r="P1057">
        <v>2.3758583401240093E-2</v>
      </c>
      <c r="Q1057" t="s">
        <v>166</v>
      </c>
    </row>
    <row r="1058" spans="9:17" x14ac:dyDescent="0.45">
      <c r="I1058" t="s">
        <v>201</v>
      </c>
      <c r="J1058" t="s">
        <v>360</v>
      </c>
      <c r="K1058">
        <v>6.203992337870245E-3</v>
      </c>
      <c r="L1058" t="s">
        <v>166</v>
      </c>
      <c r="N1058" t="s">
        <v>266</v>
      </c>
      <c r="O1058" t="s">
        <v>360</v>
      </c>
      <c r="P1058">
        <v>5.362201115786073E-3</v>
      </c>
      <c r="Q1058" t="s">
        <v>166</v>
      </c>
    </row>
    <row r="1059" spans="9:17" x14ac:dyDescent="0.45">
      <c r="I1059" t="s">
        <v>201</v>
      </c>
      <c r="J1059" t="s">
        <v>361</v>
      </c>
      <c r="K1059">
        <v>0</v>
      </c>
      <c r="L1059" t="s">
        <v>166</v>
      </c>
      <c r="N1059" t="s">
        <v>266</v>
      </c>
      <c r="O1059" t="s">
        <v>361</v>
      </c>
      <c r="P1059">
        <v>6.4125039713383795E-3</v>
      </c>
      <c r="Q1059" t="s">
        <v>166</v>
      </c>
    </row>
    <row r="1060" spans="9:17" x14ac:dyDescent="0.45">
      <c r="I1060" t="s">
        <v>201</v>
      </c>
      <c r="J1060" t="s">
        <v>362</v>
      </c>
      <c r="K1060">
        <v>0</v>
      </c>
      <c r="L1060" t="s">
        <v>166</v>
      </c>
      <c r="N1060" t="s">
        <v>266</v>
      </c>
      <c r="O1060" t="s">
        <v>362</v>
      </c>
      <c r="P1060">
        <v>3.6839066826934309E-2</v>
      </c>
      <c r="Q1060" t="s">
        <v>166</v>
      </c>
    </row>
    <row r="1061" spans="9:17" x14ac:dyDescent="0.45">
      <c r="I1061" t="s">
        <v>202</v>
      </c>
      <c r="J1061" t="s">
        <v>165</v>
      </c>
      <c r="K1061">
        <v>4.3441441995591655E-2</v>
      </c>
      <c r="L1061" t="s">
        <v>166</v>
      </c>
      <c r="N1061" t="s">
        <v>267</v>
      </c>
      <c r="O1061" t="s">
        <v>165</v>
      </c>
      <c r="P1061">
        <v>0.12519570306043171</v>
      </c>
      <c r="Q1061" t="s">
        <v>166</v>
      </c>
    </row>
    <row r="1062" spans="9:17" x14ac:dyDescent="0.45">
      <c r="I1062" t="s">
        <v>202</v>
      </c>
      <c r="J1062" t="s">
        <v>167</v>
      </c>
      <c r="K1062">
        <v>2.6222530236735205E-2</v>
      </c>
      <c r="L1062" t="s">
        <v>166</v>
      </c>
      <c r="N1062" t="s">
        <v>267</v>
      </c>
      <c r="O1062" t="s">
        <v>167</v>
      </c>
      <c r="P1062">
        <v>7.2685534842650149E-3</v>
      </c>
      <c r="Q1062" t="s">
        <v>166</v>
      </c>
    </row>
    <row r="1063" spans="9:17" x14ac:dyDescent="0.45">
      <c r="I1063" t="s">
        <v>202</v>
      </c>
      <c r="J1063" t="s">
        <v>168</v>
      </c>
      <c r="K1063">
        <v>0.14839949733313892</v>
      </c>
      <c r="L1063" t="s">
        <v>166</v>
      </c>
      <c r="N1063" t="s">
        <v>267</v>
      </c>
      <c r="O1063" t="s">
        <v>168</v>
      </c>
      <c r="P1063">
        <v>4.5391869327608018E-2</v>
      </c>
      <c r="Q1063" t="s">
        <v>166</v>
      </c>
    </row>
    <row r="1064" spans="9:17" x14ac:dyDescent="0.45">
      <c r="I1064" t="s">
        <v>202</v>
      </c>
      <c r="J1064" t="s">
        <v>333</v>
      </c>
      <c r="K1064">
        <v>1.6367829767603786E-2</v>
      </c>
      <c r="L1064" t="s">
        <v>166</v>
      </c>
      <c r="N1064" t="s">
        <v>267</v>
      </c>
      <c r="O1064" t="s">
        <v>333</v>
      </c>
      <c r="P1064">
        <v>7.8943444491616967E-3</v>
      </c>
      <c r="Q1064" t="s">
        <v>166</v>
      </c>
    </row>
    <row r="1065" spans="9:17" x14ac:dyDescent="0.45">
      <c r="I1065" t="s">
        <v>202</v>
      </c>
      <c r="J1065" t="s">
        <v>334</v>
      </c>
      <c r="K1065">
        <v>5.294858131798065E-3</v>
      </c>
      <c r="L1065" t="s">
        <v>166</v>
      </c>
      <c r="N1065" t="s">
        <v>267</v>
      </c>
      <c r="O1065" t="s">
        <v>334</v>
      </c>
      <c r="P1065">
        <v>7.9546815561970709E-3</v>
      </c>
      <c r="Q1065" t="s">
        <v>166</v>
      </c>
    </row>
    <row r="1066" spans="9:17" x14ac:dyDescent="0.45">
      <c r="I1066" t="s">
        <v>202</v>
      </c>
      <c r="J1066" t="s">
        <v>335</v>
      </c>
      <c r="K1066">
        <v>0</v>
      </c>
      <c r="L1066" t="s">
        <v>166</v>
      </c>
      <c r="N1066" t="s">
        <v>267</v>
      </c>
      <c r="O1066" t="s">
        <v>335</v>
      </c>
      <c r="P1066">
        <v>5.4102986431697413E-2</v>
      </c>
      <c r="Q1066" t="s">
        <v>166</v>
      </c>
    </row>
    <row r="1067" spans="9:17" x14ac:dyDescent="0.45">
      <c r="I1067" t="s">
        <v>202</v>
      </c>
      <c r="J1067" t="s">
        <v>169</v>
      </c>
      <c r="K1067">
        <v>4.5282279803962135E-2</v>
      </c>
      <c r="L1067" t="s">
        <v>166</v>
      </c>
      <c r="N1067" t="s">
        <v>267</v>
      </c>
      <c r="O1067" t="s">
        <v>169</v>
      </c>
      <c r="P1067">
        <v>8.6300595494845783E-2</v>
      </c>
      <c r="Q1067" t="s">
        <v>166</v>
      </c>
    </row>
    <row r="1068" spans="9:17" x14ac:dyDescent="0.45">
      <c r="I1068" t="s">
        <v>202</v>
      </c>
      <c r="J1068" t="s">
        <v>170</v>
      </c>
      <c r="K1068">
        <v>1.8083566760145969E-2</v>
      </c>
      <c r="L1068" t="s">
        <v>166</v>
      </c>
      <c r="N1068" t="s">
        <v>267</v>
      </c>
      <c r="O1068" t="s">
        <v>170</v>
      </c>
      <c r="P1068">
        <v>6.103966944462645E-3</v>
      </c>
      <c r="Q1068" t="s">
        <v>166</v>
      </c>
    </row>
    <row r="1069" spans="9:17" x14ac:dyDescent="0.45">
      <c r="I1069" t="s">
        <v>202</v>
      </c>
      <c r="J1069" t="s">
        <v>171</v>
      </c>
      <c r="K1069">
        <v>0.1065058077269576</v>
      </c>
      <c r="L1069" t="s">
        <v>166</v>
      </c>
      <c r="N1069" t="s">
        <v>267</v>
      </c>
      <c r="O1069" t="s">
        <v>171</v>
      </c>
      <c r="P1069">
        <v>3.9398161208204108E-2</v>
      </c>
      <c r="Q1069" t="s">
        <v>166</v>
      </c>
    </row>
    <row r="1070" spans="9:17" x14ac:dyDescent="0.45">
      <c r="I1070" t="s">
        <v>202</v>
      </c>
      <c r="J1070" t="s">
        <v>336</v>
      </c>
      <c r="K1070">
        <v>1.2905998183889629E-2</v>
      </c>
      <c r="L1070" t="s">
        <v>166</v>
      </c>
      <c r="N1070" t="s">
        <v>267</v>
      </c>
      <c r="O1070" t="s">
        <v>336</v>
      </c>
      <c r="P1070">
        <v>7.032368909926168E-3</v>
      </c>
      <c r="Q1070" t="s">
        <v>166</v>
      </c>
    </row>
    <row r="1071" spans="9:17" x14ac:dyDescent="0.45">
      <c r="I1071" t="s">
        <v>202</v>
      </c>
      <c r="J1071" t="s">
        <v>337</v>
      </c>
      <c r="K1071">
        <v>8.2054374035013238E-3</v>
      </c>
      <c r="L1071" t="s">
        <v>166</v>
      </c>
      <c r="N1071" t="s">
        <v>267</v>
      </c>
      <c r="O1071" t="s">
        <v>337</v>
      </c>
      <c r="P1071">
        <v>6.534465671776693E-3</v>
      </c>
      <c r="Q1071" t="s">
        <v>166</v>
      </c>
    </row>
    <row r="1072" spans="9:17" x14ac:dyDescent="0.45">
      <c r="I1072" t="s">
        <v>202</v>
      </c>
      <c r="J1072" t="s">
        <v>338</v>
      </c>
      <c r="K1072">
        <v>1.2730442298969304E-3</v>
      </c>
      <c r="L1072" t="s">
        <v>166</v>
      </c>
      <c r="N1072" t="s">
        <v>267</v>
      </c>
      <c r="O1072" t="s">
        <v>338</v>
      </c>
      <c r="P1072">
        <v>3.6022985174808321E-2</v>
      </c>
      <c r="Q1072" t="s">
        <v>166</v>
      </c>
    </row>
    <row r="1073" spans="9:17" x14ac:dyDescent="0.45">
      <c r="I1073" t="s">
        <v>202</v>
      </c>
      <c r="J1073" t="s">
        <v>172</v>
      </c>
      <c r="K1073">
        <v>2.256636416036531E-2</v>
      </c>
      <c r="L1073" t="s">
        <v>166</v>
      </c>
      <c r="N1073" t="s">
        <v>267</v>
      </c>
      <c r="O1073" t="s">
        <v>172</v>
      </c>
      <c r="P1073">
        <v>3.5940518205244208E-2</v>
      </c>
      <c r="Q1073" t="s">
        <v>166</v>
      </c>
    </row>
    <row r="1074" spans="9:17" x14ac:dyDescent="0.45">
      <c r="I1074" t="s">
        <v>202</v>
      </c>
      <c r="J1074" t="s">
        <v>173</v>
      </c>
      <c r="K1074">
        <v>8.4667324806299744E-3</v>
      </c>
      <c r="L1074" t="s">
        <v>166</v>
      </c>
      <c r="N1074" t="s">
        <v>267</v>
      </c>
      <c r="O1074" t="s">
        <v>173</v>
      </c>
      <c r="P1074">
        <v>2.2240213020508436E-3</v>
      </c>
      <c r="Q1074" t="s">
        <v>166</v>
      </c>
    </row>
    <row r="1075" spans="9:17" x14ac:dyDescent="0.45">
      <c r="I1075" t="s">
        <v>202</v>
      </c>
      <c r="J1075" t="s">
        <v>174</v>
      </c>
      <c r="K1075">
        <v>5.0637549679915669E-2</v>
      </c>
      <c r="L1075" t="s">
        <v>166</v>
      </c>
      <c r="N1075" t="s">
        <v>267</v>
      </c>
      <c r="O1075" t="s">
        <v>174</v>
      </c>
      <c r="P1075">
        <v>1.1320053709395875E-2</v>
      </c>
      <c r="Q1075" t="s">
        <v>166</v>
      </c>
    </row>
    <row r="1076" spans="9:17" x14ac:dyDescent="0.45">
      <c r="I1076" t="s">
        <v>202</v>
      </c>
      <c r="J1076" t="s">
        <v>339</v>
      </c>
      <c r="K1076">
        <v>6.2161076153869118E-3</v>
      </c>
      <c r="L1076" t="s">
        <v>166</v>
      </c>
      <c r="N1076" t="s">
        <v>267</v>
      </c>
      <c r="O1076" t="s">
        <v>339</v>
      </c>
      <c r="P1076">
        <v>1.6404655140503258E-3</v>
      </c>
      <c r="Q1076" t="s">
        <v>166</v>
      </c>
    </row>
    <row r="1077" spans="9:17" x14ac:dyDescent="0.45">
      <c r="I1077" t="s">
        <v>202</v>
      </c>
      <c r="J1077" t="s">
        <v>340</v>
      </c>
      <c r="K1077">
        <v>4.3442816973355766E-3</v>
      </c>
      <c r="L1077" t="s">
        <v>166</v>
      </c>
      <c r="N1077" t="s">
        <v>267</v>
      </c>
      <c r="O1077" t="s">
        <v>340</v>
      </c>
      <c r="P1077">
        <v>1.7288572498972551E-3</v>
      </c>
      <c r="Q1077" t="s">
        <v>166</v>
      </c>
    </row>
    <row r="1078" spans="9:17" x14ac:dyDescent="0.45">
      <c r="I1078" t="s">
        <v>202</v>
      </c>
      <c r="J1078" t="s">
        <v>341</v>
      </c>
      <c r="K1078">
        <v>1.8468145997938533E-3</v>
      </c>
      <c r="L1078" t="s">
        <v>166</v>
      </c>
      <c r="N1078" t="s">
        <v>267</v>
      </c>
      <c r="O1078" t="s">
        <v>341</v>
      </c>
      <c r="P1078">
        <v>1.5858881399639185E-2</v>
      </c>
      <c r="Q1078" t="s">
        <v>166</v>
      </c>
    </row>
    <row r="1079" spans="9:17" x14ac:dyDescent="0.45">
      <c r="I1079" t="s">
        <v>202</v>
      </c>
      <c r="J1079" t="s">
        <v>175</v>
      </c>
      <c r="K1079">
        <v>2.0713602207631712E-2</v>
      </c>
      <c r="L1079" t="s">
        <v>166</v>
      </c>
      <c r="N1079" t="s">
        <v>267</v>
      </c>
      <c r="O1079" t="s">
        <v>175</v>
      </c>
      <c r="P1079">
        <v>4.5286240717013204E-2</v>
      </c>
      <c r="Q1079" t="s">
        <v>166</v>
      </c>
    </row>
    <row r="1080" spans="9:17" x14ac:dyDescent="0.45">
      <c r="I1080" t="s">
        <v>202</v>
      </c>
      <c r="J1080" t="s">
        <v>176</v>
      </c>
      <c r="K1080">
        <v>8.3710273052398695E-3</v>
      </c>
      <c r="L1080" t="s">
        <v>166</v>
      </c>
      <c r="N1080" t="s">
        <v>267</v>
      </c>
      <c r="O1080" t="s">
        <v>176</v>
      </c>
      <c r="P1080">
        <v>3.5603919943762272E-3</v>
      </c>
      <c r="Q1080" t="s">
        <v>166</v>
      </c>
    </row>
    <row r="1081" spans="9:17" x14ac:dyDescent="0.45">
      <c r="I1081" t="s">
        <v>202</v>
      </c>
      <c r="J1081" t="s">
        <v>177</v>
      </c>
      <c r="K1081">
        <v>5.0183184283265424E-2</v>
      </c>
      <c r="L1081" t="s">
        <v>166</v>
      </c>
      <c r="N1081" t="s">
        <v>267</v>
      </c>
      <c r="O1081" t="s">
        <v>177</v>
      </c>
      <c r="P1081">
        <v>1.5684247511854495E-2</v>
      </c>
      <c r="Q1081" t="s">
        <v>166</v>
      </c>
    </row>
    <row r="1082" spans="9:17" x14ac:dyDescent="0.45">
      <c r="I1082" t="s">
        <v>202</v>
      </c>
      <c r="J1082" t="s">
        <v>342</v>
      </c>
      <c r="K1082">
        <v>5.9579306211640466E-3</v>
      </c>
      <c r="L1082" t="s">
        <v>166</v>
      </c>
      <c r="N1082" t="s">
        <v>267</v>
      </c>
      <c r="O1082" t="s">
        <v>342</v>
      </c>
      <c r="P1082">
        <v>2.0621937357531116E-3</v>
      </c>
      <c r="Q1082" t="s">
        <v>166</v>
      </c>
    </row>
    <row r="1083" spans="9:17" x14ac:dyDescent="0.45">
      <c r="I1083" t="s">
        <v>202</v>
      </c>
      <c r="J1083" t="s">
        <v>343</v>
      </c>
      <c r="K1083">
        <v>3.7732203768736524E-3</v>
      </c>
      <c r="L1083" t="s">
        <v>166</v>
      </c>
      <c r="N1083" t="s">
        <v>267</v>
      </c>
      <c r="O1083" t="s">
        <v>343</v>
      </c>
      <c r="P1083">
        <v>2.2020210461439686E-3</v>
      </c>
      <c r="Q1083" t="s">
        <v>166</v>
      </c>
    </row>
    <row r="1084" spans="9:17" x14ac:dyDescent="0.45">
      <c r="I1084" t="s">
        <v>202</v>
      </c>
      <c r="J1084" t="s">
        <v>344</v>
      </c>
      <c r="K1084">
        <v>1.4922026133133892E-3</v>
      </c>
      <c r="L1084" t="s">
        <v>166</v>
      </c>
      <c r="N1084" t="s">
        <v>267</v>
      </c>
      <c r="O1084" t="s">
        <v>344</v>
      </c>
      <c r="P1084">
        <v>1.668008318031728E-2</v>
      </c>
      <c r="Q1084" t="s">
        <v>166</v>
      </c>
    </row>
    <row r="1085" spans="9:17" x14ac:dyDescent="0.45">
      <c r="I1085" t="s">
        <v>202</v>
      </c>
      <c r="J1085" t="s">
        <v>345</v>
      </c>
      <c r="K1085">
        <v>3.911922143706463E-2</v>
      </c>
      <c r="L1085" t="s">
        <v>166</v>
      </c>
      <c r="N1085" t="s">
        <v>267</v>
      </c>
      <c r="O1085" t="s">
        <v>345</v>
      </c>
      <c r="P1085">
        <v>0.10254010323685987</v>
      </c>
      <c r="Q1085" t="s">
        <v>166</v>
      </c>
    </row>
    <row r="1086" spans="9:17" x14ac:dyDescent="0.45">
      <c r="I1086" t="s">
        <v>202</v>
      </c>
      <c r="J1086" t="s">
        <v>346</v>
      </c>
      <c r="K1086">
        <v>1.6921043154216407E-2</v>
      </c>
      <c r="L1086" t="s">
        <v>166</v>
      </c>
      <c r="N1086" t="s">
        <v>267</v>
      </c>
      <c r="O1086" t="s">
        <v>346</v>
      </c>
      <c r="P1086">
        <v>6.8149983425991427E-3</v>
      </c>
      <c r="Q1086" t="s">
        <v>166</v>
      </c>
    </row>
    <row r="1087" spans="9:17" x14ac:dyDescent="0.45">
      <c r="I1087" t="s">
        <v>202</v>
      </c>
      <c r="J1087" t="s">
        <v>347</v>
      </c>
      <c r="K1087">
        <v>9.8775876764746598E-2</v>
      </c>
      <c r="L1087" t="s">
        <v>166</v>
      </c>
      <c r="N1087" t="s">
        <v>267</v>
      </c>
      <c r="O1087" t="s">
        <v>347</v>
      </c>
      <c r="P1087">
        <v>2.9674657872304975E-2</v>
      </c>
      <c r="Q1087" t="s">
        <v>166</v>
      </c>
    </row>
    <row r="1088" spans="9:17" x14ac:dyDescent="0.45">
      <c r="I1088" t="s">
        <v>202</v>
      </c>
      <c r="J1088" t="s">
        <v>348</v>
      </c>
      <c r="K1088">
        <v>1.160822486357849E-2</v>
      </c>
      <c r="L1088" t="s">
        <v>166</v>
      </c>
      <c r="N1088" t="s">
        <v>267</v>
      </c>
      <c r="O1088" t="s">
        <v>348</v>
      </c>
      <c r="P1088">
        <v>3.9659735192480918E-3</v>
      </c>
      <c r="Q1088" t="s">
        <v>166</v>
      </c>
    </row>
    <row r="1089" spans="9:17" x14ac:dyDescent="0.45">
      <c r="I1089" t="s">
        <v>202</v>
      </c>
      <c r="J1089" t="s">
        <v>349</v>
      </c>
      <c r="K1089">
        <v>6.8124771342439753E-3</v>
      </c>
      <c r="L1089" t="s">
        <v>166</v>
      </c>
      <c r="N1089" t="s">
        <v>267</v>
      </c>
      <c r="O1089" t="s">
        <v>349</v>
      </c>
      <c r="P1089">
        <v>4.4046480028341771E-3</v>
      </c>
      <c r="Q1089" t="s">
        <v>166</v>
      </c>
    </row>
    <row r="1090" spans="9:17" x14ac:dyDescent="0.45">
      <c r="I1090" t="s">
        <v>202</v>
      </c>
      <c r="J1090" t="s">
        <v>350</v>
      </c>
      <c r="K1090">
        <v>7.4566389790538365E-4</v>
      </c>
      <c r="L1090" t="s">
        <v>166</v>
      </c>
      <c r="N1090" t="s">
        <v>267</v>
      </c>
      <c r="O1090" t="s">
        <v>350</v>
      </c>
      <c r="P1090">
        <v>4.1947172143982803E-2</v>
      </c>
      <c r="Q1090" t="s">
        <v>166</v>
      </c>
    </row>
    <row r="1091" spans="9:17" x14ac:dyDescent="0.45">
      <c r="I1091" t="s">
        <v>202</v>
      </c>
      <c r="J1091" t="s">
        <v>351</v>
      </c>
      <c r="K1091">
        <v>1.8768555670792591E-2</v>
      </c>
      <c r="L1091" t="s">
        <v>166</v>
      </c>
      <c r="N1091" t="s">
        <v>267</v>
      </c>
      <c r="O1091" t="s">
        <v>351</v>
      </c>
      <c r="P1091">
        <v>3.3104772228587959E-2</v>
      </c>
      <c r="Q1091" t="s">
        <v>166</v>
      </c>
    </row>
    <row r="1092" spans="9:17" x14ac:dyDescent="0.45">
      <c r="I1092" t="s">
        <v>202</v>
      </c>
      <c r="J1092" t="s">
        <v>352</v>
      </c>
      <c r="K1092">
        <v>8.5332484607827264E-3</v>
      </c>
      <c r="L1092" t="s">
        <v>166</v>
      </c>
      <c r="N1092" t="s">
        <v>267</v>
      </c>
      <c r="O1092" t="s">
        <v>352</v>
      </c>
      <c r="P1092">
        <v>1.1757952583540141E-3</v>
      </c>
      <c r="Q1092" t="s">
        <v>166</v>
      </c>
    </row>
    <row r="1093" spans="9:17" x14ac:dyDescent="0.45">
      <c r="I1093" t="s">
        <v>202</v>
      </c>
      <c r="J1093" t="s">
        <v>353</v>
      </c>
      <c r="K1093">
        <v>4.7417668211170313E-2</v>
      </c>
      <c r="L1093" t="s">
        <v>166</v>
      </c>
      <c r="N1093" t="s">
        <v>267</v>
      </c>
      <c r="O1093" t="s">
        <v>353</v>
      </c>
      <c r="P1093">
        <v>7.4772393362272102E-3</v>
      </c>
      <c r="Q1093" t="s">
        <v>166</v>
      </c>
    </row>
    <row r="1094" spans="9:17" x14ac:dyDescent="0.45">
      <c r="I1094" t="s">
        <v>202</v>
      </c>
      <c r="J1094" t="s">
        <v>354</v>
      </c>
      <c r="K1094">
        <v>4.7400163460573552E-3</v>
      </c>
      <c r="L1094" t="s">
        <v>166</v>
      </c>
      <c r="N1094" t="s">
        <v>267</v>
      </c>
      <c r="O1094" t="s">
        <v>354</v>
      </c>
      <c r="P1094">
        <v>1.2272620135904007E-3</v>
      </c>
      <c r="Q1094" t="s">
        <v>166</v>
      </c>
    </row>
    <row r="1095" spans="9:17" x14ac:dyDescent="0.45">
      <c r="I1095" t="s">
        <v>202</v>
      </c>
      <c r="J1095" t="s">
        <v>355</v>
      </c>
      <c r="K1095">
        <v>1.7204882519144572E-4</v>
      </c>
      <c r="L1095" t="s">
        <v>166</v>
      </c>
      <c r="N1095" t="s">
        <v>267</v>
      </c>
      <c r="O1095" t="s">
        <v>355</v>
      </c>
      <c r="P1095">
        <v>1.4753731191782652E-3</v>
      </c>
      <c r="Q1095" t="s">
        <v>166</v>
      </c>
    </row>
    <row r="1096" spans="9:17" x14ac:dyDescent="0.45">
      <c r="I1096" t="s">
        <v>202</v>
      </c>
      <c r="J1096" t="s">
        <v>356</v>
      </c>
      <c r="K1096">
        <v>0</v>
      </c>
      <c r="L1096" t="s">
        <v>166</v>
      </c>
      <c r="N1096" t="s">
        <v>267</v>
      </c>
      <c r="O1096" t="s">
        <v>356</v>
      </c>
      <c r="P1096">
        <v>1.3759897990961894E-2</v>
      </c>
      <c r="Q1096" t="s">
        <v>166</v>
      </c>
    </row>
    <row r="1097" spans="9:17" x14ac:dyDescent="0.45">
      <c r="I1097" t="s">
        <v>202</v>
      </c>
      <c r="J1097" t="s">
        <v>357</v>
      </c>
      <c r="K1097">
        <v>2.4872721996002701E-2</v>
      </c>
      <c r="L1097" t="s">
        <v>166</v>
      </c>
      <c r="N1097" t="s">
        <v>267</v>
      </c>
      <c r="O1097" t="s">
        <v>357</v>
      </c>
      <c r="P1097">
        <v>8.5237612406061189E-2</v>
      </c>
      <c r="Q1097" t="s">
        <v>166</v>
      </c>
    </row>
    <row r="1098" spans="9:17" x14ac:dyDescent="0.45">
      <c r="I1098" t="s">
        <v>202</v>
      </c>
      <c r="J1098" t="s">
        <v>358</v>
      </c>
      <c r="K1098">
        <v>1.5254208121349533E-2</v>
      </c>
      <c r="L1098" t="s">
        <v>166</v>
      </c>
      <c r="N1098" t="s">
        <v>267</v>
      </c>
      <c r="O1098" t="s">
        <v>358</v>
      </c>
      <c r="P1098">
        <v>4.3579257854067738E-3</v>
      </c>
      <c r="Q1098" t="s">
        <v>166</v>
      </c>
    </row>
    <row r="1099" spans="9:17" x14ac:dyDescent="0.45">
      <c r="I1099" t="s">
        <v>202</v>
      </c>
      <c r="J1099" t="s">
        <v>359</v>
      </c>
      <c r="K1099">
        <v>8.3289521873402939E-2</v>
      </c>
      <c r="L1099" t="s">
        <v>166</v>
      </c>
      <c r="N1099" t="s">
        <v>267</v>
      </c>
      <c r="O1099" t="s">
        <v>359</v>
      </c>
      <c r="P1099">
        <v>2.6399945467906284E-2</v>
      </c>
      <c r="Q1099" t="s">
        <v>166</v>
      </c>
    </row>
    <row r="1100" spans="9:17" x14ac:dyDescent="0.45">
      <c r="I1100" t="s">
        <v>202</v>
      </c>
      <c r="J1100" t="s">
        <v>360</v>
      </c>
      <c r="K1100">
        <v>6.4181940293585472E-3</v>
      </c>
      <c r="L1100" t="s">
        <v>166</v>
      </c>
      <c r="N1100" t="s">
        <v>267</v>
      </c>
      <c r="O1100" t="s">
        <v>360</v>
      </c>
      <c r="P1100">
        <v>5.0593454964231194E-3</v>
      </c>
      <c r="Q1100" t="s">
        <v>166</v>
      </c>
    </row>
    <row r="1101" spans="9:17" x14ac:dyDescent="0.45">
      <c r="I1101" t="s">
        <v>202</v>
      </c>
      <c r="J1101" t="s">
        <v>361</v>
      </c>
      <c r="K1101">
        <v>0</v>
      </c>
      <c r="L1101" t="s">
        <v>166</v>
      </c>
      <c r="N1101" t="s">
        <v>267</v>
      </c>
      <c r="O1101" t="s">
        <v>361</v>
      </c>
      <c r="P1101">
        <v>6.0390270157514008E-3</v>
      </c>
      <c r="Q1101" t="s">
        <v>166</v>
      </c>
    </row>
    <row r="1102" spans="9:17" x14ac:dyDescent="0.45">
      <c r="I1102" t="s">
        <v>202</v>
      </c>
      <c r="J1102" t="s">
        <v>362</v>
      </c>
      <c r="K1102">
        <v>0</v>
      </c>
      <c r="L1102" t="s">
        <v>166</v>
      </c>
      <c r="N1102" t="s">
        <v>267</v>
      </c>
      <c r="O1102" t="s">
        <v>362</v>
      </c>
      <c r="P1102">
        <v>4.1949593484606064E-2</v>
      </c>
      <c r="Q1102" t="s">
        <v>166</v>
      </c>
    </row>
    <row r="1103" spans="9:17" x14ac:dyDescent="0.45">
      <c r="I1103" t="s">
        <v>203</v>
      </c>
      <c r="J1103" t="s">
        <v>165</v>
      </c>
      <c r="K1103">
        <v>4.3603283816496349E-2</v>
      </c>
      <c r="L1103" t="s">
        <v>166</v>
      </c>
      <c r="N1103" t="s">
        <v>268</v>
      </c>
      <c r="O1103" t="s">
        <v>165</v>
      </c>
      <c r="P1103">
        <v>0.12183174310594276</v>
      </c>
      <c r="Q1103" t="s">
        <v>166</v>
      </c>
    </row>
    <row r="1104" spans="9:17" x14ac:dyDescent="0.45">
      <c r="I1104" t="s">
        <v>203</v>
      </c>
      <c r="J1104" t="s">
        <v>167</v>
      </c>
      <c r="K1104">
        <v>2.6341500697085435E-2</v>
      </c>
      <c r="L1104" t="s">
        <v>166</v>
      </c>
      <c r="N1104" t="s">
        <v>268</v>
      </c>
      <c r="O1104" t="s">
        <v>167</v>
      </c>
      <c r="P1104">
        <v>7.590283811543334E-3</v>
      </c>
      <c r="Q1104" t="s">
        <v>166</v>
      </c>
    </row>
    <row r="1105" spans="9:17" x14ac:dyDescent="0.45">
      <c r="I1105" t="s">
        <v>203</v>
      </c>
      <c r="J1105" t="s">
        <v>168</v>
      </c>
      <c r="K1105">
        <v>0.1520915881054769</v>
      </c>
      <c r="L1105" t="s">
        <v>166</v>
      </c>
      <c r="N1105" t="s">
        <v>268</v>
      </c>
      <c r="O1105" t="s">
        <v>168</v>
      </c>
      <c r="P1105">
        <v>4.5546291520534091E-2</v>
      </c>
      <c r="Q1105" t="s">
        <v>166</v>
      </c>
    </row>
    <row r="1106" spans="9:17" x14ac:dyDescent="0.45">
      <c r="I1106" t="s">
        <v>203</v>
      </c>
      <c r="J1106" t="s">
        <v>333</v>
      </c>
      <c r="K1106">
        <v>1.6820333389549968E-2</v>
      </c>
      <c r="L1106" t="s">
        <v>166</v>
      </c>
      <c r="N1106" t="s">
        <v>268</v>
      </c>
      <c r="O1106" t="s">
        <v>333</v>
      </c>
      <c r="P1106">
        <v>7.7765631707643274E-3</v>
      </c>
      <c r="Q1106" t="s">
        <v>166</v>
      </c>
    </row>
    <row r="1107" spans="9:17" x14ac:dyDescent="0.45">
      <c r="I1107" t="s">
        <v>203</v>
      </c>
      <c r="J1107" t="s">
        <v>334</v>
      </c>
      <c r="K1107">
        <v>5.341706834662994E-3</v>
      </c>
      <c r="L1107" t="s">
        <v>166</v>
      </c>
      <c r="N1107" t="s">
        <v>268</v>
      </c>
      <c r="O1107" t="s">
        <v>334</v>
      </c>
      <c r="P1107">
        <v>7.6515000853860189E-3</v>
      </c>
      <c r="Q1107" t="s">
        <v>166</v>
      </c>
    </row>
    <row r="1108" spans="9:17" x14ac:dyDescent="0.45">
      <c r="I1108" t="s">
        <v>203</v>
      </c>
      <c r="J1108" t="s">
        <v>335</v>
      </c>
      <c r="K1108">
        <v>0</v>
      </c>
      <c r="L1108" t="s">
        <v>166</v>
      </c>
      <c r="N1108" t="s">
        <v>268</v>
      </c>
      <c r="O1108" t="s">
        <v>335</v>
      </c>
      <c r="P1108">
        <v>5.1126547354583447E-2</v>
      </c>
      <c r="Q1108" t="s">
        <v>166</v>
      </c>
    </row>
    <row r="1109" spans="9:17" x14ac:dyDescent="0.45">
      <c r="I1109" t="s">
        <v>203</v>
      </c>
      <c r="J1109" t="s">
        <v>169</v>
      </c>
      <c r="K1109">
        <v>4.3760694851132445E-2</v>
      </c>
      <c r="L1109" t="s">
        <v>166</v>
      </c>
      <c r="N1109" t="s">
        <v>268</v>
      </c>
      <c r="O1109" t="s">
        <v>169</v>
      </c>
      <c r="P1109">
        <v>9.7099941325485897E-2</v>
      </c>
      <c r="Q1109" t="s">
        <v>166</v>
      </c>
    </row>
    <row r="1110" spans="9:17" x14ac:dyDescent="0.45">
      <c r="I1110" t="s">
        <v>203</v>
      </c>
      <c r="J1110" t="s">
        <v>170</v>
      </c>
      <c r="K1110">
        <v>1.7808501369308546E-2</v>
      </c>
      <c r="L1110" t="s">
        <v>166</v>
      </c>
      <c r="N1110" t="s">
        <v>268</v>
      </c>
      <c r="O1110" t="s">
        <v>170</v>
      </c>
      <c r="P1110">
        <v>6.6655738062035945E-3</v>
      </c>
      <c r="Q1110" t="s">
        <v>166</v>
      </c>
    </row>
    <row r="1111" spans="9:17" x14ac:dyDescent="0.45">
      <c r="I1111" t="s">
        <v>203</v>
      </c>
      <c r="J1111" t="s">
        <v>171</v>
      </c>
      <c r="K1111">
        <v>0.10499484590059323</v>
      </c>
      <c r="L1111" t="s">
        <v>166</v>
      </c>
      <c r="N1111" t="s">
        <v>268</v>
      </c>
      <c r="O1111" t="s">
        <v>171</v>
      </c>
      <c r="P1111">
        <v>4.4425273732133459E-2</v>
      </c>
      <c r="Q1111" t="s">
        <v>166</v>
      </c>
    </row>
    <row r="1112" spans="9:17" x14ac:dyDescent="0.45">
      <c r="I1112" t="s">
        <v>203</v>
      </c>
      <c r="J1112" t="s">
        <v>336</v>
      </c>
      <c r="K1112">
        <v>1.216471349317096E-2</v>
      </c>
      <c r="L1112" t="s">
        <v>166</v>
      </c>
      <c r="N1112" t="s">
        <v>268</v>
      </c>
      <c r="O1112" t="s">
        <v>336</v>
      </c>
      <c r="P1112">
        <v>7.8811585432442526E-3</v>
      </c>
      <c r="Q1112" t="s">
        <v>166</v>
      </c>
    </row>
    <row r="1113" spans="9:17" x14ac:dyDescent="0.45">
      <c r="I1113" t="s">
        <v>203</v>
      </c>
      <c r="J1113" t="s">
        <v>337</v>
      </c>
      <c r="K1113">
        <v>7.5022398137201017E-3</v>
      </c>
      <c r="L1113" t="s">
        <v>166</v>
      </c>
      <c r="N1113" t="s">
        <v>268</v>
      </c>
      <c r="O1113" t="s">
        <v>337</v>
      </c>
      <c r="P1113">
        <v>7.3037331875745806E-3</v>
      </c>
      <c r="Q1113" t="s">
        <v>166</v>
      </c>
    </row>
    <row r="1114" spans="9:17" x14ac:dyDescent="0.45">
      <c r="I1114" t="s">
        <v>203</v>
      </c>
      <c r="J1114" t="s">
        <v>338</v>
      </c>
      <c r="K1114">
        <v>8.5300029334419098E-4</v>
      </c>
      <c r="L1114" t="s">
        <v>166</v>
      </c>
      <c r="N1114" t="s">
        <v>268</v>
      </c>
      <c r="O1114" t="s">
        <v>338</v>
      </c>
      <c r="P1114">
        <v>3.8987807650383212E-2</v>
      </c>
      <c r="Q1114" t="s">
        <v>166</v>
      </c>
    </row>
    <row r="1115" spans="9:17" x14ac:dyDescent="0.45">
      <c r="I1115" t="s">
        <v>203</v>
      </c>
      <c r="J1115" t="s">
        <v>172</v>
      </c>
      <c r="K1115">
        <v>2.2085942473796683E-2</v>
      </c>
      <c r="L1115" t="s">
        <v>166</v>
      </c>
      <c r="N1115" t="s">
        <v>268</v>
      </c>
      <c r="O1115" t="s">
        <v>172</v>
      </c>
      <c r="P1115">
        <v>3.5860915403392285E-2</v>
      </c>
      <c r="Q1115" t="s">
        <v>166</v>
      </c>
    </row>
    <row r="1116" spans="9:17" x14ac:dyDescent="0.45">
      <c r="I1116" t="s">
        <v>203</v>
      </c>
      <c r="J1116" t="s">
        <v>173</v>
      </c>
      <c r="K1116">
        <v>8.4456506643470226E-3</v>
      </c>
      <c r="L1116" t="s">
        <v>166</v>
      </c>
      <c r="N1116" t="s">
        <v>268</v>
      </c>
      <c r="O1116" t="s">
        <v>173</v>
      </c>
      <c r="P1116">
        <v>2.1474023218308116E-3</v>
      </c>
      <c r="Q1116" t="s">
        <v>166</v>
      </c>
    </row>
    <row r="1117" spans="9:17" x14ac:dyDescent="0.45">
      <c r="I1117" t="s">
        <v>203</v>
      </c>
      <c r="J1117" t="s">
        <v>174</v>
      </c>
      <c r="K1117">
        <v>5.0059668034910181E-2</v>
      </c>
      <c r="L1117" t="s">
        <v>166</v>
      </c>
      <c r="N1117" t="s">
        <v>268</v>
      </c>
      <c r="O1117" t="s">
        <v>174</v>
      </c>
      <c r="P1117">
        <v>8.6984645563204753E-3</v>
      </c>
      <c r="Q1117" t="s">
        <v>166</v>
      </c>
    </row>
    <row r="1118" spans="9:17" x14ac:dyDescent="0.45">
      <c r="I1118" t="s">
        <v>203</v>
      </c>
      <c r="J1118" t="s">
        <v>339</v>
      </c>
      <c r="K1118">
        <v>5.7977057818567723E-3</v>
      </c>
      <c r="L1118" t="s">
        <v>166</v>
      </c>
      <c r="N1118" t="s">
        <v>268</v>
      </c>
      <c r="O1118" t="s">
        <v>339</v>
      </c>
      <c r="P1118">
        <v>1.1822499906859862E-3</v>
      </c>
      <c r="Q1118" t="s">
        <v>166</v>
      </c>
    </row>
    <row r="1119" spans="9:17" x14ac:dyDescent="0.45">
      <c r="I1119" t="s">
        <v>203</v>
      </c>
      <c r="J1119" t="s">
        <v>340</v>
      </c>
      <c r="K1119">
        <v>3.8937383907104123E-3</v>
      </c>
      <c r="L1119" t="s">
        <v>166</v>
      </c>
      <c r="N1119" t="s">
        <v>268</v>
      </c>
      <c r="O1119" t="s">
        <v>340</v>
      </c>
      <c r="P1119">
        <v>1.176185439139455E-3</v>
      </c>
      <c r="Q1119" t="s">
        <v>166</v>
      </c>
    </row>
    <row r="1120" spans="9:17" x14ac:dyDescent="0.45">
      <c r="I1120" t="s">
        <v>203</v>
      </c>
      <c r="J1120" t="s">
        <v>341</v>
      </c>
      <c r="K1120">
        <v>1.5583492800933527E-3</v>
      </c>
      <c r="L1120" t="s">
        <v>166</v>
      </c>
      <c r="N1120" t="s">
        <v>268</v>
      </c>
      <c r="O1120" t="s">
        <v>341</v>
      </c>
      <c r="P1120">
        <v>9.9900468539917027E-3</v>
      </c>
      <c r="Q1120" t="s">
        <v>166</v>
      </c>
    </row>
    <row r="1121" spans="9:17" x14ac:dyDescent="0.45">
      <c r="I1121" t="s">
        <v>203</v>
      </c>
      <c r="J1121" t="s">
        <v>175</v>
      </c>
      <c r="K1121">
        <v>2.034010736245238E-2</v>
      </c>
      <c r="L1121" t="s">
        <v>166</v>
      </c>
      <c r="N1121" t="s">
        <v>268</v>
      </c>
      <c r="O1121" t="s">
        <v>175</v>
      </c>
      <c r="P1121">
        <v>3.9202173328181975E-2</v>
      </c>
      <c r="Q1121" t="s">
        <v>166</v>
      </c>
    </row>
    <row r="1122" spans="9:17" x14ac:dyDescent="0.45">
      <c r="I1122" t="s">
        <v>203</v>
      </c>
      <c r="J1122" t="s">
        <v>176</v>
      </c>
      <c r="K1122">
        <v>8.3538258803112653E-3</v>
      </c>
      <c r="L1122" t="s">
        <v>166</v>
      </c>
      <c r="N1122" t="s">
        <v>268</v>
      </c>
      <c r="O1122" t="s">
        <v>176</v>
      </c>
      <c r="P1122">
        <v>3.2034000343933097E-3</v>
      </c>
      <c r="Q1122" t="s">
        <v>166</v>
      </c>
    </row>
    <row r="1123" spans="9:17" x14ac:dyDescent="0.45">
      <c r="I1123" t="s">
        <v>203</v>
      </c>
      <c r="J1123" t="s">
        <v>177</v>
      </c>
      <c r="K1123">
        <v>4.99408656997027E-2</v>
      </c>
      <c r="L1123" t="s">
        <v>166</v>
      </c>
      <c r="N1123" t="s">
        <v>268</v>
      </c>
      <c r="O1123" t="s">
        <v>177</v>
      </c>
      <c r="P1123">
        <v>1.4602493693170583E-2</v>
      </c>
      <c r="Q1123" t="s">
        <v>166</v>
      </c>
    </row>
    <row r="1124" spans="9:17" x14ac:dyDescent="0.45">
      <c r="I1124" t="s">
        <v>203</v>
      </c>
      <c r="J1124" t="s">
        <v>342</v>
      </c>
      <c r="K1124">
        <v>5.5600363629971046E-3</v>
      </c>
      <c r="L1124" t="s">
        <v>166</v>
      </c>
      <c r="N1124" t="s">
        <v>268</v>
      </c>
      <c r="O1124" t="s">
        <v>342</v>
      </c>
      <c r="P1124">
        <v>1.9069193619767049E-3</v>
      </c>
      <c r="Q1124" t="s">
        <v>166</v>
      </c>
    </row>
    <row r="1125" spans="9:17" x14ac:dyDescent="0.45">
      <c r="I1125" t="s">
        <v>203</v>
      </c>
      <c r="J1125" t="s">
        <v>343</v>
      </c>
      <c r="K1125">
        <v>3.4513765478591685E-3</v>
      </c>
      <c r="L1125" t="s">
        <v>166</v>
      </c>
      <c r="N1125" t="s">
        <v>268</v>
      </c>
      <c r="O1125" t="s">
        <v>343</v>
      </c>
      <c r="P1125">
        <v>1.9393110470687237E-3</v>
      </c>
      <c r="Q1125" t="s">
        <v>166</v>
      </c>
    </row>
    <row r="1126" spans="9:17" x14ac:dyDescent="0.45">
      <c r="I1126" t="s">
        <v>203</v>
      </c>
      <c r="J1126" t="s">
        <v>344</v>
      </c>
      <c r="K1126">
        <v>1.2728345685879194E-3</v>
      </c>
      <c r="L1126" t="s">
        <v>166</v>
      </c>
      <c r="N1126" t="s">
        <v>268</v>
      </c>
      <c r="O1126" t="s">
        <v>344</v>
      </c>
      <c r="P1126">
        <v>1.3911709990405436E-2</v>
      </c>
      <c r="Q1126" t="s">
        <v>166</v>
      </c>
    </row>
    <row r="1127" spans="9:17" x14ac:dyDescent="0.45">
      <c r="I1127" t="s">
        <v>203</v>
      </c>
      <c r="J1127" t="s">
        <v>345</v>
      </c>
      <c r="K1127">
        <v>3.9470786798871928E-2</v>
      </c>
      <c r="L1127" t="s">
        <v>166</v>
      </c>
      <c r="N1127" t="s">
        <v>268</v>
      </c>
      <c r="O1127" t="s">
        <v>345</v>
      </c>
      <c r="P1127">
        <v>9.724644896673941E-2</v>
      </c>
      <c r="Q1127" t="s">
        <v>166</v>
      </c>
    </row>
    <row r="1128" spans="9:17" x14ac:dyDescent="0.45">
      <c r="I1128" t="s">
        <v>203</v>
      </c>
      <c r="J1128" t="s">
        <v>346</v>
      </c>
      <c r="K1128">
        <v>1.7167076352086131E-2</v>
      </c>
      <c r="L1128" t="s">
        <v>166</v>
      </c>
      <c r="N1128" t="s">
        <v>268</v>
      </c>
      <c r="O1128" t="s">
        <v>346</v>
      </c>
      <c r="P1128">
        <v>6.6610664165675662E-3</v>
      </c>
      <c r="Q1128" t="s">
        <v>166</v>
      </c>
    </row>
    <row r="1129" spans="9:17" x14ac:dyDescent="0.45">
      <c r="I1129" t="s">
        <v>203</v>
      </c>
      <c r="J1129" t="s">
        <v>347</v>
      </c>
      <c r="K1129">
        <v>9.9530465813895075E-2</v>
      </c>
      <c r="L1129" t="s">
        <v>166</v>
      </c>
      <c r="N1129" t="s">
        <v>268</v>
      </c>
      <c r="O1129" t="s">
        <v>347</v>
      </c>
      <c r="P1129">
        <v>3.1196698067691028E-2</v>
      </c>
      <c r="Q1129" t="s">
        <v>166</v>
      </c>
    </row>
    <row r="1130" spans="9:17" x14ac:dyDescent="0.45">
      <c r="I1130" t="s">
        <v>203</v>
      </c>
      <c r="J1130" t="s">
        <v>348</v>
      </c>
      <c r="K1130">
        <v>1.1109696605966569E-2</v>
      </c>
      <c r="L1130" t="s">
        <v>166</v>
      </c>
      <c r="N1130" t="s">
        <v>268</v>
      </c>
      <c r="O1130" t="s">
        <v>348</v>
      </c>
      <c r="P1130">
        <v>4.7000094250034185E-3</v>
      </c>
      <c r="Q1130" t="s">
        <v>166</v>
      </c>
    </row>
    <row r="1131" spans="9:17" x14ac:dyDescent="0.45">
      <c r="I1131" t="s">
        <v>203</v>
      </c>
      <c r="J1131" t="s">
        <v>349</v>
      </c>
      <c r="K1131">
        <v>6.3666701566157799E-3</v>
      </c>
      <c r="L1131" t="s">
        <v>166</v>
      </c>
      <c r="N1131" t="s">
        <v>268</v>
      </c>
      <c r="O1131" t="s">
        <v>349</v>
      </c>
      <c r="P1131">
        <v>4.9434679420828779E-3</v>
      </c>
      <c r="Q1131" t="s">
        <v>166</v>
      </c>
    </row>
    <row r="1132" spans="9:17" x14ac:dyDescent="0.45">
      <c r="I1132" t="s">
        <v>203</v>
      </c>
      <c r="J1132" t="s">
        <v>350</v>
      </c>
      <c r="K1132">
        <v>4.5983490141113942E-4</v>
      </c>
      <c r="L1132" t="s">
        <v>166</v>
      </c>
      <c r="N1132" t="s">
        <v>268</v>
      </c>
      <c r="O1132" t="s">
        <v>350</v>
      </c>
      <c r="P1132">
        <v>3.8237595118019878E-2</v>
      </c>
      <c r="Q1132" t="s">
        <v>166</v>
      </c>
    </row>
    <row r="1133" spans="9:17" x14ac:dyDescent="0.45">
      <c r="I1133" t="s">
        <v>203</v>
      </c>
      <c r="J1133" t="s">
        <v>351</v>
      </c>
      <c r="K1133">
        <v>1.886372745933465E-2</v>
      </c>
      <c r="L1133" t="s">
        <v>166</v>
      </c>
      <c r="N1133" t="s">
        <v>268</v>
      </c>
      <c r="O1133" t="s">
        <v>351</v>
      </c>
      <c r="P1133">
        <v>3.1153646117569274E-2</v>
      </c>
      <c r="Q1133" t="s">
        <v>166</v>
      </c>
    </row>
    <row r="1134" spans="9:17" x14ac:dyDescent="0.45">
      <c r="I1134" t="s">
        <v>203</v>
      </c>
      <c r="J1134" t="s">
        <v>352</v>
      </c>
      <c r="K1134">
        <v>8.5225525943094117E-3</v>
      </c>
      <c r="L1134" t="s">
        <v>166</v>
      </c>
      <c r="N1134" t="s">
        <v>268</v>
      </c>
      <c r="O1134" t="s">
        <v>352</v>
      </c>
      <c r="P1134">
        <v>1.2284336044245455E-3</v>
      </c>
      <c r="Q1134" t="s">
        <v>166</v>
      </c>
    </row>
    <row r="1135" spans="9:17" x14ac:dyDescent="0.45">
      <c r="I1135" t="s">
        <v>203</v>
      </c>
      <c r="J1135" t="s">
        <v>353</v>
      </c>
      <c r="K1135">
        <v>4.7285415256655611E-2</v>
      </c>
      <c r="L1135" t="s">
        <v>166</v>
      </c>
      <c r="N1135" t="s">
        <v>268</v>
      </c>
      <c r="O1135" t="s">
        <v>353</v>
      </c>
      <c r="P1135">
        <v>6.8410865338634809E-3</v>
      </c>
      <c r="Q1135" t="s">
        <v>166</v>
      </c>
    </row>
    <row r="1136" spans="9:17" x14ac:dyDescent="0.45">
      <c r="I1136" t="s">
        <v>203</v>
      </c>
      <c r="J1136" t="s">
        <v>354</v>
      </c>
      <c r="K1136">
        <v>4.3199441776102824E-3</v>
      </c>
      <c r="L1136" t="s">
        <v>166</v>
      </c>
      <c r="N1136" t="s">
        <v>268</v>
      </c>
      <c r="O1136" t="s">
        <v>354</v>
      </c>
      <c r="P1136">
        <v>1.0006954626275634E-3</v>
      </c>
      <c r="Q1136" t="s">
        <v>166</v>
      </c>
    </row>
    <row r="1137" spans="9:17" x14ac:dyDescent="0.45">
      <c r="I1137" t="s">
        <v>203</v>
      </c>
      <c r="J1137" t="s">
        <v>355</v>
      </c>
      <c r="K1137">
        <v>1.2794018189141781E-4</v>
      </c>
      <c r="L1137" t="s">
        <v>166</v>
      </c>
      <c r="N1137" t="s">
        <v>268</v>
      </c>
      <c r="O1137" t="s">
        <v>355</v>
      </c>
      <c r="P1137">
        <v>1.1796737923607176E-3</v>
      </c>
      <c r="Q1137" t="s">
        <v>166</v>
      </c>
    </row>
    <row r="1138" spans="9:17" x14ac:dyDescent="0.45">
      <c r="I1138" t="s">
        <v>203</v>
      </c>
      <c r="J1138" t="s">
        <v>356</v>
      </c>
      <c r="K1138">
        <v>0</v>
      </c>
      <c r="L1138" t="s">
        <v>166</v>
      </c>
      <c r="N1138" t="s">
        <v>268</v>
      </c>
      <c r="O1138" t="s">
        <v>356</v>
      </c>
      <c r="P1138">
        <v>1.1347692810838389E-2</v>
      </c>
      <c r="Q1138" t="s">
        <v>166</v>
      </c>
    </row>
    <row r="1139" spans="9:17" x14ac:dyDescent="0.45">
      <c r="I1139" t="s">
        <v>203</v>
      </c>
      <c r="J1139" t="s">
        <v>357</v>
      </c>
      <c r="K1139">
        <v>2.6648480692011905E-2</v>
      </c>
      <c r="L1139" t="s">
        <v>166</v>
      </c>
      <c r="N1139" t="s">
        <v>268</v>
      </c>
      <c r="O1139" t="s">
        <v>357</v>
      </c>
      <c r="P1139">
        <v>9.3309946394299528E-2</v>
      </c>
      <c r="Q1139" t="s">
        <v>166</v>
      </c>
    </row>
    <row r="1140" spans="9:17" x14ac:dyDescent="0.45">
      <c r="I1140" t="s">
        <v>203</v>
      </c>
      <c r="J1140" t="s">
        <v>358</v>
      </c>
      <c r="K1140">
        <v>1.5501716297487552E-2</v>
      </c>
      <c r="L1140" t="s">
        <v>166</v>
      </c>
      <c r="N1140" t="s">
        <v>268</v>
      </c>
      <c r="O1140" t="s">
        <v>358</v>
      </c>
      <c r="P1140">
        <v>5.2247385107689649E-3</v>
      </c>
      <c r="Q1140" t="s">
        <v>166</v>
      </c>
    </row>
    <row r="1141" spans="9:17" x14ac:dyDescent="0.45">
      <c r="I1141" t="s">
        <v>203</v>
      </c>
      <c r="J1141" t="s">
        <v>359</v>
      </c>
      <c r="K1141">
        <v>8.5956294548876641E-2</v>
      </c>
      <c r="L1141" t="s">
        <v>166</v>
      </c>
      <c r="N1141" t="s">
        <v>268</v>
      </c>
      <c r="O1141" t="s">
        <v>359</v>
      </c>
      <c r="P1141">
        <v>3.1332112652914031E-2</v>
      </c>
      <c r="Q1141" t="s">
        <v>166</v>
      </c>
    </row>
    <row r="1142" spans="9:17" x14ac:dyDescent="0.45">
      <c r="I1142" t="s">
        <v>203</v>
      </c>
      <c r="J1142" t="s">
        <v>360</v>
      </c>
      <c r="K1142">
        <v>6.6268885508112335E-3</v>
      </c>
      <c r="L1142" t="s">
        <v>166</v>
      </c>
      <c r="N1142" t="s">
        <v>268</v>
      </c>
      <c r="O1142" t="s">
        <v>360</v>
      </c>
      <c r="P1142">
        <v>5.9216589289236843E-3</v>
      </c>
      <c r="Q1142" t="s">
        <v>166</v>
      </c>
    </row>
    <row r="1143" spans="9:17" x14ac:dyDescent="0.45">
      <c r="I1143" t="s">
        <v>203</v>
      </c>
      <c r="J1143" t="s">
        <v>361</v>
      </c>
      <c r="K1143">
        <v>0</v>
      </c>
      <c r="L1143" t="s">
        <v>166</v>
      </c>
      <c r="N1143" t="s">
        <v>268</v>
      </c>
      <c r="O1143" t="s">
        <v>361</v>
      </c>
      <c r="P1143">
        <v>6.5462045339949254E-3</v>
      </c>
      <c r="Q1143" t="s">
        <v>166</v>
      </c>
    </row>
    <row r="1144" spans="9:17" x14ac:dyDescent="0.45">
      <c r="I1144" t="s">
        <v>203</v>
      </c>
      <c r="J1144" t="s">
        <v>362</v>
      </c>
      <c r="K1144">
        <v>0</v>
      </c>
      <c r="L1144" t="s">
        <v>166</v>
      </c>
      <c r="N1144" t="s">
        <v>268</v>
      </c>
      <c r="O1144" t="s">
        <v>362</v>
      </c>
      <c r="P1144">
        <v>4.4221135406972471E-2</v>
      </c>
      <c r="Q1144" t="s">
        <v>166</v>
      </c>
    </row>
    <row r="1145" spans="9:17" x14ac:dyDescent="0.45">
      <c r="I1145" t="s">
        <v>204</v>
      </c>
      <c r="J1145" t="s">
        <v>165</v>
      </c>
      <c r="K1145">
        <v>4.7073840074985669E-2</v>
      </c>
      <c r="L1145" t="s">
        <v>166</v>
      </c>
      <c r="N1145" t="s">
        <v>269</v>
      </c>
      <c r="O1145" t="s">
        <v>165</v>
      </c>
      <c r="P1145">
        <v>0.11361368552872879</v>
      </c>
      <c r="Q1145" t="s">
        <v>166</v>
      </c>
    </row>
    <row r="1146" spans="9:17" x14ac:dyDescent="0.45">
      <c r="I1146" t="s">
        <v>204</v>
      </c>
      <c r="J1146" t="s">
        <v>167</v>
      </c>
      <c r="K1146">
        <v>2.6284928126248504E-2</v>
      </c>
      <c r="L1146" t="s">
        <v>166</v>
      </c>
      <c r="N1146" t="s">
        <v>269</v>
      </c>
      <c r="O1146" t="s">
        <v>167</v>
      </c>
      <c r="P1146">
        <v>7.535775493834729E-3</v>
      </c>
      <c r="Q1146" t="s">
        <v>166</v>
      </c>
    </row>
    <row r="1147" spans="9:17" x14ac:dyDescent="0.45">
      <c r="I1147" t="s">
        <v>204</v>
      </c>
      <c r="J1147" t="s">
        <v>168</v>
      </c>
      <c r="K1147">
        <v>0.15083921991443319</v>
      </c>
      <c r="L1147" t="s">
        <v>166</v>
      </c>
      <c r="N1147" t="s">
        <v>269</v>
      </c>
      <c r="O1147" t="s">
        <v>168</v>
      </c>
      <c r="P1147">
        <v>4.7086443132539291E-2</v>
      </c>
      <c r="Q1147" t="s">
        <v>166</v>
      </c>
    </row>
    <row r="1148" spans="9:17" x14ac:dyDescent="0.45">
      <c r="I1148" t="s">
        <v>204</v>
      </c>
      <c r="J1148" t="s">
        <v>333</v>
      </c>
      <c r="K1148">
        <v>1.541168385828267E-2</v>
      </c>
      <c r="L1148" t="s">
        <v>166</v>
      </c>
      <c r="N1148" t="s">
        <v>269</v>
      </c>
      <c r="O1148" t="s">
        <v>333</v>
      </c>
      <c r="P1148">
        <v>7.9729062096105339E-3</v>
      </c>
      <c r="Q1148" t="s">
        <v>166</v>
      </c>
    </row>
    <row r="1149" spans="9:17" x14ac:dyDescent="0.45">
      <c r="I1149" t="s">
        <v>204</v>
      </c>
      <c r="J1149" t="s">
        <v>334</v>
      </c>
      <c r="K1149">
        <v>3.6888201690725517E-3</v>
      </c>
      <c r="L1149" t="s">
        <v>166</v>
      </c>
      <c r="N1149" t="s">
        <v>269</v>
      </c>
      <c r="O1149" t="s">
        <v>334</v>
      </c>
      <c r="P1149">
        <v>8.0859500373497931E-3</v>
      </c>
      <c r="Q1149" t="s">
        <v>166</v>
      </c>
    </row>
    <row r="1150" spans="9:17" x14ac:dyDescent="0.45">
      <c r="I1150" t="s">
        <v>204</v>
      </c>
      <c r="J1150" t="s">
        <v>335</v>
      </c>
      <c r="K1150">
        <v>0</v>
      </c>
      <c r="L1150" t="s">
        <v>166</v>
      </c>
      <c r="N1150" t="s">
        <v>269</v>
      </c>
      <c r="O1150" t="s">
        <v>335</v>
      </c>
      <c r="P1150">
        <v>5.3803070113123304E-2</v>
      </c>
      <c r="Q1150" t="s">
        <v>166</v>
      </c>
    </row>
    <row r="1151" spans="9:17" x14ac:dyDescent="0.45">
      <c r="I1151" t="s">
        <v>204</v>
      </c>
      <c r="J1151" t="s">
        <v>169</v>
      </c>
      <c r="K1151">
        <v>4.4660529007075019E-2</v>
      </c>
      <c r="L1151" t="s">
        <v>166</v>
      </c>
      <c r="N1151" t="s">
        <v>269</v>
      </c>
      <c r="O1151" t="s">
        <v>169</v>
      </c>
      <c r="P1151">
        <v>9.3009324583466363E-2</v>
      </c>
      <c r="Q1151" t="s">
        <v>166</v>
      </c>
    </row>
    <row r="1152" spans="9:17" x14ac:dyDescent="0.45">
      <c r="I1152" t="s">
        <v>204</v>
      </c>
      <c r="J1152" t="s">
        <v>170</v>
      </c>
      <c r="K1152">
        <v>1.7567703195682002E-2</v>
      </c>
      <c r="L1152" t="s">
        <v>166</v>
      </c>
      <c r="N1152" t="s">
        <v>269</v>
      </c>
      <c r="O1152" t="s">
        <v>170</v>
      </c>
      <c r="P1152">
        <v>7.1870875715122351E-3</v>
      </c>
      <c r="Q1152" t="s">
        <v>166</v>
      </c>
    </row>
    <row r="1153" spans="9:17" x14ac:dyDescent="0.45">
      <c r="I1153" t="s">
        <v>204</v>
      </c>
      <c r="J1153" t="s">
        <v>171</v>
      </c>
      <c r="K1153">
        <v>0.10218315521644968</v>
      </c>
      <c r="L1153" t="s">
        <v>166</v>
      </c>
      <c r="N1153" t="s">
        <v>269</v>
      </c>
      <c r="O1153" t="s">
        <v>171</v>
      </c>
      <c r="P1153">
        <v>5.0149609475885364E-2</v>
      </c>
      <c r="Q1153" t="s">
        <v>166</v>
      </c>
    </row>
    <row r="1154" spans="9:17" x14ac:dyDescent="0.45">
      <c r="I1154" t="s">
        <v>204</v>
      </c>
      <c r="J1154" t="s">
        <v>336</v>
      </c>
      <c r="K1154">
        <v>1.1029518303582843E-2</v>
      </c>
      <c r="L1154" t="s">
        <v>166</v>
      </c>
      <c r="N1154" t="s">
        <v>269</v>
      </c>
      <c r="O1154" t="s">
        <v>336</v>
      </c>
      <c r="P1154">
        <v>9.2227879804771488E-3</v>
      </c>
      <c r="Q1154" t="s">
        <v>166</v>
      </c>
    </row>
    <row r="1155" spans="9:17" x14ac:dyDescent="0.45">
      <c r="I1155" t="s">
        <v>204</v>
      </c>
      <c r="J1155" t="s">
        <v>337</v>
      </c>
      <c r="K1155">
        <v>6.1205898252069549E-3</v>
      </c>
      <c r="L1155" t="s">
        <v>166</v>
      </c>
      <c r="N1155" t="s">
        <v>269</v>
      </c>
      <c r="O1155" t="s">
        <v>337</v>
      </c>
      <c r="P1155">
        <v>8.7484831760970064E-3</v>
      </c>
      <c r="Q1155" t="s">
        <v>166</v>
      </c>
    </row>
    <row r="1156" spans="9:17" x14ac:dyDescent="0.45">
      <c r="I1156" t="s">
        <v>204</v>
      </c>
      <c r="J1156" t="s">
        <v>338</v>
      </c>
      <c r="K1156">
        <v>7.0418098270943013E-6</v>
      </c>
      <c r="L1156" t="s">
        <v>166</v>
      </c>
      <c r="N1156" t="s">
        <v>269</v>
      </c>
      <c r="O1156" t="s">
        <v>338</v>
      </c>
      <c r="P1156">
        <v>4.659310179687428E-2</v>
      </c>
      <c r="Q1156" t="s">
        <v>166</v>
      </c>
    </row>
    <row r="1157" spans="9:17" x14ac:dyDescent="0.45">
      <c r="I1157" t="s">
        <v>204</v>
      </c>
      <c r="J1157" t="s">
        <v>172</v>
      </c>
      <c r="K1157">
        <v>2.2521146816704082E-2</v>
      </c>
      <c r="L1157" t="s">
        <v>166</v>
      </c>
      <c r="N1157" t="s">
        <v>269</v>
      </c>
      <c r="O1157" t="s">
        <v>172</v>
      </c>
      <c r="P1157">
        <v>3.7438073781962698E-2</v>
      </c>
      <c r="Q1157" t="s">
        <v>166</v>
      </c>
    </row>
    <row r="1158" spans="9:17" x14ac:dyDescent="0.45">
      <c r="I1158" t="s">
        <v>204</v>
      </c>
      <c r="J1158" t="s">
        <v>173</v>
      </c>
      <c r="K1158">
        <v>8.4454714789938684E-3</v>
      </c>
      <c r="L1158" t="s">
        <v>166</v>
      </c>
      <c r="N1158" t="s">
        <v>269</v>
      </c>
      <c r="O1158" t="s">
        <v>173</v>
      </c>
      <c r="P1158">
        <v>2.1250051145848682E-3</v>
      </c>
      <c r="Q1158" t="s">
        <v>166</v>
      </c>
    </row>
    <row r="1159" spans="9:17" x14ac:dyDescent="0.45">
      <c r="I1159" t="s">
        <v>204</v>
      </c>
      <c r="J1159" t="s">
        <v>174</v>
      </c>
      <c r="K1159">
        <v>4.9127606506374245E-2</v>
      </c>
      <c r="L1159" t="s">
        <v>166</v>
      </c>
      <c r="N1159" t="s">
        <v>269</v>
      </c>
      <c r="O1159" t="s">
        <v>174</v>
      </c>
      <c r="P1159">
        <v>1.2389661468418956E-2</v>
      </c>
      <c r="Q1159" t="s">
        <v>166</v>
      </c>
    </row>
    <row r="1160" spans="9:17" x14ac:dyDescent="0.45">
      <c r="I1160" t="s">
        <v>204</v>
      </c>
      <c r="J1160" t="s">
        <v>339</v>
      </c>
      <c r="K1160">
        <v>5.4059071676847877E-3</v>
      </c>
      <c r="L1160" t="s">
        <v>166</v>
      </c>
      <c r="N1160" t="s">
        <v>269</v>
      </c>
      <c r="O1160" t="s">
        <v>339</v>
      </c>
      <c r="P1160">
        <v>2.5651715736096873E-3</v>
      </c>
      <c r="Q1160" t="s">
        <v>166</v>
      </c>
    </row>
    <row r="1161" spans="9:17" x14ac:dyDescent="0.45">
      <c r="I1161" t="s">
        <v>204</v>
      </c>
      <c r="J1161" t="s">
        <v>340</v>
      </c>
      <c r="K1161">
        <v>3.4186770025524424E-3</v>
      </c>
      <c r="L1161" t="s">
        <v>166</v>
      </c>
      <c r="N1161" t="s">
        <v>269</v>
      </c>
      <c r="O1161" t="s">
        <v>340</v>
      </c>
      <c r="P1161">
        <v>2.5059817602023078E-3</v>
      </c>
      <c r="Q1161" t="s">
        <v>166</v>
      </c>
    </row>
    <row r="1162" spans="9:17" x14ac:dyDescent="0.45">
      <c r="I1162" t="s">
        <v>204</v>
      </c>
      <c r="J1162" t="s">
        <v>341</v>
      </c>
      <c r="K1162">
        <v>1.140349614051816E-3</v>
      </c>
      <c r="L1162" t="s">
        <v>166</v>
      </c>
      <c r="N1162" t="s">
        <v>269</v>
      </c>
      <c r="O1162" t="s">
        <v>341</v>
      </c>
      <c r="P1162">
        <v>1.6571394689287394E-2</v>
      </c>
      <c r="Q1162" t="s">
        <v>166</v>
      </c>
    </row>
    <row r="1163" spans="9:17" x14ac:dyDescent="0.45">
      <c r="I1163" t="s">
        <v>204</v>
      </c>
      <c r="J1163" t="s">
        <v>175</v>
      </c>
      <c r="K1163">
        <v>2.1480436717274169E-2</v>
      </c>
      <c r="L1163" t="s">
        <v>166</v>
      </c>
      <c r="N1163" t="s">
        <v>269</v>
      </c>
      <c r="O1163" t="s">
        <v>175</v>
      </c>
      <c r="P1163">
        <v>3.6762933439858377E-2</v>
      </c>
      <c r="Q1163" t="s">
        <v>166</v>
      </c>
    </row>
    <row r="1164" spans="9:17" x14ac:dyDescent="0.45">
      <c r="I1164" t="s">
        <v>204</v>
      </c>
      <c r="J1164" t="s">
        <v>176</v>
      </c>
      <c r="K1164">
        <v>8.46242922895242E-3</v>
      </c>
      <c r="L1164" t="s">
        <v>166</v>
      </c>
      <c r="N1164" t="s">
        <v>269</v>
      </c>
      <c r="O1164" t="s">
        <v>176</v>
      </c>
      <c r="P1164">
        <v>3.005542438368414E-3</v>
      </c>
      <c r="Q1164" t="s">
        <v>166</v>
      </c>
    </row>
    <row r="1165" spans="9:17" x14ac:dyDescent="0.45">
      <c r="I1165" t="s">
        <v>204</v>
      </c>
      <c r="J1165" t="s">
        <v>177</v>
      </c>
      <c r="K1165">
        <v>5.0272383709872789E-2</v>
      </c>
      <c r="L1165" t="s">
        <v>166</v>
      </c>
      <c r="N1165" t="s">
        <v>269</v>
      </c>
      <c r="O1165" t="s">
        <v>177</v>
      </c>
      <c r="P1165">
        <v>1.192715320050362E-2</v>
      </c>
      <c r="Q1165" t="s">
        <v>166</v>
      </c>
    </row>
    <row r="1166" spans="9:17" x14ac:dyDescent="0.45">
      <c r="I1166" t="s">
        <v>204</v>
      </c>
      <c r="J1166" t="s">
        <v>342</v>
      </c>
      <c r="K1166">
        <v>5.6918606466781103E-3</v>
      </c>
      <c r="L1166" t="s">
        <v>166</v>
      </c>
      <c r="N1166" t="s">
        <v>269</v>
      </c>
      <c r="O1166" t="s">
        <v>342</v>
      </c>
      <c r="P1166">
        <v>1.6397497144164741E-3</v>
      </c>
      <c r="Q1166" t="s">
        <v>166</v>
      </c>
    </row>
    <row r="1167" spans="9:17" x14ac:dyDescent="0.45">
      <c r="I1167" t="s">
        <v>204</v>
      </c>
      <c r="J1167" t="s">
        <v>343</v>
      </c>
      <c r="K1167">
        <v>3.4161512368643524E-3</v>
      </c>
      <c r="L1167" t="s">
        <v>166</v>
      </c>
      <c r="N1167" t="s">
        <v>269</v>
      </c>
      <c r="O1167" t="s">
        <v>343</v>
      </c>
      <c r="P1167">
        <v>1.8134365781683143E-3</v>
      </c>
      <c r="Q1167" t="s">
        <v>166</v>
      </c>
    </row>
    <row r="1168" spans="9:17" x14ac:dyDescent="0.45">
      <c r="I1168" t="s">
        <v>204</v>
      </c>
      <c r="J1168" t="s">
        <v>344</v>
      </c>
      <c r="K1168">
        <v>9.8693524490230393E-4</v>
      </c>
      <c r="L1168" t="s">
        <v>166</v>
      </c>
      <c r="N1168" t="s">
        <v>269</v>
      </c>
      <c r="O1168" t="s">
        <v>344</v>
      </c>
      <c r="P1168">
        <v>1.4237256881560538E-2</v>
      </c>
      <c r="Q1168" t="s">
        <v>166</v>
      </c>
    </row>
    <row r="1169" spans="9:17" x14ac:dyDescent="0.45">
      <c r="I1169" t="s">
        <v>204</v>
      </c>
      <c r="J1169" t="s">
        <v>345</v>
      </c>
      <c r="K1169">
        <v>4.2209671612622207E-2</v>
      </c>
      <c r="L1169" t="s">
        <v>166</v>
      </c>
      <c r="N1169" t="s">
        <v>269</v>
      </c>
      <c r="O1169" t="s">
        <v>345</v>
      </c>
      <c r="P1169">
        <v>9.2526030431232323E-2</v>
      </c>
      <c r="Q1169" t="s">
        <v>166</v>
      </c>
    </row>
    <row r="1170" spans="9:17" x14ac:dyDescent="0.45">
      <c r="I1170" t="s">
        <v>204</v>
      </c>
      <c r="J1170" t="s">
        <v>346</v>
      </c>
      <c r="K1170">
        <v>1.7300955556622144E-2</v>
      </c>
      <c r="L1170" t="s">
        <v>166</v>
      </c>
      <c r="N1170" t="s">
        <v>269</v>
      </c>
      <c r="O1170" t="s">
        <v>346</v>
      </c>
      <c r="P1170">
        <v>6.7514503656242808E-3</v>
      </c>
      <c r="Q1170" t="s">
        <v>166</v>
      </c>
    </row>
    <row r="1171" spans="9:17" x14ac:dyDescent="0.45">
      <c r="I1171" t="s">
        <v>204</v>
      </c>
      <c r="J1171" t="s">
        <v>347</v>
      </c>
      <c r="K1171">
        <v>0.10008044727991369</v>
      </c>
      <c r="L1171" t="s">
        <v>166</v>
      </c>
      <c r="N1171" t="s">
        <v>269</v>
      </c>
      <c r="O1171" t="s">
        <v>347</v>
      </c>
      <c r="P1171">
        <v>2.9367323160419793E-2</v>
      </c>
      <c r="Q1171" t="s">
        <v>166</v>
      </c>
    </row>
    <row r="1172" spans="9:17" x14ac:dyDescent="0.45">
      <c r="I1172" t="s">
        <v>204</v>
      </c>
      <c r="J1172" t="s">
        <v>348</v>
      </c>
      <c r="K1172">
        <v>1.0884826982145572E-2</v>
      </c>
      <c r="L1172" t="s">
        <v>166</v>
      </c>
      <c r="N1172" t="s">
        <v>269</v>
      </c>
      <c r="O1172" t="s">
        <v>348</v>
      </c>
      <c r="P1172">
        <v>4.9743312937242023E-3</v>
      </c>
      <c r="Q1172" t="s">
        <v>166</v>
      </c>
    </row>
    <row r="1173" spans="9:17" x14ac:dyDescent="0.45">
      <c r="I1173" t="s">
        <v>204</v>
      </c>
      <c r="J1173" t="s">
        <v>349</v>
      </c>
      <c r="K1173">
        <v>5.3241318776141577E-3</v>
      </c>
      <c r="L1173" t="s">
        <v>166</v>
      </c>
      <c r="N1173" t="s">
        <v>269</v>
      </c>
      <c r="O1173" t="s">
        <v>349</v>
      </c>
      <c r="P1173">
        <v>5.4279892999878994E-3</v>
      </c>
      <c r="Q1173" t="s">
        <v>166</v>
      </c>
    </row>
    <row r="1174" spans="9:17" x14ac:dyDescent="0.45">
      <c r="I1174" t="s">
        <v>204</v>
      </c>
      <c r="J1174" t="s">
        <v>350</v>
      </c>
      <c r="K1174">
        <v>0</v>
      </c>
      <c r="L1174" t="s">
        <v>166</v>
      </c>
      <c r="N1174" t="s">
        <v>269</v>
      </c>
      <c r="O1174" t="s">
        <v>350</v>
      </c>
      <c r="P1174">
        <v>4.0789335441790309E-2</v>
      </c>
      <c r="Q1174" t="s">
        <v>166</v>
      </c>
    </row>
    <row r="1175" spans="9:17" x14ac:dyDescent="0.45">
      <c r="I1175" t="s">
        <v>204</v>
      </c>
      <c r="J1175" t="s">
        <v>351</v>
      </c>
      <c r="K1175">
        <v>2.0455606640200016E-2</v>
      </c>
      <c r="L1175" t="s">
        <v>166</v>
      </c>
      <c r="N1175" t="s">
        <v>269</v>
      </c>
      <c r="O1175" t="s">
        <v>351</v>
      </c>
      <c r="P1175">
        <v>2.4430945051809823E-2</v>
      </c>
      <c r="Q1175" t="s">
        <v>166</v>
      </c>
    </row>
    <row r="1176" spans="9:17" x14ac:dyDescent="0.45">
      <c r="I1176" t="s">
        <v>204</v>
      </c>
      <c r="J1176" t="s">
        <v>352</v>
      </c>
      <c r="K1176">
        <v>8.7720618369042259E-3</v>
      </c>
      <c r="L1176" t="s">
        <v>166</v>
      </c>
      <c r="N1176" t="s">
        <v>269</v>
      </c>
      <c r="O1176" t="s">
        <v>352</v>
      </c>
      <c r="P1176">
        <v>1.277897080695111E-3</v>
      </c>
      <c r="Q1176" t="s">
        <v>166</v>
      </c>
    </row>
    <row r="1177" spans="9:17" x14ac:dyDescent="0.45">
      <c r="I1177" t="s">
        <v>204</v>
      </c>
      <c r="J1177" t="s">
        <v>353</v>
      </c>
      <c r="K1177">
        <v>4.7786899345395546E-2</v>
      </c>
      <c r="L1177" t="s">
        <v>166</v>
      </c>
      <c r="N1177" t="s">
        <v>269</v>
      </c>
      <c r="O1177" t="s">
        <v>353</v>
      </c>
      <c r="P1177">
        <v>5.9137657140945106E-3</v>
      </c>
      <c r="Q1177" t="s">
        <v>166</v>
      </c>
    </row>
    <row r="1178" spans="9:17" x14ac:dyDescent="0.45">
      <c r="I1178" t="s">
        <v>204</v>
      </c>
      <c r="J1178" t="s">
        <v>354</v>
      </c>
      <c r="K1178">
        <v>4.056527591821118E-3</v>
      </c>
      <c r="L1178" t="s">
        <v>166</v>
      </c>
      <c r="N1178" t="s">
        <v>269</v>
      </c>
      <c r="O1178" t="s">
        <v>354</v>
      </c>
      <c r="P1178">
        <v>8.543070267380972E-4</v>
      </c>
      <c r="Q1178" t="s">
        <v>166</v>
      </c>
    </row>
    <row r="1179" spans="9:17" x14ac:dyDescent="0.45">
      <c r="I1179" t="s">
        <v>204</v>
      </c>
      <c r="J1179" t="s">
        <v>355</v>
      </c>
      <c r="K1179">
        <v>0</v>
      </c>
      <c r="L1179" t="s">
        <v>166</v>
      </c>
      <c r="N1179" t="s">
        <v>269</v>
      </c>
      <c r="O1179" t="s">
        <v>355</v>
      </c>
      <c r="P1179">
        <v>1.1451182847992544E-3</v>
      </c>
      <c r="Q1179" t="s">
        <v>166</v>
      </c>
    </row>
    <row r="1180" spans="9:17" x14ac:dyDescent="0.45">
      <c r="I1180" t="s">
        <v>204</v>
      </c>
      <c r="J1180" t="s">
        <v>356</v>
      </c>
      <c r="K1180">
        <v>0</v>
      </c>
      <c r="L1180" t="s">
        <v>166</v>
      </c>
      <c r="N1180" t="s">
        <v>269</v>
      </c>
      <c r="O1180" t="s">
        <v>356</v>
      </c>
      <c r="P1180">
        <v>1.117316911884263E-2</v>
      </c>
      <c r="Q1180" t="s">
        <v>166</v>
      </c>
    </row>
    <row r="1181" spans="9:17" x14ac:dyDescent="0.45">
      <c r="I1181" t="s">
        <v>204</v>
      </c>
      <c r="J1181" t="s">
        <v>357</v>
      </c>
      <c r="K1181">
        <v>2.9379545755674131E-2</v>
      </c>
      <c r="L1181" t="s">
        <v>166</v>
      </c>
      <c r="N1181" t="s">
        <v>269</v>
      </c>
      <c r="O1181" t="s">
        <v>357</v>
      </c>
      <c r="P1181">
        <v>8.2570879046950776E-2</v>
      </c>
      <c r="Q1181" t="s">
        <v>166</v>
      </c>
    </row>
    <row r="1182" spans="9:17" x14ac:dyDescent="0.45">
      <c r="I1182" t="s">
        <v>204</v>
      </c>
      <c r="J1182" t="s">
        <v>358</v>
      </c>
      <c r="K1182">
        <v>1.5861398027178109E-2</v>
      </c>
      <c r="L1182" t="s">
        <v>166</v>
      </c>
      <c r="N1182" t="s">
        <v>269</v>
      </c>
      <c r="O1182" t="s">
        <v>358</v>
      </c>
      <c r="P1182">
        <v>5.6893946565827721E-3</v>
      </c>
      <c r="Q1182" t="s">
        <v>166</v>
      </c>
    </row>
    <row r="1183" spans="9:17" x14ac:dyDescent="0.45">
      <c r="I1183" t="s">
        <v>204</v>
      </c>
      <c r="J1183" t="s">
        <v>359</v>
      </c>
      <c r="K1183">
        <v>8.6318169538564832E-2</v>
      </c>
      <c r="L1183" t="s">
        <v>166</v>
      </c>
      <c r="N1183" t="s">
        <v>269</v>
      </c>
      <c r="O1183" t="s">
        <v>359</v>
      </c>
      <c r="P1183">
        <v>3.4710803663531964E-2</v>
      </c>
      <c r="Q1183" t="s">
        <v>166</v>
      </c>
    </row>
    <row r="1184" spans="9:17" x14ac:dyDescent="0.45">
      <c r="I1184" t="s">
        <v>204</v>
      </c>
      <c r="J1184" t="s">
        <v>360</v>
      </c>
      <c r="K1184">
        <v>6.3333730835935503E-3</v>
      </c>
      <c r="L1184" t="s">
        <v>166</v>
      </c>
      <c r="N1184" t="s">
        <v>269</v>
      </c>
      <c r="O1184" t="s">
        <v>360</v>
      </c>
      <c r="P1184">
        <v>6.1573971144514798E-3</v>
      </c>
      <c r="Q1184" t="s">
        <v>166</v>
      </c>
    </row>
    <row r="1185" spans="9:17" x14ac:dyDescent="0.45">
      <c r="I1185" t="s">
        <v>204</v>
      </c>
      <c r="J1185" t="s">
        <v>361</v>
      </c>
      <c r="K1185">
        <v>0</v>
      </c>
      <c r="L1185" t="s">
        <v>166</v>
      </c>
      <c r="N1185" t="s">
        <v>269</v>
      </c>
      <c r="O1185" t="s">
        <v>361</v>
      </c>
      <c r="P1185">
        <v>6.7695919358298487E-3</v>
      </c>
      <c r="Q1185" t="s">
        <v>166</v>
      </c>
    </row>
    <row r="1186" spans="9:17" x14ac:dyDescent="0.45">
      <c r="I1186" t="s">
        <v>204</v>
      </c>
      <c r="J1186" t="s">
        <v>362</v>
      </c>
      <c r="K1186">
        <v>0</v>
      </c>
      <c r="L1186" t="s">
        <v>166</v>
      </c>
      <c r="N1186" t="s">
        <v>269</v>
      </c>
      <c r="O1186" t="s">
        <v>362</v>
      </c>
      <c r="P1186">
        <v>4.3480685572454464E-2</v>
      </c>
      <c r="Q1186" t="s">
        <v>166</v>
      </c>
    </row>
    <row r="1187" spans="9:17" x14ac:dyDescent="0.45">
      <c r="I1187" t="s">
        <v>205</v>
      </c>
      <c r="J1187" t="s">
        <v>165</v>
      </c>
      <c r="K1187">
        <v>4.4609981570816519E-2</v>
      </c>
      <c r="L1187" t="s">
        <v>166</v>
      </c>
      <c r="N1187" t="s">
        <v>270</v>
      </c>
      <c r="O1187" t="s">
        <v>165</v>
      </c>
      <c r="P1187">
        <v>0.1179826659509189</v>
      </c>
      <c r="Q1187" t="s">
        <v>166</v>
      </c>
    </row>
    <row r="1188" spans="9:17" x14ac:dyDescent="0.45">
      <c r="I1188" t="s">
        <v>205</v>
      </c>
      <c r="J1188" t="s">
        <v>167</v>
      </c>
      <c r="K1188">
        <v>2.6464285181722971E-2</v>
      </c>
      <c r="L1188" t="s">
        <v>166</v>
      </c>
      <c r="N1188" t="s">
        <v>270</v>
      </c>
      <c r="O1188" t="s">
        <v>167</v>
      </c>
      <c r="P1188">
        <v>8.3807495538444493E-3</v>
      </c>
      <c r="Q1188" t="s">
        <v>166</v>
      </c>
    </row>
    <row r="1189" spans="9:17" x14ac:dyDescent="0.45">
      <c r="I1189" t="s">
        <v>205</v>
      </c>
      <c r="J1189" t="s">
        <v>168</v>
      </c>
      <c r="K1189">
        <v>0.15241186305627086</v>
      </c>
      <c r="L1189" t="s">
        <v>166</v>
      </c>
      <c r="N1189" t="s">
        <v>270</v>
      </c>
      <c r="O1189" t="s">
        <v>168</v>
      </c>
      <c r="P1189">
        <v>4.343995017767182E-2</v>
      </c>
      <c r="Q1189" t="s">
        <v>166</v>
      </c>
    </row>
    <row r="1190" spans="9:17" x14ac:dyDescent="0.45">
      <c r="I1190" t="s">
        <v>205</v>
      </c>
      <c r="J1190" t="s">
        <v>333</v>
      </c>
      <c r="K1190">
        <v>1.6552592701167872E-2</v>
      </c>
      <c r="L1190" t="s">
        <v>166</v>
      </c>
      <c r="N1190" t="s">
        <v>270</v>
      </c>
      <c r="O1190" t="s">
        <v>333</v>
      </c>
      <c r="P1190">
        <v>6.9038404313856716E-3</v>
      </c>
      <c r="Q1190" t="s">
        <v>166</v>
      </c>
    </row>
    <row r="1191" spans="9:17" x14ac:dyDescent="0.45">
      <c r="I1191" t="s">
        <v>205</v>
      </c>
      <c r="J1191" t="s">
        <v>334</v>
      </c>
      <c r="K1191">
        <v>5.125613097951176E-3</v>
      </c>
      <c r="L1191" t="s">
        <v>166</v>
      </c>
      <c r="N1191" t="s">
        <v>270</v>
      </c>
      <c r="O1191" t="s">
        <v>334</v>
      </c>
      <c r="P1191">
        <v>7.6315703540526967E-3</v>
      </c>
      <c r="Q1191" t="s">
        <v>166</v>
      </c>
    </row>
    <row r="1192" spans="9:17" x14ac:dyDescent="0.45">
      <c r="I1192" t="s">
        <v>205</v>
      </c>
      <c r="J1192" t="s">
        <v>335</v>
      </c>
      <c r="K1192">
        <v>0</v>
      </c>
      <c r="L1192" t="s">
        <v>166</v>
      </c>
      <c r="N1192" t="s">
        <v>270</v>
      </c>
      <c r="O1192" t="s">
        <v>335</v>
      </c>
      <c r="P1192">
        <v>5.4816849003839985E-2</v>
      </c>
      <c r="Q1192" t="s">
        <v>166</v>
      </c>
    </row>
    <row r="1193" spans="9:17" x14ac:dyDescent="0.45">
      <c r="I1193" t="s">
        <v>205</v>
      </c>
      <c r="J1193" t="s">
        <v>169</v>
      </c>
      <c r="K1193">
        <v>4.2425299105637401E-2</v>
      </c>
      <c r="L1193" t="s">
        <v>166</v>
      </c>
      <c r="N1193" t="s">
        <v>270</v>
      </c>
      <c r="O1193" t="s">
        <v>169</v>
      </c>
      <c r="P1193">
        <v>8.0981773570696469E-2</v>
      </c>
      <c r="Q1193" t="s">
        <v>166</v>
      </c>
    </row>
    <row r="1194" spans="9:17" x14ac:dyDescent="0.45">
      <c r="I1194" t="s">
        <v>205</v>
      </c>
      <c r="J1194" t="s">
        <v>170</v>
      </c>
      <c r="K1194">
        <v>1.7468137863283113E-2</v>
      </c>
      <c r="L1194" t="s">
        <v>166</v>
      </c>
      <c r="N1194" t="s">
        <v>270</v>
      </c>
      <c r="O1194" t="s">
        <v>170</v>
      </c>
      <c r="P1194">
        <v>5.685487473897995E-3</v>
      </c>
      <c r="Q1194" t="s">
        <v>166</v>
      </c>
    </row>
    <row r="1195" spans="9:17" x14ac:dyDescent="0.45">
      <c r="I1195" t="s">
        <v>205</v>
      </c>
      <c r="J1195" t="s">
        <v>171</v>
      </c>
      <c r="K1195">
        <v>0.10385257793164962</v>
      </c>
      <c r="L1195" t="s">
        <v>166</v>
      </c>
      <c r="N1195" t="s">
        <v>270</v>
      </c>
      <c r="O1195" t="s">
        <v>171</v>
      </c>
      <c r="P1195">
        <v>3.3619604245929434E-2</v>
      </c>
      <c r="Q1195" t="s">
        <v>166</v>
      </c>
    </row>
    <row r="1196" spans="9:17" x14ac:dyDescent="0.45">
      <c r="I1196" t="s">
        <v>205</v>
      </c>
      <c r="J1196" t="s">
        <v>336</v>
      </c>
      <c r="K1196">
        <v>1.1847302385327054E-2</v>
      </c>
      <c r="L1196" t="s">
        <v>166</v>
      </c>
      <c r="N1196" t="s">
        <v>270</v>
      </c>
      <c r="O1196" t="s">
        <v>336</v>
      </c>
      <c r="P1196">
        <v>5.0239897953683809E-3</v>
      </c>
      <c r="Q1196" t="s">
        <v>166</v>
      </c>
    </row>
    <row r="1197" spans="9:17" x14ac:dyDescent="0.45">
      <c r="I1197" t="s">
        <v>205</v>
      </c>
      <c r="J1197" t="s">
        <v>337</v>
      </c>
      <c r="K1197">
        <v>6.9397061845314087E-3</v>
      </c>
      <c r="L1197" t="s">
        <v>166</v>
      </c>
      <c r="N1197" t="s">
        <v>270</v>
      </c>
      <c r="O1197" t="s">
        <v>337</v>
      </c>
      <c r="P1197">
        <v>4.9875177831783584E-3</v>
      </c>
      <c r="Q1197" t="s">
        <v>166</v>
      </c>
    </row>
    <row r="1198" spans="9:17" x14ac:dyDescent="0.45">
      <c r="I1198" t="s">
        <v>205</v>
      </c>
      <c r="J1198" t="s">
        <v>338</v>
      </c>
      <c r="K1198">
        <v>4.0047969026829231E-4</v>
      </c>
      <c r="L1198" t="s">
        <v>166</v>
      </c>
      <c r="N1198" t="s">
        <v>270</v>
      </c>
      <c r="O1198" t="s">
        <v>338</v>
      </c>
      <c r="P1198">
        <v>3.8422089565658818E-2</v>
      </c>
      <c r="Q1198" t="s">
        <v>166</v>
      </c>
    </row>
    <row r="1199" spans="9:17" x14ac:dyDescent="0.45">
      <c r="I1199" t="s">
        <v>205</v>
      </c>
      <c r="J1199" t="s">
        <v>172</v>
      </c>
      <c r="K1199">
        <v>2.1263280365036535E-2</v>
      </c>
      <c r="L1199" t="s">
        <v>166</v>
      </c>
      <c r="N1199" t="s">
        <v>270</v>
      </c>
      <c r="O1199" t="s">
        <v>172</v>
      </c>
      <c r="P1199">
        <v>4.576687627667899E-2</v>
      </c>
      <c r="Q1199" t="s">
        <v>166</v>
      </c>
    </row>
    <row r="1200" spans="9:17" x14ac:dyDescent="0.45">
      <c r="I1200" t="s">
        <v>205</v>
      </c>
      <c r="J1200" t="s">
        <v>173</v>
      </c>
      <c r="K1200">
        <v>8.2541779347227485E-3</v>
      </c>
      <c r="L1200" t="s">
        <v>166</v>
      </c>
      <c r="N1200" t="s">
        <v>270</v>
      </c>
      <c r="O1200" t="s">
        <v>173</v>
      </c>
      <c r="P1200">
        <v>2.8344191701016792E-3</v>
      </c>
      <c r="Q1200" t="s">
        <v>166</v>
      </c>
    </row>
    <row r="1201" spans="9:17" x14ac:dyDescent="0.45">
      <c r="I1201" t="s">
        <v>205</v>
      </c>
      <c r="J1201" t="s">
        <v>174</v>
      </c>
      <c r="K1201">
        <v>4.9081845640647978E-2</v>
      </c>
      <c r="L1201" t="s">
        <v>166</v>
      </c>
      <c r="N1201" t="s">
        <v>270</v>
      </c>
      <c r="O1201" t="s">
        <v>174</v>
      </c>
      <c r="P1201">
        <v>1.0809000987153426E-2</v>
      </c>
      <c r="Q1201" t="s">
        <v>166</v>
      </c>
    </row>
    <row r="1202" spans="9:17" x14ac:dyDescent="0.45">
      <c r="I1202" t="s">
        <v>205</v>
      </c>
      <c r="J1202" t="s">
        <v>339</v>
      </c>
      <c r="K1202">
        <v>5.6703115627245934E-3</v>
      </c>
      <c r="L1202" t="s">
        <v>166</v>
      </c>
      <c r="N1202" t="s">
        <v>270</v>
      </c>
      <c r="O1202" t="s">
        <v>339</v>
      </c>
      <c r="P1202">
        <v>1.6794677900526765E-3</v>
      </c>
      <c r="Q1202" t="s">
        <v>166</v>
      </c>
    </row>
    <row r="1203" spans="9:17" x14ac:dyDescent="0.45">
      <c r="I1203" t="s">
        <v>205</v>
      </c>
      <c r="J1203" t="s">
        <v>340</v>
      </c>
      <c r="K1203">
        <v>3.7079745311292931E-3</v>
      </c>
      <c r="L1203" t="s">
        <v>166</v>
      </c>
      <c r="N1203" t="s">
        <v>270</v>
      </c>
      <c r="O1203" t="s">
        <v>340</v>
      </c>
      <c r="P1203">
        <v>1.7513327554174506E-3</v>
      </c>
      <c r="Q1203" t="s">
        <v>166</v>
      </c>
    </row>
    <row r="1204" spans="9:17" x14ac:dyDescent="0.45">
      <c r="I1204" t="s">
        <v>205</v>
      </c>
      <c r="J1204" t="s">
        <v>341</v>
      </c>
      <c r="K1204">
        <v>1.4130506528047897E-3</v>
      </c>
      <c r="L1204" t="s">
        <v>166</v>
      </c>
      <c r="N1204" t="s">
        <v>270</v>
      </c>
      <c r="O1204" t="s">
        <v>341</v>
      </c>
      <c r="P1204">
        <v>1.6384370328776082E-2</v>
      </c>
      <c r="Q1204" t="s">
        <v>166</v>
      </c>
    </row>
    <row r="1205" spans="9:17" x14ac:dyDescent="0.45">
      <c r="I1205" t="s">
        <v>205</v>
      </c>
      <c r="J1205" t="s">
        <v>175</v>
      </c>
      <c r="K1205">
        <v>2.0041633804804105E-2</v>
      </c>
      <c r="L1205" t="s">
        <v>166</v>
      </c>
      <c r="N1205" t="s">
        <v>270</v>
      </c>
      <c r="O1205" t="s">
        <v>175</v>
      </c>
      <c r="P1205">
        <v>5.3947453980302588E-2</v>
      </c>
      <c r="Q1205" t="s">
        <v>166</v>
      </c>
    </row>
    <row r="1206" spans="9:17" x14ac:dyDescent="0.45">
      <c r="I1206" t="s">
        <v>205</v>
      </c>
      <c r="J1206" t="s">
        <v>176</v>
      </c>
      <c r="K1206">
        <v>8.2669041058101075E-3</v>
      </c>
      <c r="L1206" t="s">
        <v>166</v>
      </c>
      <c r="N1206" t="s">
        <v>270</v>
      </c>
      <c r="O1206" t="s">
        <v>176</v>
      </c>
      <c r="P1206">
        <v>3.731946064863437E-3</v>
      </c>
      <c r="Q1206" t="s">
        <v>166</v>
      </c>
    </row>
    <row r="1207" spans="9:17" x14ac:dyDescent="0.45">
      <c r="I1207" t="s">
        <v>205</v>
      </c>
      <c r="J1207" t="s">
        <v>177</v>
      </c>
      <c r="K1207">
        <v>4.9440818562747589E-2</v>
      </c>
      <c r="L1207" t="s">
        <v>166</v>
      </c>
      <c r="N1207" t="s">
        <v>270</v>
      </c>
      <c r="O1207" t="s">
        <v>177</v>
      </c>
      <c r="P1207">
        <v>1.5820236237297575E-2</v>
      </c>
      <c r="Q1207" t="s">
        <v>166</v>
      </c>
    </row>
    <row r="1208" spans="9:17" x14ac:dyDescent="0.45">
      <c r="I1208" t="s">
        <v>205</v>
      </c>
      <c r="J1208" t="s">
        <v>342</v>
      </c>
      <c r="K1208">
        <v>5.3730635859444648E-3</v>
      </c>
      <c r="L1208" t="s">
        <v>166</v>
      </c>
      <c r="N1208" t="s">
        <v>270</v>
      </c>
      <c r="O1208" t="s">
        <v>342</v>
      </c>
      <c r="P1208">
        <v>2.9408606651223595E-3</v>
      </c>
      <c r="Q1208" t="s">
        <v>166</v>
      </c>
    </row>
    <row r="1209" spans="9:17" x14ac:dyDescent="0.45">
      <c r="I1209" t="s">
        <v>205</v>
      </c>
      <c r="J1209" t="s">
        <v>343</v>
      </c>
      <c r="K1209">
        <v>3.2826123157495865E-3</v>
      </c>
      <c r="L1209" t="s">
        <v>166</v>
      </c>
      <c r="N1209" t="s">
        <v>270</v>
      </c>
      <c r="O1209" t="s">
        <v>343</v>
      </c>
      <c r="P1209">
        <v>3.0195827341171337E-3</v>
      </c>
      <c r="Q1209" t="s">
        <v>166</v>
      </c>
    </row>
    <row r="1210" spans="9:17" x14ac:dyDescent="0.45">
      <c r="I1210" t="s">
        <v>205</v>
      </c>
      <c r="J1210" t="s">
        <v>344</v>
      </c>
      <c r="K1210">
        <v>1.2158874627206638E-3</v>
      </c>
      <c r="L1210" t="s">
        <v>166</v>
      </c>
      <c r="N1210" t="s">
        <v>270</v>
      </c>
      <c r="O1210" t="s">
        <v>344</v>
      </c>
      <c r="P1210">
        <v>2.6228881379505357E-2</v>
      </c>
      <c r="Q1210" t="s">
        <v>166</v>
      </c>
    </row>
    <row r="1211" spans="9:17" x14ac:dyDescent="0.45">
      <c r="I1211" t="s">
        <v>205</v>
      </c>
      <c r="J1211" t="s">
        <v>345</v>
      </c>
      <c r="K1211">
        <v>3.9169989626348732E-2</v>
      </c>
      <c r="L1211" t="s">
        <v>166</v>
      </c>
      <c r="N1211" t="s">
        <v>270</v>
      </c>
      <c r="O1211" t="s">
        <v>345</v>
      </c>
      <c r="P1211">
        <v>9.9676584600262075E-2</v>
      </c>
      <c r="Q1211" t="s">
        <v>166</v>
      </c>
    </row>
    <row r="1212" spans="9:17" x14ac:dyDescent="0.45">
      <c r="I1212" t="s">
        <v>205</v>
      </c>
      <c r="J1212" t="s">
        <v>346</v>
      </c>
      <c r="K1212">
        <v>1.7105452667732016E-2</v>
      </c>
      <c r="L1212" t="s">
        <v>166</v>
      </c>
      <c r="N1212" t="s">
        <v>270</v>
      </c>
      <c r="O1212" t="s">
        <v>346</v>
      </c>
      <c r="P1212">
        <v>6.2929275798843318E-3</v>
      </c>
      <c r="Q1212" t="s">
        <v>166</v>
      </c>
    </row>
    <row r="1213" spans="9:17" x14ac:dyDescent="0.45">
      <c r="I1213" t="s">
        <v>205</v>
      </c>
      <c r="J1213" t="s">
        <v>347</v>
      </c>
      <c r="K1213">
        <v>9.9536415195130137E-2</v>
      </c>
      <c r="L1213" t="s">
        <v>166</v>
      </c>
      <c r="N1213" t="s">
        <v>270</v>
      </c>
      <c r="O1213" t="s">
        <v>347</v>
      </c>
      <c r="P1213">
        <v>1.6785998901528359E-2</v>
      </c>
      <c r="Q1213" t="s">
        <v>166</v>
      </c>
    </row>
    <row r="1214" spans="9:17" x14ac:dyDescent="0.45">
      <c r="I1214" t="s">
        <v>205</v>
      </c>
      <c r="J1214" t="s">
        <v>348</v>
      </c>
      <c r="K1214">
        <v>1.1145079727936073E-2</v>
      </c>
      <c r="L1214" t="s">
        <v>166</v>
      </c>
      <c r="N1214" t="s">
        <v>270</v>
      </c>
      <c r="O1214" t="s">
        <v>348</v>
      </c>
      <c r="P1214">
        <v>2.6346132223720817E-3</v>
      </c>
      <c r="Q1214" t="s">
        <v>166</v>
      </c>
    </row>
    <row r="1215" spans="9:17" x14ac:dyDescent="0.45">
      <c r="I1215" t="s">
        <v>205</v>
      </c>
      <c r="J1215" t="s">
        <v>349</v>
      </c>
      <c r="K1215">
        <v>6.2261369824678963E-3</v>
      </c>
      <c r="L1215" t="s">
        <v>166</v>
      </c>
      <c r="N1215" t="s">
        <v>270</v>
      </c>
      <c r="O1215" t="s">
        <v>349</v>
      </c>
      <c r="P1215">
        <v>3.2821970529970687E-3</v>
      </c>
      <c r="Q1215" t="s">
        <v>166</v>
      </c>
    </row>
    <row r="1216" spans="9:17" x14ac:dyDescent="0.45">
      <c r="I1216" t="s">
        <v>205</v>
      </c>
      <c r="J1216" t="s">
        <v>350</v>
      </c>
      <c r="K1216">
        <v>1.9197366095077503E-4</v>
      </c>
      <c r="L1216" t="s">
        <v>166</v>
      </c>
      <c r="N1216" t="s">
        <v>270</v>
      </c>
      <c r="O1216" t="s">
        <v>350</v>
      </c>
      <c r="P1216">
        <v>3.8492551305694074E-2</v>
      </c>
      <c r="Q1216" t="s">
        <v>166</v>
      </c>
    </row>
    <row r="1217" spans="9:17" x14ac:dyDescent="0.45">
      <c r="I1217" t="s">
        <v>205</v>
      </c>
      <c r="J1217" t="s">
        <v>351</v>
      </c>
      <c r="K1217">
        <v>1.9825575945830027E-2</v>
      </c>
      <c r="L1217" t="s">
        <v>166</v>
      </c>
      <c r="N1217" t="s">
        <v>270</v>
      </c>
      <c r="O1217" t="s">
        <v>351</v>
      </c>
      <c r="P1217">
        <v>5.2859923629805725E-2</v>
      </c>
      <c r="Q1217" t="s">
        <v>166</v>
      </c>
    </row>
    <row r="1218" spans="9:17" x14ac:dyDescent="0.45">
      <c r="I1218" t="s">
        <v>205</v>
      </c>
      <c r="J1218" t="s">
        <v>352</v>
      </c>
      <c r="K1218">
        <v>8.6721218199946049E-3</v>
      </c>
      <c r="L1218" t="s">
        <v>166</v>
      </c>
      <c r="N1218" t="s">
        <v>270</v>
      </c>
      <c r="O1218" t="s">
        <v>352</v>
      </c>
      <c r="P1218">
        <v>2.8080797185583983E-3</v>
      </c>
      <c r="Q1218" t="s">
        <v>166</v>
      </c>
    </row>
    <row r="1219" spans="9:17" x14ac:dyDescent="0.45">
      <c r="I1219" t="s">
        <v>205</v>
      </c>
      <c r="J1219" t="s">
        <v>353</v>
      </c>
      <c r="K1219">
        <v>4.7614753965699967E-2</v>
      </c>
      <c r="L1219" t="s">
        <v>166</v>
      </c>
      <c r="N1219" t="s">
        <v>270</v>
      </c>
      <c r="O1219" t="s">
        <v>353</v>
      </c>
      <c r="P1219">
        <v>8.7294054633908925E-3</v>
      </c>
      <c r="Q1219" t="s">
        <v>166</v>
      </c>
    </row>
    <row r="1220" spans="9:17" x14ac:dyDescent="0.45">
      <c r="I1220" t="s">
        <v>205</v>
      </c>
      <c r="J1220" t="s">
        <v>354</v>
      </c>
      <c r="K1220">
        <v>4.2113053593197851E-3</v>
      </c>
      <c r="L1220" t="s">
        <v>166</v>
      </c>
      <c r="N1220" t="s">
        <v>270</v>
      </c>
      <c r="O1220" t="s">
        <v>354</v>
      </c>
      <c r="P1220">
        <v>1.5454328897143237E-3</v>
      </c>
      <c r="Q1220" t="s">
        <v>166</v>
      </c>
    </row>
    <row r="1221" spans="9:17" x14ac:dyDescent="0.45">
      <c r="I1221" t="s">
        <v>205</v>
      </c>
      <c r="J1221" t="s">
        <v>355</v>
      </c>
      <c r="K1221">
        <v>3.2548804939965364E-5</v>
      </c>
      <c r="L1221" t="s">
        <v>166</v>
      </c>
      <c r="N1221" t="s">
        <v>270</v>
      </c>
      <c r="O1221" t="s">
        <v>355</v>
      </c>
      <c r="P1221">
        <v>2.178962688471571E-3</v>
      </c>
      <c r="Q1221" t="s">
        <v>166</v>
      </c>
    </row>
    <row r="1222" spans="9:17" x14ac:dyDescent="0.45">
      <c r="I1222" t="s">
        <v>205</v>
      </c>
      <c r="J1222" t="s">
        <v>356</v>
      </c>
      <c r="K1222">
        <v>0</v>
      </c>
      <c r="L1222" t="s">
        <v>166</v>
      </c>
      <c r="N1222" t="s">
        <v>270</v>
      </c>
      <c r="O1222" t="s">
        <v>356</v>
      </c>
      <c r="P1222">
        <v>2.4197202811997352E-2</v>
      </c>
      <c r="Q1222" t="s">
        <v>166</v>
      </c>
    </row>
    <row r="1223" spans="9:17" x14ac:dyDescent="0.45">
      <c r="I1223" t="s">
        <v>205</v>
      </c>
      <c r="J1223" t="s">
        <v>357</v>
      </c>
      <c r="K1223">
        <v>2.8978588289667633E-2</v>
      </c>
      <c r="L1223" t="s">
        <v>166</v>
      </c>
      <c r="N1223" t="s">
        <v>270</v>
      </c>
      <c r="O1223" t="s">
        <v>357</v>
      </c>
      <c r="P1223">
        <v>7.0533520233676858E-2</v>
      </c>
      <c r="Q1223" t="s">
        <v>166</v>
      </c>
    </row>
    <row r="1224" spans="9:17" x14ac:dyDescent="0.45">
      <c r="I1224" t="s">
        <v>205</v>
      </c>
      <c r="J1224" t="s">
        <v>358</v>
      </c>
      <c r="K1224">
        <v>1.6327905974167441E-2</v>
      </c>
      <c r="L1224" t="s">
        <v>166</v>
      </c>
      <c r="N1224" t="s">
        <v>270</v>
      </c>
      <c r="O1224" t="s">
        <v>358</v>
      </c>
      <c r="P1224">
        <v>4.4307907666137998E-3</v>
      </c>
      <c r="Q1224" t="s">
        <v>166</v>
      </c>
    </row>
    <row r="1225" spans="9:17" x14ac:dyDescent="0.45">
      <c r="I1225" t="s">
        <v>205</v>
      </c>
      <c r="J1225" t="s">
        <v>359</v>
      </c>
      <c r="K1225">
        <v>8.8877950749882084E-2</v>
      </c>
      <c r="L1225" t="s">
        <v>166</v>
      </c>
      <c r="N1225" t="s">
        <v>270</v>
      </c>
      <c r="O1225" t="s">
        <v>359</v>
      </c>
      <c r="P1225">
        <v>2.4922147439252591E-2</v>
      </c>
      <c r="Q1225" t="s">
        <v>166</v>
      </c>
    </row>
    <row r="1226" spans="9:17" x14ac:dyDescent="0.45">
      <c r="I1226" t="s">
        <v>205</v>
      </c>
      <c r="J1226" t="s">
        <v>360</v>
      </c>
      <c r="K1226">
        <v>6.9748019364652145E-3</v>
      </c>
      <c r="L1226" t="s">
        <v>166</v>
      </c>
      <c r="N1226" t="s">
        <v>270</v>
      </c>
      <c r="O1226" t="s">
        <v>360</v>
      </c>
      <c r="P1226">
        <v>4.5620928645923103E-3</v>
      </c>
      <c r="Q1226" t="s">
        <v>166</v>
      </c>
    </row>
    <row r="1227" spans="9:17" x14ac:dyDescent="0.45">
      <c r="I1227" t="s">
        <v>205</v>
      </c>
      <c r="J1227" t="s">
        <v>361</v>
      </c>
      <c r="K1227">
        <v>0</v>
      </c>
      <c r="L1227" t="s">
        <v>166</v>
      </c>
      <c r="N1227" t="s">
        <v>270</v>
      </c>
      <c r="O1227" t="s">
        <v>361</v>
      </c>
      <c r="P1227">
        <v>5.442790184302132E-3</v>
      </c>
      <c r="Q1227" t="s">
        <v>166</v>
      </c>
    </row>
    <row r="1228" spans="9:17" x14ac:dyDescent="0.45">
      <c r="I1228" t="s">
        <v>205</v>
      </c>
      <c r="J1228" t="s">
        <v>362</v>
      </c>
      <c r="K1228">
        <v>0</v>
      </c>
      <c r="L1228" t="s">
        <v>166</v>
      </c>
      <c r="N1228" t="s">
        <v>270</v>
      </c>
      <c r="O1228" t="s">
        <v>362</v>
      </c>
      <c r="P1228">
        <v>3.783426237105466E-2</v>
      </c>
      <c r="Q1228" t="s">
        <v>166</v>
      </c>
    </row>
    <row r="1229" spans="9:17" x14ac:dyDescent="0.45">
      <c r="I1229" t="s">
        <v>206</v>
      </c>
      <c r="J1229" t="s">
        <v>165</v>
      </c>
      <c r="K1229">
        <v>4.7830796834439276E-2</v>
      </c>
      <c r="L1229" t="s">
        <v>166</v>
      </c>
      <c r="N1229" t="s">
        <v>271</v>
      </c>
      <c r="O1229" t="s">
        <v>165</v>
      </c>
      <c r="P1229">
        <v>0.13401602630552822</v>
      </c>
      <c r="Q1229" t="s">
        <v>166</v>
      </c>
    </row>
    <row r="1230" spans="9:17" x14ac:dyDescent="0.45">
      <c r="I1230" t="s">
        <v>206</v>
      </c>
      <c r="J1230" t="s">
        <v>167</v>
      </c>
      <c r="K1230">
        <v>2.6790938388561253E-2</v>
      </c>
      <c r="L1230" t="s">
        <v>166</v>
      </c>
      <c r="N1230" t="s">
        <v>271</v>
      </c>
      <c r="O1230" t="s">
        <v>167</v>
      </c>
      <c r="P1230">
        <v>9.9529527358717899E-3</v>
      </c>
      <c r="Q1230" t="s">
        <v>166</v>
      </c>
    </row>
    <row r="1231" spans="9:17" x14ac:dyDescent="0.45">
      <c r="I1231" t="s">
        <v>206</v>
      </c>
      <c r="J1231" t="s">
        <v>168</v>
      </c>
      <c r="K1231">
        <v>0.15301192957202561</v>
      </c>
      <c r="L1231" t="s">
        <v>166</v>
      </c>
      <c r="N1231" t="s">
        <v>271</v>
      </c>
      <c r="O1231" t="s">
        <v>168</v>
      </c>
      <c r="P1231">
        <v>5.1911599585710531E-2</v>
      </c>
      <c r="Q1231" t="s">
        <v>166</v>
      </c>
    </row>
    <row r="1232" spans="9:17" x14ac:dyDescent="0.45">
      <c r="I1232" t="s">
        <v>206</v>
      </c>
      <c r="J1232" t="s">
        <v>333</v>
      </c>
      <c r="K1232">
        <v>1.5884542375050315E-2</v>
      </c>
      <c r="L1232" t="s">
        <v>166</v>
      </c>
      <c r="N1232" t="s">
        <v>271</v>
      </c>
      <c r="O1232" t="s">
        <v>333</v>
      </c>
      <c r="P1232">
        <v>8.059918192878204E-3</v>
      </c>
      <c r="Q1232" t="s">
        <v>166</v>
      </c>
    </row>
    <row r="1233" spans="9:17" x14ac:dyDescent="0.45">
      <c r="I1233" t="s">
        <v>206</v>
      </c>
      <c r="J1233" t="s">
        <v>334</v>
      </c>
      <c r="K1233">
        <v>4.02901886657167E-3</v>
      </c>
      <c r="L1233" t="s">
        <v>166</v>
      </c>
      <c r="N1233" t="s">
        <v>271</v>
      </c>
      <c r="O1233" t="s">
        <v>334</v>
      </c>
      <c r="P1233">
        <v>8.699482205868669E-3</v>
      </c>
      <c r="Q1233" t="s">
        <v>166</v>
      </c>
    </row>
    <row r="1234" spans="9:17" x14ac:dyDescent="0.45">
      <c r="I1234" t="s">
        <v>206</v>
      </c>
      <c r="J1234" t="s">
        <v>335</v>
      </c>
      <c r="K1234">
        <v>0</v>
      </c>
      <c r="L1234" t="s">
        <v>166</v>
      </c>
      <c r="N1234" t="s">
        <v>271</v>
      </c>
      <c r="O1234" t="s">
        <v>335</v>
      </c>
      <c r="P1234">
        <v>5.8187177874123128E-2</v>
      </c>
      <c r="Q1234" t="s">
        <v>166</v>
      </c>
    </row>
    <row r="1235" spans="9:17" x14ac:dyDescent="0.45">
      <c r="I1235" t="s">
        <v>206</v>
      </c>
      <c r="J1235" t="s">
        <v>169</v>
      </c>
      <c r="K1235">
        <v>4.3789854332823418E-2</v>
      </c>
      <c r="L1235" t="s">
        <v>166</v>
      </c>
      <c r="N1235" t="s">
        <v>271</v>
      </c>
      <c r="O1235" t="s">
        <v>169</v>
      </c>
      <c r="P1235">
        <v>8.3369191756109046E-2</v>
      </c>
      <c r="Q1235" t="s">
        <v>166</v>
      </c>
    </row>
    <row r="1236" spans="9:17" x14ac:dyDescent="0.45">
      <c r="I1236" t="s">
        <v>206</v>
      </c>
      <c r="J1236" t="s">
        <v>170</v>
      </c>
      <c r="K1236">
        <v>1.7349138227846603E-2</v>
      </c>
      <c r="L1236" t="s">
        <v>166</v>
      </c>
      <c r="N1236" t="s">
        <v>271</v>
      </c>
      <c r="O1236" t="s">
        <v>170</v>
      </c>
      <c r="P1236">
        <v>6.0619546433561067E-3</v>
      </c>
      <c r="Q1236" t="s">
        <v>166</v>
      </c>
    </row>
    <row r="1237" spans="9:17" x14ac:dyDescent="0.45">
      <c r="I1237" t="s">
        <v>206</v>
      </c>
      <c r="J1237" t="s">
        <v>171</v>
      </c>
      <c r="K1237">
        <v>0.10177751678027157</v>
      </c>
      <c r="L1237" t="s">
        <v>166</v>
      </c>
      <c r="N1237" t="s">
        <v>271</v>
      </c>
      <c r="O1237" t="s">
        <v>171</v>
      </c>
      <c r="P1237">
        <v>3.1103242543213061E-2</v>
      </c>
      <c r="Q1237" t="s">
        <v>166</v>
      </c>
    </row>
    <row r="1238" spans="9:17" x14ac:dyDescent="0.45">
      <c r="I1238" t="s">
        <v>206</v>
      </c>
      <c r="J1238" t="s">
        <v>336</v>
      </c>
      <c r="K1238">
        <v>1.088133913669254E-2</v>
      </c>
      <c r="L1238" t="s">
        <v>166</v>
      </c>
      <c r="N1238" t="s">
        <v>271</v>
      </c>
      <c r="O1238" t="s">
        <v>336</v>
      </c>
      <c r="P1238">
        <v>4.7705036883122715E-3</v>
      </c>
      <c r="Q1238" t="s">
        <v>166</v>
      </c>
    </row>
    <row r="1239" spans="9:17" x14ac:dyDescent="0.45">
      <c r="I1239" t="s">
        <v>206</v>
      </c>
      <c r="J1239" t="s">
        <v>337</v>
      </c>
      <c r="K1239">
        <v>5.8166625705864654E-3</v>
      </c>
      <c r="L1239" t="s">
        <v>166</v>
      </c>
      <c r="N1239" t="s">
        <v>271</v>
      </c>
      <c r="O1239" t="s">
        <v>337</v>
      </c>
      <c r="P1239">
        <v>4.7515772090111832E-3</v>
      </c>
      <c r="Q1239" t="s">
        <v>166</v>
      </c>
    </row>
    <row r="1240" spans="9:17" x14ac:dyDescent="0.45">
      <c r="I1240" t="s">
        <v>206</v>
      </c>
      <c r="J1240" t="s">
        <v>338</v>
      </c>
      <c r="K1240">
        <v>0</v>
      </c>
      <c r="L1240" t="s">
        <v>166</v>
      </c>
      <c r="N1240" t="s">
        <v>271</v>
      </c>
      <c r="O1240" t="s">
        <v>338</v>
      </c>
      <c r="P1240">
        <v>3.4554979252608475E-2</v>
      </c>
      <c r="Q1240" t="s">
        <v>166</v>
      </c>
    </row>
    <row r="1241" spans="9:17" x14ac:dyDescent="0.45">
      <c r="I1241" t="s">
        <v>206</v>
      </c>
      <c r="J1241" t="s">
        <v>172</v>
      </c>
      <c r="K1241">
        <v>2.1159696476258229E-2</v>
      </c>
      <c r="L1241" t="s">
        <v>166</v>
      </c>
      <c r="N1241" t="s">
        <v>271</v>
      </c>
      <c r="O1241" t="s">
        <v>172</v>
      </c>
      <c r="P1241">
        <v>4.1436697978325311E-2</v>
      </c>
      <c r="Q1241" t="s">
        <v>166</v>
      </c>
    </row>
    <row r="1242" spans="9:17" x14ac:dyDescent="0.45">
      <c r="I1242" t="s">
        <v>206</v>
      </c>
      <c r="J1242" t="s">
        <v>173</v>
      </c>
      <c r="K1242">
        <v>8.1567597702519312E-3</v>
      </c>
      <c r="L1242" t="s">
        <v>166</v>
      </c>
      <c r="N1242" t="s">
        <v>271</v>
      </c>
      <c r="O1242" t="s">
        <v>173</v>
      </c>
      <c r="P1242">
        <v>3.7807268011398739E-3</v>
      </c>
      <c r="Q1242" t="s">
        <v>166</v>
      </c>
    </row>
    <row r="1243" spans="9:17" x14ac:dyDescent="0.45">
      <c r="I1243" t="s">
        <v>206</v>
      </c>
      <c r="J1243" t="s">
        <v>174</v>
      </c>
      <c r="K1243">
        <v>4.788358246854453E-2</v>
      </c>
      <c r="L1243" t="s">
        <v>166</v>
      </c>
      <c r="N1243" t="s">
        <v>271</v>
      </c>
      <c r="O1243" t="s">
        <v>174</v>
      </c>
      <c r="P1243">
        <v>1.3640348411526709E-2</v>
      </c>
      <c r="Q1243" t="s">
        <v>166</v>
      </c>
    </row>
    <row r="1244" spans="9:17" x14ac:dyDescent="0.45">
      <c r="I1244" t="s">
        <v>206</v>
      </c>
      <c r="J1244" t="s">
        <v>339</v>
      </c>
      <c r="K1244">
        <v>5.1350678280232352E-3</v>
      </c>
      <c r="L1244" t="s">
        <v>166</v>
      </c>
      <c r="N1244" t="s">
        <v>271</v>
      </c>
      <c r="O1244" t="s">
        <v>339</v>
      </c>
      <c r="P1244">
        <v>1.6559172797132023E-3</v>
      </c>
      <c r="Q1244" t="s">
        <v>166</v>
      </c>
    </row>
    <row r="1245" spans="9:17" x14ac:dyDescent="0.45">
      <c r="I1245" t="s">
        <v>206</v>
      </c>
      <c r="J1245" t="s">
        <v>340</v>
      </c>
      <c r="K1245">
        <v>3.2255968893010545E-3</v>
      </c>
      <c r="L1245" t="s">
        <v>166</v>
      </c>
      <c r="N1245" t="s">
        <v>271</v>
      </c>
      <c r="O1245" t="s">
        <v>340</v>
      </c>
      <c r="P1245">
        <v>1.690091835140278E-3</v>
      </c>
      <c r="Q1245" t="s">
        <v>166</v>
      </c>
    </row>
    <row r="1246" spans="9:17" x14ac:dyDescent="0.45">
      <c r="I1246" t="s">
        <v>206</v>
      </c>
      <c r="J1246" t="s">
        <v>341</v>
      </c>
      <c r="K1246">
        <v>7.0312182365338369E-4</v>
      </c>
      <c r="L1246" t="s">
        <v>166</v>
      </c>
      <c r="N1246" t="s">
        <v>271</v>
      </c>
      <c r="O1246" t="s">
        <v>341</v>
      </c>
      <c r="P1246">
        <v>1.3926720195739791E-2</v>
      </c>
      <c r="Q1246" t="s">
        <v>166</v>
      </c>
    </row>
    <row r="1247" spans="9:17" x14ac:dyDescent="0.45">
      <c r="I1247" t="s">
        <v>206</v>
      </c>
      <c r="J1247" t="s">
        <v>175</v>
      </c>
      <c r="K1247">
        <v>2.0728976515367467E-2</v>
      </c>
      <c r="L1247" t="s">
        <v>166</v>
      </c>
      <c r="N1247" t="s">
        <v>271</v>
      </c>
      <c r="O1247" t="s">
        <v>175</v>
      </c>
      <c r="P1247">
        <v>5.4434141618005506E-2</v>
      </c>
      <c r="Q1247" t="s">
        <v>166</v>
      </c>
    </row>
    <row r="1248" spans="9:17" x14ac:dyDescent="0.45">
      <c r="I1248" t="s">
        <v>206</v>
      </c>
      <c r="J1248" t="s">
        <v>176</v>
      </c>
      <c r="K1248">
        <v>8.3259529572274928E-3</v>
      </c>
      <c r="L1248" t="s">
        <v>166</v>
      </c>
      <c r="N1248" t="s">
        <v>271</v>
      </c>
      <c r="O1248" t="s">
        <v>176</v>
      </c>
      <c r="P1248">
        <v>4.7116138402687208E-3</v>
      </c>
      <c r="Q1248" t="s">
        <v>166</v>
      </c>
    </row>
    <row r="1249" spans="9:17" x14ac:dyDescent="0.45">
      <c r="I1249" t="s">
        <v>206</v>
      </c>
      <c r="J1249" t="s">
        <v>177</v>
      </c>
      <c r="K1249">
        <v>4.9328083696857462E-2</v>
      </c>
      <c r="L1249" t="s">
        <v>166</v>
      </c>
      <c r="N1249" t="s">
        <v>271</v>
      </c>
      <c r="O1249" t="s">
        <v>177</v>
      </c>
      <c r="P1249">
        <v>1.6882085768011462E-2</v>
      </c>
      <c r="Q1249" t="s">
        <v>166</v>
      </c>
    </row>
    <row r="1250" spans="9:17" x14ac:dyDescent="0.45">
      <c r="I1250" t="s">
        <v>206</v>
      </c>
      <c r="J1250" t="s">
        <v>342</v>
      </c>
      <c r="K1250">
        <v>5.4758490338431562E-3</v>
      </c>
      <c r="L1250" t="s">
        <v>166</v>
      </c>
      <c r="N1250" t="s">
        <v>271</v>
      </c>
      <c r="O1250" t="s">
        <v>342</v>
      </c>
      <c r="P1250">
        <v>2.5240975379532942E-3</v>
      </c>
      <c r="Q1250" t="s">
        <v>166</v>
      </c>
    </row>
    <row r="1251" spans="9:17" x14ac:dyDescent="0.45">
      <c r="I1251" t="s">
        <v>206</v>
      </c>
      <c r="J1251" t="s">
        <v>343</v>
      </c>
      <c r="K1251">
        <v>3.3416843597669234E-3</v>
      </c>
      <c r="L1251" t="s">
        <v>166</v>
      </c>
      <c r="N1251" t="s">
        <v>271</v>
      </c>
      <c r="O1251" t="s">
        <v>343</v>
      </c>
      <c r="P1251">
        <v>2.4028729905559293E-3</v>
      </c>
      <c r="Q1251" t="s">
        <v>166</v>
      </c>
    </row>
    <row r="1252" spans="9:17" x14ac:dyDescent="0.45">
      <c r="I1252" t="s">
        <v>206</v>
      </c>
      <c r="J1252" t="s">
        <v>344</v>
      </c>
      <c r="K1252">
        <v>7.8356648506156023E-4</v>
      </c>
      <c r="L1252" t="s">
        <v>166</v>
      </c>
      <c r="N1252" t="s">
        <v>271</v>
      </c>
      <c r="O1252" t="s">
        <v>344</v>
      </c>
      <c r="P1252">
        <v>1.9014014653705148E-2</v>
      </c>
      <c r="Q1252" t="s">
        <v>166</v>
      </c>
    </row>
    <row r="1253" spans="9:17" x14ac:dyDescent="0.45">
      <c r="I1253" t="s">
        <v>206</v>
      </c>
      <c r="J1253" t="s">
        <v>345</v>
      </c>
      <c r="K1253">
        <v>4.0758789872237765E-2</v>
      </c>
      <c r="L1253" t="s">
        <v>166</v>
      </c>
      <c r="N1253" t="s">
        <v>271</v>
      </c>
      <c r="O1253" t="s">
        <v>345</v>
      </c>
      <c r="P1253">
        <v>7.9639459559238249E-2</v>
      </c>
      <c r="Q1253" t="s">
        <v>166</v>
      </c>
    </row>
    <row r="1254" spans="9:17" x14ac:dyDescent="0.45">
      <c r="I1254" t="s">
        <v>206</v>
      </c>
      <c r="J1254" t="s">
        <v>346</v>
      </c>
      <c r="K1254">
        <v>1.7049861848810782E-2</v>
      </c>
      <c r="L1254" t="s">
        <v>166</v>
      </c>
      <c r="N1254" t="s">
        <v>271</v>
      </c>
      <c r="O1254" t="s">
        <v>346</v>
      </c>
      <c r="P1254">
        <v>6.361788682827549E-3</v>
      </c>
      <c r="Q1254" t="s">
        <v>166</v>
      </c>
    </row>
    <row r="1255" spans="9:17" x14ac:dyDescent="0.45">
      <c r="I1255" t="s">
        <v>206</v>
      </c>
      <c r="J1255" t="s">
        <v>347</v>
      </c>
      <c r="K1255">
        <v>9.8765077394980735E-2</v>
      </c>
      <c r="L1255" t="s">
        <v>166</v>
      </c>
      <c r="N1255" t="s">
        <v>271</v>
      </c>
      <c r="O1255" t="s">
        <v>347</v>
      </c>
      <c r="P1255">
        <v>1.8120910358800538E-2</v>
      </c>
      <c r="Q1255" t="s">
        <v>166</v>
      </c>
    </row>
    <row r="1256" spans="9:17" x14ac:dyDescent="0.45">
      <c r="I1256" t="s">
        <v>206</v>
      </c>
      <c r="J1256" t="s">
        <v>348</v>
      </c>
      <c r="K1256">
        <v>1.0520269994686237E-2</v>
      </c>
      <c r="L1256" t="s">
        <v>166</v>
      </c>
      <c r="N1256" t="s">
        <v>271</v>
      </c>
      <c r="O1256" t="s">
        <v>348</v>
      </c>
      <c r="P1256">
        <v>2.2411917903076067E-3</v>
      </c>
      <c r="Q1256" t="s">
        <v>166</v>
      </c>
    </row>
    <row r="1257" spans="9:17" x14ac:dyDescent="0.45">
      <c r="I1257" t="s">
        <v>206</v>
      </c>
      <c r="J1257" t="s">
        <v>349</v>
      </c>
      <c r="K1257">
        <v>5.0844299510921084E-3</v>
      </c>
      <c r="L1257" t="s">
        <v>166</v>
      </c>
      <c r="N1257" t="s">
        <v>271</v>
      </c>
      <c r="O1257" t="s">
        <v>349</v>
      </c>
      <c r="P1257">
        <v>2.6731633847545235E-3</v>
      </c>
      <c r="Q1257" t="s">
        <v>166</v>
      </c>
    </row>
    <row r="1258" spans="9:17" x14ac:dyDescent="0.45">
      <c r="I1258" t="s">
        <v>206</v>
      </c>
      <c r="J1258" t="s">
        <v>350</v>
      </c>
      <c r="K1258">
        <v>0</v>
      </c>
      <c r="L1258" t="s">
        <v>166</v>
      </c>
      <c r="N1258" t="s">
        <v>271</v>
      </c>
      <c r="O1258" t="s">
        <v>350</v>
      </c>
      <c r="P1258">
        <v>2.6882129386524432E-2</v>
      </c>
      <c r="Q1258" t="s">
        <v>166</v>
      </c>
    </row>
    <row r="1259" spans="9:17" x14ac:dyDescent="0.45">
      <c r="I1259" t="s">
        <v>206</v>
      </c>
      <c r="J1259" t="s">
        <v>351</v>
      </c>
      <c r="K1259">
        <v>2.0361246378186742E-2</v>
      </c>
      <c r="L1259" t="s">
        <v>166</v>
      </c>
      <c r="N1259" t="s">
        <v>271</v>
      </c>
      <c r="O1259" t="s">
        <v>351</v>
      </c>
      <c r="P1259">
        <v>5.3605486984256753E-2</v>
      </c>
      <c r="Q1259" t="s">
        <v>166</v>
      </c>
    </row>
    <row r="1260" spans="9:17" x14ac:dyDescent="0.45">
      <c r="I1260" t="s">
        <v>206</v>
      </c>
      <c r="J1260" t="s">
        <v>352</v>
      </c>
      <c r="K1260">
        <v>8.7659136680247503E-3</v>
      </c>
      <c r="L1260" t="s">
        <v>166</v>
      </c>
      <c r="N1260" t="s">
        <v>271</v>
      </c>
      <c r="O1260" t="s">
        <v>352</v>
      </c>
      <c r="P1260">
        <v>3.4960821946133308E-3</v>
      </c>
      <c r="Q1260" t="s">
        <v>166</v>
      </c>
    </row>
    <row r="1261" spans="9:17" x14ac:dyDescent="0.45">
      <c r="I1261" t="s">
        <v>206</v>
      </c>
      <c r="J1261" t="s">
        <v>353</v>
      </c>
      <c r="K1261">
        <v>4.8396489095549819E-2</v>
      </c>
      <c r="L1261" t="s">
        <v>166</v>
      </c>
      <c r="N1261" t="s">
        <v>271</v>
      </c>
      <c r="O1261" t="s">
        <v>353</v>
      </c>
      <c r="P1261">
        <v>1.1327525042320086E-2</v>
      </c>
      <c r="Q1261" t="s">
        <v>166</v>
      </c>
    </row>
    <row r="1262" spans="9:17" x14ac:dyDescent="0.45">
      <c r="I1262" t="s">
        <v>206</v>
      </c>
      <c r="J1262" t="s">
        <v>354</v>
      </c>
      <c r="K1262">
        <v>4.3614665506658736E-3</v>
      </c>
      <c r="L1262" t="s">
        <v>166</v>
      </c>
      <c r="N1262" t="s">
        <v>271</v>
      </c>
      <c r="O1262" t="s">
        <v>354</v>
      </c>
      <c r="P1262">
        <v>1.6701490314876952E-3</v>
      </c>
      <c r="Q1262" t="s">
        <v>166</v>
      </c>
    </row>
    <row r="1263" spans="9:17" x14ac:dyDescent="0.45">
      <c r="I1263" t="s">
        <v>206</v>
      </c>
      <c r="J1263" t="s">
        <v>355</v>
      </c>
      <c r="K1263">
        <v>0</v>
      </c>
      <c r="L1263" t="s">
        <v>166</v>
      </c>
      <c r="N1263" t="s">
        <v>271</v>
      </c>
      <c r="O1263" t="s">
        <v>355</v>
      </c>
      <c r="P1263">
        <v>2.1286430467389594E-3</v>
      </c>
      <c r="Q1263" t="s">
        <v>166</v>
      </c>
    </row>
    <row r="1264" spans="9:17" x14ac:dyDescent="0.45">
      <c r="I1264" t="s">
        <v>206</v>
      </c>
      <c r="J1264" t="s">
        <v>356</v>
      </c>
      <c r="K1264">
        <v>0</v>
      </c>
      <c r="L1264" t="s">
        <v>166</v>
      </c>
      <c r="N1264" t="s">
        <v>271</v>
      </c>
      <c r="O1264" t="s">
        <v>356</v>
      </c>
      <c r="P1264">
        <v>1.6617071612679814E-2</v>
      </c>
      <c r="Q1264" t="s">
        <v>166</v>
      </c>
    </row>
    <row r="1265" spans="9:17" x14ac:dyDescent="0.45">
      <c r="I1265" t="s">
        <v>206</v>
      </c>
      <c r="J1265" t="s">
        <v>357</v>
      </c>
      <c r="K1265">
        <v>3.2028535691993203E-2</v>
      </c>
      <c r="L1265" t="s">
        <v>166</v>
      </c>
      <c r="N1265" t="s">
        <v>271</v>
      </c>
      <c r="O1265" t="s">
        <v>357</v>
      </c>
      <c r="P1265">
        <v>8.1357938818216333E-2</v>
      </c>
      <c r="Q1265" t="s">
        <v>166</v>
      </c>
    </row>
    <row r="1266" spans="9:17" x14ac:dyDescent="0.45">
      <c r="I1266" t="s">
        <v>206</v>
      </c>
      <c r="J1266" t="s">
        <v>358</v>
      </c>
      <c r="K1266">
        <v>1.6576473445159817E-2</v>
      </c>
      <c r="L1266" t="s">
        <v>166</v>
      </c>
      <c r="N1266" t="s">
        <v>271</v>
      </c>
      <c r="O1266" t="s">
        <v>358</v>
      </c>
      <c r="P1266">
        <v>5.7602527762140501E-3</v>
      </c>
      <c r="Q1266" t="s">
        <v>166</v>
      </c>
    </row>
    <row r="1267" spans="9:17" x14ac:dyDescent="0.45">
      <c r="I1267" t="s">
        <v>206</v>
      </c>
      <c r="J1267" t="s">
        <v>359</v>
      </c>
      <c r="K1267">
        <v>8.9335977802427496E-2</v>
      </c>
      <c r="L1267" t="s">
        <v>166</v>
      </c>
      <c r="N1267" t="s">
        <v>271</v>
      </c>
      <c r="O1267" t="s">
        <v>359</v>
      </c>
      <c r="P1267">
        <v>3.0991166818275861E-2</v>
      </c>
      <c r="Q1267" t="s">
        <v>166</v>
      </c>
    </row>
    <row r="1268" spans="9:17" x14ac:dyDescent="0.45">
      <c r="I1268" t="s">
        <v>206</v>
      </c>
      <c r="J1268" t="s">
        <v>360</v>
      </c>
      <c r="K1268">
        <v>6.5857929171575357E-3</v>
      </c>
      <c r="L1268" t="s">
        <v>166</v>
      </c>
      <c r="N1268" t="s">
        <v>271</v>
      </c>
      <c r="O1268" t="s">
        <v>360</v>
      </c>
      <c r="P1268">
        <v>4.9126630845386429E-3</v>
      </c>
      <c r="Q1268" t="s">
        <v>166</v>
      </c>
    </row>
    <row r="1269" spans="9:17" x14ac:dyDescent="0.45">
      <c r="I1269" t="s">
        <v>206</v>
      </c>
      <c r="J1269" t="s">
        <v>361</v>
      </c>
      <c r="K1269">
        <v>0</v>
      </c>
      <c r="L1269" t="s">
        <v>166</v>
      </c>
      <c r="N1269" t="s">
        <v>271</v>
      </c>
      <c r="O1269" t="s">
        <v>361</v>
      </c>
      <c r="P1269">
        <v>5.5459718484347541E-3</v>
      </c>
      <c r="Q1269" t="s">
        <v>166</v>
      </c>
    </row>
    <row r="1270" spans="9:17" x14ac:dyDescent="0.45">
      <c r="I1270" t="s">
        <v>206</v>
      </c>
      <c r="J1270" t="s">
        <v>362</v>
      </c>
      <c r="K1270">
        <v>0</v>
      </c>
      <c r="L1270" t="s">
        <v>166</v>
      </c>
      <c r="N1270" t="s">
        <v>271</v>
      </c>
      <c r="O1270" t="s">
        <v>362</v>
      </c>
      <c r="P1270">
        <v>3.5130470677092553E-2</v>
      </c>
      <c r="Q1270" t="s">
        <v>166</v>
      </c>
    </row>
    <row r="1271" spans="9:17" x14ac:dyDescent="0.45">
      <c r="I1271" t="s">
        <v>207</v>
      </c>
      <c r="J1271" t="s">
        <v>165</v>
      </c>
      <c r="K1271">
        <v>4.3914764311109619E-2</v>
      </c>
      <c r="L1271" t="s">
        <v>166</v>
      </c>
      <c r="N1271" t="s">
        <v>272</v>
      </c>
      <c r="O1271" t="s">
        <v>165</v>
      </c>
      <c r="P1271">
        <v>0.14746693294670082</v>
      </c>
      <c r="Q1271" t="s">
        <v>166</v>
      </c>
    </row>
    <row r="1272" spans="9:17" x14ac:dyDescent="0.45">
      <c r="I1272" t="s">
        <v>207</v>
      </c>
      <c r="J1272" t="s">
        <v>167</v>
      </c>
      <c r="K1272">
        <v>2.6598850602914465E-2</v>
      </c>
      <c r="L1272" t="s">
        <v>166</v>
      </c>
      <c r="N1272" t="s">
        <v>272</v>
      </c>
      <c r="O1272" t="s">
        <v>167</v>
      </c>
      <c r="P1272">
        <v>1.0624567514019344E-2</v>
      </c>
      <c r="Q1272" t="s">
        <v>166</v>
      </c>
    </row>
    <row r="1273" spans="9:17" x14ac:dyDescent="0.45">
      <c r="I1273" t="s">
        <v>207</v>
      </c>
      <c r="J1273" t="s">
        <v>168</v>
      </c>
      <c r="K1273">
        <v>0.15446714694448258</v>
      </c>
      <c r="L1273" t="s">
        <v>166</v>
      </c>
      <c r="N1273" t="s">
        <v>272</v>
      </c>
      <c r="O1273" t="s">
        <v>168</v>
      </c>
      <c r="P1273">
        <v>4.87709333870575E-2</v>
      </c>
      <c r="Q1273" t="s">
        <v>166</v>
      </c>
    </row>
    <row r="1274" spans="9:17" x14ac:dyDescent="0.45">
      <c r="I1274" t="s">
        <v>207</v>
      </c>
      <c r="J1274" t="s">
        <v>333</v>
      </c>
      <c r="K1274">
        <v>1.7188090299753756E-2</v>
      </c>
      <c r="L1274" t="s">
        <v>166</v>
      </c>
      <c r="N1274" t="s">
        <v>272</v>
      </c>
      <c r="O1274" t="s">
        <v>333</v>
      </c>
      <c r="P1274">
        <v>6.3626622584594516E-3</v>
      </c>
      <c r="Q1274" t="s">
        <v>166</v>
      </c>
    </row>
    <row r="1275" spans="9:17" x14ac:dyDescent="0.45">
      <c r="I1275" t="s">
        <v>207</v>
      </c>
      <c r="J1275" t="s">
        <v>334</v>
      </c>
      <c r="K1275">
        <v>6.0163567381345583E-3</v>
      </c>
      <c r="L1275" t="s">
        <v>166</v>
      </c>
      <c r="N1275" t="s">
        <v>272</v>
      </c>
      <c r="O1275" t="s">
        <v>334</v>
      </c>
      <c r="P1275">
        <v>7.0522529411152042E-3</v>
      </c>
      <c r="Q1275" t="s">
        <v>166</v>
      </c>
    </row>
    <row r="1276" spans="9:17" x14ac:dyDescent="0.45">
      <c r="I1276" t="s">
        <v>207</v>
      </c>
      <c r="J1276" t="s">
        <v>335</v>
      </c>
      <c r="K1276">
        <v>0</v>
      </c>
      <c r="L1276" t="s">
        <v>166</v>
      </c>
      <c r="N1276" t="s">
        <v>272</v>
      </c>
      <c r="O1276" t="s">
        <v>335</v>
      </c>
      <c r="P1276">
        <v>5.3647561330675414E-2</v>
      </c>
      <c r="Q1276" t="s">
        <v>166</v>
      </c>
    </row>
    <row r="1277" spans="9:17" x14ac:dyDescent="0.45">
      <c r="I1277" t="s">
        <v>207</v>
      </c>
      <c r="J1277" t="s">
        <v>169</v>
      </c>
      <c r="K1277">
        <v>4.0631539924958854E-2</v>
      </c>
      <c r="L1277" t="s">
        <v>166</v>
      </c>
      <c r="N1277" t="s">
        <v>272</v>
      </c>
      <c r="O1277" t="s">
        <v>169</v>
      </c>
      <c r="P1277">
        <v>8.9227494275482142E-2</v>
      </c>
      <c r="Q1277" t="s">
        <v>166</v>
      </c>
    </row>
    <row r="1278" spans="9:17" x14ac:dyDescent="0.45">
      <c r="I1278" t="s">
        <v>207</v>
      </c>
      <c r="J1278" t="s">
        <v>170</v>
      </c>
      <c r="K1278">
        <v>1.7423451763590902E-2</v>
      </c>
      <c r="L1278" t="s">
        <v>166</v>
      </c>
      <c r="N1278" t="s">
        <v>272</v>
      </c>
      <c r="O1278" t="s">
        <v>170</v>
      </c>
      <c r="P1278">
        <v>6.8578671901443197E-3</v>
      </c>
      <c r="Q1278" t="s">
        <v>166</v>
      </c>
    </row>
    <row r="1279" spans="9:17" x14ac:dyDescent="0.45">
      <c r="I1279" t="s">
        <v>207</v>
      </c>
      <c r="J1279" t="s">
        <v>171</v>
      </c>
      <c r="K1279">
        <v>0.10415784540524736</v>
      </c>
      <c r="L1279" t="s">
        <v>166</v>
      </c>
      <c r="N1279" t="s">
        <v>272</v>
      </c>
      <c r="O1279" t="s">
        <v>171</v>
      </c>
      <c r="P1279">
        <v>3.0143729349315012E-2</v>
      </c>
      <c r="Q1279" t="s">
        <v>166</v>
      </c>
    </row>
    <row r="1280" spans="9:17" x14ac:dyDescent="0.45">
      <c r="I1280" t="s">
        <v>207</v>
      </c>
      <c r="J1280" t="s">
        <v>336</v>
      </c>
      <c r="K1280">
        <v>1.1834737797070165E-2</v>
      </c>
      <c r="L1280" t="s">
        <v>166</v>
      </c>
      <c r="N1280" t="s">
        <v>272</v>
      </c>
      <c r="O1280" t="s">
        <v>336</v>
      </c>
      <c r="P1280">
        <v>3.7825494719902052E-3</v>
      </c>
      <c r="Q1280" t="s">
        <v>166</v>
      </c>
    </row>
    <row r="1281" spans="9:17" x14ac:dyDescent="0.45">
      <c r="I1281" t="s">
        <v>207</v>
      </c>
      <c r="J1281" t="s">
        <v>337</v>
      </c>
      <c r="K1281">
        <v>6.8579176342249398E-3</v>
      </c>
      <c r="L1281" t="s">
        <v>166</v>
      </c>
      <c r="N1281" t="s">
        <v>272</v>
      </c>
      <c r="O1281" t="s">
        <v>337</v>
      </c>
      <c r="P1281">
        <v>3.6620143568124402E-3</v>
      </c>
      <c r="Q1281" t="s">
        <v>166</v>
      </c>
    </row>
    <row r="1282" spans="9:17" x14ac:dyDescent="0.45">
      <c r="I1282" t="s">
        <v>207</v>
      </c>
      <c r="J1282" t="s">
        <v>338</v>
      </c>
      <c r="K1282">
        <v>2.9298463159835102E-4</v>
      </c>
      <c r="L1282" t="s">
        <v>166</v>
      </c>
      <c r="N1282" t="s">
        <v>272</v>
      </c>
      <c r="O1282" t="s">
        <v>338</v>
      </c>
      <c r="P1282">
        <v>3.2540224593264278E-2</v>
      </c>
      <c r="Q1282" t="s">
        <v>166</v>
      </c>
    </row>
    <row r="1283" spans="9:17" x14ac:dyDescent="0.45">
      <c r="I1283" t="s">
        <v>207</v>
      </c>
      <c r="J1283" t="s">
        <v>172</v>
      </c>
      <c r="K1283">
        <v>2.0024841299428997E-2</v>
      </c>
      <c r="L1283" t="s">
        <v>166</v>
      </c>
      <c r="N1283" t="s">
        <v>272</v>
      </c>
      <c r="O1283" t="s">
        <v>172</v>
      </c>
      <c r="P1283">
        <v>4.0787381966716808E-2</v>
      </c>
      <c r="Q1283" t="s">
        <v>166</v>
      </c>
    </row>
    <row r="1284" spans="9:17" x14ac:dyDescent="0.45">
      <c r="I1284" t="s">
        <v>207</v>
      </c>
      <c r="J1284" t="s">
        <v>173</v>
      </c>
      <c r="K1284">
        <v>8.0815223375351394E-3</v>
      </c>
      <c r="L1284" t="s">
        <v>166</v>
      </c>
      <c r="N1284" t="s">
        <v>272</v>
      </c>
      <c r="O1284" t="s">
        <v>173</v>
      </c>
      <c r="P1284">
        <v>3.5547650232872104E-3</v>
      </c>
      <c r="Q1284" t="s">
        <v>166</v>
      </c>
    </row>
    <row r="1285" spans="9:17" x14ac:dyDescent="0.45">
      <c r="I1285" t="s">
        <v>207</v>
      </c>
      <c r="J1285" t="s">
        <v>174</v>
      </c>
      <c r="K1285">
        <v>4.8292488376815906E-2</v>
      </c>
      <c r="L1285" t="s">
        <v>166</v>
      </c>
      <c r="N1285" t="s">
        <v>272</v>
      </c>
      <c r="O1285" t="s">
        <v>174</v>
      </c>
      <c r="P1285">
        <v>1.4628743373237059E-2</v>
      </c>
      <c r="Q1285" t="s">
        <v>166</v>
      </c>
    </row>
    <row r="1286" spans="9:17" x14ac:dyDescent="0.45">
      <c r="I1286" t="s">
        <v>207</v>
      </c>
      <c r="J1286" t="s">
        <v>339</v>
      </c>
      <c r="K1286">
        <v>5.4787236396254589E-3</v>
      </c>
      <c r="L1286" t="s">
        <v>166</v>
      </c>
      <c r="N1286" t="s">
        <v>272</v>
      </c>
      <c r="O1286" t="s">
        <v>339</v>
      </c>
      <c r="P1286">
        <v>2.1812797734574391E-3</v>
      </c>
      <c r="Q1286" t="s">
        <v>166</v>
      </c>
    </row>
    <row r="1287" spans="9:17" x14ac:dyDescent="0.45">
      <c r="I1287" t="s">
        <v>207</v>
      </c>
      <c r="J1287" t="s">
        <v>340</v>
      </c>
      <c r="K1287">
        <v>3.5265844057466508E-3</v>
      </c>
      <c r="L1287" t="s">
        <v>166</v>
      </c>
      <c r="N1287" t="s">
        <v>272</v>
      </c>
      <c r="O1287" t="s">
        <v>340</v>
      </c>
      <c r="P1287">
        <v>2.1319910223432928E-3</v>
      </c>
      <c r="Q1287" t="s">
        <v>166</v>
      </c>
    </row>
    <row r="1288" spans="9:17" x14ac:dyDescent="0.45">
      <c r="I1288" t="s">
        <v>207</v>
      </c>
      <c r="J1288" t="s">
        <v>341</v>
      </c>
      <c r="K1288">
        <v>1.3009211154416829E-3</v>
      </c>
      <c r="L1288" t="s">
        <v>166</v>
      </c>
      <c r="N1288" t="s">
        <v>272</v>
      </c>
      <c r="O1288" t="s">
        <v>341</v>
      </c>
      <c r="P1288">
        <v>1.7215870583333393E-2</v>
      </c>
      <c r="Q1288" t="s">
        <v>166</v>
      </c>
    </row>
    <row r="1289" spans="9:17" x14ac:dyDescent="0.45">
      <c r="I1289" t="s">
        <v>207</v>
      </c>
      <c r="J1289" t="s">
        <v>175</v>
      </c>
      <c r="K1289">
        <v>1.9018562294949633E-2</v>
      </c>
      <c r="L1289" t="s">
        <v>166</v>
      </c>
      <c r="N1289" t="s">
        <v>272</v>
      </c>
      <c r="O1289" t="s">
        <v>175</v>
      </c>
      <c r="P1289">
        <v>4.733161873215206E-2</v>
      </c>
      <c r="Q1289" t="s">
        <v>166</v>
      </c>
    </row>
    <row r="1290" spans="9:17" x14ac:dyDescent="0.45">
      <c r="I1290" t="s">
        <v>207</v>
      </c>
      <c r="J1290" t="s">
        <v>176</v>
      </c>
      <c r="K1290">
        <v>8.1110826606632883E-3</v>
      </c>
      <c r="L1290" t="s">
        <v>166</v>
      </c>
      <c r="N1290" t="s">
        <v>272</v>
      </c>
      <c r="O1290" t="s">
        <v>176</v>
      </c>
      <c r="P1290">
        <v>3.9288567549035525E-3</v>
      </c>
      <c r="Q1290" t="s">
        <v>166</v>
      </c>
    </row>
    <row r="1291" spans="9:17" x14ac:dyDescent="0.45">
      <c r="I1291" t="s">
        <v>207</v>
      </c>
      <c r="J1291" t="s">
        <v>177</v>
      </c>
      <c r="K1291">
        <v>4.8757962608046247E-2</v>
      </c>
      <c r="L1291" t="s">
        <v>166</v>
      </c>
      <c r="N1291" t="s">
        <v>272</v>
      </c>
      <c r="O1291" t="s">
        <v>177</v>
      </c>
      <c r="P1291">
        <v>1.4264041382620805E-2</v>
      </c>
      <c r="Q1291" t="s">
        <v>166</v>
      </c>
    </row>
    <row r="1292" spans="9:17" x14ac:dyDescent="0.45">
      <c r="I1292" t="s">
        <v>207</v>
      </c>
      <c r="J1292" t="s">
        <v>342</v>
      </c>
      <c r="K1292">
        <v>5.5025228373916518E-3</v>
      </c>
      <c r="L1292" t="s">
        <v>166</v>
      </c>
      <c r="N1292" t="s">
        <v>272</v>
      </c>
      <c r="O1292" t="s">
        <v>342</v>
      </c>
      <c r="P1292">
        <v>2.3458277743115411E-3</v>
      </c>
      <c r="Q1292" t="s">
        <v>166</v>
      </c>
    </row>
    <row r="1293" spans="9:17" x14ac:dyDescent="0.45">
      <c r="I1293" t="s">
        <v>207</v>
      </c>
      <c r="J1293" t="s">
        <v>343</v>
      </c>
      <c r="K1293">
        <v>3.5049681199531353E-3</v>
      </c>
      <c r="L1293" t="s">
        <v>166</v>
      </c>
      <c r="N1293" t="s">
        <v>272</v>
      </c>
      <c r="O1293" t="s">
        <v>343</v>
      </c>
      <c r="P1293">
        <v>2.2788137266115016E-3</v>
      </c>
      <c r="Q1293" t="s">
        <v>166</v>
      </c>
    </row>
    <row r="1294" spans="9:17" x14ac:dyDescent="0.45">
      <c r="I1294" t="s">
        <v>207</v>
      </c>
      <c r="J1294" t="s">
        <v>344</v>
      </c>
      <c r="K1294">
        <v>1.261298606557409E-3</v>
      </c>
      <c r="L1294" t="s">
        <v>166</v>
      </c>
      <c r="N1294" t="s">
        <v>272</v>
      </c>
      <c r="O1294" t="s">
        <v>344</v>
      </c>
      <c r="P1294">
        <v>1.7464260481424024E-2</v>
      </c>
      <c r="Q1294" t="s">
        <v>166</v>
      </c>
    </row>
    <row r="1295" spans="9:17" x14ac:dyDescent="0.45">
      <c r="I1295" t="s">
        <v>207</v>
      </c>
      <c r="J1295" t="s">
        <v>345</v>
      </c>
      <c r="K1295">
        <v>3.6839389998767888E-2</v>
      </c>
      <c r="L1295" t="s">
        <v>166</v>
      </c>
      <c r="N1295" t="s">
        <v>272</v>
      </c>
      <c r="O1295" t="s">
        <v>345</v>
      </c>
      <c r="P1295">
        <v>6.757200833855076E-2</v>
      </c>
      <c r="Q1295" t="s">
        <v>166</v>
      </c>
    </row>
    <row r="1296" spans="9:17" x14ac:dyDescent="0.45">
      <c r="I1296" t="s">
        <v>207</v>
      </c>
      <c r="J1296" t="s">
        <v>346</v>
      </c>
      <c r="K1296">
        <v>1.6747940415450979E-2</v>
      </c>
      <c r="L1296" t="s">
        <v>166</v>
      </c>
      <c r="N1296" t="s">
        <v>272</v>
      </c>
      <c r="O1296" t="s">
        <v>346</v>
      </c>
      <c r="P1296">
        <v>4.3851155368494895E-3</v>
      </c>
      <c r="Q1296" t="s">
        <v>166</v>
      </c>
    </row>
    <row r="1297" spans="9:17" x14ac:dyDescent="0.45">
      <c r="I1297" t="s">
        <v>207</v>
      </c>
      <c r="J1297" t="s">
        <v>347</v>
      </c>
      <c r="K1297">
        <v>9.8661665636628787E-2</v>
      </c>
      <c r="L1297" t="s">
        <v>166</v>
      </c>
      <c r="N1297" t="s">
        <v>272</v>
      </c>
      <c r="O1297" t="s">
        <v>347</v>
      </c>
      <c r="P1297">
        <v>1.2321323125878482E-2</v>
      </c>
      <c r="Q1297" t="s">
        <v>166</v>
      </c>
    </row>
    <row r="1298" spans="9:17" x14ac:dyDescent="0.45">
      <c r="I1298" t="s">
        <v>207</v>
      </c>
      <c r="J1298" t="s">
        <v>348</v>
      </c>
      <c r="K1298">
        <v>1.1046793198539729E-2</v>
      </c>
      <c r="L1298" t="s">
        <v>166</v>
      </c>
      <c r="N1298" t="s">
        <v>272</v>
      </c>
      <c r="O1298" t="s">
        <v>348</v>
      </c>
      <c r="P1298">
        <v>1.6025245214064383E-3</v>
      </c>
      <c r="Q1298" t="s">
        <v>166</v>
      </c>
    </row>
    <row r="1299" spans="9:17" x14ac:dyDescent="0.45">
      <c r="I1299" t="s">
        <v>207</v>
      </c>
      <c r="J1299" t="s">
        <v>349</v>
      </c>
      <c r="K1299">
        <v>6.1467087801402179E-3</v>
      </c>
      <c r="L1299" t="s">
        <v>166</v>
      </c>
      <c r="N1299" t="s">
        <v>272</v>
      </c>
      <c r="O1299" t="s">
        <v>349</v>
      </c>
      <c r="P1299">
        <v>1.9909914350338636E-3</v>
      </c>
      <c r="Q1299" t="s">
        <v>166</v>
      </c>
    </row>
    <row r="1300" spans="9:17" x14ac:dyDescent="0.45">
      <c r="I1300" t="s">
        <v>207</v>
      </c>
      <c r="J1300" t="s">
        <v>350</v>
      </c>
      <c r="K1300">
        <v>1.9204662394172559E-4</v>
      </c>
      <c r="L1300" t="s">
        <v>166</v>
      </c>
      <c r="N1300" t="s">
        <v>272</v>
      </c>
      <c r="O1300" t="s">
        <v>350</v>
      </c>
      <c r="P1300">
        <v>2.4047582597874286E-2</v>
      </c>
      <c r="Q1300" t="s">
        <v>166</v>
      </c>
    </row>
    <row r="1301" spans="9:17" x14ac:dyDescent="0.45">
      <c r="I1301" t="s">
        <v>207</v>
      </c>
      <c r="J1301" t="s">
        <v>351</v>
      </c>
      <c r="K1301">
        <v>1.9399547441129754E-2</v>
      </c>
      <c r="L1301" t="s">
        <v>166</v>
      </c>
      <c r="N1301" t="s">
        <v>272</v>
      </c>
      <c r="O1301" t="s">
        <v>351</v>
      </c>
      <c r="P1301">
        <v>5.8520872959662913E-2</v>
      </c>
      <c r="Q1301" t="s">
        <v>166</v>
      </c>
    </row>
    <row r="1302" spans="9:17" x14ac:dyDescent="0.45">
      <c r="I1302" t="s">
        <v>207</v>
      </c>
      <c r="J1302" t="s">
        <v>352</v>
      </c>
      <c r="K1302">
        <v>8.6901685568907244E-3</v>
      </c>
      <c r="L1302" t="s">
        <v>166</v>
      </c>
      <c r="N1302" t="s">
        <v>272</v>
      </c>
      <c r="O1302" t="s">
        <v>352</v>
      </c>
      <c r="P1302">
        <v>3.9960786271043035E-3</v>
      </c>
      <c r="Q1302" t="s">
        <v>166</v>
      </c>
    </row>
    <row r="1303" spans="9:17" x14ac:dyDescent="0.45">
      <c r="I1303" t="s">
        <v>207</v>
      </c>
      <c r="J1303" t="s">
        <v>353</v>
      </c>
      <c r="K1303">
        <v>4.8753658020204434E-2</v>
      </c>
      <c r="L1303" t="s">
        <v>166</v>
      </c>
      <c r="N1303" t="s">
        <v>272</v>
      </c>
      <c r="O1303" t="s">
        <v>353</v>
      </c>
      <c r="P1303">
        <v>1.4169778541318494E-2</v>
      </c>
      <c r="Q1303" t="s">
        <v>166</v>
      </c>
    </row>
    <row r="1304" spans="9:17" x14ac:dyDescent="0.45">
      <c r="I1304" t="s">
        <v>207</v>
      </c>
      <c r="J1304" t="s">
        <v>354</v>
      </c>
      <c r="K1304">
        <v>4.614201473268389E-3</v>
      </c>
      <c r="L1304" t="s">
        <v>166</v>
      </c>
      <c r="N1304" t="s">
        <v>272</v>
      </c>
      <c r="O1304" t="s">
        <v>354</v>
      </c>
      <c r="P1304">
        <v>2.1200710501032339E-3</v>
      </c>
      <c r="Q1304" t="s">
        <v>166</v>
      </c>
    </row>
    <row r="1305" spans="9:17" x14ac:dyDescent="0.45">
      <c r="I1305" t="s">
        <v>207</v>
      </c>
      <c r="J1305" t="s">
        <v>355</v>
      </c>
      <c r="K1305">
        <v>3.1935067651804095E-4</v>
      </c>
      <c r="L1305" t="s">
        <v>166</v>
      </c>
      <c r="N1305" t="s">
        <v>272</v>
      </c>
      <c r="O1305" t="s">
        <v>355</v>
      </c>
      <c r="P1305">
        <v>2.7984426140599582E-3</v>
      </c>
      <c r="Q1305" t="s">
        <v>166</v>
      </c>
    </row>
    <row r="1306" spans="9:17" x14ac:dyDescent="0.45">
      <c r="I1306" t="s">
        <v>207</v>
      </c>
      <c r="J1306" t="s">
        <v>356</v>
      </c>
      <c r="K1306">
        <v>0</v>
      </c>
      <c r="L1306" t="s">
        <v>166</v>
      </c>
      <c r="N1306" t="s">
        <v>272</v>
      </c>
      <c r="O1306" t="s">
        <v>356</v>
      </c>
      <c r="P1306">
        <v>2.573012100112616E-2</v>
      </c>
      <c r="Q1306" t="s">
        <v>166</v>
      </c>
    </row>
    <row r="1307" spans="9:17" x14ac:dyDescent="0.45">
      <c r="I1307" t="s">
        <v>207</v>
      </c>
      <c r="J1307" t="s">
        <v>357</v>
      </c>
      <c r="K1307">
        <v>2.9786704486768997E-2</v>
      </c>
      <c r="L1307" t="s">
        <v>166</v>
      </c>
      <c r="N1307" t="s">
        <v>272</v>
      </c>
      <c r="O1307" t="s">
        <v>357</v>
      </c>
      <c r="P1307">
        <v>8.8062718619336663E-2</v>
      </c>
      <c r="Q1307" t="s">
        <v>166</v>
      </c>
    </row>
    <row r="1308" spans="9:17" x14ac:dyDescent="0.45">
      <c r="I1308" t="s">
        <v>207</v>
      </c>
      <c r="J1308" t="s">
        <v>358</v>
      </c>
      <c r="K1308">
        <v>1.6582456477215957E-2</v>
      </c>
      <c r="L1308" t="s">
        <v>166</v>
      </c>
      <c r="N1308" t="s">
        <v>272</v>
      </c>
      <c r="O1308" t="s">
        <v>358</v>
      </c>
      <c r="P1308">
        <v>6.1117850718233483E-3</v>
      </c>
      <c r="Q1308" t="s">
        <v>166</v>
      </c>
    </row>
    <row r="1309" spans="9:17" x14ac:dyDescent="0.45">
      <c r="I1309" t="s">
        <v>207</v>
      </c>
      <c r="J1309" t="s">
        <v>359</v>
      </c>
      <c r="K1309">
        <v>9.2261760711931512E-2</v>
      </c>
      <c r="L1309" t="s">
        <v>166</v>
      </c>
      <c r="N1309" t="s">
        <v>272</v>
      </c>
      <c r="O1309" t="s">
        <v>359</v>
      </c>
      <c r="P1309">
        <v>2.9131304983352486E-2</v>
      </c>
      <c r="Q1309" t="s">
        <v>166</v>
      </c>
    </row>
    <row r="1310" spans="9:17" x14ac:dyDescent="0.45">
      <c r="I1310" t="s">
        <v>207</v>
      </c>
      <c r="J1310" t="s">
        <v>360</v>
      </c>
      <c r="K1310">
        <v>7.712443147365515E-3</v>
      </c>
      <c r="L1310" t="s">
        <v>166</v>
      </c>
      <c r="N1310" t="s">
        <v>272</v>
      </c>
      <c r="O1310" t="s">
        <v>360</v>
      </c>
      <c r="P1310">
        <v>4.5677444029321992E-3</v>
      </c>
      <c r="Q1310" t="s">
        <v>166</v>
      </c>
    </row>
    <row r="1311" spans="9:17" x14ac:dyDescent="0.45">
      <c r="I1311" t="s">
        <v>207</v>
      </c>
      <c r="J1311" t="s">
        <v>361</v>
      </c>
      <c r="K1311">
        <v>0</v>
      </c>
      <c r="L1311" t="s">
        <v>166</v>
      </c>
      <c r="N1311" t="s">
        <v>272</v>
      </c>
      <c r="O1311" t="s">
        <v>361</v>
      </c>
      <c r="P1311">
        <v>5.5368640686952108E-3</v>
      </c>
      <c r="Q1311" t="s">
        <v>166</v>
      </c>
    </row>
    <row r="1312" spans="9:17" x14ac:dyDescent="0.45">
      <c r="I1312" t="s">
        <v>207</v>
      </c>
      <c r="J1312" t="s">
        <v>362</v>
      </c>
      <c r="K1312">
        <v>0</v>
      </c>
      <c r="L1312" t="s">
        <v>166</v>
      </c>
      <c r="N1312" t="s">
        <v>272</v>
      </c>
      <c r="O1312" t="s">
        <v>362</v>
      </c>
      <c r="P1312">
        <v>3.9082432295454272E-2</v>
      </c>
      <c r="Q1312" t="s">
        <v>166</v>
      </c>
    </row>
    <row r="1313" spans="9:17" x14ac:dyDescent="0.45">
      <c r="I1313" t="s">
        <v>208</v>
      </c>
      <c r="J1313" t="s">
        <v>165</v>
      </c>
      <c r="K1313">
        <v>4.1384323282847919E-2</v>
      </c>
      <c r="L1313" t="s">
        <v>166</v>
      </c>
      <c r="N1313" t="s">
        <v>273</v>
      </c>
      <c r="O1313" t="s">
        <v>165</v>
      </c>
      <c r="P1313">
        <v>0.15537393789813747</v>
      </c>
      <c r="Q1313" t="s">
        <v>166</v>
      </c>
    </row>
    <row r="1314" spans="9:17" x14ac:dyDescent="0.45">
      <c r="I1314" t="s">
        <v>208</v>
      </c>
      <c r="J1314" t="s">
        <v>167</v>
      </c>
      <c r="K1314">
        <v>2.5450855451939151E-2</v>
      </c>
      <c r="L1314" t="s">
        <v>166</v>
      </c>
      <c r="N1314" t="s">
        <v>273</v>
      </c>
      <c r="O1314" t="s">
        <v>167</v>
      </c>
      <c r="P1314">
        <v>1.0226397497958967E-2</v>
      </c>
      <c r="Q1314" t="s">
        <v>166</v>
      </c>
    </row>
    <row r="1315" spans="9:17" x14ac:dyDescent="0.45">
      <c r="I1315" t="s">
        <v>208</v>
      </c>
      <c r="J1315" t="s">
        <v>168</v>
      </c>
      <c r="K1315">
        <v>0.14541004377523012</v>
      </c>
      <c r="L1315" t="s">
        <v>166</v>
      </c>
      <c r="N1315" t="s">
        <v>273</v>
      </c>
      <c r="O1315" t="s">
        <v>168</v>
      </c>
      <c r="P1315">
        <v>4.6974636833413949E-2</v>
      </c>
      <c r="Q1315" t="s">
        <v>166</v>
      </c>
    </row>
    <row r="1316" spans="9:17" x14ac:dyDescent="0.45">
      <c r="I1316" t="s">
        <v>208</v>
      </c>
      <c r="J1316" t="s">
        <v>333</v>
      </c>
      <c r="K1316">
        <v>1.6146264977811065E-2</v>
      </c>
      <c r="L1316" t="s">
        <v>166</v>
      </c>
      <c r="N1316" t="s">
        <v>273</v>
      </c>
      <c r="O1316" t="s">
        <v>333</v>
      </c>
      <c r="P1316">
        <v>6.001336538534404E-3</v>
      </c>
      <c r="Q1316" t="s">
        <v>166</v>
      </c>
    </row>
    <row r="1317" spans="9:17" x14ac:dyDescent="0.45">
      <c r="I1317" t="s">
        <v>208</v>
      </c>
      <c r="J1317" t="s">
        <v>334</v>
      </c>
      <c r="K1317">
        <v>5.5141213197594805E-3</v>
      </c>
      <c r="L1317" t="s">
        <v>166</v>
      </c>
      <c r="N1317" t="s">
        <v>273</v>
      </c>
      <c r="O1317" t="s">
        <v>334</v>
      </c>
      <c r="P1317">
        <v>6.474299401136311E-3</v>
      </c>
      <c r="Q1317" t="s">
        <v>166</v>
      </c>
    </row>
    <row r="1318" spans="9:17" x14ac:dyDescent="0.45">
      <c r="I1318" t="s">
        <v>208</v>
      </c>
      <c r="J1318" t="s">
        <v>335</v>
      </c>
      <c r="K1318">
        <v>0</v>
      </c>
      <c r="L1318" t="s">
        <v>166</v>
      </c>
      <c r="N1318" t="s">
        <v>273</v>
      </c>
      <c r="O1318" t="s">
        <v>335</v>
      </c>
      <c r="P1318">
        <v>5.5875283289498361E-2</v>
      </c>
      <c r="Q1318" t="s">
        <v>166</v>
      </c>
    </row>
    <row r="1319" spans="9:17" x14ac:dyDescent="0.45">
      <c r="I1319" t="s">
        <v>208</v>
      </c>
      <c r="J1319" t="s">
        <v>169</v>
      </c>
      <c r="K1319">
        <v>4.6397483673153189E-2</v>
      </c>
      <c r="L1319" t="s">
        <v>166</v>
      </c>
      <c r="N1319" t="s">
        <v>273</v>
      </c>
      <c r="O1319" t="s">
        <v>169</v>
      </c>
      <c r="P1319">
        <v>0.10596303295772443</v>
      </c>
      <c r="Q1319" t="s">
        <v>166</v>
      </c>
    </row>
    <row r="1320" spans="9:17" x14ac:dyDescent="0.45">
      <c r="I1320" t="s">
        <v>208</v>
      </c>
      <c r="J1320" t="s">
        <v>170</v>
      </c>
      <c r="K1320">
        <v>1.8563126854403776E-2</v>
      </c>
      <c r="L1320" t="s">
        <v>166</v>
      </c>
      <c r="N1320" t="s">
        <v>273</v>
      </c>
      <c r="O1320" t="s">
        <v>170</v>
      </c>
      <c r="P1320">
        <v>7.2312248123302574E-3</v>
      </c>
      <c r="Q1320" t="s">
        <v>166</v>
      </c>
    </row>
    <row r="1321" spans="9:17" x14ac:dyDescent="0.45">
      <c r="I1321" t="s">
        <v>208</v>
      </c>
      <c r="J1321" t="s">
        <v>171</v>
      </c>
      <c r="K1321">
        <v>0.10925848495934573</v>
      </c>
      <c r="L1321" t="s">
        <v>166</v>
      </c>
      <c r="N1321" t="s">
        <v>273</v>
      </c>
      <c r="O1321" t="s">
        <v>171</v>
      </c>
      <c r="P1321">
        <v>2.9897997116712136E-2</v>
      </c>
      <c r="Q1321" t="s">
        <v>166</v>
      </c>
    </row>
    <row r="1322" spans="9:17" x14ac:dyDescent="0.45">
      <c r="I1322" t="s">
        <v>208</v>
      </c>
      <c r="J1322" t="s">
        <v>336</v>
      </c>
      <c r="K1322">
        <v>1.3293554618144604E-2</v>
      </c>
      <c r="L1322" t="s">
        <v>166</v>
      </c>
      <c r="N1322" t="s">
        <v>273</v>
      </c>
      <c r="O1322" t="s">
        <v>336</v>
      </c>
      <c r="P1322">
        <v>3.9394784482080138E-3</v>
      </c>
      <c r="Q1322" t="s">
        <v>166</v>
      </c>
    </row>
    <row r="1323" spans="9:17" x14ac:dyDescent="0.45">
      <c r="I1323" t="s">
        <v>208</v>
      </c>
      <c r="J1323" t="s">
        <v>337</v>
      </c>
      <c r="K1323">
        <v>8.9158825342324898E-3</v>
      </c>
      <c r="L1323" t="s">
        <v>166</v>
      </c>
      <c r="N1323" t="s">
        <v>273</v>
      </c>
      <c r="O1323" t="s">
        <v>337</v>
      </c>
      <c r="P1323">
        <v>3.960346479020627E-3</v>
      </c>
      <c r="Q1323" t="s">
        <v>166</v>
      </c>
    </row>
    <row r="1324" spans="9:17" x14ac:dyDescent="0.45">
      <c r="I1324" t="s">
        <v>208</v>
      </c>
      <c r="J1324" t="s">
        <v>338</v>
      </c>
      <c r="K1324">
        <v>1.9693353790649574E-3</v>
      </c>
      <c r="L1324" t="s">
        <v>166</v>
      </c>
      <c r="N1324" t="s">
        <v>273</v>
      </c>
      <c r="O1324" t="s">
        <v>338</v>
      </c>
      <c r="P1324">
        <v>3.7725981523662626E-2</v>
      </c>
      <c r="Q1324" t="s">
        <v>166</v>
      </c>
    </row>
    <row r="1325" spans="9:17" x14ac:dyDescent="0.45">
      <c r="I1325" t="s">
        <v>208</v>
      </c>
      <c r="J1325" t="s">
        <v>172</v>
      </c>
      <c r="K1325">
        <v>2.3402000112408606E-2</v>
      </c>
      <c r="L1325" t="s">
        <v>166</v>
      </c>
      <c r="N1325" t="s">
        <v>273</v>
      </c>
      <c r="O1325" t="s">
        <v>172</v>
      </c>
      <c r="P1325">
        <v>4.0630216082842174E-2</v>
      </c>
      <c r="Q1325" t="s">
        <v>166</v>
      </c>
    </row>
    <row r="1326" spans="9:17" x14ac:dyDescent="0.45">
      <c r="I1326" t="s">
        <v>208</v>
      </c>
      <c r="J1326" t="s">
        <v>173</v>
      </c>
      <c r="K1326">
        <v>8.775052270616663E-3</v>
      </c>
      <c r="L1326" t="s">
        <v>166</v>
      </c>
      <c r="N1326" t="s">
        <v>273</v>
      </c>
      <c r="O1326" t="s">
        <v>173</v>
      </c>
      <c r="P1326">
        <v>4.3462211486486454E-3</v>
      </c>
      <c r="Q1326" t="s">
        <v>166</v>
      </c>
    </row>
    <row r="1327" spans="9:17" x14ac:dyDescent="0.45">
      <c r="I1327" t="s">
        <v>208</v>
      </c>
      <c r="J1327" t="s">
        <v>174</v>
      </c>
      <c r="K1327">
        <v>5.2104395283353352E-2</v>
      </c>
      <c r="L1327" t="s">
        <v>166</v>
      </c>
      <c r="N1327" t="s">
        <v>273</v>
      </c>
      <c r="O1327" t="s">
        <v>174</v>
      </c>
      <c r="P1327">
        <v>1.8792666864780479E-2</v>
      </c>
      <c r="Q1327" t="s">
        <v>166</v>
      </c>
    </row>
    <row r="1328" spans="9:17" x14ac:dyDescent="0.45">
      <c r="I1328" t="s">
        <v>208</v>
      </c>
      <c r="J1328" t="s">
        <v>339</v>
      </c>
      <c r="K1328">
        <v>6.3515941592268725E-3</v>
      </c>
      <c r="L1328" t="s">
        <v>166</v>
      </c>
      <c r="N1328" t="s">
        <v>273</v>
      </c>
      <c r="O1328" t="s">
        <v>339</v>
      </c>
      <c r="P1328">
        <v>2.0001341357346021E-3</v>
      </c>
      <c r="Q1328" t="s">
        <v>166</v>
      </c>
    </row>
    <row r="1329" spans="9:17" x14ac:dyDescent="0.45">
      <c r="I1329" t="s">
        <v>208</v>
      </c>
      <c r="J1329" t="s">
        <v>340</v>
      </c>
      <c r="K1329">
        <v>4.4240131807790854E-3</v>
      </c>
      <c r="L1329" t="s">
        <v>166</v>
      </c>
      <c r="N1329" t="s">
        <v>273</v>
      </c>
      <c r="O1329" t="s">
        <v>340</v>
      </c>
      <c r="P1329">
        <v>1.7569977510937666E-3</v>
      </c>
      <c r="Q1329" t="s">
        <v>166</v>
      </c>
    </row>
    <row r="1330" spans="9:17" x14ac:dyDescent="0.45">
      <c r="I1330" t="s">
        <v>208</v>
      </c>
      <c r="J1330" t="s">
        <v>341</v>
      </c>
      <c r="K1330">
        <v>2.041684950572819E-3</v>
      </c>
      <c r="L1330" t="s">
        <v>166</v>
      </c>
      <c r="N1330" t="s">
        <v>273</v>
      </c>
      <c r="O1330" t="s">
        <v>341</v>
      </c>
      <c r="P1330">
        <v>1.1210730139825521E-2</v>
      </c>
      <c r="Q1330" t="s">
        <v>166</v>
      </c>
    </row>
    <row r="1331" spans="9:17" x14ac:dyDescent="0.45">
      <c r="I1331" t="s">
        <v>208</v>
      </c>
      <c r="J1331" t="s">
        <v>175</v>
      </c>
      <c r="K1331">
        <v>2.1199892191941089E-2</v>
      </c>
      <c r="L1331" t="s">
        <v>166</v>
      </c>
      <c r="N1331" t="s">
        <v>273</v>
      </c>
      <c r="O1331" t="s">
        <v>175</v>
      </c>
      <c r="P1331">
        <v>4.124470642531157E-2</v>
      </c>
      <c r="Q1331" t="s">
        <v>166</v>
      </c>
    </row>
    <row r="1332" spans="9:17" x14ac:dyDescent="0.45">
      <c r="I1332" t="s">
        <v>208</v>
      </c>
      <c r="J1332" t="s">
        <v>176</v>
      </c>
      <c r="K1332">
        <v>8.5760275146198484E-3</v>
      </c>
      <c r="L1332" t="s">
        <v>166</v>
      </c>
      <c r="N1332" t="s">
        <v>273</v>
      </c>
      <c r="O1332" t="s">
        <v>176</v>
      </c>
      <c r="P1332">
        <v>3.51226101024372E-3</v>
      </c>
      <c r="Q1332" t="s">
        <v>166</v>
      </c>
    </row>
    <row r="1333" spans="9:17" x14ac:dyDescent="0.45">
      <c r="I1333" t="s">
        <v>208</v>
      </c>
      <c r="J1333" t="s">
        <v>177</v>
      </c>
      <c r="K1333">
        <v>5.0974384020823327E-2</v>
      </c>
      <c r="L1333" t="s">
        <v>166</v>
      </c>
      <c r="N1333" t="s">
        <v>273</v>
      </c>
      <c r="O1333" t="s">
        <v>177</v>
      </c>
      <c r="P1333">
        <v>1.5044766081729005E-2</v>
      </c>
      <c r="Q1333" t="s">
        <v>166</v>
      </c>
    </row>
    <row r="1334" spans="9:17" x14ac:dyDescent="0.45">
      <c r="I1334" t="s">
        <v>208</v>
      </c>
      <c r="J1334" t="s">
        <v>342</v>
      </c>
      <c r="K1334">
        <v>5.8985610304985708E-3</v>
      </c>
      <c r="L1334" t="s">
        <v>166</v>
      </c>
      <c r="N1334" t="s">
        <v>273</v>
      </c>
      <c r="O1334" t="s">
        <v>342</v>
      </c>
      <c r="P1334">
        <v>2.1418412893112709E-3</v>
      </c>
      <c r="Q1334" t="s">
        <v>166</v>
      </c>
    </row>
    <row r="1335" spans="9:17" x14ac:dyDescent="0.45">
      <c r="I1335" t="s">
        <v>208</v>
      </c>
      <c r="J1335" t="s">
        <v>343</v>
      </c>
      <c r="K1335">
        <v>3.8476421437902094E-3</v>
      </c>
      <c r="L1335" t="s">
        <v>166</v>
      </c>
      <c r="N1335" t="s">
        <v>273</v>
      </c>
      <c r="O1335" t="s">
        <v>343</v>
      </c>
      <c r="P1335">
        <v>1.9344798727786998E-3</v>
      </c>
      <c r="Q1335" t="s">
        <v>166</v>
      </c>
    </row>
    <row r="1336" spans="9:17" x14ac:dyDescent="0.45">
      <c r="I1336" t="s">
        <v>208</v>
      </c>
      <c r="J1336" t="s">
        <v>344</v>
      </c>
      <c r="K1336">
        <v>1.590479423160211E-3</v>
      </c>
      <c r="L1336" t="s">
        <v>166</v>
      </c>
      <c r="N1336" t="s">
        <v>273</v>
      </c>
      <c r="O1336" t="s">
        <v>344</v>
      </c>
      <c r="P1336">
        <v>1.4416689601513925E-2</v>
      </c>
      <c r="Q1336" t="s">
        <v>166</v>
      </c>
    </row>
    <row r="1337" spans="9:17" x14ac:dyDescent="0.45">
      <c r="I1337" t="s">
        <v>208</v>
      </c>
      <c r="J1337" t="s">
        <v>345</v>
      </c>
      <c r="K1337">
        <v>3.922484549403131E-2</v>
      </c>
      <c r="L1337" t="s">
        <v>166</v>
      </c>
      <c r="N1337" t="s">
        <v>273</v>
      </c>
      <c r="O1337" t="s">
        <v>345</v>
      </c>
      <c r="P1337">
        <v>6.7230486983751489E-2</v>
      </c>
      <c r="Q1337" t="s">
        <v>166</v>
      </c>
    </row>
    <row r="1338" spans="9:17" x14ac:dyDescent="0.45">
      <c r="I1338" t="s">
        <v>208</v>
      </c>
      <c r="J1338" t="s">
        <v>346</v>
      </c>
      <c r="K1338">
        <v>1.7107760075963305E-2</v>
      </c>
      <c r="L1338" t="s">
        <v>166</v>
      </c>
      <c r="N1338" t="s">
        <v>273</v>
      </c>
      <c r="O1338" t="s">
        <v>346</v>
      </c>
      <c r="P1338">
        <v>4.2711244829242356E-3</v>
      </c>
      <c r="Q1338" t="s">
        <v>166</v>
      </c>
    </row>
    <row r="1339" spans="9:17" x14ac:dyDescent="0.45">
      <c r="I1339" t="s">
        <v>208</v>
      </c>
      <c r="J1339" t="s">
        <v>347</v>
      </c>
      <c r="K1339">
        <v>9.9041330692723722E-2</v>
      </c>
      <c r="L1339" t="s">
        <v>166</v>
      </c>
      <c r="N1339" t="s">
        <v>273</v>
      </c>
      <c r="O1339" t="s">
        <v>347</v>
      </c>
      <c r="P1339">
        <v>1.4135425323633134E-2</v>
      </c>
      <c r="Q1339" t="s">
        <v>166</v>
      </c>
    </row>
    <row r="1340" spans="9:17" x14ac:dyDescent="0.45">
      <c r="I1340" t="s">
        <v>208</v>
      </c>
      <c r="J1340" t="s">
        <v>348</v>
      </c>
      <c r="K1340">
        <v>1.1237542456896879E-2</v>
      </c>
      <c r="L1340" t="s">
        <v>166</v>
      </c>
      <c r="N1340" t="s">
        <v>273</v>
      </c>
      <c r="O1340" t="s">
        <v>348</v>
      </c>
      <c r="P1340">
        <v>1.8043594190138492E-3</v>
      </c>
      <c r="Q1340" t="s">
        <v>166</v>
      </c>
    </row>
    <row r="1341" spans="9:17" x14ac:dyDescent="0.45">
      <c r="I1341" t="s">
        <v>208</v>
      </c>
      <c r="J1341" t="s">
        <v>349</v>
      </c>
      <c r="K1341">
        <v>6.7733074028712408E-3</v>
      </c>
      <c r="L1341" t="s">
        <v>166</v>
      </c>
      <c r="N1341" t="s">
        <v>273</v>
      </c>
      <c r="O1341" t="s">
        <v>349</v>
      </c>
      <c r="P1341">
        <v>2.0329886721653012E-3</v>
      </c>
      <c r="Q1341" t="s">
        <v>166</v>
      </c>
    </row>
    <row r="1342" spans="9:17" x14ac:dyDescent="0.45">
      <c r="I1342" t="s">
        <v>208</v>
      </c>
      <c r="J1342" t="s">
        <v>350</v>
      </c>
      <c r="K1342">
        <v>1.1482576395612694E-3</v>
      </c>
      <c r="L1342" t="s">
        <v>166</v>
      </c>
      <c r="N1342" t="s">
        <v>273</v>
      </c>
      <c r="O1342" t="s">
        <v>350</v>
      </c>
      <c r="P1342">
        <v>2.1725146172409549E-2</v>
      </c>
      <c r="Q1342" t="s">
        <v>166</v>
      </c>
    </row>
    <row r="1343" spans="9:17" x14ac:dyDescent="0.45">
      <c r="I1343" t="s">
        <v>208</v>
      </c>
      <c r="J1343" t="s">
        <v>351</v>
      </c>
      <c r="K1343">
        <v>1.8829723981579068E-2</v>
      </c>
      <c r="L1343" t="s">
        <v>166</v>
      </c>
      <c r="N1343" t="s">
        <v>273</v>
      </c>
      <c r="O1343" t="s">
        <v>351</v>
      </c>
      <c r="P1343">
        <v>4.6801018441945084E-2</v>
      </c>
      <c r="Q1343" t="s">
        <v>166</v>
      </c>
    </row>
    <row r="1344" spans="9:17" x14ac:dyDescent="0.45">
      <c r="I1344" t="s">
        <v>208</v>
      </c>
      <c r="J1344" t="s">
        <v>352</v>
      </c>
      <c r="K1344">
        <v>8.6248852402045981E-3</v>
      </c>
      <c r="L1344" t="s">
        <v>166</v>
      </c>
      <c r="N1344" t="s">
        <v>273</v>
      </c>
      <c r="O1344" t="s">
        <v>352</v>
      </c>
      <c r="P1344">
        <v>4.3461953031342787E-3</v>
      </c>
      <c r="Q1344" t="s">
        <v>166</v>
      </c>
    </row>
    <row r="1345" spans="9:17" x14ac:dyDescent="0.45">
      <c r="I1345" t="s">
        <v>208</v>
      </c>
      <c r="J1345" t="s">
        <v>353</v>
      </c>
      <c r="K1345">
        <v>4.7708517310116189E-2</v>
      </c>
      <c r="L1345" t="s">
        <v>166</v>
      </c>
      <c r="N1345" t="s">
        <v>273</v>
      </c>
      <c r="O1345" t="s">
        <v>353</v>
      </c>
      <c r="P1345">
        <v>1.7724236400874043E-2</v>
      </c>
      <c r="Q1345" t="s">
        <v>166</v>
      </c>
    </row>
    <row r="1346" spans="9:17" x14ac:dyDescent="0.45">
      <c r="I1346" t="s">
        <v>208</v>
      </c>
      <c r="J1346" t="s">
        <v>354</v>
      </c>
      <c r="K1346">
        <v>4.5119863518880325E-3</v>
      </c>
      <c r="L1346" t="s">
        <v>166</v>
      </c>
      <c r="N1346" t="s">
        <v>273</v>
      </c>
      <c r="O1346" t="s">
        <v>354</v>
      </c>
      <c r="P1346">
        <v>1.7041922074666105E-3</v>
      </c>
      <c r="Q1346" t="s">
        <v>166</v>
      </c>
    </row>
    <row r="1347" spans="9:17" x14ac:dyDescent="0.45">
      <c r="I1347" t="s">
        <v>208</v>
      </c>
      <c r="J1347" t="s">
        <v>355</v>
      </c>
      <c r="K1347">
        <v>2.5471486608971678E-4</v>
      </c>
      <c r="L1347" t="s">
        <v>166</v>
      </c>
      <c r="N1347" t="s">
        <v>273</v>
      </c>
      <c r="O1347" t="s">
        <v>355</v>
      </c>
      <c r="P1347">
        <v>1.8877762249915927E-3</v>
      </c>
      <c r="Q1347" t="s">
        <v>166</v>
      </c>
    </row>
    <row r="1348" spans="9:17" x14ac:dyDescent="0.45">
      <c r="I1348" t="s">
        <v>208</v>
      </c>
      <c r="J1348" t="s">
        <v>356</v>
      </c>
      <c r="K1348">
        <v>0</v>
      </c>
      <c r="L1348" t="s">
        <v>166</v>
      </c>
      <c r="N1348" t="s">
        <v>273</v>
      </c>
      <c r="O1348" t="s">
        <v>356</v>
      </c>
      <c r="P1348">
        <v>1.509880715203743E-2</v>
      </c>
      <c r="Q1348" t="s">
        <v>166</v>
      </c>
    </row>
    <row r="1349" spans="9:17" x14ac:dyDescent="0.45">
      <c r="I1349" t="s">
        <v>208</v>
      </c>
      <c r="J1349" t="s">
        <v>357</v>
      </c>
      <c r="K1349">
        <v>2.278215139938667E-2</v>
      </c>
      <c r="L1349" t="s">
        <v>166</v>
      </c>
      <c r="N1349" t="s">
        <v>273</v>
      </c>
      <c r="O1349" t="s">
        <v>357</v>
      </c>
      <c r="P1349">
        <v>9.2472144654688615E-2</v>
      </c>
      <c r="Q1349" t="s">
        <v>166</v>
      </c>
    </row>
    <row r="1350" spans="9:17" x14ac:dyDescent="0.45">
      <c r="I1350" t="s">
        <v>208</v>
      </c>
      <c r="J1350" t="s">
        <v>358</v>
      </c>
      <c r="K1350">
        <v>1.4498075978602507E-2</v>
      </c>
      <c r="L1350" t="s">
        <v>166</v>
      </c>
      <c r="N1350" t="s">
        <v>273</v>
      </c>
      <c r="O1350" t="s">
        <v>358</v>
      </c>
      <c r="P1350">
        <v>6.2741970206109214E-3</v>
      </c>
      <c r="Q1350" t="s">
        <v>166</v>
      </c>
    </row>
    <row r="1351" spans="9:17" x14ac:dyDescent="0.45">
      <c r="I1351" t="s">
        <v>208</v>
      </c>
      <c r="J1351" t="s">
        <v>359</v>
      </c>
      <c r="K1351">
        <v>8.0406788613182026E-2</v>
      </c>
      <c r="L1351" t="s">
        <v>166</v>
      </c>
      <c r="N1351" t="s">
        <v>273</v>
      </c>
      <c r="O1351" t="s">
        <v>359</v>
      </c>
      <c r="P1351">
        <v>2.9612778906601411E-2</v>
      </c>
      <c r="Q1351" t="s">
        <v>166</v>
      </c>
    </row>
    <row r="1352" spans="9:17" x14ac:dyDescent="0.45">
      <c r="I1352" t="s">
        <v>208</v>
      </c>
      <c r="J1352" t="s">
        <v>360</v>
      </c>
      <c r="K1352">
        <v>6.3609093891790975E-3</v>
      </c>
      <c r="L1352" t="s">
        <v>166</v>
      </c>
      <c r="N1352" t="s">
        <v>273</v>
      </c>
      <c r="O1352" t="s">
        <v>360</v>
      </c>
      <c r="P1352">
        <v>4.2041171471278276E-3</v>
      </c>
      <c r="Q1352" t="s">
        <v>166</v>
      </c>
    </row>
    <row r="1353" spans="9:17" x14ac:dyDescent="0.45">
      <c r="I1353" t="s">
        <v>208</v>
      </c>
      <c r="J1353" t="s">
        <v>361</v>
      </c>
      <c r="K1353">
        <v>0</v>
      </c>
      <c r="L1353" t="s">
        <v>166</v>
      </c>
      <c r="N1353" t="s">
        <v>273</v>
      </c>
      <c r="O1353" t="s">
        <v>361</v>
      </c>
      <c r="P1353">
        <v>4.9966311655667882E-3</v>
      </c>
      <c r="Q1353" t="s">
        <v>166</v>
      </c>
    </row>
    <row r="1354" spans="9:17" x14ac:dyDescent="0.45">
      <c r="I1354" t="s">
        <v>208</v>
      </c>
      <c r="J1354" t="s">
        <v>362</v>
      </c>
      <c r="K1354">
        <v>0</v>
      </c>
      <c r="L1354" t="s">
        <v>166</v>
      </c>
      <c r="N1354" t="s">
        <v>273</v>
      </c>
      <c r="O1354" t="s">
        <v>362</v>
      </c>
      <c r="P1354">
        <v>3.7002711120909533E-2</v>
      </c>
      <c r="Q1354" t="s">
        <v>166</v>
      </c>
    </row>
    <row r="1355" spans="9:17" x14ac:dyDescent="0.45">
      <c r="I1355" t="s">
        <v>209</v>
      </c>
      <c r="J1355" t="s">
        <v>165</v>
      </c>
      <c r="K1355">
        <v>3.829343559845301E-2</v>
      </c>
      <c r="L1355" t="s">
        <v>166</v>
      </c>
      <c r="N1355" t="s">
        <v>274</v>
      </c>
      <c r="O1355" t="s">
        <v>165</v>
      </c>
      <c r="P1355">
        <v>0.13720462834298078</v>
      </c>
      <c r="Q1355" t="s">
        <v>166</v>
      </c>
    </row>
    <row r="1356" spans="9:17" x14ac:dyDescent="0.45">
      <c r="I1356" t="s">
        <v>209</v>
      </c>
      <c r="J1356" t="s">
        <v>167</v>
      </c>
      <c r="K1356">
        <v>2.5210095273991463E-2</v>
      </c>
      <c r="L1356" t="s">
        <v>166</v>
      </c>
      <c r="N1356" t="s">
        <v>274</v>
      </c>
      <c r="O1356" t="s">
        <v>167</v>
      </c>
      <c r="P1356">
        <v>1.0629248427293953E-2</v>
      </c>
      <c r="Q1356" t="s">
        <v>166</v>
      </c>
    </row>
    <row r="1357" spans="9:17" x14ac:dyDescent="0.45">
      <c r="I1357" t="s">
        <v>209</v>
      </c>
      <c r="J1357" t="s">
        <v>168</v>
      </c>
      <c r="K1357">
        <v>0.14717435577649968</v>
      </c>
      <c r="L1357" t="s">
        <v>166</v>
      </c>
      <c r="N1357" t="s">
        <v>274</v>
      </c>
      <c r="O1357" t="s">
        <v>168</v>
      </c>
      <c r="P1357">
        <v>5.6272264222715293E-2</v>
      </c>
      <c r="Q1357" t="s">
        <v>166</v>
      </c>
    </row>
    <row r="1358" spans="9:17" x14ac:dyDescent="0.45">
      <c r="I1358" t="s">
        <v>209</v>
      </c>
      <c r="J1358" t="s">
        <v>333</v>
      </c>
      <c r="K1358">
        <v>1.8212251308045033E-2</v>
      </c>
      <c r="L1358" t="s">
        <v>166</v>
      </c>
      <c r="N1358" t="s">
        <v>274</v>
      </c>
      <c r="O1358" t="s">
        <v>333</v>
      </c>
      <c r="P1358">
        <v>8.0373566370095482E-3</v>
      </c>
      <c r="Q1358" t="s">
        <v>166</v>
      </c>
    </row>
    <row r="1359" spans="9:17" x14ac:dyDescent="0.45">
      <c r="I1359" t="s">
        <v>209</v>
      </c>
      <c r="J1359" t="s">
        <v>334</v>
      </c>
      <c r="K1359">
        <v>9.0656068983622981E-3</v>
      </c>
      <c r="L1359" t="s">
        <v>166</v>
      </c>
      <c r="N1359" t="s">
        <v>274</v>
      </c>
      <c r="O1359" t="s">
        <v>334</v>
      </c>
      <c r="P1359">
        <v>8.2185267429174293E-3</v>
      </c>
      <c r="Q1359" t="s">
        <v>166</v>
      </c>
    </row>
    <row r="1360" spans="9:17" x14ac:dyDescent="0.45">
      <c r="I1360" t="s">
        <v>209</v>
      </c>
      <c r="J1360" t="s">
        <v>335</v>
      </c>
      <c r="K1360">
        <v>0</v>
      </c>
      <c r="L1360" t="s">
        <v>166</v>
      </c>
      <c r="N1360" t="s">
        <v>274</v>
      </c>
      <c r="O1360" t="s">
        <v>335</v>
      </c>
      <c r="P1360">
        <v>5.2588027050468222E-2</v>
      </c>
      <c r="Q1360" t="s">
        <v>166</v>
      </c>
    </row>
    <row r="1361" spans="9:17" x14ac:dyDescent="0.45">
      <c r="I1361" t="s">
        <v>209</v>
      </c>
      <c r="J1361" t="s">
        <v>169</v>
      </c>
      <c r="K1361">
        <v>4.215627846966593E-2</v>
      </c>
      <c r="L1361" t="s">
        <v>166</v>
      </c>
      <c r="N1361" t="s">
        <v>274</v>
      </c>
      <c r="O1361" t="s">
        <v>169</v>
      </c>
      <c r="P1361">
        <v>9.2265034533734483E-2</v>
      </c>
      <c r="Q1361" t="s">
        <v>166</v>
      </c>
    </row>
    <row r="1362" spans="9:17" x14ac:dyDescent="0.45">
      <c r="I1362" t="s">
        <v>209</v>
      </c>
      <c r="J1362" t="s">
        <v>170</v>
      </c>
      <c r="K1362">
        <v>1.8210771776708868E-2</v>
      </c>
      <c r="L1362" t="s">
        <v>166</v>
      </c>
      <c r="N1362" t="s">
        <v>274</v>
      </c>
      <c r="O1362" t="s">
        <v>170</v>
      </c>
      <c r="P1362">
        <v>6.555487367008778E-3</v>
      </c>
      <c r="Q1362" t="s">
        <v>166</v>
      </c>
    </row>
    <row r="1363" spans="9:17" x14ac:dyDescent="0.45">
      <c r="I1363" t="s">
        <v>209</v>
      </c>
      <c r="J1363" t="s">
        <v>171</v>
      </c>
      <c r="K1363">
        <v>0.10854421702672784</v>
      </c>
      <c r="L1363" t="s">
        <v>166</v>
      </c>
      <c r="N1363" t="s">
        <v>274</v>
      </c>
      <c r="O1363" t="s">
        <v>171</v>
      </c>
      <c r="P1363">
        <v>3.4587758591140313E-2</v>
      </c>
      <c r="Q1363" t="s">
        <v>166</v>
      </c>
    </row>
    <row r="1364" spans="9:17" x14ac:dyDescent="0.45">
      <c r="I1364" t="s">
        <v>209</v>
      </c>
      <c r="J1364" t="s">
        <v>336</v>
      </c>
      <c r="K1364">
        <v>1.3771330450255392E-2</v>
      </c>
      <c r="L1364" t="s">
        <v>166</v>
      </c>
      <c r="N1364" t="s">
        <v>274</v>
      </c>
      <c r="O1364" t="s">
        <v>336</v>
      </c>
      <c r="P1364">
        <v>5.5421951037801509E-3</v>
      </c>
      <c r="Q1364" t="s">
        <v>166</v>
      </c>
    </row>
    <row r="1365" spans="9:17" x14ac:dyDescent="0.45">
      <c r="I1365" t="s">
        <v>209</v>
      </c>
      <c r="J1365" t="s">
        <v>337</v>
      </c>
      <c r="K1365">
        <v>9.8507427364130512E-3</v>
      </c>
      <c r="L1365" t="s">
        <v>166</v>
      </c>
      <c r="N1365" t="s">
        <v>274</v>
      </c>
      <c r="O1365" t="s">
        <v>337</v>
      </c>
      <c r="P1365">
        <v>5.4105056468089149E-3</v>
      </c>
      <c r="Q1365" t="s">
        <v>166</v>
      </c>
    </row>
    <row r="1366" spans="9:17" x14ac:dyDescent="0.45">
      <c r="I1366" t="s">
        <v>209</v>
      </c>
      <c r="J1366" t="s">
        <v>338</v>
      </c>
      <c r="K1366">
        <v>4.2188922525915251E-3</v>
      </c>
      <c r="L1366" t="s">
        <v>166</v>
      </c>
      <c r="N1366" t="s">
        <v>274</v>
      </c>
      <c r="O1366" t="s">
        <v>338</v>
      </c>
      <c r="P1366">
        <v>3.7080631261445403E-2</v>
      </c>
      <c r="Q1366" t="s">
        <v>166</v>
      </c>
    </row>
    <row r="1367" spans="9:17" x14ac:dyDescent="0.45">
      <c r="I1367" t="s">
        <v>209</v>
      </c>
      <c r="J1367" t="s">
        <v>172</v>
      </c>
      <c r="K1367">
        <v>2.1097841008463122E-2</v>
      </c>
      <c r="L1367" t="s">
        <v>166</v>
      </c>
      <c r="N1367" t="s">
        <v>274</v>
      </c>
      <c r="O1367" t="s">
        <v>172</v>
      </c>
      <c r="P1367">
        <v>4.2287976340157261E-2</v>
      </c>
      <c r="Q1367" t="s">
        <v>166</v>
      </c>
    </row>
    <row r="1368" spans="9:17" x14ac:dyDescent="0.45">
      <c r="I1368" t="s">
        <v>209</v>
      </c>
      <c r="J1368" t="s">
        <v>173</v>
      </c>
      <c r="K1368">
        <v>8.4271952593950959E-3</v>
      </c>
      <c r="L1368" t="s">
        <v>166</v>
      </c>
      <c r="N1368" t="s">
        <v>274</v>
      </c>
      <c r="O1368" t="s">
        <v>173</v>
      </c>
      <c r="P1368">
        <v>4.3705676236252024E-3</v>
      </c>
      <c r="Q1368" t="s">
        <v>166</v>
      </c>
    </row>
    <row r="1369" spans="9:17" x14ac:dyDescent="0.45">
      <c r="I1369" t="s">
        <v>209</v>
      </c>
      <c r="J1369" t="s">
        <v>174</v>
      </c>
      <c r="K1369">
        <v>5.1808030125792354E-2</v>
      </c>
      <c r="L1369" t="s">
        <v>166</v>
      </c>
      <c r="N1369" t="s">
        <v>274</v>
      </c>
      <c r="O1369" t="s">
        <v>174</v>
      </c>
      <c r="P1369">
        <v>1.5775708374775835E-2</v>
      </c>
      <c r="Q1369" t="s">
        <v>166</v>
      </c>
    </row>
    <row r="1370" spans="9:17" x14ac:dyDescent="0.45">
      <c r="I1370" t="s">
        <v>209</v>
      </c>
      <c r="J1370" t="s">
        <v>339</v>
      </c>
      <c r="K1370">
        <v>6.6655141450796766E-3</v>
      </c>
      <c r="L1370" t="s">
        <v>166</v>
      </c>
      <c r="N1370" t="s">
        <v>274</v>
      </c>
      <c r="O1370" t="s">
        <v>339</v>
      </c>
      <c r="P1370">
        <v>1.7195099885772254E-3</v>
      </c>
      <c r="Q1370" t="s">
        <v>166</v>
      </c>
    </row>
    <row r="1371" spans="9:17" x14ac:dyDescent="0.45">
      <c r="I1371" t="s">
        <v>209</v>
      </c>
      <c r="J1371" t="s">
        <v>340</v>
      </c>
      <c r="K1371">
        <v>5.0014473288117712E-3</v>
      </c>
      <c r="L1371" t="s">
        <v>166</v>
      </c>
      <c r="N1371" t="s">
        <v>274</v>
      </c>
      <c r="O1371" t="s">
        <v>340</v>
      </c>
      <c r="P1371">
        <v>1.7948100958621253E-3</v>
      </c>
      <c r="Q1371" t="s">
        <v>166</v>
      </c>
    </row>
    <row r="1372" spans="9:17" x14ac:dyDescent="0.45">
      <c r="I1372" t="s">
        <v>209</v>
      </c>
      <c r="J1372" t="s">
        <v>341</v>
      </c>
      <c r="K1372">
        <v>2.6942774610538376E-3</v>
      </c>
      <c r="L1372" t="s">
        <v>166</v>
      </c>
      <c r="N1372" t="s">
        <v>274</v>
      </c>
      <c r="O1372" t="s">
        <v>341</v>
      </c>
      <c r="P1372">
        <v>1.4077337861546873E-2</v>
      </c>
      <c r="Q1372" t="s">
        <v>166</v>
      </c>
    </row>
    <row r="1373" spans="9:17" x14ac:dyDescent="0.45">
      <c r="I1373" t="s">
        <v>209</v>
      </c>
      <c r="J1373" t="s">
        <v>175</v>
      </c>
      <c r="K1373">
        <v>1.8091221434790496E-2</v>
      </c>
      <c r="L1373" t="s">
        <v>166</v>
      </c>
      <c r="N1373" t="s">
        <v>274</v>
      </c>
      <c r="O1373" t="s">
        <v>175</v>
      </c>
      <c r="P1373">
        <v>4.3890693826675244E-2</v>
      </c>
      <c r="Q1373" t="s">
        <v>166</v>
      </c>
    </row>
    <row r="1374" spans="9:17" x14ac:dyDescent="0.45">
      <c r="I1374" t="s">
        <v>209</v>
      </c>
      <c r="J1374" t="s">
        <v>176</v>
      </c>
      <c r="K1374">
        <v>8.1369727332799985E-3</v>
      </c>
      <c r="L1374" t="s">
        <v>166</v>
      </c>
      <c r="N1374" t="s">
        <v>274</v>
      </c>
      <c r="O1374" t="s">
        <v>176</v>
      </c>
      <c r="P1374">
        <v>4.4921282013619017E-3</v>
      </c>
      <c r="Q1374" t="s">
        <v>166</v>
      </c>
    </row>
    <row r="1375" spans="9:17" x14ac:dyDescent="0.45">
      <c r="I1375" t="s">
        <v>209</v>
      </c>
      <c r="J1375" t="s">
        <v>177</v>
      </c>
      <c r="K1375">
        <v>4.9852989084796705E-2</v>
      </c>
      <c r="L1375" t="s">
        <v>166</v>
      </c>
      <c r="N1375" t="s">
        <v>274</v>
      </c>
      <c r="O1375" t="s">
        <v>177</v>
      </c>
      <c r="P1375">
        <v>1.8489533648381219E-2</v>
      </c>
      <c r="Q1375" t="s">
        <v>166</v>
      </c>
    </row>
    <row r="1376" spans="9:17" x14ac:dyDescent="0.45">
      <c r="I1376" t="s">
        <v>209</v>
      </c>
      <c r="J1376" t="s">
        <v>342</v>
      </c>
      <c r="K1376">
        <v>6.0469966704049466E-3</v>
      </c>
      <c r="L1376" t="s">
        <v>166</v>
      </c>
      <c r="N1376" t="s">
        <v>274</v>
      </c>
      <c r="O1376" t="s">
        <v>342</v>
      </c>
      <c r="P1376">
        <v>2.3600978123144555E-3</v>
      </c>
      <c r="Q1376" t="s">
        <v>166</v>
      </c>
    </row>
    <row r="1377" spans="9:17" x14ac:dyDescent="0.45">
      <c r="I1377" t="s">
        <v>209</v>
      </c>
      <c r="J1377" t="s">
        <v>343</v>
      </c>
      <c r="K1377">
        <v>4.2063556816987801E-3</v>
      </c>
      <c r="L1377" t="s">
        <v>166</v>
      </c>
      <c r="N1377" t="s">
        <v>274</v>
      </c>
      <c r="O1377" t="s">
        <v>343</v>
      </c>
      <c r="P1377">
        <v>2.2159010065380567E-3</v>
      </c>
      <c r="Q1377" t="s">
        <v>166</v>
      </c>
    </row>
    <row r="1378" spans="9:17" x14ac:dyDescent="0.45">
      <c r="I1378" t="s">
        <v>209</v>
      </c>
      <c r="J1378" t="s">
        <v>344</v>
      </c>
      <c r="K1378">
        <v>1.9906446087412152E-3</v>
      </c>
      <c r="L1378" t="s">
        <v>166</v>
      </c>
      <c r="N1378" t="s">
        <v>274</v>
      </c>
      <c r="O1378" t="s">
        <v>344</v>
      </c>
      <c r="P1378">
        <v>1.5177123161625122E-2</v>
      </c>
      <c r="Q1378" t="s">
        <v>166</v>
      </c>
    </row>
    <row r="1379" spans="9:17" x14ac:dyDescent="0.45">
      <c r="I1379" t="s">
        <v>209</v>
      </c>
      <c r="J1379" t="s">
        <v>345</v>
      </c>
      <c r="K1379">
        <v>3.3480576987644908E-2</v>
      </c>
      <c r="L1379" t="s">
        <v>166</v>
      </c>
      <c r="N1379" t="s">
        <v>274</v>
      </c>
      <c r="O1379" t="s">
        <v>345</v>
      </c>
      <c r="P1379">
        <v>6.7089160300585815E-2</v>
      </c>
      <c r="Q1379" t="s">
        <v>166</v>
      </c>
    </row>
    <row r="1380" spans="9:17" x14ac:dyDescent="0.45">
      <c r="I1380" t="s">
        <v>209</v>
      </c>
      <c r="J1380" t="s">
        <v>346</v>
      </c>
      <c r="K1380">
        <v>1.6233594029946896E-2</v>
      </c>
      <c r="L1380" t="s">
        <v>166</v>
      </c>
      <c r="N1380" t="s">
        <v>274</v>
      </c>
      <c r="O1380" t="s">
        <v>346</v>
      </c>
      <c r="P1380">
        <v>6.3297870545851098E-3</v>
      </c>
      <c r="Q1380" t="s">
        <v>166</v>
      </c>
    </row>
    <row r="1381" spans="9:17" x14ac:dyDescent="0.45">
      <c r="I1381" t="s">
        <v>209</v>
      </c>
      <c r="J1381" t="s">
        <v>347</v>
      </c>
      <c r="K1381">
        <v>9.6459429996769971E-2</v>
      </c>
      <c r="L1381" t="s">
        <v>166</v>
      </c>
      <c r="N1381" t="s">
        <v>274</v>
      </c>
      <c r="O1381" t="s">
        <v>347</v>
      </c>
      <c r="P1381">
        <v>1.8993251768564586E-2</v>
      </c>
      <c r="Q1381" t="s">
        <v>166</v>
      </c>
    </row>
    <row r="1382" spans="9:17" x14ac:dyDescent="0.45">
      <c r="I1382" t="s">
        <v>209</v>
      </c>
      <c r="J1382" t="s">
        <v>348</v>
      </c>
      <c r="K1382">
        <v>1.1573966008641927E-2</v>
      </c>
      <c r="L1382" t="s">
        <v>166</v>
      </c>
      <c r="N1382" t="s">
        <v>274</v>
      </c>
      <c r="O1382" t="s">
        <v>348</v>
      </c>
      <c r="P1382">
        <v>1.6751646413188576E-3</v>
      </c>
      <c r="Q1382" t="s">
        <v>166</v>
      </c>
    </row>
    <row r="1383" spans="9:17" x14ac:dyDescent="0.45">
      <c r="I1383" t="s">
        <v>209</v>
      </c>
      <c r="J1383" t="s">
        <v>349</v>
      </c>
      <c r="K1383">
        <v>7.5822531722147335E-3</v>
      </c>
      <c r="L1383" t="s">
        <v>166</v>
      </c>
      <c r="N1383" t="s">
        <v>274</v>
      </c>
      <c r="O1383" t="s">
        <v>349</v>
      </c>
      <c r="P1383">
        <v>2.0075387440903151E-3</v>
      </c>
      <c r="Q1383" t="s">
        <v>166</v>
      </c>
    </row>
    <row r="1384" spans="9:17" x14ac:dyDescent="0.45">
      <c r="I1384" t="s">
        <v>209</v>
      </c>
      <c r="J1384" t="s">
        <v>350</v>
      </c>
      <c r="K1384">
        <v>2.1815183556888828E-3</v>
      </c>
      <c r="L1384" t="s">
        <v>166</v>
      </c>
      <c r="N1384" t="s">
        <v>274</v>
      </c>
      <c r="O1384" t="s">
        <v>350</v>
      </c>
      <c r="P1384">
        <v>2.1141388229578371E-2</v>
      </c>
      <c r="Q1384" t="s">
        <v>166</v>
      </c>
    </row>
    <row r="1385" spans="9:17" x14ac:dyDescent="0.45">
      <c r="I1385" t="s">
        <v>209</v>
      </c>
      <c r="J1385" t="s">
        <v>351</v>
      </c>
      <c r="K1385">
        <v>1.7191065897810873E-2</v>
      </c>
      <c r="L1385" t="s">
        <v>166</v>
      </c>
      <c r="N1385" t="s">
        <v>274</v>
      </c>
      <c r="O1385" t="s">
        <v>351</v>
      </c>
      <c r="P1385">
        <v>4.9173235947958575E-2</v>
      </c>
      <c r="Q1385" t="s">
        <v>166</v>
      </c>
    </row>
    <row r="1386" spans="9:17" x14ac:dyDescent="0.45">
      <c r="I1386" t="s">
        <v>209</v>
      </c>
      <c r="J1386" t="s">
        <v>352</v>
      </c>
      <c r="K1386">
        <v>8.4087913083384092E-3</v>
      </c>
      <c r="L1386" t="s">
        <v>166</v>
      </c>
      <c r="N1386" t="s">
        <v>274</v>
      </c>
      <c r="O1386" t="s">
        <v>352</v>
      </c>
      <c r="P1386">
        <v>4.9907532342167915E-3</v>
      </c>
      <c r="Q1386" t="s">
        <v>166</v>
      </c>
    </row>
    <row r="1387" spans="9:17" x14ac:dyDescent="0.45">
      <c r="I1387" t="s">
        <v>209</v>
      </c>
      <c r="J1387" t="s">
        <v>353</v>
      </c>
      <c r="K1387">
        <v>4.7173674528632768E-2</v>
      </c>
      <c r="L1387" t="s">
        <v>166</v>
      </c>
      <c r="N1387" t="s">
        <v>274</v>
      </c>
      <c r="O1387" t="s">
        <v>353</v>
      </c>
      <c r="P1387">
        <v>1.6880966575520427E-2</v>
      </c>
      <c r="Q1387" t="s">
        <v>166</v>
      </c>
    </row>
    <row r="1388" spans="9:17" x14ac:dyDescent="0.45">
      <c r="I1388" t="s">
        <v>209</v>
      </c>
      <c r="J1388" t="s">
        <v>354</v>
      </c>
      <c r="K1388">
        <v>4.8473211758155955E-3</v>
      </c>
      <c r="L1388" t="s">
        <v>166</v>
      </c>
      <c r="N1388" t="s">
        <v>274</v>
      </c>
      <c r="O1388" t="s">
        <v>354</v>
      </c>
      <c r="P1388">
        <v>1.6796081086925239E-3</v>
      </c>
      <c r="Q1388" t="s">
        <v>166</v>
      </c>
    </row>
    <row r="1389" spans="9:17" x14ac:dyDescent="0.45">
      <c r="I1389" t="s">
        <v>209</v>
      </c>
      <c r="J1389" t="s">
        <v>355</v>
      </c>
      <c r="K1389">
        <v>1.6182710218959515E-3</v>
      </c>
      <c r="L1389" t="s">
        <v>166</v>
      </c>
      <c r="N1389" t="s">
        <v>274</v>
      </c>
      <c r="O1389" t="s">
        <v>355</v>
      </c>
      <c r="P1389">
        <v>1.8458702409432089E-3</v>
      </c>
      <c r="Q1389" t="s">
        <v>166</v>
      </c>
    </row>
    <row r="1390" spans="9:17" x14ac:dyDescent="0.45">
      <c r="I1390" t="s">
        <v>209</v>
      </c>
      <c r="J1390" t="s">
        <v>356</v>
      </c>
      <c r="K1390">
        <v>0</v>
      </c>
      <c r="L1390" t="s">
        <v>166</v>
      </c>
      <c r="N1390" t="s">
        <v>274</v>
      </c>
      <c r="O1390" t="s">
        <v>356</v>
      </c>
      <c r="P1390">
        <v>1.2758402437438846E-2</v>
      </c>
      <c r="Q1390" t="s">
        <v>166</v>
      </c>
    </row>
    <row r="1391" spans="9:17" x14ac:dyDescent="0.45">
      <c r="I1391" t="s">
        <v>209</v>
      </c>
      <c r="J1391" t="s">
        <v>357</v>
      </c>
      <c r="K1391">
        <v>2.240079102646627E-2</v>
      </c>
      <c r="L1391" t="s">
        <v>166</v>
      </c>
      <c r="N1391" t="s">
        <v>274</v>
      </c>
      <c r="O1391" t="s">
        <v>357</v>
      </c>
      <c r="P1391">
        <v>8.4585662378745208E-2</v>
      </c>
      <c r="Q1391" t="s">
        <v>166</v>
      </c>
    </row>
    <row r="1392" spans="9:17" x14ac:dyDescent="0.45">
      <c r="I1392" t="s">
        <v>209</v>
      </c>
      <c r="J1392" t="s">
        <v>358</v>
      </c>
      <c r="K1392">
        <v>1.5598984358089261E-2</v>
      </c>
      <c r="L1392" t="s">
        <v>166</v>
      </c>
      <c r="N1392" t="s">
        <v>274</v>
      </c>
      <c r="O1392" t="s">
        <v>358</v>
      </c>
      <c r="P1392">
        <v>6.7082853272795407E-3</v>
      </c>
      <c r="Q1392" t="s">
        <v>166</v>
      </c>
    </row>
    <row r="1393" spans="9:17" x14ac:dyDescent="0.45">
      <c r="I1393" t="s">
        <v>209</v>
      </c>
      <c r="J1393" t="s">
        <v>359</v>
      </c>
      <c r="K1393">
        <v>8.8015190061704426E-2</v>
      </c>
      <c r="L1393" t="s">
        <v>166</v>
      </c>
      <c r="N1393" t="s">
        <v>274</v>
      </c>
      <c r="O1393" t="s">
        <v>359</v>
      </c>
      <c r="P1393">
        <v>3.5437468517943167E-2</v>
      </c>
      <c r="Q1393" t="s">
        <v>166</v>
      </c>
    </row>
    <row r="1394" spans="9:17" x14ac:dyDescent="0.45">
      <c r="I1394" t="s">
        <v>209</v>
      </c>
      <c r="J1394" t="s">
        <v>360</v>
      </c>
      <c r="K1394">
        <v>8.5071089603178229E-3</v>
      </c>
      <c r="L1394" t="s">
        <v>166</v>
      </c>
      <c r="N1394" t="s">
        <v>274</v>
      </c>
      <c r="O1394" t="s">
        <v>360</v>
      </c>
      <c r="P1394">
        <v>5.3925879669679076E-3</v>
      </c>
      <c r="Q1394" t="s">
        <v>166</v>
      </c>
    </row>
    <row r="1395" spans="9:17" x14ac:dyDescent="0.45">
      <c r="I1395" t="s">
        <v>209</v>
      </c>
      <c r="J1395" t="s">
        <v>361</v>
      </c>
      <c r="K1395">
        <v>0</v>
      </c>
      <c r="L1395" t="s">
        <v>166</v>
      </c>
      <c r="N1395" t="s">
        <v>274</v>
      </c>
      <c r="O1395" t="s">
        <v>361</v>
      </c>
      <c r="P1395">
        <v>6.0555390230544173E-3</v>
      </c>
      <c r="Q1395" t="s">
        <v>166</v>
      </c>
    </row>
    <row r="1396" spans="9:17" x14ac:dyDescent="0.45">
      <c r="I1396" t="s">
        <v>209</v>
      </c>
      <c r="J1396" t="s">
        <v>362</v>
      </c>
      <c r="K1396">
        <v>0</v>
      </c>
      <c r="L1396" t="s">
        <v>166</v>
      </c>
      <c r="N1396" t="s">
        <v>274</v>
      </c>
      <c r="O1396" t="s">
        <v>362</v>
      </c>
      <c r="P1396">
        <v>3.6212277633778212E-2</v>
      </c>
      <c r="Q1396" t="s">
        <v>166</v>
      </c>
    </row>
    <row r="1397" spans="9:17" x14ac:dyDescent="0.45">
      <c r="I1397" t="s">
        <v>210</v>
      </c>
      <c r="J1397" t="s">
        <v>165</v>
      </c>
      <c r="K1397">
        <v>3.8162760606635926E-2</v>
      </c>
      <c r="L1397" t="s">
        <v>166</v>
      </c>
      <c r="N1397" t="s">
        <v>275</v>
      </c>
      <c r="O1397" t="s">
        <v>165</v>
      </c>
      <c r="P1397">
        <v>0.13071681856809353</v>
      </c>
      <c r="Q1397" t="s">
        <v>166</v>
      </c>
    </row>
    <row r="1398" spans="9:17" x14ac:dyDescent="0.45">
      <c r="I1398" t="s">
        <v>210</v>
      </c>
      <c r="J1398" t="s">
        <v>167</v>
      </c>
      <c r="K1398">
        <v>2.4763815177127658E-2</v>
      </c>
      <c r="L1398" t="s">
        <v>166</v>
      </c>
      <c r="N1398" t="s">
        <v>275</v>
      </c>
      <c r="O1398" t="s">
        <v>167</v>
      </c>
      <c r="P1398">
        <v>7.3027771993498065E-3</v>
      </c>
      <c r="Q1398" t="s">
        <v>166</v>
      </c>
    </row>
    <row r="1399" spans="9:17" x14ac:dyDescent="0.45">
      <c r="I1399" t="s">
        <v>210</v>
      </c>
      <c r="J1399" t="s">
        <v>168</v>
      </c>
      <c r="K1399">
        <v>0.14578563968657848</v>
      </c>
      <c r="L1399" t="s">
        <v>166</v>
      </c>
      <c r="N1399" t="s">
        <v>275</v>
      </c>
      <c r="O1399" t="s">
        <v>168</v>
      </c>
      <c r="P1399">
        <v>5.1885222564390376E-2</v>
      </c>
      <c r="Q1399" t="s">
        <v>166</v>
      </c>
    </row>
    <row r="1400" spans="9:17" x14ac:dyDescent="0.45">
      <c r="I1400" t="s">
        <v>210</v>
      </c>
      <c r="J1400" t="s">
        <v>333</v>
      </c>
      <c r="K1400">
        <v>1.7376544911733224E-2</v>
      </c>
      <c r="L1400" t="s">
        <v>166</v>
      </c>
      <c r="N1400" t="s">
        <v>275</v>
      </c>
      <c r="O1400" t="s">
        <v>333</v>
      </c>
      <c r="P1400">
        <v>9.9538314020815363E-3</v>
      </c>
      <c r="Q1400" t="s">
        <v>166</v>
      </c>
    </row>
    <row r="1401" spans="9:17" x14ac:dyDescent="0.45">
      <c r="I1401" t="s">
        <v>210</v>
      </c>
      <c r="J1401" t="s">
        <v>334</v>
      </c>
      <c r="K1401">
        <v>7.5791055087645895E-3</v>
      </c>
      <c r="L1401" t="s">
        <v>166</v>
      </c>
      <c r="N1401" t="s">
        <v>275</v>
      </c>
      <c r="O1401" t="s">
        <v>334</v>
      </c>
      <c r="P1401">
        <v>1.0491397999228264E-2</v>
      </c>
      <c r="Q1401" t="s">
        <v>166</v>
      </c>
    </row>
    <row r="1402" spans="9:17" x14ac:dyDescent="0.45">
      <c r="I1402" t="s">
        <v>210</v>
      </c>
      <c r="J1402" t="s">
        <v>335</v>
      </c>
      <c r="K1402">
        <v>0</v>
      </c>
      <c r="L1402" t="s">
        <v>166</v>
      </c>
      <c r="N1402" t="s">
        <v>275</v>
      </c>
      <c r="O1402" t="s">
        <v>335</v>
      </c>
      <c r="P1402">
        <v>6.5301004834213069E-2</v>
      </c>
      <c r="Q1402" t="s">
        <v>166</v>
      </c>
    </row>
    <row r="1403" spans="9:17" x14ac:dyDescent="0.45">
      <c r="I1403" t="s">
        <v>210</v>
      </c>
      <c r="J1403" t="s">
        <v>169</v>
      </c>
      <c r="K1403">
        <v>4.3401426735654218E-2</v>
      </c>
      <c r="L1403" t="s">
        <v>166</v>
      </c>
      <c r="N1403" t="s">
        <v>275</v>
      </c>
      <c r="O1403" t="s">
        <v>169</v>
      </c>
      <c r="P1403">
        <v>8.3437321934494157E-2</v>
      </c>
      <c r="Q1403" t="s">
        <v>166</v>
      </c>
    </row>
    <row r="1404" spans="9:17" x14ac:dyDescent="0.45">
      <c r="I1404" t="s">
        <v>210</v>
      </c>
      <c r="J1404" t="s">
        <v>170</v>
      </c>
      <c r="K1404">
        <v>1.8434611505245797E-2</v>
      </c>
      <c r="L1404" t="s">
        <v>166</v>
      </c>
      <c r="N1404" t="s">
        <v>275</v>
      </c>
      <c r="O1404" t="s">
        <v>170</v>
      </c>
      <c r="P1404">
        <v>5.5960555156405909E-3</v>
      </c>
      <c r="Q1404" t="s">
        <v>166</v>
      </c>
    </row>
    <row r="1405" spans="9:17" x14ac:dyDescent="0.45">
      <c r="I1405" t="s">
        <v>210</v>
      </c>
      <c r="J1405" t="s">
        <v>171</v>
      </c>
      <c r="K1405">
        <v>0.11059113839590781</v>
      </c>
      <c r="L1405" t="s">
        <v>166</v>
      </c>
      <c r="N1405" t="s">
        <v>275</v>
      </c>
      <c r="O1405" t="s">
        <v>171</v>
      </c>
      <c r="P1405">
        <v>4.7146375233048252E-2</v>
      </c>
      <c r="Q1405" t="s">
        <v>166</v>
      </c>
    </row>
    <row r="1406" spans="9:17" x14ac:dyDescent="0.45">
      <c r="I1406" t="s">
        <v>210</v>
      </c>
      <c r="J1406" t="s">
        <v>336</v>
      </c>
      <c r="K1406">
        <v>1.3430092007825821E-2</v>
      </c>
      <c r="L1406" t="s">
        <v>166</v>
      </c>
      <c r="N1406" t="s">
        <v>275</v>
      </c>
      <c r="O1406" t="s">
        <v>336</v>
      </c>
      <c r="P1406">
        <v>1.0145102378125964E-2</v>
      </c>
      <c r="Q1406" t="s">
        <v>166</v>
      </c>
    </row>
    <row r="1407" spans="9:17" x14ac:dyDescent="0.45">
      <c r="I1407" t="s">
        <v>210</v>
      </c>
      <c r="J1407" t="s">
        <v>337</v>
      </c>
      <c r="K1407">
        <v>9.4091513273804397E-3</v>
      </c>
      <c r="L1407" t="s">
        <v>166</v>
      </c>
      <c r="N1407" t="s">
        <v>275</v>
      </c>
      <c r="O1407" t="s">
        <v>337</v>
      </c>
      <c r="P1407">
        <v>9.701033381202118E-3</v>
      </c>
      <c r="Q1407" t="s">
        <v>166</v>
      </c>
    </row>
    <row r="1408" spans="9:17" x14ac:dyDescent="0.45">
      <c r="I1408" t="s">
        <v>210</v>
      </c>
      <c r="J1408" t="s">
        <v>338</v>
      </c>
      <c r="K1408">
        <v>3.4302538367606316E-3</v>
      </c>
      <c r="L1408" t="s">
        <v>166</v>
      </c>
      <c r="N1408" t="s">
        <v>275</v>
      </c>
      <c r="O1408" t="s">
        <v>338</v>
      </c>
      <c r="P1408">
        <v>5.2812904621633891E-2</v>
      </c>
      <c r="Q1408" t="s">
        <v>166</v>
      </c>
    </row>
    <row r="1409" spans="9:17" x14ac:dyDescent="0.45">
      <c r="I1409" t="s">
        <v>210</v>
      </c>
      <c r="J1409" t="s">
        <v>172</v>
      </c>
      <c r="K1409">
        <v>2.2702008307523856E-2</v>
      </c>
      <c r="L1409" t="s">
        <v>166</v>
      </c>
      <c r="N1409" t="s">
        <v>275</v>
      </c>
      <c r="O1409" t="s">
        <v>172</v>
      </c>
      <c r="P1409">
        <v>4.6865505480959822E-2</v>
      </c>
      <c r="Q1409" t="s">
        <v>166</v>
      </c>
    </row>
    <row r="1410" spans="9:17" x14ac:dyDescent="0.45">
      <c r="I1410" t="s">
        <v>210</v>
      </c>
      <c r="J1410" t="s">
        <v>173</v>
      </c>
      <c r="K1410">
        <v>8.7590694015487087E-3</v>
      </c>
      <c r="L1410" t="s">
        <v>166</v>
      </c>
      <c r="N1410" t="s">
        <v>275</v>
      </c>
      <c r="O1410" t="s">
        <v>173</v>
      </c>
      <c r="P1410">
        <v>3.3720438081409746E-3</v>
      </c>
      <c r="Q1410" t="s">
        <v>166</v>
      </c>
    </row>
    <row r="1411" spans="9:17" x14ac:dyDescent="0.45">
      <c r="I1411" t="s">
        <v>210</v>
      </c>
      <c r="J1411" t="s">
        <v>174</v>
      </c>
      <c r="K1411">
        <v>5.2843259458612991E-2</v>
      </c>
      <c r="L1411" t="s">
        <v>166</v>
      </c>
      <c r="N1411" t="s">
        <v>275</v>
      </c>
      <c r="O1411" t="s">
        <v>174</v>
      </c>
      <c r="P1411">
        <v>1.3272726632474861E-2</v>
      </c>
      <c r="Q1411" t="s">
        <v>166</v>
      </c>
    </row>
    <row r="1412" spans="9:17" x14ac:dyDescent="0.45">
      <c r="I1412" t="s">
        <v>210</v>
      </c>
      <c r="J1412" t="s">
        <v>339</v>
      </c>
      <c r="K1412">
        <v>6.5935151623954446E-3</v>
      </c>
      <c r="L1412" t="s">
        <v>166</v>
      </c>
      <c r="N1412" t="s">
        <v>275</v>
      </c>
      <c r="O1412" t="s">
        <v>339</v>
      </c>
      <c r="P1412">
        <v>2.0413653648238407E-3</v>
      </c>
      <c r="Q1412" t="s">
        <v>166</v>
      </c>
    </row>
    <row r="1413" spans="9:17" x14ac:dyDescent="0.45">
      <c r="I1413" t="s">
        <v>210</v>
      </c>
      <c r="J1413" t="s">
        <v>340</v>
      </c>
      <c r="K1413">
        <v>4.8619704693047003E-3</v>
      </c>
      <c r="L1413" t="s">
        <v>166</v>
      </c>
      <c r="N1413" t="s">
        <v>275</v>
      </c>
      <c r="O1413" t="s">
        <v>340</v>
      </c>
      <c r="P1413">
        <v>2.2726520026033733E-3</v>
      </c>
      <c r="Q1413" t="s">
        <v>166</v>
      </c>
    </row>
    <row r="1414" spans="9:17" x14ac:dyDescent="0.45">
      <c r="I1414" t="s">
        <v>210</v>
      </c>
      <c r="J1414" t="s">
        <v>341</v>
      </c>
      <c r="K1414">
        <v>2.4931137823648339E-3</v>
      </c>
      <c r="L1414" t="s">
        <v>166</v>
      </c>
      <c r="N1414" t="s">
        <v>275</v>
      </c>
      <c r="O1414" t="s">
        <v>341</v>
      </c>
      <c r="P1414">
        <v>1.8871374644259999E-2</v>
      </c>
      <c r="Q1414" t="s">
        <v>166</v>
      </c>
    </row>
    <row r="1415" spans="9:17" x14ac:dyDescent="0.45">
      <c r="I1415" t="s">
        <v>210</v>
      </c>
      <c r="J1415" t="s">
        <v>175</v>
      </c>
      <c r="K1415">
        <v>2.0308128922088144E-2</v>
      </c>
      <c r="L1415" t="s">
        <v>166</v>
      </c>
      <c r="N1415" t="s">
        <v>275</v>
      </c>
      <c r="O1415" t="s">
        <v>175</v>
      </c>
      <c r="P1415">
        <v>5.3393178458147936E-2</v>
      </c>
      <c r="Q1415" t="s">
        <v>166</v>
      </c>
    </row>
    <row r="1416" spans="9:17" x14ac:dyDescent="0.45">
      <c r="I1416" t="s">
        <v>210</v>
      </c>
      <c r="J1416" t="s">
        <v>176</v>
      </c>
      <c r="K1416">
        <v>8.5212059944168896E-3</v>
      </c>
      <c r="L1416" t="s">
        <v>166</v>
      </c>
      <c r="N1416" t="s">
        <v>275</v>
      </c>
      <c r="O1416" t="s">
        <v>176</v>
      </c>
      <c r="P1416">
        <v>3.8856497702422026E-3</v>
      </c>
      <c r="Q1416" t="s">
        <v>166</v>
      </c>
    </row>
    <row r="1417" spans="9:17" x14ac:dyDescent="0.45">
      <c r="I1417" t="s">
        <v>210</v>
      </c>
      <c r="J1417" t="s">
        <v>177</v>
      </c>
      <c r="K1417">
        <v>5.0305228489418201E-2</v>
      </c>
      <c r="L1417" t="s">
        <v>166</v>
      </c>
      <c r="N1417" t="s">
        <v>275</v>
      </c>
      <c r="O1417" t="s">
        <v>177</v>
      </c>
      <c r="P1417">
        <v>1.2115658817310668E-2</v>
      </c>
      <c r="Q1417" t="s">
        <v>166</v>
      </c>
    </row>
    <row r="1418" spans="9:17" x14ac:dyDescent="0.45">
      <c r="I1418" t="s">
        <v>210</v>
      </c>
      <c r="J1418" t="s">
        <v>342</v>
      </c>
      <c r="K1418">
        <v>5.5560318880354502E-3</v>
      </c>
      <c r="L1418" t="s">
        <v>166</v>
      </c>
      <c r="N1418" t="s">
        <v>275</v>
      </c>
      <c r="O1418" t="s">
        <v>342</v>
      </c>
      <c r="P1418">
        <v>1.697072858337476E-3</v>
      </c>
      <c r="Q1418" t="s">
        <v>166</v>
      </c>
    </row>
    <row r="1419" spans="9:17" x14ac:dyDescent="0.45">
      <c r="I1419" t="s">
        <v>210</v>
      </c>
      <c r="J1419" t="s">
        <v>343</v>
      </c>
      <c r="K1419">
        <v>3.732871718714574E-3</v>
      </c>
      <c r="L1419" t="s">
        <v>166</v>
      </c>
      <c r="N1419" t="s">
        <v>275</v>
      </c>
      <c r="O1419" t="s">
        <v>343</v>
      </c>
      <c r="P1419">
        <v>2.1326473873578087E-3</v>
      </c>
      <c r="Q1419" t="s">
        <v>166</v>
      </c>
    </row>
    <row r="1420" spans="9:17" x14ac:dyDescent="0.45">
      <c r="I1420" t="s">
        <v>210</v>
      </c>
      <c r="J1420" t="s">
        <v>344</v>
      </c>
      <c r="K1420">
        <v>1.7124874764900967E-3</v>
      </c>
      <c r="L1420" t="s">
        <v>166</v>
      </c>
      <c r="N1420" t="s">
        <v>275</v>
      </c>
      <c r="O1420" t="s">
        <v>344</v>
      </c>
      <c r="P1420">
        <v>2.0371910255598556E-2</v>
      </c>
      <c r="Q1420" t="s">
        <v>166</v>
      </c>
    </row>
    <row r="1421" spans="9:17" x14ac:dyDescent="0.45">
      <c r="I1421" t="s">
        <v>210</v>
      </c>
      <c r="J1421" t="s">
        <v>345</v>
      </c>
      <c r="K1421">
        <v>3.563550424699128E-2</v>
      </c>
      <c r="L1421" t="s">
        <v>166</v>
      </c>
      <c r="N1421" t="s">
        <v>275</v>
      </c>
      <c r="O1421" t="s">
        <v>345</v>
      </c>
      <c r="P1421">
        <v>9.5314384914827854E-2</v>
      </c>
      <c r="Q1421" t="s">
        <v>166</v>
      </c>
    </row>
    <row r="1422" spans="9:17" x14ac:dyDescent="0.45">
      <c r="I1422" t="s">
        <v>210</v>
      </c>
      <c r="J1422" t="s">
        <v>346</v>
      </c>
      <c r="K1422">
        <v>1.6952533499874391E-2</v>
      </c>
      <c r="L1422" t="s">
        <v>166</v>
      </c>
      <c r="N1422" t="s">
        <v>275</v>
      </c>
      <c r="O1422" t="s">
        <v>346</v>
      </c>
      <c r="P1422">
        <v>6.0636016040226124E-3</v>
      </c>
      <c r="Q1422" t="s">
        <v>166</v>
      </c>
    </row>
    <row r="1423" spans="9:17" x14ac:dyDescent="0.45">
      <c r="I1423" t="s">
        <v>210</v>
      </c>
      <c r="J1423" t="s">
        <v>347</v>
      </c>
      <c r="K1423">
        <v>9.8556669100464608E-2</v>
      </c>
      <c r="L1423" t="s">
        <v>166</v>
      </c>
      <c r="N1423" t="s">
        <v>275</v>
      </c>
      <c r="O1423" t="s">
        <v>347</v>
      </c>
      <c r="P1423">
        <v>1.4878951260655063E-2</v>
      </c>
      <c r="Q1423" t="s">
        <v>166</v>
      </c>
    </row>
    <row r="1424" spans="9:17" x14ac:dyDescent="0.45">
      <c r="I1424" t="s">
        <v>210</v>
      </c>
      <c r="J1424" t="s">
        <v>348</v>
      </c>
      <c r="K1424">
        <v>1.1365381008221273E-2</v>
      </c>
      <c r="L1424" t="s">
        <v>166</v>
      </c>
      <c r="N1424" t="s">
        <v>275</v>
      </c>
      <c r="O1424" t="s">
        <v>348</v>
      </c>
      <c r="P1424">
        <v>1.4001907708610895E-3</v>
      </c>
      <c r="Q1424" t="s">
        <v>166</v>
      </c>
    </row>
    <row r="1425" spans="9:17" x14ac:dyDescent="0.45">
      <c r="I1425" t="s">
        <v>210</v>
      </c>
      <c r="J1425" t="s">
        <v>349</v>
      </c>
      <c r="K1425">
        <v>6.9936049742447999E-3</v>
      </c>
      <c r="L1425" t="s">
        <v>166</v>
      </c>
      <c r="N1425" t="s">
        <v>275</v>
      </c>
      <c r="O1425" t="s">
        <v>349</v>
      </c>
      <c r="P1425">
        <v>2.3098324937072226E-3</v>
      </c>
      <c r="Q1425" t="s">
        <v>166</v>
      </c>
    </row>
    <row r="1426" spans="9:17" x14ac:dyDescent="0.45">
      <c r="I1426" t="s">
        <v>210</v>
      </c>
      <c r="J1426" t="s">
        <v>350</v>
      </c>
      <c r="K1426">
        <v>1.7684688252364827E-3</v>
      </c>
      <c r="L1426" t="s">
        <v>166</v>
      </c>
      <c r="N1426" t="s">
        <v>275</v>
      </c>
      <c r="O1426" t="s">
        <v>350</v>
      </c>
      <c r="P1426">
        <v>3.2609839614023563E-2</v>
      </c>
      <c r="Q1426" t="s">
        <v>166</v>
      </c>
    </row>
    <row r="1427" spans="9:17" x14ac:dyDescent="0.45">
      <c r="I1427" t="s">
        <v>210</v>
      </c>
      <c r="J1427" t="s">
        <v>351</v>
      </c>
      <c r="K1427">
        <v>1.8568224682865998E-2</v>
      </c>
      <c r="L1427" t="s">
        <v>166</v>
      </c>
      <c r="N1427" t="s">
        <v>275</v>
      </c>
      <c r="O1427" t="s">
        <v>351</v>
      </c>
      <c r="P1427">
        <v>3.6313880632420692E-2</v>
      </c>
      <c r="Q1427" t="s">
        <v>166</v>
      </c>
    </row>
    <row r="1428" spans="9:17" x14ac:dyDescent="0.45">
      <c r="I1428" t="s">
        <v>210</v>
      </c>
      <c r="J1428" t="s">
        <v>352</v>
      </c>
      <c r="K1428">
        <v>8.6965519269421865E-3</v>
      </c>
      <c r="L1428" t="s">
        <v>166</v>
      </c>
      <c r="N1428" t="s">
        <v>275</v>
      </c>
      <c r="O1428" t="s">
        <v>352</v>
      </c>
      <c r="P1428">
        <v>2.3286227370652827E-3</v>
      </c>
      <c r="Q1428" t="s">
        <v>166</v>
      </c>
    </row>
    <row r="1429" spans="9:17" x14ac:dyDescent="0.45">
      <c r="I1429" t="s">
        <v>210</v>
      </c>
      <c r="J1429" t="s">
        <v>353</v>
      </c>
      <c r="K1429">
        <v>4.8636042439863643E-2</v>
      </c>
      <c r="L1429" t="s">
        <v>166</v>
      </c>
      <c r="N1429" t="s">
        <v>275</v>
      </c>
      <c r="O1429" t="s">
        <v>353</v>
      </c>
      <c r="P1429">
        <v>6.1282871420022143E-3</v>
      </c>
      <c r="Q1429" t="s">
        <v>166</v>
      </c>
    </row>
    <row r="1430" spans="9:17" x14ac:dyDescent="0.45">
      <c r="I1430" t="s">
        <v>210</v>
      </c>
      <c r="J1430" t="s">
        <v>354</v>
      </c>
      <c r="K1430">
        <v>4.8784787337446591E-3</v>
      </c>
      <c r="L1430" t="s">
        <v>166</v>
      </c>
      <c r="N1430" t="s">
        <v>275</v>
      </c>
      <c r="O1430" t="s">
        <v>354</v>
      </c>
      <c r="P1430">
        <v>8.7827322698082167E-4</v>
      </c>
      <c r="Q1430" t="s">
        <v>166</v>
      </c>
    </row>
    <row r="1431" spans="9:17" x14ac:dyDescent="0.45">
      <c r="I1431" t="s">
        <v>210</v>
      </c>
      <c r="J1431" t="s">
        <v>355</v>
      </c>
      <c r="K1431">
        <v>8.255332157892371E-4</v>
      </c>
      <c r="L1431" t="s">
        <v>166</v>
      </c>
      <c r="N1431" t="s">
        <v>275</v>
      </c>
      <c r="O1431" t="s">
        <v>355</v>
      </c>
      <c r="P1431">
        <v>1.3330029487468565E-3</v>
      </c>
      <c r="Q1431" t="s">
        <v>166</v>
      </c>
    </row>
    <row r="1432" spans="9:17" x14ac:dyDescent="0.45">
      <c r="I1432" t="s">
        <v>210</v>
      </c>
      <c r="J1432" t="s">
        <v>356</v>
      </c>
      <c r="K1432">
        <v>0</v>
      </c>
      <c r="L1432" t="s">
        <v>166</v>
      </c>
      <c r="N1432" t="s">
        <v>275</v>
      </c>
      <c r="O1432" t="s">
        <v>356</v>
      </c>
      <c r="P1432">
        <v>1.2216243906505138E-2</v>
      </c>
      <c r="Q1432" t="s">
        <v>166</v>
      </c>
    </row>
    <row r="1433" spans="9:17" x14ac:dyDescent="0.45">
      <c r="I1433" t="s">
        <v>210</v>
      </c>
      <c r="J1433" t="s">
        <v>357</v>
      </c>
      <c r="K1433">
        <v>2.0936053451649159E-2</v>
      </c>
      <c r="L1433" t="s">
        <v>166</v>
      </c>
      <c r="N1433" t="s">
        <v>275</v>
      </c>
      <c r="O1433" t="s">
        <v>357</v>
      </c>
      <c r="P1433">
        <v>5.9844594766947486E-2</v>
      </c>
      <c r="Q1433" t="s">
        <v>166</v>
      </c>
    </row>
    <row r="1434" spans="9:17" x14ac:dyDescent="0.45">
      <c r="I1434" t="s">
        <v>210</v>
      </c>
      <c r="J1434" t="s">
        <v>358</v>
      </c>
      <c r="K1434">
        <v>1.4518674478463689E-2</v>
      </c>
      <c r="L1434" t="s">
        <v>166</v>
      </c>
      <c r="N1434" t="s">
        <v>275</v>
      </c>
      <c r="O1434" t="s">
        <v>358</v>
      </c>
      <c r="P1434">
        <v>2.5556625473135211E-3</v>
      </c>
      <c r="Q1434" t="s">
        <v>166</v>
      </c>
    </row>
    <row r="1435" spans="9:17" x14ac:dyDescent="0.45">
      <c r="I1435" t="s">
        <v>210</v>
      </c>
      <c r="J1435" t="s">
        <v>359</v>
      </c>
      <c r="K1435">
        <v>8.3573818596952038E-2</v>
      </c>
      <c r="L1435" t="s">
        <v>166</v>
      </c>
      <c r="N1435" t="s">
        <v>275</v>
      </c>
      <c r="O1435" t="s">
        <v>359</v>
      </c>
      <c r="P1435">
        <v>1.765419229651637E-2</v>
      </c>
      <c r="Q1435" t="s">
        <v>166</v>
      </c>
    </row>
    <row r="1436" spans="9:17" x14ac:dyDescent="0.45">
      <c r="I1436" t="s">
        <v>210</v>
      </c>
      <c r="J1436" t="s">
        <v>360</v>
      </c>
      <c r="K1436">
        <v>7.3410300481666158E-3</v>
      </c>
      <c r="L1436" t="s">
        <v>166</v>
      </c>
      <c r="N1436" t="s">
        <v>275</v>
      </c>
      <c r="O1436" t="s">
        <v>360</v>
      </c>
      <c r="P1436">
        <v>3.993741874064931E-3</v>
      </c>
      <c r="Q1436" t="s">
        <v>166</v>
      </c>
    </row>
    <row r="1437" spans="9:17" x14ac:dyDescent="0.45">
      <c r="I1437" t="s">
        <v>210</v>
      </c>
      <c r="J1437" t="s">
        <v>361</v>
      </c>
      <c r="K1437">
        <v>0</v>
      </c>
      <c r="L1437" t="s">
        <v>166</v>
      </c>
      <c r="N1437" t="s">
        <v>275</v>
      </c>
      <c r="O1437" t="s">
        <v>361</v>
      </c>
      <c r="P1437">
        <v>5.1036574338846844E-3</v>
      </c>
      <c r="Q1437" t="s">
        <v>166</v>
      </c>
    </row>
    <row r="1438" spans="9:17" x14ac:dyDescent="0.45">
      <c r="I1438" t="s">
        <v>210</v>
      </c>
      <c r="J1438" t="s">
        <v>362</v>
      </c>
      <c r="K1438">
        <v>0</v>
      </c>
      <c r="L1438" t="s">
        <v>166</v>
      </c>
      <c r="N1438" t="s">
        <v>275</v>
      </c>
      <c r="O1438" t="s">
        <v>362</v>
      </c>
      <c r="P1438">
        <v>3.4291408717692172E-2</v>
      </c>
      <c r="Q1438" t="s">
        <v>166</v>
      </c>
    </row>
    <row r="1439" spans="9:17" x14ac:dyDescent="0.45">
      <c r="I1439" t="s">
        <v>211</v>
      </c>
      <c r="J1439" t="s">
        <v>165</v>
      </c>
      <c r="K1439">
        <v>4.0939826253592937E-2</v>
      </c>
      <c r="L1439" t="s">
        <v>166</v>
      </c>
      <c r="N1439" t="s">
        <v>276</v>
      </c>
      <c r="O1439" t="s">
        <v>165</v>
      </c>
      <c r="P1439">
        <v>0.10776689570835442</v>
      </c>
      <c r="Q1439" t="s">
        <v>166</v>
      </c>
    </row>
    <row r="1440" spans="9:17" x14ac:dyDescent="0.45">
      <c r="I1440" t="s">
        <v>211</v>
      </c>
      <c r="J1440" t="s">
        <v>167</v>
      </c>
      <c r="K1440">
        <v>2.5688295687266598E-2</v>
      </c>
      <c r="L1440" t="s">
        <v>166</v>
      </c>
      <c r="N1440" t="s">
        <v>276</v>
      </c>
      <c r="O1440" t="s">
        <v>167</v>
      </c>
      <c r="P1440">
        <v>6.1732016353593534E-3</v>
      </c>
      <c r="Q1440" t="s">
        <v>166</v>
      </c>
    </row>
    <row r="1441" spans="9:17" x14ac:dyDescent="0.45">
      <c r="I1441" t="s">
        <v>211</v>
      </c>
      <c r="J1441" t="s">
        <v>168</v>
      </c>
      <c r="K1441">
        <v>0.14791896852842293</v>
      </c>
      <c r="L1441" t="s">
        <v>166</v>
      </c>
      <c r="N1441" t="s">
        <v>276</v>
      </c>
      <c r="O1441" t="s">
        <v>168</v>
      </c>
      <c r="P1441">
        <v>5.22520806436843E-2</v>
      </c>
      <c r="Q1441" t="s">
        <v>166</v>
      </c>
    </row>
    <row r="1442" spans="9:17" x14ac:dyDescent="0.45">
      <c r="I1442" t="s">
        <v>211</v>
      </c>
      <c r="J1442" t="s">
        <v>333</v>
      </c>
      <c r="K1442">
        <v>1.7356725224519136E-2</v>
      </c>
      <c r="L1442" t="s">
        <v>166</v>
      </c>
      <c r="N1442" t="s">
        <v>276</v>
      </c>
      <c r="O1442" t="s">
        <v>333</v>
      </c>
      <c r="P1442">
        <v>1.0366293022375943E-2</v>
      </c>
      <c r="Q1442" t="s">
        <v>166</v>
      </c>
    </row>
    <row r="1443" spans="9:17" x14ac:dyDescent="0.45">
      <c r="I1443" t="s">
        <v>211</v>
      </c>
      <c r="J1443" t="s">
        <v>334</v>
      </c>
      <c r="K1443">
        <v>7.0189551302916476E-3</v>
      </c>
      <c r="L1443" t="s">
        <v>166</v>
      </c>
      <c r="N1443" t="s">
        <v>276</v>
      </c>
      <c r="O1443" t="s">
        <v>334</v>
      </c>
      <c r="P1443">
        <v>1.0771413258202484E-2</v>
      </c>
      <c r="Q1443" t="s">
        <v>166</v>
      </c>
    </row>
    <row r="1444" spans="9:17" x14ac:dyDescent="0.45">
      <c r="I1444" t="s">
        <v>211</v>
      </c>
      <c r="J1444" t="s">
        <v>335</v>
      </c>
      <c r="K1444">
        <v>0</v>
      </c>
      <c r="L1444" t="s">
        <v>166</v>
      </c>
      <c r="N1444" t="s">
        <v>276</v>
      </c>
      <c r="O1444" t="s">
        <v>335</v>
      </c>
      <c r="P1444">
        <v>6.8054084186754918E-2</v>
      </c>
      <c r="Q1444" t="s">
        <v>166</v>
      </c>
    </row>
    <row r="1445" spans="9:17" x14ac:dyDescent="0.45">
      <c r="I1445" t="s">
        <v>211</v>
      </c>
      <c r="J1445" t="s">
        <v>169</v>
      </c>
      <c r="K1445">
        <v>4.3627284784714448E-2</v>
      </c>
      <c r="L1445" t="s">
        <v>166</v>
      </c>
      <c r="N1445" t="s">
        <v>276</v>
      </c>
      <c r="O1445" t="s">
        <v>169</v>
      </c>
      <c r="P1445">
        <v>7.4235710174265099E-2</v>
      </c>
      <c r="Q1445" t="s">
        <v>166</v>
      </c>
    </row>
    <row r="1446" spans="9:17" x14ac:dyDescent="0.45">
      <c r="I1446" t="s">
        <v>211</v>
      </c>
      <c r="J1446" t="s">
        <v>170</v>
      </c>
      <c r="K1446">
        <v>1.8093313757385696E-2</v>
      </c>
      <c r="L1446" t="s">
        <v>166</v>
      </c>
      <c r="N1446" t="s">
        <v>276</v>
      </c>
      <c r="O1446" t="s">
        <v>170</v>
      </c>
      <c r="P1446">
        <v>5.8478850604174815E-3</v>
      </c>
      <c r="Q1446" t="s">
        <v>166</v>
      </c>
    </row>
    <row r="1447" spans="9:17" x14ac:dyDescent="0.45">
      <c r="I1447" t="s">
        <v>211</v>
      </c>
      <c r="J1447" t="s">
        <v>171</v>
      </c>
      <c r="K1447">
        <v>0.10786720594394245</v>
      </c>
      <c r="L1447" t="s">
        <v>166</v>
      </c>
      <c r="N1447" t="s">
        <v>276</v>
      </c>
      <c r="O1447" t="s">
        <v>171</v>
      </c>
      <c r="P1447">
        <v>4.9763081470122171E-2</v>
      </c>
      <c r="Q1447" t="s">
        <v>166</v>
      </c>
    </row>
    <row r="1448" spans="9:17" x14ac:dyDescent="0.45">
      <c r="I1448" t="s">
        <v>211</v>
      </c>
      <c r="J1448" t="s">
        <v>336</v>
      </c>
      <c r="K1448">
        <v>1.347577868258076E-2</v>
      </c>
      <c r="L1448" t="s">
        <v>166</v>
      </c>
      <c r="N1448" t="s">
        <v>276</v>
      </c>
      <c r="O1448" t="s">
        <v>336</v>
      </c>
      <c r="P1448">
        <v>1.0334169877305257E-2</v>
      </c>
      <c r="Q1448" t="s">
        <v>166</v>
      </c>
    </row>
    <row r="1449" spans="9:17" x14ac:dyDescent="0.45">
      <c r="I1449" t="s">
        <v>211</v>
      </c>
      <c r="J1449" t="s">
        <v>337</v>
      </c>
      <c r="K1449">
        <v>9.1673037532050833E-3</v>
      </c>
      <c r="L1449" t="s">
        <v>166</v>
      </c>
      <c r="N1449" t="s">
        <v>276</v>
      </c>
      <c r="O1449" t="s">
        <v>337</v>
      </c>
      <c r="P1449">
        <v>1.0212738906863784E-2</v>
      </c>
      <c r="Q1449" t="s">
        <v>166</v>
      </c>
    </row>
    <row r="1450" spans="9:17" x14ac:dyDescent="0.45">
      <c r="I1450" t="s">
        <v>211</v>
      </c>
      <c r="J1450" t="s">
        <v>338</v>
      </c>
      <c r="K1450">
        <v>2.6695417798820857E-3</v>
      </c>
      <c r="L1450" t="s">
        <v>166</v>
      </c>
      <c r="N1450" t="s">
        <v>276</v>
      </c>
      <c r="O1450" t="s">
        <v>338</v>
      </c>
      <c r="P1450">
        <v>5.1147468341164237E-2</v>
      </c>
      <c r="Q1450" t="s">
        <v>166</v>
      </c>
    </row>
    <row r="1451" spans="9:17" x14ac:dyDescent="0.45">
      <c r="I1451" t="s">
        <v>211</v>
      </c>
      <c r="J1451" t="s">
        <v>172</v>
      </c>
      <c r="K1451">
        <v>2.1702474606221191E-2</v>
      </c>
      <c r="L1451" t="s">
        <v>166</v>
      </c>
      <c r="N1451" t="s">
        <v>276</v>
      </c>
      <c r="O1451" t="s">
        <v>172</v>
      </c>
      <c r="P1451">
        <v>3.9063538070626722E-2</v>
      </c>
      <c r="Q1451" t="s">
        <v>166</v>
      </c>
    </row>
    <row r="1452" spans="9:17" x14ac:dyDescent="0.45">
      <c r="I1452" t="s">
        <v>211</v>
      </c>
      <c r="J1452" t="s">
        <v>173</v>
      </c>
      <c r="K1452">
        <v>8.4583888808722855E-3</v>
      </c>
      <c r="L1452" t="s">
        <v>166</v>
      </c>
      <c r="N1452" t="s">
        <v>276</v>
      </c>
      <c r="O1452" t="s">
        <v>173</v>
      </c>
      <c r="P1452">
        <v>3.1713737739488693E-3</v>
      </c>
      <c r="Q1452" t="s">
        <v>166</v>
      </c>
    </row>
    <row r="1453" spans="9:17" x14ac:dyDescent="0.45">
      <c r="I1453" t="s">
        <v>211</v>
      </c>
      <c r="J1453" t="s">
        <v>174</v>
      </c>
      <c r="K1453">
        <v>5.1262843079791655E-2</v>
      </c>
      <c r="L1453" t="s">
        <v>166</v>
      </c>
      <c r="N1453" t="s">
        <v>276</v>
      </c>
      <c r="O1453" t="s">
        <v>174</v>
      </c>
      <c r="P1453">
        <v>1.4548796153919751E-2</v>
      </c>
      <c r="Q1453" t="s">
        <v>166</v>
      </c>
    </row>
    <row r="1454" spans="9:17" x14ac:dyDescent="0.45">
      <c r="I1454" t="s">
        <v>211</v>
      </c>
      <c r="J1454" t="s">
        <v>339</v>
      </c>
      <c r="K1454">
        <v>6.3988459649028852E-3</v>
      </c>
      <c r="L1454" t="s">
        <v>166</v>
      </c>
      <c r="N1454" t="s">
        <v>276</v>
      </c>
      <c r="O1454" t="s">
        <v>339</v>
      </c>
      <c r="P1454">
        <v>2.3364125111462433E-3</v>
      </c>
      <c r="Q1454" t="s">
        <v>166</v>
      </c>
    </row>
    <row r="1455" spans="9:17" x14ac:dyDescent="0.45">
      <c r="I1455" t="s">
        <v>211</v>
      </c>
      <c r="J1455" t="s">
        <v>340</v>
      </c>
      <c r="K1455">
        <v>4.6823689658630294E-3</v>
      </c>
      <c r="L1455" t="s">
        <v>166</v>
      </c>
      <c r="N1455" t="s">
        <v>276</v>
      </c>
      <c r="O1455" t="s">
        <v>340</v>
      </c>
      <c r="P1455">
        <v>2.5855291271954942E-3</v>
      </c>
      <c r="Q1455" t="s">
        <v>166</v>
      </c>
    </row>
    <row r="1456" spans="9:17" x14ac:dyDescent="0.45">
      <c r="I1456" t="s">
        <v>211</v>
      </c>
      <c r="J1456" t="s">
        <v>341</v>
      </c>
      <c r="K1456">
        <v>2.308109854033989E-3</v>
      </c>
      <c r="L1456" t="s">
        <v>166</v>
      </c>
      <c r="N1456" t="s">
        <v>276</v>
      </c>
      <c r="O1456" t="s">
        <v>341</v>
      </c>
      <c r="P1456">
        <v>2.0496956400642731E-2</v>
      </c>
      <c r="Q1456" t="s">
        <v>166</v>
      </c>
    </row>
    <row r="1457" spans="9:17" x14ac:dyDescent="0.45">
      <c r="I1457" t="s">
        <v>211</v>
      </c>
      <c r="J1457" t="s">
        <v>175</v>
      </c>
      <c r="K1457">
        <v>1.9246954244545988E-2</v>
      </c>
      <c r="L1457" t="s">
        <v>166</v>
      </c>
      <c r="N1457" t="s">
        <v>276</v>
      </c>
      <c r="O1457" t="s">
        <v>175</v>
      </c>
      <c r="P1457">
        <v>4.9916584060695636E-2</v>
      </c>
      <c r="Q1457" t="s">
        <v>166</v>
      </c>
    </row>
    <row r="1458" spans="9:17" x14ac:dyDescent="0.45">
      <c r="I1458" t="s">
        <v>211</v>
      </c>
      <c r="J1458" t="s">
        <v>176</v>
      </c>
      <c r="K1458">
        <v>8.2130769892755709E-3</v>
      </c>
      <c r="L1458" t="s">
        <v>166</v>
      </c>
      <c r="N1458" t="s">
        <v>276</v>
      </c>
      <c r="O1458" t="s">
        <v>176</v>
      </c>
      <c r="P1458">
        <v>4.5103048012825973E-3</v>
      </c>
      <c r="Q1458" t="s">
        <v>166</v>
      </c>
    </row>
    <row r="1459" spans="9:17" x14ac:dyDescent="0.45">
      <c r="I1459" t="s">
        <v>211</v>
      </c>
      <c r="J1459" t="s">
        <v>177</v>
      </c>
      <c r="K1459">
        <v>4.9876347689693977E-2</v>
      </c>
      <c r="L1459" t="s">
        <v>166</v>
      </c>
      <c r="N1459" t="s">
        <v>276</v>
      </c>
      <c r="O1459" t="s">
        <v>177</v>
      </c>
      <c r="P1459">
        <v>1.5454308986630699E-2</v>
      </c>
      <c r="Q1459" t="s">
        <v>166</v>
      </c>
    </row>
    <row r="1460" spans="9:17" x14ac:dyDescent="0.45">
      <c r="I1460" t="s">
        <v>211</v>
      </c>
      <c r="J1460" t="s">
        <v>342</v>
      </c>
      <c r="K1460">
        <v>6.1227724252485901E-3</v>
      </c>
      <c r="L1460" t="s">
        <v>166</v>
      </c>
      <c r="N1460" t="s">
        <v>276</v>
      </c>
      <c r="O1460" t="s">
        <v>342</v>
      </c>
      <c r="P1460">
        <v>2.0673557207104452E-3</v>
      </c>
      <c r="Q1460" t="s">
        <v>166</v>
      </c>
    </row>
    <row r="1461" spans="9:17" x14ac:dyDescent="0.45">
      <c r="I1461" t="s">
        <v>211</v>
      </c>
      <c r="J1461" t="s">
        <v>343</v>
      </c>
      <c r="K1461">
        <v>4.1866408046274369E-3</v>
      </c>
      <c r="L1461" t="s">
        <v>166</v>
      </c>
      <c r="N1461" t="s">
        <v>276</v>
      </c>
      <c r="O1461" t="s">
        <v>343</v>
      </c>
      <c r="P1461">
        <v>2.4572900733121324E-3</v>
      </c>
      <c r="Q1461" t="s">
        <v>166</v>
      </c>
    </row>
    <row r="1462" spans="9:17" x14ac:dyDescent="0.45">
      <c r="I1462" t="s">
        <v>211</v>
      </c>
      <c r="J1462" t="s">
        <v>344</v>
      </c>
      <c r="K1462">
        <v>1.8420171991332464E-3</v>
      </c>
      <c r="L1462" t="s">
        <v>166</v>
      </c>
      <c r="N1462" t="s">
        <v>276</v>
      </c>
      <c r="O1462" t="s">
        <v>344</v>
      </c>
      <c r="P1462">
        <v>2.2060079653761597E-2</v>
      </c>
      <c r="Q1462" t="s">
        <v>166</v>
      </c>
    </row>
    <row r="1463" spans="9:17" x14ac:dyDescent="0.45">
      <c r="I1463" t="s">
        <v>211</v>
      </c>
      <c r="J1463" t="s">
        <v>345</v>
      </c>
      <c r="K1463">
        <v>3.5980193585494182E-2</v>
      </c>
      <c r="L1463" t="s">
        <v>166</v>
      </c>
      <c r="N1463" t="s">
        <v>276</v>
      </c>
      <c r="O1463" t="s">
        <v>345</v>
      </c>
      <c r="P1463">
        <v>9.8004327142356323E-2</v>
      </c>
      <c r="Q1463" t="s">
        <v>166</v>
      </c>
    </row>
    <row r="1464" spans="9:17" x14ac:dyDescent="0.45">
      <c r="I1464" t="s">
        <v>211</v>
      </c>
      <c r="J1464" t="s">
        <v>346</v>
      </c>
      <c r="K1464">
        <v>1.658312036584499E-2</v>
      </c>
      <c r="L1464" t="s">
        <v>166</v>
      </c>
      <c r="N1464" t="s">
        <v>276</v>
      </c>
      <c r="O1464" t="s">
        <v>346</v>
      </c>
      <c r="P1464">
        <v>5.6858243756065562E-3</v>
      </c>
      <c r="Q1464" t="s">
        <v>166</v>
      </c>
    </row>
    <row r="1465" spans="9:17" x14ac:dyDescent="0.45">
      <c r="I1465" t="s">
        <v>211</v>
      </c>
      <c r="J1465" t="s">
        <v>347</v>
      </c>
      <c r="K1465">
        <v>9.7414487607090858E-2</v>
      </c>
      <c r="L1465" t="s">
        <v>166</v>
      </c>
      <c r="N1465" t="s">
        <v>276</v>
      </c>
      <c r="O1465" t="s">
        <v>347</v>
      </c>
      <c r="P1465">
        <v>1.839538218845135E-2</v>
      </c>
      <c r="Q1465" t="s">
        <v>166</v>
      </c>
    </row>
    <row r="1466" spans="9:17" x14ac:dyDescent="0.45">
      <c r="I1466" t="s">
        <v>211</v>
      </c>
      <c r="J1466" t="s">
        <v>348</v>
      </c>
      <c r="K1466">
        <v>1.1812872060317921E-2</v>
      </c>
      <c r="L1466" t="s">
        <v>166</v>
      </c>
      <c r="N1466" t="s">
        <v>276</v>
      </c>
      <c r="O1466" t="s">
        <v>348</v>
      </c>
      <c r="P1466">
        <v>2.6027784488269414E-3</v>
      </c>
      <c r="Q1466" t="s">
        <v>166</v>
      </c>
    </row>
    <row r="1467" spans="9:17" x14ac:dyDescent="0.45">
      <c r="I1467" t="s">
        <v>211</v>
      </c>
      <c r="J1467" t="s">
        <v>349</v>
      </c>
      <c r="K1467">
        <v>7.3051497176406625E-3</v>
      </c>
      <c r="L1467" t="s">
        <v>166</v>
      </c>
      <c r="N1467" t="s">
        <v>276</v>
      </c>
      <c r="O1467" t="s">
        <v>349</v>
      </c>
      <c r="P1467">
        <v>3.6453768709963693E-3</v>
      </c>
      <c r="Q1467" t="s">
        <v>166</v>
      </c>
    </row>
    <row r="1468" spans="9:17" x14ac:dyDescent="0.45">
      <c r="I1468" t="s">
        <v>211</v>
      </c>
      <c r="J1468" t="s">
        <v>350</v>
      </c>
      <c r="K1468">
        <v>1.4888820904014484E-3</v>
      </c>
      <c r="L1468" t="s">
        <v>166</v>
      </c>
      <c r="N1468" t="s">
        <v>276</v>
      </c>
      <c r="O1468" t="s">
        <v>350</v>
      </c>
      <c r="P1468">
        <v>4.4621721787501921E-2</v>
      </c>
      <c r="Q1468" t="s">
        <v>166</v>
      </c>
    </row>
    <row r="1469" spans="9:17" x14ac:dyDescent="0.45">
      <c r="I1469" t="s">
        <v>211</v>
      </c>
      <c r="J1469" t="s">
        <v>351</v>
      </c>
      <c r="K1469">
        <v>1.8104068607285317E-2</v>
      </c>
      <c r="L1469" t="s">
        <v>166</v>
      </c>
      <c r="N1469" t="s">
        <v>276</v>
      </c>
      <c r="O1469" t="s">
        <v>351</v>
      </c>
      <c r="P1469">
        <v>2.416592173658649E-2</v>
      </c>
      <c r="Q1469" t="s">
        <v>166</v>
      </c>
    </row>
    <row r="1470" spans="9:17" x14ac:dyDescent="0.45">
      <c r="I1470" t="s">
        <v>211</v>
      </c>
      <c r="J1470" t="s">
        <v>352</v>
      </c>
      <c r="K1470">
        <v>8.4527472773703056E-3</v>
      </c>
      <c r="L1470" t="s">
        <v>166</v>
      </c>
      <c r="N1470" t="s">
        <v>276</v>
      </c>
      <c r="O1470" t="s">
        <v>352</v>
      </c>
      <c r="P1470">
        <v>2.011317461441529E-3</v>
      </c>
      <c r="Q1470" t="s">
        <v>166</v>
      </c>
    </row>
    <row r="1471" spans="9:17" x14ac:dyDescent="0.45">
      <c r="I1471" t="s">
        <v>211</v>
      </c>
      <c r="J1471" t="s">
        <v>353</v>
      </c>
      <c r="K1471">
        <v>4.7383455851682292E-2</v>
      </c>
      <c r="L1471" t="s">
        <v>166</v>
      </c>
      <c r="N1471" t="s">
        <v>276</v>
      </c>
      <c r="O1471" t="s">
        <v>353</v>
      </c>
      <c r="P1471">
        <v>8.995620322351839E-3</v>
      </c>
      <c r="Q1471" t="s">
        <v>166</v>
      </c>
    </row>
    <row r="1472" spans="9:17" x14ac:dyDescent="0.45">
      <c r="I1472" t="s">
        <v>211</v>
      </c>
      <c r="J1472" t="s">
        <v>354</v>
      </c>
      <c r="K1472">
        <v>4.7771925786183507E-3</v>
      </c>
      <c r="L1472" t="s">
        <v>166</v>
      </c>
      <c r="N1472" t="s">
        <v>276</v>
      </c>
      <c r="O1472" t="s">
        <v>354</v>
      </c>
      <c r="P1472">
        <v>1.3308158933173352E-3</v>
      </c>
      <c r="Q1472" t="s">
        <v>166</v>
      </c>
    </row>
    <row r="1473" spans="9:17" x14ac:dyDescent="0.45">
      <c r="I1473" t="s">
        <v>211</v>
      </c>
      <c r="J1473" t="s">
        <v>355</v>
      </c>
      <c r="K1473">
        <v>7.6053292078612678E-4</v>
      </c>
      <c r="L1473" t="s">
        <v>166</v>
      </c>
      <c r="N1473" t="s">
        <v>276</v>
      </c>
      <c r="O1473" t="s">
        <v>355</v>
      </c>
      <c r="P1473">
        <v>1.692065726944142E-3</v>
      </c>
      <c r="Q1473" t="s">
        <v>166</v>
      </c>
    </row>
    <row r="1474" spans="9:17" x14ac:dyDescent="0.45">
      <c r="I1474" t="s">
        <v>211</v>
      </c>
      <c r="J1474" t="s">
        <v>356</v>
      </c>
      <c r="K1474">
        <v>0</v>
      </c>
      <c r="L1474" t="s">
        <v>166</v>
      </c>
      <c r="N1474" t="s">
        <v>276</v>
      </c>
      <c r="O1474" t="s">
        <v>356</v>
      </c>
      <c r="P1474">
        <v>1.3703466969346554E-2</v>
      </c>
      <c r="Q1474" t="s">
        <v>166</v>
      </c>
    </row>
    <row r="1475" spans="9:17" x14ac:dyDescent="0.45">
      <c r="I1475" t="s">
        <v>211</v>
      </c>
      <c r="J1475" t="s">
        <v>357</v>
      </c>
      <c r="K1475">
        <v>2.3404524290718383E-2</v>
      </c>
      <c r="L1475" t="s">
        <v>166</v>
      </c>
      <c r="N1475" t="s">
        <v>276</v>
      </c>
      <c r="O1475" t="s">
        <v>357</v>
      </c>
      <c r="P1475">
        <v>5.8550632107535867E-2</v>
      </c>
      <c r="Q1475" t="s">
        <v>166</v>
      </c>
    </row>
    <row r="1476" spans="9:17" x14ac:dyDescent="0.45">
      <c r="I1476" t="s">
        <v>211</v>
      </c>
      <c r="J1476" t="s">
        <v>358</v>
      </c>
      <c r="K1476">
        <v>1.5367837850174927E-2</v>
      </c>
      <c r="L1476" t="s">
        <v>166</v>
      </c>
      <c r="N1476" t="s">
        <v>276</v>
      </c>
      <c r="O1476" t="s">
        <v>358</v>
      </c>
      <c r="P1476">
        <v>2.7913021992148771E-3</v>
      </c>
      <c r="Q1476" t="s">
        <v>166</v>
      </c>
    </row>
    <row r="1477" spans="9:17" x14ac:dyDescent="0.45">
      <c r="I1477" t="s">
        <v>211</v>
      </c>
      <c r="J1477" t="s">
        <v>359</v>
      </c>
      <c r="K1477">
        <v>8.5499154955166801E-2</v>
      </c>
      <c r="L1477" t="s">
        <v>166</v>
      </c>
      <c r="N1477" t="s">
        <v>276</v>
      </c>
      <c r="O1477" t="s">
        <v>359</v>
      </c>
      <c r="P1477">
        <v>2.2787464277597334E-2</v>
      </c>
      <c r="Q1477" t="s">
        <v>166</v>
      </c>
    </row>
    <row r="1478" spans="9:17" x14ac:dyDescent="0.45">
      <c r="I1478" t="s">
        <v>211</v>
      </c>
      <c r="J1478" t="s">
        <v>360</v>
      </c>
      <c r="K1478">
        <v>7.5417400113918726E-3</v>
      </c>
      <c r="L1478" t="s">
        <v>166</v>
      </c>
      <c r="N1478" t="s">
        <v>276</v>
      </c>
      <c r="O1478" t="s">
        <v>360</v>
      </c>
      <c r="P1478">
        <v>5.2274748071869893E-3</v>
      </c>
      <c r="Q1478" t="s">
        <v>166</v>
      </c>
    </row>
    <row r="1479" spans="9:17" x14ac:dyDescent="0.45">
      <c r="I1479" t="s">
        <v>211</v>
      </c>
      <c r="J1479" t="s">
        <v>361</v>
      </c>
      <c r="K1479">
        <v>0</v>
      </c>
      <c r="L1479" t="s">
        <v>166</v>
      </c>
      <c r="N1479" t="s">
        <v>276</v>
      </c>
      <c r="O1479" t="s">
        <v>361</v>
      </c>
      <c r="P1479">
        <v>6.7169582543081538E-3</v>
      </c>
      <c r="Q1479" t="s">
        <v>166</v>
      </c>
    </row>
    <row r="1480" spans="9:17" x14ac:dyDescent="0.45">
      <c r="I1480" t="s">
        <v>211</v>
      </c>
      <c r="J1480" t="s">
        <v>362</v>
      </c>
      <c r="K1480">
        <v>0</v>
      </c>
      <c r="L1480" t="s">
        <v>166</v>
      </c>
      <c r="N1480" t="s">
        <v>276</v>
      </c>
      <c r="O1480" t="s">
        <v>362</v>
      </c>
      <c r="P1480">
        <v>4.3477997811684335E-2</v>
      </c>
      <c r="Q1480" t="s">
        <v>166</v>
      </c>
    </row>
    <row r="1481" spans="9:17" x14ac:dyDescent="0.45">
      <c r="I1481" t="s">
        <v>212</v>
      </c>
      <c r="J1481" t="s">
        <v>165</v>
      </c>
      <c r="K1481">
        <v>4.0982343130277175E-2</v>
      </c>
      <c r="L1481" t="s">
        <v>166</v>
      </c>
      <c r="N1481" t="s">
        <v>277</v>
      </c>
      <c r="O1481" t="s">
        <v>165</v>
      </c>
      <c r="P1481">
        <v>0.12624535380365504</v>
      </c>
      <c r="Q1481" t="s">
        <v>166</v>
      </c>
    </row>
    <row r="1482" spans="9:17" x14ac:dyDescent="0.45">
      <c r="I1482" t="s">
        <v>212</v>
      </c>
      <c r="J1482" t="s">
        <v>167</v>
      </c>
      <c r="K1482">
        <v>2.6299629349931398E-2</v>
      </c>
      <c r="L1482" t="s">
        <v>166</v>
      </c>
      <c r="N1482" t="s">
        <v>277</v>
      </c>
      <c r="O1482" t="s">
        <v>167</v>
      </c>
      <c r="P1482">
        <v>7.3658640005027859E-3</v>
      </c>
      <c r="Q1482" t="s">
        <v>166</v>
      </c>
    </row>
    <row r="1483" spans="9:17" x14ac:dyDescent="0.45">
      <c r="I1483" t="s">
        <v>212</v>
      </c>
      <c r="J1483" t="s">
        <v>168</v>
      </c>
      <c r="K1483">
        <v>0.15587578053737572</v>
      </c>
      <c r="L1483" t="s">
        <v>166</v>
      </c>
      <c r="N1483" t="s">
        <v>277</v>
      </c>
      <c r="O1483" t="s">
        <v>168</v>
      </c>
      <c r="P1483">
        <v>4.3555336573682317E-2</v>
      </c>
      <c r="Q1483" t="s">
        <v>166</v>
      </c>
    </row>
    <row r="1484" spans="9:17" x14ac:dyDescent="0.45">
      <c r="I1484" t="s">
        <v>212</v>
      </c>
      <c r="J1484" t="s">
        <v>333</v>
      </c>
      <c r="K1484">
        <v>1.8765540535123842E-2</v>
      </c>
      <c r="L1484" t="s">
        <v>166</v>
      </c>
      <c r="N1484" t="s">
        <v>277</v>
      </c>
      <c r="O1484" t="s">
        <v>333</v>
      </c>
      <c r="P1484">
        <v>7.4261908090350933E-3</v>
      </c>
      <c r="Q1484" t="s">
        <v>166</v>
      </c>
    </row>
    <row r="1485" spans="9:17" x14ac:dyDescent="0.45">
      <c r="I1485" t="s">
        <v>212</v>
      </c>
      <c r="J1485" t="s">
        <v>334</v>
      </c>
      <c r="K1485">
        <v>8.7499340366597282E-3</v>
      </c>
      <c r="L1485" t="s">
        <v>166</v>
      </c>
      <c r="N1485" t="s">
        <v>277</v>
      </c>
      <c r="O1485" t="s">
        <v>334</v>
      </c>
      <c r="P1485">
        <v>8.2310523269878335E-3</v>
      </c>
      <c r="Q1485" t="s">
        <v>166</v>
      </c>
    </row>
    <row r="1486" spans="9:17" x14ac:dyDescent="0.45">
      <c r="I1486" t="s">
        <v>212</v>
      </c>
      <c r="J1486" t="s">
        <v>335</v>
      </c>
      <c r="K1486">
        <v>0</v>
      </c>
      <c r="L1486" t="s">
        <v>166</v>
      </c>
      <c r="N1486" t="s">
        <v>277</v>
      </c>
      <c r="O1486" t="s">
        <v>335</v>
      </c>
      <c r="P1486">
        <v>5.7714146337324468E-2</v>
      </c>
      <c r="Q1486" t="s">
        <v>166</v>
      </c>
    </row>
    <row r="1487" spans="9:17" x14ac:dyDescent="0.45">
      <c r="I1487" t="s">
        <v>212</v>
      </c>
      <c r="J1487" t="s">
        <v>169</v>
      </c>
      <c r="K1487">
        <v>3.7784377922787701E-2</v>
      </c>
      <c r="L1487" t="s">
        <v>166</v>
      </c>
      <c r="N1487" t="s">
        <v>277</v>
      </c>
      <c r="O1487" t="s">
        <v>169</v>
      </c>
      <c r="P1487">
        <v>9.7148798593149052E-2</v>
      </c>
      <c r="Q1487" t="s">
        <v>166</v>
      </c>
    </row>
    <row r="1488" spans="9:17" x14ac:dyDescent="0.45">
      <c r="I1488" t="s">
        <v>212</v>
      </c>
      <c r="J1488" t="s">
        <v>170</v>
      </c>
      <c r="K1488">
        <v>1.7286629461130291E-2</v>
      </c>
      <c r="L1488" t="s">
        <v>166</v>
      </c>
      <c r="N1488" t="s">
        <v>277</v>
      </c>
      <c r="O1488" t="s">
        <v>170</v>
      </c>
      <c r="P1488">
        <v>6.445404355302586E-3</v>
      </c>
      <c r="Q1488" t="s">
        <v>166</v>
      </c>
    </row>
    <row r="1489" spans="9:17" x14ac:dyDescent="0.45">
      <c r="I1489" t="s">
        <v>212</v>
      </c>
      <c r="J1489" t="s">
        <v>171</v>
      </c>
      <c r="K1489">
        <v>0.10427950585283077</v>
      </c>
      <c r="L1489" t="s">
        <v>166</v>
      </c>
      <c r="N1489" t="s">
        <v>277</v>
      </c>
      <c r="O1489" t="s">
        <v>171</v>
      </c>
      <c r="P1489">
        <v>3.6767997811405113E-2</v>
      </c>
      <c r="Q1489" t="s">
        <v>166</v>
      </c>
    </row>
    <row r="1490" spans="9:17" x14ac:dyDescent="0.45">
      <c r="I1490" t="s">
        <v>212</v>
      </c>
      <c r="J1490" t="s">
        <v>336</v>
      </c>
      <c r="K1490">
        <v>1.2544194471842844E-2</v>
      </c>
      <c r="L1490" t="s">
        <v>166</v>
      </c>
      <c r="N1490" t="s">
        <v>277</v>
      </c>
      <c r="O1490" t="s">
        <v>336</v>
      </c>
      <c r="P1490">
        <v>7.112943161108806E-3</v>
      </c>
      <c r="Q1490" t="s">
        <v>166</v>
      </c>
    </row>
    <row r="1491" spans="9:17" x14ac:dyDescent="0.45">
      <c r="I1491" t="s">
        <v>212</v>
      </c>
      <c r="J1491" t="s">
        <v>337</v>
      </c>
      <c r="K1491">
        <v>7.9632275443581747E-3</v>
      </c>
      <c r="L1491" t="s">
        <v>166</v>
      </c>
      <c r="N1491" t="s">
        <v>277</v>
      </c>
      <c r="O1491" t="s">
        <v>337</v>
      </c>
      <c r="P1491">
        <v>7.5909089845291175E-3</v>
      </c>
      <c r="Q1491" t="s">
        <v>166</v>
      </c>
    </row>
    <row r="1492" spans="9:17" x14ac:dyDescent="0.45">
      <c r="I1492" t="s">
        <v>212</v>
      </c>
      <c r="J1492" t="s">
        <v>338</v>
      </c>
      <c r="K1492">
        <v>9.9856600291800893E-4</v>
      </c>
      <c r="L1492" t="s">
        <v>166</v>
      </c>
      <c r="N1492" t="s">
        <v>277</v>
      </c>
      <c r="O1492" t="s">
        <v>338</v>
      </c>
      <c r="P1492">
        <v>5.1387966673045994E-2</v>
      </c>
      <c r="Q1492" t="s">
        <v>166</v>
      </c>
    </row>
    <row r="1493" spans="9:17" x14ac:dyDescent="0.45">
      <c r="I1493" t="s">
        <v>212</v>
      </c>
      <c r="J1493" t="s">
        <v>172</v>
      </c>
      <c r="K1493">
        <v>1.8410620690129709E-2</v>
      </c>
      <c r="L1493" t="s">
        <v>166</v>
      </c>
      <c r="N1493" t="s">
        <v>277</v>
      </c>
      <c r="O1493" t="s">
        <v>172</v>
      </c>
      <c r="P1493">
        <v>5.3413300108603505E-2</v>
      </c>
      <c r="Q1493" t="s">
        <v>166</v>
      </c>
    </row>
    <row r="1494" spans="9:17" x14ac:dyDescent="0.45">
      <c r="I1494" t="s">
        <v>212</v>
      </c>
      <c r="J1494" t="s">
        <v>173</v>
      </c>
      <c r="K1494">
        <v>7.8399005892868714E-3</v>
      </c>
      <c r="L1494" t="s">
        <v>166</v>
      </c>
      <c r="N1494" t="s">
        <v>277</v>
      </c>
      <c r="O1494" t="s">
        <v>173</v>
      </c>
      <c r="P1494">
        <v>4.9395944064306299E-3</v>
      </c>
      <c r="Q1494" t="s">
        <v>166</v>
      </c>
    </row>
    <row r="1495" spans="9:17" x14ac:dyDescent="0.45">
      <c r="I1495" t="s">
        <v>212</v>
      </c>
      <c r="J1495" t="s">
        <v>174</v>
      </c>
      <c r="K1495">
        <v>4.8061045514606285E-2</v>
      </c>
      <c r="L1495" t="s">
        <v>166</v>
      </c>
      <c r="N1495" t="s">
        <v>277</v>
      </c>
      <c r="O1495" t="s">
        <v>174</v>
      </c>
      <c r="P1495">
        <v>1.623811421840804E-2</v>
      </c>
      <c r="Q1495" t="s">
        <v>166</v>
      </c>
    </row>
    <row r="1496" spans="9:17" x14ac:dyDescent="0.45">
      <c r="I1496" t="s">
        <v>212</v>
      </c>
      <c r="J1496" t="s">
        <v>339</v>
      </c>
      <c r="K1496">
        <v>5.6929576678287795E-3</v>
      </c>
      <c r="L1496" t="s">
        <v>166</v>
      </c>
      <c r="N1496" t="s">
        <v>277</v>
      </c>
      <c r="O1496" t="s">
        <v>339</v>
      </c>
      <c r="P1496">
        <v>1.6885182123136176E-3</v>
      </c>
      <c r="Q1496" t="s">
        <v>166</v>
      </c>
    </row>
    <row r="1497" spans="9:17" x14ac:dyDescent="0.45">
      <c r="I1497" t="s">
        <v>212</v>
      </c>
      <c r="J1497" t="s">
        <v>340</v>
      </c>
      <c r="K1497">
        <v>3.9056889374652669E-3</v>
      </c>
      <c r="L1497" t="s">
        <v>166</v>
      </c>
      <c r="N1497" t="s">
        <v>277</v>
      </c>
      <c r="O1497" t="s">
        <v>340</v>
      </c>
      <c r="P1497">
        <v>2.1363690706400124E-3</v>
      </c>
      <c r="Q1497" t="s">
        <v>166</v>
      </c>
    </row>
    <row r="1498" spans="9:17" x14ac:dyDescent="0.45">
      <c r="I1498" t="s">
        <v>212</v>
      </c>
      <c r="J1498" t="s">
        <v>341</v>
      </c>
      <c r="K1498">
        <v>1.5877902155584283E-3</v>
      </c>
      <c r="L1498" t="s">
        <v>166</v>
      </c>
      <c r="N1498" t="s">
        <v>277</v>
      </c>
      <c r="O1498" t="s">
        <v>341</v>
      </c>
      <c r="P1498">
        <v>2.0837716706861967E-2</v>
      </c>
      <c r="Q1498" t="s">
        <v>166</v>
      </c>
    </row>
    <row r="1499" spans="9:17" x14ac:dyDescent="0.45">
      <c r="I1499" t="s">
        <v>212</v>
      </c>
      <c r="J1499" t="s">
        <v>175</v>
      </c>
      <c r="K1499">
        <v>1.667753106822676E-2</v>
      </c>
      <c r="L1499" t="s">
        <v>166</v>
      </c>
      <c r="N1499" t="s">
        <v>277</v>
      </c>
      <c r="O1499" t="s">
        <v>175</v>
      </c>
      <c r="P1499">
        <v>4.1859551243637542E-2</v>
      </c>
      <c r="Q1499" t="s">
        <v>166</v>
      </c>
    </row>
    <row r="1500" spans="9:17" x14ac:dyDescent="0.45">
      <c r="I1500" t="s">
        <v>212</v>
      </c>
      <c r="J1500" t="s">
        <v>176</v>
      </c>
      <c r="K1500">
        <v>7.9107693001502985E-3</v>
      </c>
      <c r="L1500" t="s">
        <v>166</v>
      </c>
      <c r="N1500" t="s">
        <v>277</v>
      </c>
      <c r="O1500" t="s">
        <v>176</v>
      </c>
      <c r="P1500">
        <v>3.8730202732659238E-3</v>
      </c>
      <c r="Q1500" t="s">
        <v>166</v>
      </c>
    </row>
    <row r="1501" spans="9:17" x14ac:dyDescent="0.45">
      <c r="I1501" t="s">
        <v>212</v>
      </c>
      <c r="J1501" t="s">
        <v>177</v>
      </c>
      <c r="K1501">
        <v>4.8661157832511522E-2</v>
      </c>
      <c r="L1501" t="s">
        <v>166</v>
      </c>
      <c r="N1501" t="s">
        <v>277</v>
      </c>
      <c r="O1501" t="s">
        <v>177</v>
      </c>
      <c r="P1501">
        <v>1.5563950195389076E-2</v>
      </c>
      <c r="Q1501" t="s">
        <v>166</v>
      </c>
    </row>
    <row r="1502" spans="9:17" x14ac:dyDescent="0.45">
      <c r="I1502" t="s">
        <v>212</v>
      </c>
      <c r="J1502" t="s">
        <v>342</v>
      </c>
      <c r="K1502">
        <v>5.7198833289125658E-3</v>
      </c>
      <c r="L1502" t="s">
        <v>166</v>
      </c>
      <c r="N1502" t="s">
        <v>277</v>
      </c>
      <c r="O1502" t="s">
        <v>342</v>
      </c>
      <c r="P1502">
        <v>1.7914269529296807E-3</v>
      </c>
      <c r="Q1502" t="s">
        <v>166</v>
      </c>
    </row>
    <row r="1503" spans="9:17" x14ac:dyDescent="0.45">
      <c r="I1503" t="s">
        <v>212</v>
      </c>
      <c r="J1503" t="s">
        <v>343</v>
      </c>
      <c r="K1503">
        <v>3.8765378755563759E-3</v>
      </c>
      <c r="L1503" t="s">
        <v>166</v>
      </c>
      <c r="N1503" t="s">
        <v>277</v>
      </c>
      <c r="O1503" t="s">
        <v>343</v>
      </c>
      <c r="P1503">
        <v>1.8221206137767206E-3</v>
      </c>
      <c r="Q1503" t="s">
        <v>166</v>
      </c>
    </row>
    <row r="1504" spans="9:17" x14ac:dyDescent="0.45">
      <c r="I1504" t="s">
        <v>212</v>
      </c>
      <c r="J1504" t="s">
        <v>344</v>
      </c>
      <c r="K1504">
        <v>1.5211266044906804E-3</v>
      </c>
      <c r="L1504" t="s">
        <v>166</v>
      </c>
      <c r="N1504" t="s">
        <v>277</v>
      </c>
      <c r="O1504" t="s">
        <v>344</v>
      </c>
      <c r="P1504">
        <v>1.4426818281456239E-2</v>
      </c>
      <c r="Q1504" t="s">
        <v>166</v>
      </c>
    </row>
    <row r="1505" spans="9:17" x14ac:dyDescent="0.45">
      <c r="I1505" t="s">
        <v>212</v>
      </c>
      <c r="J1505" t="s">
        <v>345</v>
      </c>
      <c r="K1505">
        <v>3.4219319479114184E-2</v>
      </c>
      <c r="L1505" t="s">
        <v>166</v>
      </c>
      <c r="N1505" t="s">
        <v>277</v>
      </c>
      <c r="O1505" t="s">
        <v>345</v>
      </c>
      <c r="P1505">
        <v>7.7548765532866076E-2</v>
      </c>
      <c r="Q1505" t="s">
        <v>166</v>
      </c>
    </row>
    <row r="1506" spans="9:17" x14ac:dyDescent="0.45">
      <c r="I1506" t="s">
        <v>212</v>
      </c>
      <c r="J1506" t="s">
        <v>346</v>
      </c>
      <c r="K1506">
        <v>1.6431177556058753E-2</v>
      </c>
      <c r="L1506" t="s">
        <v>166</v>
      </c>
      <c r="N1506" t="s">
        <v>277</v>
      </c>
      <c r="O1506" t="s">
        <v>346</v>
      </c>
      <c r="P1506">
        <v>6.9531804090349533E-3</v>
      </c>
      <c r="Q1506" t="s">
        <v>166</v>
      </c>
    </row>
    <row r="1507" spans="9:17" x14ac:dyDescent="0.45">
      <c r="I1507" t="s">
        <v>212</v>
      </c>
      <c r="J1507" t="s">
        <v>347</v>
      </c>
      <c r="K1507">
        <v>9.7951894932347169E-2</v>
      </c>
      <c r="L1507" t="s">
        <v>166</v>
      </c>
      <c r="N1507" t="s">
        <v>277</v>
      </c>
      <c r="O1507" t="s">
        <v>347</v>
      </c>
      <c r="P1507">
        <v>1.9687630529407061E-2</v>
      </c>
      <c r="Q1507" t="s">
        <v>166</v>
      </c>
    </row>
    <row r="1508" spans="9:17" x14ac:dyDescent="0.45">
      <c r="I1508" t="s">
        <v>212</v>
      </c>
      <c r="J1508" t="s">
        <v>348</v>
      </c>
      <c r="K1508">
        <v>1.1493897323281569E-2</v>
      </c>
      <c r="L1508" t="s">
        <v>166</v>
      </c>
      <c r="N1508" t="s">
        <v>277</v>
      </c>
      <c r="O1508" t="s">
        <v>348</v>
      </c>
      <c r="P1508">
        <v>1.2779602024637527E-3</v>
      </c>
      <c r="Q1508" t="s">
        <v>166</v>
      </c>
    </row>
    <row r="1509" spans="9:17" x14ac:dyDescent="0.45">
      <c r="I1509" t="s">
        <v>212</v>
      </c>
      <c r="J1509" t="s">
        <v>349</v>
      </c>
      <c r="K1509">
        <v>6.9148854765128352E-3</v>
      </c>
      <c r="L1509" t="s">
        <v>166</v>
      </c>
      <c r="N1509" t="s">
        <v>277</v>
      </c>
      <c r="O1509" t="s">
        <v>349</v>
      </c>
      <c r="P1509">
        <v>1.7719454924068271E-3</v>
      </c>
      <c r="Q1509" t="s">
        <v>166</v>
      </c>
    </row>
    <row r="1510" spans="9:17" x14ac:dyDescent="0.45">
      <c r="I1510" t="s">
        <v>212</v>
      </c>
      <c r="J1510" t="s">
        <v>350</v>
      </c>
      <c r="K1510">
        <v>7.0535347072480097E-4</v>
      </c>
      <c r="L1510" t="s">
        <v>166</v>
      </c>
      <c r="N1510" t="s">
        <v>277</v>
      </c>
      <c r="O1510" t="s">
        <v>350</v>
      </c>
      <c r="P1510">
        <v>2.2932326074369236E-2</v>
      </c>
      <c r="Q1510" t="s">
        <v>166</v>
      </c>
    </row>
    <row r="1511" spans="9:17" x14ac:dyDescent="0.45">
      <c r="I1511" t="s">
        <v>212</v>
      </c>
      <c r="J1511" t="s">
        <v>351</v>
      </c>
      <c r="K1511">
        <v>1.7752962070521894E-2</v>
      </c>
      <c r="L1511" t="s">
        <v>166</v>
      </c>
      <c r="N1511" t="s">
        <v>277</v>
      </c>
      <c r="O1511" t="s">
        <v>351</v>
      </c>
      <c r="P1511">
        <v>4.904602906013502E-2</v>
      </c>
      <c r="Q1511" t="s">
        <v>166</v>
      </c>
    </row>
    <row r="1512" spans="9:17" x14ac:dyDescent="0.45">
      <c r="I1512" t="s">
        <v>212</v>
      </c>
      <c r="J1512" t="s">
        <v>352</v>
      </c>
      <c r="K1512">
        <v>8.5311234942307742E-3</v>
      </c>
      <c r="L1512" t="s">
        <v>166</v>
      </c>
      <c r="N1512" t="s">
        <v>277</v>
      </c>
      <c r="O1512" t="s">
        <v>352</v>
      </c>
      <c r="P1512">
        <v>5.1642192772164107E-3</v>
      </c>
      <c r="Q1512" t="s">
        <v>166</v>
      </c>
    </row>
    <row r="1513" spans="9:17" x14ac:dyDescent="0.45">
      <c r="I1513" t="s">
        <v>212</v>
      </c>
      <c r="J1513" t="s">
        <v>353</v>
      </c>
      <c r="K1513">
        <v>4.9358523981849936E-2</v>
      </c>
      <c r="L1513" t="s">
        <v>166</v>
      </c>
      <c r="N1513" t="s">
        <v>277</v>
      </c>
      <c r="O1513" t="s">
        <v>353</v>
      </c>
      <c r="P1513">
        <v>1.3206545004383927E-2</v>
      </c>
      <c r="Q1513" t="s">
        <v>166</v>
      </c>
    </row>
    <row r="1514" spans="9:17" x14ac:dyDescent="0.45">
      <c r="I1514" t="s">
        <v>212</v>
      </c>
      <c r="J1514" t="s">
        <v>354</v>
      </c>
      <c r="K1514">
        <v>5.2648712473069674E-3</v>
      </c>
      <c r="L1514" t="s">
        <v>166</v>
      </c>
      <c r="N1514" t="s">
        <v>277</v>
      </c>
      <c r="O1514" t="s">
        <v>354</v>
      </c>
      <c r="P1514">
        <v>1.0273360415117251E-3</v>
      </c>
      <c r="Q1514" t="s">
        <v>166</v>
      </c>
    </row>
    <row r="1515" spans="9:17" x14ac:dyDescent="0.45">
      <c r="I1515" t="s">
        <v>212</v>
      </c>
      <c r="J1515" t="s">
        <v>355</v>
      </c>
      <c r="K1515">
        <v>1.5333254096179907E-3</v>
      </c>
      <c r="L1515" t="s">
        <v>166</v>
      </c>
      <c r="N1515" t="s">
        <v>277</v>
      </c>
      <c r="O1515" t="s">
        <v>355</v>
      </c>
      <c r="P1515">
        <v>1.3960826074446869E-3</v>
      </c>
      <c r="Q1515" t="s">
        <v>166</v>
      </c>
    </row>
    <row r="1516" spans="9:17" x14ac:dyDescent="0.45">
      <c r="I1516" t="s">
        <v>212</v>
      </c>
      <c r="J1516" t="s">
        <v>356</v>
      </c>
      <c r="K1516">
        <v>0</v>
      </c>
      <c r="L1516" t="s">
        <v>166</v>
      </c>
      <c r="N1516" t="s">
        <v>277</v>
      </c>
      <c r="O1516" t="s">
        <v>356</v>
      </c>
      <c r="P1516">
        <v>1.1775521658136227E-2</v>
      </c>
      <c r="Q1516" t="s">
        <v>166</v>
      </c>
    </row>
    <row r="1517" spans="9:17" x14ac:dyDescent="0.45">
      <c r="I1517" t="s">
        <v>212</v>
      </c>
      <c r="J1517" t="s">
        <v>357</v>
      </c>
      <c r="K1517">
        <v>2.7782788125855284E-2</v>
      </c>
      <c r="L1517" t="s">
        <v>166</v>
      </c>
      <c r="N1517" t="s">
        <v>277</v>
      </c>
      <c r="O1517" t="s">
        <v>357</v>
      </c>
      <c r="P1517">
        <v>7.4749408820757215E-2</v>
      </c>
      <c r="Q1517" t="s">
        <v>166</v>
      </c>
    </row>
    <row r="1518" spans="9:17" x14ac:dyDescent="0.45">
      <c r="I1518" t="s">
        <v>212</v>
      </c>
      <c r="J1518" t="s">
        <v>358</v>
      </c>
      <c r="K1518">
        <v>1.6703163275888794E-2</v>
      </c>
      <c r="L1518" t="s">
        <v>166</v>
      </c>
      <c r="N1518" t="s">
        <v>277</v>
      </c>
      <c r="O1518" t="s">
        <v>358</v>
      </c>
      <c r="P1518">
        <v>5.3811940606172289E-3</v>
      </c>
      <c r="Q1518" t="s">
        <v>166</v>
      </c>
    </row>
    <row r="1519" spans="9:17" x14ac:dyDescent="0.45">
      <c r="I1519" t="s">
        <v>212</v>
      </c>
      <c r="J1519" t="s">
        <v>359</v>
      </c>
      <c r="K1519">
        <v>9.5028520402776998E-2</v>
      </c>
      <c r="L1519" t="s">
        <v>166</v>
      </c>
      <c r="N1519" t="s">
        <v>277</v>
      </c>
      <c r="O1519" t="s">
        <v>359</v>
      </c>
      <c r="P1519">
        <v>2.8549969464497348E-2</v>
      </c>
      <c r="Q1519" t="s">
        <v>166</v>
      </c>
    </row>
    <row r="1520" spans="9:17" x14ac:dyDescent="0.45">
      <c r="I1520" t="s">
        <v>212</v>
      </c>
      <c r="J1520" t="s">
        <v>360</v>
      </c>
      <c r="K1520">
        <v>8.9334552839558171E-3</v>
      </c>
      <c r="L1520" t="s">
        <v>166</v>
      </c>
      <c r="N1520" t="s">
        <v>277</v>
      </c>
      <c r="O1520" t="s">
        <v>360</v>
      </c>
      <c r="P1520">
        <v>4.3986730303478888E-3</v>
      </c>
      <c r="Q1520" t="s">
        <v>166</v>
      </c>
    </row>
    <row r="1521" spans="9:17" x14ac:dyDescent="0.45">
      <c r="I1521" t="s">
        <v>212</v>
      </c>
      <c r="J1521" t="s">
        <v>361</v>
      </c>
      <c r="K1521">
        <v>0</v>
      </c>
      <c r="L1521" t="s">
        <v>166</v>
      </c>
      <c r="N1521" t="s">
        <v>277</v>
      </c>
      <c r="O1521" t="s">
        <v>361</v>
      </c>
      <c r="P1521">
        <v>5.1696666991603536E-3</v>
      </c>
      <c r="Q1521" t="s">
        <v>166</v>
      </c>
    </row>
    <row r="1522" spans="9:17" x14ac:dyDescent="0.45">
      <c r="I1522" t="s">
        <v>212</v>
      </c>
      <c r="J1522" t="s">
        <v>362</v>
      </c>
      <c r="K1522">
        <v>0</v>
      </c>
      <c r="L1522" t="s">
        <v>166</v>
      </c>
      <c r="N1522" t="s">
        <v>277</v>
      </c>
      <c r="O1522" t="s">
        <v>362</v>
      </c>
      <c r="P1522">
        <v>3.4381082321804243E-2</v>
      </c>
      <c r="Q1522" t="s">
        <v>166</v>
      </c>
    </row>
    <row r="1523" spans="9:17" x14ac:dyDescent="0.45">
      <c r="I1523" t="s">
        <v>213</v>
      </c>
      <c r="J1523" t="s">
        <v>165</v>
      </c>
      <c r="K1523">
        <v>4.0836448199419235E-2</v>
      </c>
      <c r="L1523" t="s">
        <v>166</v>
      </c>
      <c r="N1523" t="s">
        <v>278</v>
      </c>
      <c r="O1523" t="s">
        <v>165</v>
      </c>
      <c r="P1523">
        <v>0.12352538072690093</v>
      </c>
      <c r="Q1523" t="s">
        <v>166</v>
      </c>
    </row>
    <row r="1524" spans="9:17" x14ac:dyDescent="0.45">
      <c r="I1524" t="s">
        <v>213</v>
      </c>
      <c r="J1524" t="s">
        <v>167</v>
      </c>
      <c r="K1524">
        <v>2.6043874655499972E-2</v>
      </c>
      <c r="L1524" t="s">
        <v>166</v>
      </c>
      <c r="N1524" t="s">
        <v>278</v>
      </c>
      <c r="O1524" t="s">
        <v>167</v>
      </c>
      <c r="P1524">
        <v>8.1298942755395186E-3</v>
      </c>
      <c r="Q1524" t="s">
        <v>166</v>
      </c>
    </row>
    <row r="1525" spans="9:17" x14ac:dyDescent="0.45">
      <c r="I1525" t="s">
        <v>213</v>
      </c>
      <c r="J1525" t="s">
        <v>168</v>
      </c>
      <c r="K1525">
        <v>0.15143129398186581</v>
      </c>
      <c r="L1525" t="s">
        <v>166</v>
      </c>
      <c r="N1525" t="s">
        <v>278</v>
      </c>
      <c r="O1525" t="s">
        <v>168</v>
      </c>
      <c r="P1525">
        <v>4.4931170732034509E-2</v>
      </c>
      <c r="Q1525" t="s">
        <v>166</v>
      </c>
    </row>
    <row r="1526" spans="9:17" x14ac:dyDescent="0.45">
      <c r="I1526" t="s">
        <v>213</v>
      </c>
      <c r="J1526" t="s">
        <v>333</v>
      </c>
      <c r="K1526">
        <v>1.8058162459743975E-2</v>
      </c>
      <c r="L1526" t="s">
        <v>166</v>
      </c>
      <c r="N1526" t="s">
        <v>278</v>
      </c>
      <c r="O1526" t="s">
        <v>333</v>
      </c>
      <c r="P1526">
        <v>7.2915726465768386E-3</v>
      </c>
      <c r="Q1526" t="s">
        <v>166</v>
      </c>
    </row>
    <row r="1527" spans="9:17" x14ac:dyDescent="0.45">
      <c r="I1527" t="s">
        <v>213</v>
      </c>
      <c r="J1527" t="s">
        <v>334</v>
      </c>
      <c r="K1527">
        <v>7.183419254008885E-3</v>
      </c>
      <c r="L1527" t="s">
        <v>166</v>
      </c>
      <c r="N1527" t="s">
        <v>278</v>
      </c>
      <c r="O1527" t="s">
        <v>334</v>
      </c>
      <c r="P1527">
        <v>8.3025136473277306E-3</v>
      </c>
      <c r="Q1527" t="s">
        <v>166</v>
      </c>
    </row>
    <row r="1528" spans="9:17" x14ac:dyDescent="0.45">
      <c r="I1528" t="s">
        <v>213</v>
      </c>
      <c r="J1528" t="s">
        <v>335</v>
      </c>
      <c r="K1528">
        <v>0</v>
      </c>
      <c r="L1528" t="s">
        <v>166</v>
      </c>
      <c r="N1528" t="s">
        <v>278</v>
      </c>
      <c r="O1528" t="s">
        <v>335</v>
      </c>
      <c r="P1528">
        <v>6.1593394897000178E-2</v>
      </c>
      <c r="Q1528" t="s">
        <v>166</v>
      </c>
    </row>
    <row r="1529" spans="9:17" x14ac:dyDescent="0.45">
      <c r="I1529" t="s">
        <v>213</v>
      </c>
      <c r="J1529" t="s">
        <v>169</v>
      </c>
      <c r="K1529">
        <v>4.1723891114887633E-2</v>
      </c>
      <c r="L1529" t="s">
        <v>166</v>
      </c>
      <c r="N1529" t="s">
        <v>278</v>
      </c>
      <c r="O1529" t="s">
        <v>169</v>
      </c>
      <c r="P1529">
        <v>9.0319633013653075E-2</v>
      </c>
      <c r="Q1529" t="s">
        <v>166</v>
      </c>
    </row>
    <row r="1530" spans="9:17" x14ac:dyDescent="0.45">
      <c r="I1530" t="s">
        <v>213</v>
      </c>
      <c r="J1530" t="s">
        <v>170</v>
      </c>
      <c r="K1530">
        <v>1.7748215340363666E-2</v>
      </c>
      <c r="L1530" t="s">
        <v>166</v>
      </c>
      <c r="N1530" t="s">
        <v>278</v>
      </c>
      <c r="O1530" t="s">
        <v>170</v>
      </c>
      <c r="P1530">
        <v>6.9278155126329972E-3</v>
      </c>
      <c r="Q1530" t="s">
        <v>166</v>
      </c>
    </row>
    <row r="1531" spans="9:17" x14ac:dyDescent="0.45">
      <c r="I1531" t="s">
        <v>213</v>
      </c>
      <c r="J1531" t="s">
        <v>171</v>
      </c>
      <c r="K1531">
        <v>0.10589123722707103</v>
      </c>
      <c r="L1531" t="s">
        <v>166</v>
      </c>
      <c r="N1531" t="s">
        <v>278</v>
      </c>
      <c r="O1531" t="s">
        <v>171</v>
      </c>
      <c r="P1531">
        <v>3.3866918611629458E-2</v>
      </c>
      <c r="Q1531" t="s">
        <v>166</v>
      </c>
    </row>
    <row r="1532" spans="9:17" x14ac:dyDescent="0.45">
      <c r="I1532" t="s">
        <v>213</v>
      </c>
      <c r="J1532" t="s">
        <v>336</v>
      </c>
      <c r="K1532">
        <v>1.3071468828729145E-2</v>
      </c>
      <c r="L1532" t="s">
        <v>166</v>
      </c>
      <c r="N1532" t="s">
        <v>278</v>
      </c>
      <c r="O1532" t="s">
        <v>336</v>
      </c>
      <c r="P1532">
        <v>5.6540811595460197E-3</v>
      </c>
      <c r="Q1532" t="s">
        <v>166</v>
      </c>
    </row>
    <row r="1533" spans="9:17" x14ac:dyDescent="0.45">
      <c r="I1533" t="s">
        <v>213</v>
      </c>
      <c r="J1533" t="s">
        <v>337</v>
      </c>
      <c r="K1533">
        <v>8.6488849657793687E-3</v>
      </c>
      <c r="L1533" t="s">
        <v>166</v>
      </c>
      <c r="N1533" t="s">
        <v>278</v>
      </c>
      <c r="O1533" t="s">
        <v>337</v>
      </c>
      <c r="P1533">
        <v>6.5482331729805332E-3</v>
      </c>
      <c r="Q1533" t="s">
        <v>166</v>
      </c>
    </row>
    <row r="1534" spans="9:17" x14ac:dyDescent="0.45">
      <c r="I1534" t="s">
        <v>213</v>
      </c>
      <c r="J1534" t="s">
        <v>338</v>
      </c>
      <c r="K1534">
        <v>1.9754753973388341E-3</v>
      </c>
      <c r="L1534" t="s">
        <v>166</v>
      </c>
      <c r="N1534" t="s">
        <v>278</v>
      </c>
      <c r="O1534" t="s">
        <v>338</v>
      </c>
      <c r="P1534">
        <v>5.1971532321091321E-2</v>
      </c>
      <c r="Q1534" t="s">
        <v>166</v>
      </c>
    </row>
    <row r="1535" spans="9:17" x14ac:dyDescent="0.45">
      <c r="I1535" t="s">
        <v>213</v>
      </c>
      <c r="J1535" t="s">
        <v>172</v>
      </c>
      <c r="K1535">
        <v>2.0973796441815167E-2</v>
      </c>
      <c r="L1535" t="s">
        <v>166</v>
      </c>
      <c r="N1535" t="s">
        <v>278</v>
      </c>
      <c r="O1535" t="s">
        <v>172</v>
      </c>
      <c r="P1535">
        <v>4.3311450633908233E-2</v>
      </c>
      <c r="Q1535" t="s">
        <v>166</v>
      </c>
    </row>
    <row r="1536" spans="9:17" x14ac:dyDescent="0.45">
      <c r="I1536" t="s">
        <v>213</v>
      </c>
      <c r="J1536" t="s">
        <v>173</v>
      </c>
      <c r="K1536">
        <v>8.2739829226226684E-3</v>
      </c>
      <c r="L1536" t="s">
        <v>166</v>
      </c>
      <c r="N1536" t="s">
        <v>278</v>
      </c>
      <c r="O1536" t="s">
        <v>173</v>
      </c>
      <c r="P1536">
        <v>4.3025738937984741E-3</v>
      </c>
      <c r="Q1536" t="s">
        <v>166</v>
      </c>
    </row>
    <row r="1537" spans="9:17" x14ac:dyDescent="0.45">
      <c r="I1537" t="s">
        <v>213</v>
      </c>
      <c r="J1537" t="s">
        <v>174</v>
      </c>
      <c r="K1537">
        <v>4.9898556373247617E-2</v>
      </c>
      <c r="L1537" t="s">
        <v>166</v>
      </c>
      <c r="N1537" t="s">
        <v>278</v>
      </c>
      <c r="O1537" t="s">
        <v>174</v>
      </c>
      <c r="P1537">
        <v>1.9432526523372823E-2</v>
      </c>
      <c r="Q1537" t="s">
        <v>166</v>
      </c>
    </row>
    <row r="1538" spans="9:17" x14ac:dyDescent="0.45">
      <c r="I1538" t="s">
        <v>213</v>
      </c>
      <c r="J1538" t="s">
        <v>339</v>
      </c>
      <c r="K1538">
        <v>6.1668044208837633E-3</v>
      </c>
      <c r="L1538" t="s">
        <v>166</v>
      </c>
      <c r="N1538" t="s">
        <v>278</v>
      </c>
      <c r="O1538" t="s">
        <v>339</v>
      </c>
      <c r="P1538">
        <v>2.3650393085732618E-3</v>
      </c>
      <c r="Q1538" t="s">
        <v>166</v>
      </c>
    </row>
    <row r="1539" spans="9:17" x14ac:dyDescent="0.45">
      <c r="I1539" t="s">
        <v>213</v>
      </c>
      <c r="J1539" t="s">
        <v>340</v>
      </c>
      <c r="K1539">
        <v>4.4309109727330154E-3</v>
      </c>
      <c r="L1539" t="s">
        <v>166</v>
      </c>
      <c r="N1539" t="s">
        <v>278</v>
      </c>
      <c r="O1539" t="s">
        <v>340</v>
      </c>
      <c r="P1539">
        <v>2.5345266598339072E-3</v>
      </c>
      <c r="Q1539" t="s">
        <v>166</v>
      </c>
    </row>
    <row r="1540" spans="9:17" x14ac:dyDescent="0.45">
      <c r="I1540" t="s">
        <v>213</v>
      </c>
      <c r="J1540" t="s">
        <v>341</v>
      </c>
      <c r="K1540">
        <v>2.0082939659103417E-3</v>
      </c>
      <c r="L1540" t="s">
        <v>166</v>
      </c>
      <c r="N1540" t="s">
        <v>278</v>
      </c>
      <c r="O1540" t="s">
        <v>341</v>
      </c>
      <c r="P1540">
        <v>2.1111177367572679E-2</v>
      </c>
      <c r="Q1540" t="s">
        <v>166</v>
      </c>
    </row>
    <row r="1541" spans="9:17" x14ac:dyDescent="0.45">
      <c r="I1541" t="s">
        <v>213</v>
      </c>
      <c r="J1541" t="s">
        <v>175</v>
      </c>
      <c r="K1541">
        <v>1.89871502034781E-2</v>
      </c>
      <c r="L1541" t="s">
        <v>166</v>
      </c>
      <c r="N1541" t="s">
        <v>278</v>
      </c>
      <c r="O1541" t="s">
        <v>175</v>
      </c>
      <c r="P1541">
        <v>4.2174283914357465E-2</v>
      </c>
      <c r="Q1541" t="s">
        <v>166</v>
      </c>
    </row>
    <row r="1542" spans="9:17" x14ac:dyDescent="0.45">
      <c r="I1542" t="s">
        <v>213</v>
      </c>
      <c r="J1542" t="s">
        <v>176</v>
      </c>
      <c r="K1542">
        <v>8.1298848428693303E-3</v>
      </c>
      <c r="L1542" t="s">
        <v>166</v>
      </c>
      <c r="N1542" t="s">
        <v>278</v>
      </c>
      <c r="O1542" t="s">
        <v>176</v>
      </c>
      <c r="P1542">
        <v>3.6685821801058223E-3</v>
      </c>
      <c r="Q1542" t="s">
        <v>166</v>
      </c>
    </row>
    <row r="1543" spans="9:17" x14ac:dyDescent="0.45">
      <c r="I1543" t="s">
        <v>213</v>
      </c>
      <c r="J1543" t="s">
        <v>177</v>
      </c>
      <c r="K1543">
        <v>4.9477484930090743E-2</v>
      </c>
      <c r="L1543" t="s">
        <v>166</v>
      </c>
      <c r="N1543" t="s">
        <v>278</v>
      </c>
      <c r="O1543" t="s">
        <v>177</v>
      </c>
      <c r="P1543">
        <v>1.5772352936325281E-2</v>
      </c>
      <c r="Q1543" t="s">
        <v>166</v>
      </c>
    </row>
    <row r="1544" spans="9:17" x14ac:dyDescent="0.45">
      <c r="I1544" t="s">
        <v>213</v>
      </c>
      <c r="J1544" t="s">
        <v>342</v>
      </c>
      <c r="K1544">
        <v>6.0574878160614565E-3</v>
      </c>
      <c r="L1544" t="s">
        <v>166</v>
      </c>
      <c r="N1544" t="s">
        <v>278</v>
      </c>
      <c r="O1544" t="s">
        <v>342</v>
      </c>
      <c r="P1544">
        <v>2.141591841335212E-3</v>
      </c>
      <c r="Q1544" t="s">
        <v>166</v>
      </c>
    </row>
    <row r="1545" spans="9:17" x14ac:dyDescent="0.45">
      <c r="I1545" t="s">
        <v>213</v>
      </c>
      <c r="J1545" t="s">
        <v>343</v>
      </c>
      <c r="K1545">
        <v>4.149050300537944E-3</v>
      </c>
      <c r="L1545" t="s">
        <v>166</v>
      </c>
      <c r="N1545" t="s">
        <v>278</v>
      </c>
      <c r="O1545" t="s">
        <v>343</v>
      </c>
      <c r="P1545">
        <v>2.1549033942917864E-3</v>
      </c>
      <c r="Q1545" t="s">
        <v>166</v>
      </c>
    </row>
    <row r="1546" spans="9:17" x14ac:dyDescent="0.45">
      <c r="I1546" t="s">
        <v>213</v>
      </c>
      <c r="J1546" t="s">
        <v>344</v>
      </c>
      <c r="K1546">
        <v>1.7026986594246211E-3</v>
      </c>
      <c r="L1546" t="s">
        <v>166</v>
      </c>
      <c r="N1546" t="s">
        <v>278</v>
      </c>
      <c r="O1546" t="s">
        <v>344</v>
      </c>
      <c r="P1546">
        <v>1.4388188178558792E-2</v>
      </c>
      <c r="Q1546" t="s">
        <v>166</v>
      </c>
    </row>
    <row r="1547" spans="9:17" x14ac:dyDescent="0.45">
      <c r="I1547" t="s">
        <v>213</v>
      </c>
      <c r="J1547" t="s">
        <v>345</v>
      </c>
      <c r="K1547">
        <v>3.5836994741120211E-2</v>
      </c>
      <c r="L1547" t="s">
        <v>166</v>
      </c>
      <c r="N1547" t="s">
        <v>278</v>
      </c>
      <c r="O1547" t="s">
        <v>345</v>
      </c>
      <c r="P1547">
        <v>7.6939311905618618E-2</v>
      </c>
      <c r="Q1547" t="s">
        <v>166</v>
      </c>
    </row>
    <row r="1548" spans="9:17" x14ac:dyDescent="0.45">
      <c r="I1548" t="s">
        <v>213</v>
      </c>
      <c r="J1548" t="s">
        <v>346</v>
      </c>
      <c r="K1548">
        <v>1.663484614404296E-2</v>
      </c>
      <c r="L1548" t="s">
        <v>166</v>
      </c>
      <c r="N1548" t="s">
        <v>278</v>
      </c>
      <c r="O1548" t="s">
        <v>346</v>
      </c>
      <c r="P1548">
        <v>5.0057246941486843E-3</v>
      </c>
      <c r="Q1548" t="s">
        <v>166</v>
      </c>
    </row>
    <row r="1549" spans="9:17" x14ac:dyDescent="0.45">
      <c r="I1549" t="s">
        <v>213</v>
      </c>
      <c r="J1549" t="s">
        <v>347</v>
      </c>
      <c r="K1549">
        <v>9.8940490820801821E-2</v>
      </c>
      <c r="L1549" t="s">
        <v>166</v>
      </c>
      <c r="N1549" t="s">
        <v>278</v>
      </c>
      <c r="O1549" t="s">
        <v>347</v>
      </c>
      <c r="P1549">
        <v>1.5940962657681152E-2</v>
      </c>
      <c r="Q1549" t="s">
        <v>166</v>
      </c>
    </row>
    <row r="1550" spans="9:17" x14ac:dyDescent="0.45">
      <c r="I1550" t="s">
        <v>213</v>
      </c>
      <c r="J1550" t="s">
        <v>348</v>
      </c>
      <c r="K1550">
        <v>1.1943067306593445E-2</v>
      </c>
      <c r="L1550" t="s">
        <v>166</v>
      </c>
      <c r="N1550" t="s">
        <v>278</v>
      </c>
      <c r="O1550" t="s">
        <v>348</v>
      </c>
      <c r="P1550">
        <v>1.7818641350817934E-3</v>
      </c>
      <c r="Q1550" t="s">
        <v>166</v>
      </c>
    </row>
    <row r="1551" spans="9:17" x14ac:dyDescent="0.45">
      <c r="I1551" t="s">
        <v>213</v>
      </c>
      <c r="J1551" t="s">
        <v>349</v>
      </c>
      <c r="K1551">
        <v>7.3067202892862521E-3</v>
      </c>
      <c r="L1551" t="s">
        <v>166</v>
      </c>
      <c r="N1551" t="s">
        <v>278</v>
      </c>
      <c r="O1551" t="s">
        <v>349</v>
      </c>
      <c r="P1551">
        <v>2.2682501739321606E-3</v>
      </c>
      <c r="Q1551" t="s">
        <v>166</v>
      </c>
    </row>
    <row r="1552" spans="9:17" x14ac:dyDescent="0.45">
      <c r="I1552" t="s">
        <v>213</v>
      </c>
      <c r="J1552" t="s">
        <v>350</v>
      </c>
      <c r="K1552">
        <v>1.1692863304606088E-3</v>
      </c>
      <c r="L1552" t="s">
        <v>166</v>
      </c>
      <c r="N1552" t="s">
        <v>278</v>
      </c>
      <c r="O1552" t="s">
        <v>350</v>
      </c>
      <c r="P1552">
        <v>2.5271004404141876E-2</v>
      </c>
      <c r="Q1552" t="s">
        <v>166</v>
      </c>
    </row>
    <row r="1553" spans="9:17" x14ac:dyDescent="0.45">
      <c r="I1553" t="s">
        <v>213</v>
      </c>
      <c r="J1553" t="s">
        <v>351</v>
      </c>
      <c r="K1553">
        <v>1.784010058779676E-2</v>
      </c>
      <c r="L1553" t="s">
        <v>166</v>
      </c>
      <c r="N1553" t="s">
        <v>278</v>
      </c>
      <c r="O1553" t="s">
        <v>351</v>
      </c>
      <c r="P1553">
        <v>4.434671005442125E-2</v>
      </c>
      <c r="Q1553" t="s">
        <v>166</v>
      </c>
    </row>
    <row r="1554" spans="9:17" x14ac:dyDescent="0.45">
      <c r="I1554" t="s">
        <v>213</v>
      </c>
      <c r="J1554" t="s">
        <v>352</v>
      </c>
      <c r="K1554">
        <v>8.4348583282127399E-3</v>
      </c>
      <c r="L1554" t="s">
        <v>166</v>
      </c>
      <c r="N1554" t="s">
        <v>278</v>
      </c>
      <c r="O1554" t="s">
        <v>352</v>
      </c>
      <c r="P1554">
        <v>4.125791544176703E-3</v>
      </c>
      <c r="Q1554" t="s">
        <v>166</v>
      </c>
    </row>
    <row r="1555" spans="9:17" x14ac:dyDescent="0.45">
      <c r="I1555" t="s">
        <v>213</v>
      </c>
      <c r="J1555" t="s">
        <v>353</v>
      </c>
      <c r="K1555">
        <v>4.7528560054788935E-2</v>
      </c>
      <c r="L1555" t="s">
        <v>166</v>
      </c>
      <c r="N1555" t="s">
        <v>278</v>
      </c>
      <c r="O1555" t="s">
        <v>353</v>
      </c>
      <c r="P1555">
        <v>1.490546018575825E-2</v>
      </c>
      <c r="Q1555" t="s">
        <v>166</v>
      </c>
    </row>
    <row r="1556" spans="9:17" x14ac:dyDescent="0.45">
      <c r="I1556" t="s">
        <v>213</v>
      </c>
      <c r="J1556" t="s">
        <v>354</v>
      </c>
      <c r="K1556">
        <v>4.880338836615432E-3</v>
      </c>
      <c r="L1556" t="s">
        <v>166</v>
      </c>
      <c r="N1556" t="s">
        <v>278</v>
      </c>
      <c r="O1556" t="s">
        <v>354</v>
      </c>
      <c r="P1556">
        <v>1.8507284527118234E-3</v>
      </c>
      <c r="Q1556" t="s">
        <v>166</v>
      </c>
    </row>
    <row r="1557" spans="9:17" x14ac:dyDescent="0.45">
      <c r="I1557" t="s">
        <v>213</v>
      </c>
      <c r="J1557" t="s">
        <v>355</v>
      </c>
      <c r="K1557">
        <v>7.6655471696541154E-4</v>
      </c>
      <c r="L1557" t="s">
        <v>166</v>
      </c>
      <c r="N1557" t="s">
        <v>278</v>
      </c>
      <c r="O1557" t="s">
        <v>355</v>
      </c>
      <c r="P1557">
        <v>2.2974901324487071E-3</v>
      </c>
      <c r="Q1557" t="s">
        <v>166</v>
      </c>
    </row>
    <row r="1558" spans="9:17" x14ac:dyDescent="0.45">
      <c r="I1558" t="s">
        <v>213</v>
      </c>
      <c r="J1558" t="s">
        <v>356</v>
      </c>
      <c r="K1558">
        <v>0</v>
      </c>
      <c r="L1558" t="s">
        <v>166</v>
      </c>
      <c r="N1558" t="s">
        <v>278</v>
      </c>
      <c r="O1558" t="s">
        <v>356</v>
      </c>
      <c r="P1558">
        <v>1.8237846219852541E-2</v>
      </c>
      <c r="Q1558" t="s">
        <v>166</v>
      </c>
    </row>
    <row r="1559" spans="9:17" x14ac:dyDescent="0.45">
      <c r="I1559" t="s">
        <v>213</v>
      </c>
      <c r="J1559" t="s">
        <v>357</v>
      </c>
      <c r="K1559">
        <v>2.47076328087865E-2</v>
      </c>
      <c r="L1559" t="s">
        <v>166</v>
      </c>
      <c r="N1559" t="s">
        <v>278</v>
      </c>
      <c r="O1559" t="s">
        <v>357</v>
      </c>
      <c r="P1559">
        <v>8.1067325418613098E-2</v>
      </c>
      <c r="Q1559" t="s">
        <v>166</v>
      </c>
    </row>
    <row r="1560" spans="9:17" x14ac:dyDescent="0.45">
      <c r="I1560" t="s">
        <v>213</v>
      </c>
      <c r="J1560" t="s">
        <v>358</v>
      </c>
      <c r="K1560">
        <v>1.5593100137050646E-2</v>
      </c>
      <c r="L1560" t="s">
        <v>166</v>
      </c>
      <c r="N1560" t="s">
        <v>278</v>
      </c>
      <c r="O1560" t="s">
        <v>358</v>
      </c>
      <c r="P1560">
        <v>5.4180443435022175E-3</v>
      </c>
      <c r="Q1560" t="s">
        <v>166</v>
      </c>
    </row>
    <row r="1561" spans="9:17" x14ac:dyDescent="0.45">
      <c r="I1561" t="s">
        <v>213</v>
      </c>
      <c r="J1561" t="s">
        <v>359</v>
      </c>
      <c r="K1561">
        <v>8.7831985368242813E-2</v>
      </c>
      <c r="L1561" t="s">
        <v>166</v>
      </c>
      <c r="N1561" t="s">
        <v>278</v>
      </c>
      <c r="O1561" t="s">
        <v>359</v>
      </c>
      <c r="P1561">
        <v>2.7449999793239775E-2</v>
      </c>
      <c r="Q1561" t="s">
        <v>166</v>
      </c>
    </row>
    <row r="1562" spans="9:17" x14ac:dyDescent="0.45">
      <c r="I1562" t="s">
        <v>213</v>
      </c>
      <c r="J1562" t="s">
        <v>360</v>
      </c>
      <c r="K1562">
        <v>7.7169902548519971E-3</v>
      </c>
      <c r="L1562" t="s">
        <v>166</v>
      </c>
      <c r="N1562" t="s">
        <v>278</v>
      </c>
      <c r="O1562" t="s">
        <v>360</v>
      </c>
      <c r="P1562">
        <v>4.3521428126528042E-3</v>
      </c>
      <c r="Q1562" t="s">
        <v>166</v>
      </c>
    </row>
    <row r="1563" spans="9:17" x14ac:dyDescent="0.45">
      <c r="I1563" t="s">
        <v>213</v>
      </c>
      <c r="J1563" t="s">
        <v>361</v>
      </c>
      <c r="K1563">
        <v>0</v>
      </c>
      <c r="L1563" t="s">
        <v>166</v>
      </c>
      <c r="N1563" t="s">
        <v>278</v>
      </c>
      <c r="O1563" t="s">
        <v>361</v>
      </c>
      <c r="P1563">
        <v>5.6008423561488153E-3</v>
      </c>
      <c r="Q1563" t="s">
        <v>166</v>
      </c>
    </row>
    <row r="1564" spans="9:17" x14ac:dyDescent="0.45">
      <c r="I1564" t="s">
        <v>213</v>
      </c>
      <c r="J1564" t="s">
        <v>362</v>
      </c>
      <c r="K1564">
        <v>0</v>
      </c>
      <c r="L1564" t="s">
        <v>166</v>
      </c>
      <c r="N1564" t="s">
        <v>278</v>
      </c>
      <c r="O1564" t="s">
        <v>362</v>
      </c>
      <c r="P1564">
        <v>4.072116316692196E-2</v>
      </c>
      <c r="Q1564" t="s">
        <v>166</v>
      </c>
    </row>
    <row r="1565" spans="9:17" x14ac:dyDescent="0.45">
      <c r="I1565" t="s">
        <v>214</v>
      </c>
      <c r="J1565" t="s">
        <v>165</v>
      </c>
      <c r="K1565">
        <v>4.0668851062513528E-2</v>
      </c>
      <c r="L1565" t="s">
        <v>166</v>
      </c>
      <c r="N1565" t="s">
        <v>279</v>
      </c>
      <c r="O1565" t="s">
        <v>165</v>
      </c>
      <c r="P1565">
        <v>0.1417164555236794</v>
      </c>
      <c r="Q1565" t="s">
        <v>166</v>
      </c>
    </row>
    <row r="1566" spans="9:17" x14ac:dyDescent="0.45">
      <c r="I1566" t="s">
        <v>214</v>
      </c>
      <c r="J1566" t="s">
        <v>167</v>
      </c>
      <c r="K1566">
        <v>2.6198593829479401E-2</v>
      </c>
      <c r="L1566" t="s">
        <v>166</v>
      </c>
      <c r="N1566" t="s">
        <v>279</v>
      </c>
      <c r="O1566" t="s">
        <v>167</v>
      </c>
      <c r="P1566">
        <v>7.2284912514522784E-3</v>
      </c>
      <c r="Q1566" t="s">
        <v>166</v>
      </c>
    </row>
    <row r="1567" spans="9:17" x14ac:dyDescent="0.45">
      <c r="I1567" t="s">
        <v>214</v>
      </c>
      <c r="J1567" t="s">
        <v>168</v>
      </c>
      <c r="K1567">
        <v>0.15346267076095413</v>
      </c>
      <c r="L1567" t="s">
        <v>166</v>
      </c>
      <c r="N1567" t="s">
        <v>279</v>
      </c>
      <c r="O1567" t="s">
        <v>168</v>
      </c>
      <c r="P1567">
        <v>4.5431268772462903E-2</v>
      </c>
      <c r="Q1567" t="s">
        <v>166</v>
      </c>
    </row>
    <row r="1568" spans="9:17" x14ac:dyDescent="0.45">
      <c r="I1568" t="s">
        <v>214</v>
      </c>
      <c r="J1568" t="s">
        <v>333</v>
      </c>
      <c r="K1568">
        <v>1.8115607807137155E-2</v>
      </c>
      <c r="L1568" t="s">
        <v>166</v>
      </c>
      <c r="N1568" t="s">
        <v>279</v>
      </c>
      <c r="O1568" t="s">
        <v>333</v>
      </c>
      <c r="P1568">
        <v>7.6034795097353041E-3</v>
      </c>
      <c r="Q1568" t="s">
        <v>166</v>
      </c>
    </row>
    <row r="1569" spans="9:17" x14ac:dyDescent="0.45">
      <c r="I1569" t="s">
        <v>214</v>
      </c>
      <c r="J1569" t="s">
        <v>334</v>
      </c>
      <c r="K1569">
        <v>7.3507531739335028E-3</v>
      </c>
      <c r="L1569" t="s">
        <v>166</v>
      </c>
      <c r="N1569" t="s">
        <v>279</v>
      </c>
      <c r="O1569" t="s">
        <v>334</v>
      </c>
      <c r="P1569">
        <v>7.5668346998123128E-3</v>
      </c>
      <c r="Q1569" t="s">
        <v>166</v>
      </c>
    </row>
    <row r="1570" spans="9:17" x14ac:dyDescent="0.45">
      <c r="I1570" t="s">
        <v>214</v>
      </c>
      <c r="J1570" t="s">
        <v>335</v>
      </c>
      <c r="K1570">
        <v>0</v>
      </c>
      <c r="L1570" t="s">
        <v>166</v>
      </c>
      <c r="N1570" t="s">
        <v>279</v>
      </c>
      <c r="O1570" t="s">
        <v>335</v>
      </c>
      <c r="P1570">
        <v>5.4473967773851766E-2</v>
      </c>
      <c r="Q1570" t="s">
        <v>166</v>
      </c>
    </row>
    <row r="1571" spans="9:17" x14ac:dyDescent="0.45">
      <c r="I1571" t="s">
        <v>214</v>
      </c>
      <c r="J1571" t="s">
        <v>169</v>
      </c>
      <c r="K1571">
        <v>3.9832877643901629E-2</v>
      </c>
      <c r="L1571" t="s">
        <v>166</v>
      </c>
      <c r="N1571" t="s">
        <v>279</v>
      </c>
      <c r="O1571" t="s">
        <v>169</v>
      </c>
      <c r="P1571">
        <v>8.4980561137494234E-2</v>
      </c>
      <c r="Q1571" t="s">
        <v>166</v>
      </c>
    </row>
    <row r="1572" spans="9:17" x14ac:dyDescent="0.45">
      <c r="I1572" t="s">
        <v>214</v>
      </c>
      <c r="J1572" t="s">
        <v>170</v>
      </c>
      <c r="K1572">
        <v>1.7523641966867922E-2</v>
      </c>
      <c r="L1572" t="s">
        <v>166</v>
      </c>
      <c r="N1572" t="s">
        <v>279</v>
      </c>
      <c r="O1572" t="s">
        <v>170</v>
      </c>
      <c r="P1572">
        <v>5.2600421673656122E-3</v>
      </c>
      <c r="Q1572" t="s">
        <v>166</v>
      </c>
    </row>
    <row r="1573" spans="9:17" x14ac:dyDescent="0.45">
      <c r="I1573" t="s">
        <v>214</v>
      </c>
      <c r="J1573" t="s">
        <v>171</v>
      </c>
      <c r="K1573">
        <v>0.10515271747973004</v>
      </c>
      <c r="L1573" t="s">
        <v>166</v>
      </c>
      <c r="N1573" t="s">
        <v>279</v>
      </c>
      <c r="O1573" t="s">
        <v>171</v>
      </c>
      <c r="P1573">
        <v>2.9493182120086607E-2</v>
      </c>
      <c r="Q1573" t="s">
        <v>166</v>
      </c>
    </row>
    <row r="1574" spans="9:17" x14ac:dyDescent="0.45">
      <c r="I1574" t="s">
        <v>214</v>
      </c>
      <c r="J1574" t="s">
        <v>336</v>
      </c>
      <c r="K1574">
        <v>1.2644648850221431E-2</v>
      </c>
      <c r="L1574" t="s">
        <v>166</v>
      </c>
      <c r="N1574" t="s">
        <v>279</v>
      </c>
      <c r="O1574" t="s">
        <v>336</v>
      </c>
      <c r="P1574">
        <v>5.3441857733418953E-3</v>
      </c>
      <c r="Q1574" t="s">
        <v>166</v>
      </c>
    </row>
    <row r="1575" spans="9:17" x14ac:dyDescent="0.45">
      <c r="I1575" t="s">
        <v>214</v>
      </c>
      <c r="J1575" t="s">
        <v>337</v>
      </c>
      <c r="K1575">
        <v>8.0224361940408502E-3</v>
      </c>
      <c r="L1575" t="s">
        <v>166</v>
      </c>
      <c r="N1575" t="s">
        <v>279</v>
      </c>
      <c r="O1575" t="s">
        <v>337</v>
      </c>
      <c r="P1575">
        <v>5.3890669683457322E-3</v>
      </c>
      <c r="Q1575" t="s">
        <v>166</v>
      </c>
    </row>
    <row r="1576" spans="9:17" x14ac:dyDescent="0.45">
      <c r="I1576" t="s">
        <v>214</v>
      </c>
      <c r="J1576" t="s">
        <v>338</v>
      </c>
      <c r="K1576">
        <v>1.3333790534811288E-3</v>
      </c>
      <c r="L1576" t="s">
        <v>166</v>
      </c>
      <c r="N1576" t="s">
        <v>279</v>
      </c>
      <c r="O1576" t="s">
        <v>338</v>
      </c>
      <c r="P1576">
        <v>3.6033235524261346E-2</v>
      </c>
      <c r="Q1576" t="s">
        <v>166</v>
      </c>
    </row>
    <row r="1577" spans="9:17" x14ac:dyDescent="0.45">
      <c r="I1577" t="s">
        <v>214</v>
      </c>
      <c r="J1577" t="s">
        <v>172</v>
      </c>
      <c r="K1577">
        <v>1.9954771169808594E-2</v>
      </c>
      <c r="L1577" t="s">
        <v>166</v>
      </c>
      <c r="N1577" t="s">
        <v>279</v>
      </c>
      <c r="O1577" t="s">
        <v>172</v>
      </c>
      <c r="P1577">
        <v>4.6931737226022667E-2</v>
      </c>
      <c r="Q1577" t="s">
        <v>166</v>
      </c>
    </row>
    <row r="1578" spans="9:17" x14ac:dyDescent="0.45">
      <c r="I1578" t="s">
        <v>214</v>
      </c>
      <c r="J1578" t="s">
        <v>173</v>
      </c>
      <c r="K1578">
        <v>8.1098595801386755E-3</v>
      </c>
      <c r="L1578" t="s">
        <v>166</v>
      </c>
      <c r="N1578" t="s">
        <v>279</v>
      </c>
      <c r="O1578" t="s">
        <v>173</v>
      </c>
      <c r="P1578">
        <v>3.0631262079601498E-3</v>
      </c>
      <c r="Q1578" t="s">
        <v>166</v>
      </c>
    </row>
    <row r="1579" spans="9:17" x14ac:dyDescent="0.45">
      <c r="I1579" t="s">
        <v>214</v>
      </c>
      <c r="J1579" t="s">
        <v>174</v>
      </c>
      <c r="K1579">
        <v>4.9329309301589755E-2</v>
      </c>
      <c r="L1579" t="s">
        <v>166</v>
      </c>
      <c r="N1579" t="s">
        <v>279</v>
      </c>
      <c r="O1579" t="s">
        <v>174</v>
      </c>
      <c r="P1579">
        <v>1.6371776952132377E-2</v>
      </c>
      <c r="Q1579" t="s">
        <v>166</v>
      </c>
    </row>
    <row r="1580" spans="9:17" x14ac:dyDescent="0.45">
      <c r="I1580" t="s">
        <v>214</v>
      </c>
      <c r="J1580" t="s">
        <v>339</v>
      </c>
      <c r="K1580">
        <v>6.0204676994122415E-3</v>
      </c>
      <c r="L1580" t="s">
        <v>166</v>
      </c>
      <c r="N1580" t="s">
        <v>279</v>
      </c>
      <c r="O1580" t="s">
        <v>339</v>
      </c>
      <c r="P1580">
        <v>1.8932126050387364E-3</v>
      </c>
      <c r="Q1580" t="s">
        <v>166</v>
      </c>
    </row>
    <row r="1581" spans="9:17" x14ac:dyDescent="0.45">
      <c r="I1581" t="s">
        <v>214</v>
      </c>
      <c r="J1581" t="s">
        <v>340</v>
      </c>
      <c r="K1581">
        <v>4.199173776816602E-3</v>
      </c>
      <c r="L1581" t="s">
        <v>166</v>
      </c>
      <c r="N1581" t="s">
        <v>279</v>
      </c>
      <c r="O1581" t="s">
        <v>340</v>
      </c>
      <c r="P1581">
        <v>1.8971622585379614E-3</v>
      </c>
      <c r="Q1581" t="s">
        <v>166</v>
      </c>
    </row>
    <row r="1582" spans="9:17" x14ac:dyDescent="0.45">
      <c r="I1582" t="s">
        <v>214</v>
      </c>
      <c r="J1582" t="s">
        <v>341</v>
      </c>
      <c r="K1582">
        <v>1.7301352613064609E-3</v>
      </c>
      <c r="L1582" t="s">
        <v>166</v>
      </c>
      <c r="N1582" t="s">
        <v>279</v>
      </c>
      <c r="O1582" t="s">
        <v>341</v>
      </c>
      <c r="P1582">
        <v>1.5697661063926557E-2</v>
      </c>
      <c r="Q1582" t="s">
        <v>166</v>
      </c>
    </row>
    <row r="1583" spans="9:17" x14ac:dyDescent="0.45">
      <c r="I1583" t="s">
        <v>214</v>
      </c>
      <c r="J1583" t="s">
        <v>175</v>
      </c>
      <c r="K1583">
        <v>1.8038237026529555E-2</v>
      </c>
      <c r="L1583" t="s">
        <v>166</v>
      </c>
      <c r="N1583" t="s">
        <v>279</v>
      </c>
      <c r="O1583" t="s">
        <v>175</v>
      </c>
      <c r="P1583">
        <v>4.6339196698714162E-2</v>
      </c>
      <c r="Q1583" t="s">
        <v>166</v>
      </c>
    </row>
    <row r="1584" spans="9:17" x14ac:dyDescent="0.45">
      <c r="I1584" t="s">
        <v>214</v>
      </c>
      <c r="J1584" t="s">
        <v>176</v>
      </c>
      <c r="K1584">
        <v>8.0377562594212103E-3</v>
      </c>
      <c r="L1584" t="s">
        <v>166</v>
      </c>
      <c r="N1584" t="s">
        <v>279</v>
      </c>
      <c r="O1584" t="s">
        <v>176</v>
      </c>
      <c r="P1584">
        <v>3.2797684169355648E-3</v>
      </c>
      <c r="Q1584" t="s">
        <v>166</v>
      </c>
    </row>
    <row r="1585" spans="9:17" x14ac:dyDescent="0.45">
      <c r="I1585" t="s">
        <v>214</v>
      </c>
      <c r="J1585" t="s">
        <v>177</v>
      </c>
      <c r="K1585">
        <v>4.9140171304302462E-2</v>
      </c>
      <c r="L1585" t="s">
        <v>166</v>
      </c>
      <c r="N1585" t="s">
        <v>279</v>
      </c>
      <c r="O1585" t="s">
        <v>177</v>
      </c>
      <c r="P1585">
        <v>1.3806631033725631E-2</v>
      </c>
      <c r="Q1585" t="s">
        <v>166</v>
      </c>
    </row>
    <row r="1586" spans="9:17" x14ac:dyDescent="0.45">
      <c r="I1586" t="s">
        <v>214</v>
      </c>
      <c r="J1586" t="s">
        <v>342</v>
      </c>
      <c r="K1586">
        <v>5.8791471833710392E-3</v>
      </c>
      <c r="L1586" t="s">
        <v>166</v>
      </c>
      <c r="N1586" t="s">
        <v>279</v>
      </c>
      <c r="O1586" t="s">
        <v>342</v>
      </c>
      <c r="P1586">
        <v>1.4419910097705911E-3</v>
      </c>
      <c r="Q1586" t="s">
        <v>166</v>
      </c>
    </row>
    <row r="1587" spans="9:17" x14ac:dyDescent="0.45">
      <c r="I1587" t="s">
        <v>214</v>
      </c>
      <c r="J1587" t="s">
        <v>343</v>
      </c>
      <c r="K1587">
        <v>3.9525968075865697E-3</v>
      </c>
      <c r="L1587" t="s">
        <v>166</v>
      </c>
      <c r="N1587" t="s">
        <v>279</v>
      </c>
      <c r="O1587" t="s">
        <v>343</v>
      </c>
      <c r="P1587">
        <v>1.5228267882397676E-3</v>
      </c>
      <c r="Q1587" t="s">
        <v>166</v>
      </c>
    </row>
    <row r="1588" spans="9:17" x14ac:dyDescent="0.45">
      <c r="I1588" t="s">
        <v>214</v>
      </c>
      <c r="J1588" t="s">
        <v>344</v>
      </c>
      <c r="K1588">
        <v>1.5147418616017416E-3</v>
      </c>
      <c r="L1588" t="s">
        <v>166</v>
      </c>
      <c r="N1588" t="s">
        <v>279</v>
      </c>
      <c r="O1588" t="s">
        <v>344</v>
      </c>
      <c r="P1588">
        <v>1.4966246361853376E-2</v>
      </c>
      <c r="Q1588" t="s">
        <v>166</v>
      </c>
    </row>
    <row r="1589" spans="9:17" x14ac:dyDescent="0.45">
      <c r="I1589" t="s">
        <v>214</v>
      </c>
      <c r="J1589" t="s">
        <v>345</v>
      </c>
      <c r="K1589">
        <v>3.5424667220155553E-2</v>
      </c>
      <c r="L1589" t="s">
        <v>166</v>
      </c>
      <c r="N1589" t="s">
        <v>279</v>
      </c>
      <c r="O1589" t="s">
        <v>345</v>
      </c>
      <c r="P1589">
        <v>9.9695375342159553E-2</v>
      </c>
      <c r="Q1589" t="s">
        <v>166</v>
      </c>
    </row>
    <row r="1590" spans="9:17" x14ac:dyDescent="0.45">
      <c r="I1590" t="s">
        <v>214</v>
      </c>
      <c r="J1590" t="s">
        <v>346</v>
      </c>
      <c r="K1590">
        <v>1.665657003073991E-2</v>
      </c>
      <c r="L1590" t="s">
        <v>166</v>
      </c>
      <c r="N1590" t="s">
        <v>279</v>
      </c>
      <c r="O1590" t="s">
        <v>346</v>
      </c>
      <c r="P1590">
        <v>7.5607671363858093E-3</v>
      </c>
      <c r="Q1590" t="s">
        <v>166</v>
      </c>
    </row>
    <row r="1591" spans="9:17" x14ac:dyDescent="0.45">
      <c r="I1591" t="s">
        <v>214</v>
      </c>
      <c r="J1591" t="s">
        <v>347</v>
      </c>
      <c r="K1591">
        <v>9.9367110293760511E-2</v>
      </c>
      <c r="L1591" t="s">
        <v>166</v>
      </c>
      <c r="N1591" t="s">
        <v>279</v>
      </c>
      <c r="O1591" t="s">
        <v>347</v>
      </c>
      <c r="P1591">
        <v>2.6021016839398916E-2</v>
      </c>
      <c r="Q1591" t="s">
        <v>166</v>
      </c>
    </row>
    <row r="1592" spans="9:17" x14ac:dyDescent="0.45">
      <c r="I1592" t="s">
        <v>214</v>
      </c>
      <c r="J1592" t="s">
        <v>348</v>
      </c>
      <c r="K1592">
        <v>1.1906130985554665E-2</v>
      </c>
      <c r="L1592" t="s">
        <v>166</v>
      </c>
      <c r="N1592" t="s">
        <v>279</v>
      </c>
      <c r="O1592" t="s">
        <v>348</v>
      </c>
      <c r="P1592">
        <v>2.3686654866539626E-3</v>
      </c>
      <c r="Q1592" t="s">
        <v>166</v>
      </c>
    </row>
    <row r="1593" spans="9:17" x14ac:dyDescent="0.45">
      <c r="I1593" t="s">
        <v>214</v>
      </c>
      <c r="J1593" t="s">
        <v>349</v>
      </c>
      <c r="K1593">
        <v>7.1123008246166252E-3</v>
      </c>
      <c r="L1593" t="s">
        <v>166</v>
      </c>
      <c r="N1593" t="s">
        <v>279</v>
      </c>
      <c r="O1593" t="s">
        <v>349</v>
      </c>
      <c r="P1593">
        <v>2.4988511418130208E-3</v>
      </c>
      <c r="Q1593" t="s">
        <v>166</v>
      </c>
    </row>
    <row r="1594" spans="9:17" x14ac:dyDescent="0.45">
      <c r="I1594" t="s">
        <v>214</v>
      </c>
      <c r="J1594" t="s">
        <v>350</v>
      </c>
      <c r="K1594">
        <v>8.7645706447424146E-4</v>
      </c>
      <c r="L1594" t="s">
        <v>166</v>
      </c>
      <c r="N1594" t="s">
        <v>279</v>
      </c>
      <c r="O1594" t="s">
        <v>350</v>
      </c>
      <c r="P1594">
        <v>2.8349886843356997E-2</v>
      </c>
      <c r="Q1594" t="s">
        <v>166</v>
      </c>
    </row>
    <row r="1595" spans="9:17" x14ac:dyDescent="0.45">
      <c r="I1595" t="s">
        <v>214</v>
      </c>
      <c r="J1595" t="s">
        <v>351</v>
      </c>
      <c r="K1595">
        <v>1.8252229367297153E-2</v>
      </c>
      <c r="L1595" t="s">
        <v>166</v>
      </c>
      <c r="N1595" t="s">
        <v>279</v>
      </c>
      <c r="O1595" t="s">
        <v>351</v>
      </c>
      <c r="P1595">
        <v>3.4135734948128771E-2</v>
      </c>
      <c r="Q1595" t="s">
        <v>166</v>
      </c>
    </row>
    <row r="1596" spans="9:17" x14ac:dyDescent="0.45">
      <c r="I1596" t="s">
        <v>214</v>
      </c>
      <c r="J1596" t="s">
        <v>352</v>
      </c>
      <c r="K1596">
        <v>8.5056504277948169E-3</v>
      </c>
      <c r="L1596" t="s">
        <v>166</v>
      </c>
      <c r="N1596" t="s">
        <v>279</v>
      </c>
      <c r="O1596" t="s">
        <v>352</v>
      </c>
      <c r="P1596">
        <v>1.3953342070943105E-3</v>
      </c>
      <c r="Q1596" t="s">
        <v>166</v>
      </c>
    </row>
    <row r="1597" spans="9:17" x14ac:dyDescent="0.45">
      <c r="I1597" t="s">
        <v>214</v>
      </c>
      <c r="J1597" t="s">
        <v>353</v>
      </c>
      <c r="K1597">
        <v>4.8180892985994921E-2</v>
      </c>
      <c r="L1597" t="s">
        <v>166</v>
      </c>
      <c r="N1597" t="s">
        <v>279</v>
      </c>
      <c r="O1597" t="s">
        <v>353</v>
      </c>
      <c r="P1597">
        <v>7.9764571447175012E-3</v>
      </c>
      <c r="Q1597" t="s">
        <v>166</v>
      </c>
    </row>
    <row r="1598" spans="9:17" x14ac:dyDescent="0.45">
      <c r="I1598" t="s">
        <v>214</v>
      </c>
      <c r="J1598" t="s">
        <v>354</v>
      </c>
      <c r="K1598">
        <v>5.061229251937316E-3</v>
      </c>
      <c r="L1598" t="s">
        <v>166</v>
      </c>
      <c r="N1598" t="s">
        <v>279</v>
      </c>
      <c r="O1598" t="s">
        <v>354</v>
      </c>
      <c r="P1598">
        <v>1.0488838693812142E-3</v>
      </c>
      <c r="Q1598" t="s">
        <v>166</v>
      </c>
    </row>
    <row r="1599" spans="9:17" x14ac:dyDescent="0.45">
      <c r="I1599" t="s">
        <v>214</v>
      </c>
      <c r="J1599" t="s">
        <v>355</v>
      </c>
      <c r="K1599">
        <v>9.7262788479305837E-4</v>
      </c>
      <c r="L1599" t="s">
        <v>166</v>
      </c>
      <c r="N1599" t="s">
        <v>279</v>
      </c>
      <c r="O1599" t="s">
        <v>355</v>
      </c>
      <c r="P1599">
        <v>1.130781004799354E-3</v>
      </c>
      <c r="Q1599" t="s">
        <v>166</v>
      </c>
    </row>
    <row r="1600" spans="9:17" x14ac:dyDescent="0.45">
      <c r="I1600" t="s">
        <v>214</v>
      </c>
      <c r="J1600" t="s">
        <v>356</v>
      </c>
      <c r="K1600">
        <v>0</v>
      </c>
      <c r="L1600" t="s">
        <v>166</v>
      </c>
      <c r="N1600" t="s">
        <v>279</v>
      </c>
      <c r="O1600" t="s">
        <v>356</v>
      </c>
      <c r="P1600">
        <v>1.0244451970860172E-2</v>
      </c>
      <c r="Q1600" t="s">
        <v>166</v>
      </c>
    </row>
    <row r="1601" spans="9:17" x14ac:dyDescent="0.45">
      <c r="I1601" t="s">
        <v>214</v>
      </c>
      <c r="J1601" t="s">
        <v>357</v>
      </c>
      <c r="K1601">
        <v>2.6697805213735545E-2</v>
      </c>
      <c r="L1601" t="s">
        <v>166</v>
      </c>
      <c r="N1601" t="s">
        <v>279</v>
      </c>
      <c r="O1601" t="s">
        <v>357</v>
      </c>
      <c r="P1601">
        <v>9.5176295886718956E-2</v>
      </c>
      <c r="Q1601" t="s">
        <v>166</v>
      </c>
    </row>
    <row r="1602" spans="9:17" x14ac:dyDescent="0.45">
      <c r="I1602" t="s">
        <v>214</v>
      </c>
      <c r="J1602" t="s">
        <v>358</v>
      </c>
      <c r="K1602">
        <v>1.6190363305964219E-2</v>
      </c>
      <c r="L1602" t="s">
        <v>166</v>
      </c>
      <c r="N1602" t="s">
        <v>279</v>
      </c>
      <c r="O1602" t="s">
        <v>358</v>
      </c>
      <c r="P1602">
        <v>4.9356779602540007E-3</v>
      </c>
      <c r="Q1602" t="s">
        <v>166</v>
      </c>
    </row>
    <row r="1603" spans="9:17" x14ac:dyDescent="0.45">
      <c r="I1603" t="s">
        <v>214</v>
      </c>
      <c r="J1603" t="s">
        <v>359</v>
      </c>
      <c r="K1603">
        <v>9.0544516934129848E-2</v>
      </c>
      <c r="L1603" t="s">
        <v>166</v>
      </c>
      <c r="N1603" t="s">
        <v>279</v>
      </c>
      <c r="O1603" t="s">
        <v>359</v>
      </c>
      <c r="P1603">
        <v>2.6533478492860814E-2</v>
      </c>
      <c r="Q1603" t="s">
        <v>166</v>
      </c>
    </row>
    <row r="1604" spans="9:17" x14ac:dyDescent="0.45">
      <c r="I1604" t="s">
        <v>214</v>
      </c>
      <c r="J1604" t="s">
        <v>360</v>
      </c>
      <c r="K1604">
        <v>8.0389031549077134E-3</v>
      </c>
      <c r="L1604" t="s">
        <v>166</v>
      </c>
      <c r="N1604" t="s">
        <v>279</v>
      </c>
      <c r="O1604" t="s">
        <v>360</v>
      </c>
      <c r="P1604">
        <v>4.4114384265278748E-3</v>
      </c>
      <c r="Q1604" t="s">
        <v>166</v>
      </c>
    </row>
    <row r="1605" spans="9:17" x14ac:dyDescent="0.45">
      <c r="I1605" t="s">
        <v>214</v>
      </c>
      <c r="J1605" t="s">
        <v>361</v>
      </c>
      <c r="K1605">
        <v>0</v>
      </c>
      <c r="L1605" t="s">
        <v>166</v>
      </c>
      <c r="N1605" t="s">
        <v>279</v>
      </c>
      <c r="O1605" t="s">
        <v>361</v>
      </c>
      <c r="P1605">
        <v>5.4011085382865229E-3</v>
      </c>
      <c r="Q1605" t="s">
        <v>166</v>
      </c>
    </row>
    <row r="1606" spans="9:17" x14ac:dyDescent="0.45">
      <c r="I1606" t="s">
        <v>214</v>
      </c>
      <c r="J1606" t="s">
        <v>362</v>
      </c>
      <c r="K1606">
        <v>0</v>
      </c>
      <c r="L1606" t="s">
        <v>166</v>
      </c>
      <c r="N1606" t="s">
        <v>279</v>
      </c>
      <c r="O1606" t="s">
        <v>362</v>
      </c>
      <c r="P1606">
        <v>4.3383686915855334E-2</v>
      </c>
      <c r="Q1606" t="s">
        <v>166</v>
      </c>
    </row>
    <row r="1607" spans="9:17" x14ac:dyDescent="0.45">
      <c r="I1607" t="s">
        <v>215</v>
      </c>
      <c r="J1607" t="s">
        <v>165</v>
      </c>
      <c r="K1607">
        <v>3.8165933459585036E-2</v>
      </c>
      <c r="L1607" t="s">
        <v>166</v>
      </c>
      <c r="N1607" t="s">
        <v>280</v>
      </c>
      <c r="O1607" t="s">
        <v>165</v>
      </c>
      <c r="P1607">
        <v>0.14193783771554405</v>
      </c>
      <c r="Q1607" t="s">
        <v>166</v>
      </c>
    </row>
    <row r="1608" spans="9:17" x14ac:dyDescent="0.45">
      <c r="I1608" t="s">
        <v>215</v>
      </c>
      <c r="J1608" t="s">
        <v>167</v>
      </c>
      <c r="K1608">
        <v>2.5917759445195483E-2</v>
      </c>
      <c r="L1608" t="s">
        <v>166</v>
      </c>
      <c r="N1608" t="s">
        <v>280</v>
      </c>
      <c r="O1608" t="s">
        <v>167</v>
      </c>
      <c r="P1608">
        <v>7.0167597439239329E-3</v>
      </c>
      <c r="Q1608" t="s">
        <v>166</v>
      </c>
    </row>
    <row r="1609" spans="9:17" x14ac:dyDescent="0.45">
      <c r="I1609" t="s">
        <v>215</v>
      </c>
      <c r="J1609" t="s">
        <v>168</v>
      </c>
      <c r="K1609">
        <v>0.15380436159452654</v>
      </c>
      <c r="L1609" t="s">
        <v>166</v>
      </c>
      <c r="N1609" t="s">
        <v>280</v>
      </c>
      <c r="O1609" t="s">
        <v>168</v>
      </c>
      <c r="P1609">
        <v>4.2879383519457172E-2</v>
      </c>
      <c r="Q1609" t="s">
        <v>166</v>
      </c>
    </row>
    <row r="1610" spans="9:17" x14ac:dyDescent="0.45">
      <c r="I1610" t="s">
        <v>215</v>
      </c>
      <c r="J1610" t="s">
        <v>333</v>
      </c>
      <c r="K1610">
        <v>1.9281070582859512E-2</v>
      </c>
      <c r="L1610" t="s">
        <v>166</v>
      </c>
      <c r="N1610" t="s">
        <v>280</v>
      </c>
      <c r="O1610" t="s">
        <v>333</v>
      </c>
      <c r="P1610">
        <v>7.5278744866779657E-3</v>
      </c>
      <c r="Q1610" t="s">
        <v>166</v>
      </c>
    </row>
    <row r="1611" spans="9:17" x14ac:dyDescent="0.45">
      <c r="I1611" t="s">
        <v>215</v>
      </c>
      <c r="J1611" t="s">
        <v>334</v>
      </c>
      <c r="K1611">
        <v>9.5254336927333878E-3</v>
      </c>
      <c r="L1611" t="s">
        <v>166</v>
      </c>
      <c r="N1611" t="s">
        <v>280</v>
      </c>
      <c r="O1611" t="s">
        <v>334</v>
      </c>
      <c r="P1611">
        <v>8.0105643278460675E-3</v>
      </c>
      <c r="Q1611" t="s">
        <v>166</v>
      </c>
    </row>
    <row r="1612" spans="9:17" x14ac:dyDescent="0.45">
      <c r="I1612" t="s">
        <v>215</v>
      </c>
      <c r="J1612" t="s">
        <v>335</v>
      </c>
      <c r="K1612">
        <v>0</v>
      </c>
      <c r="L1612" t="s">
        <v>166</v>
      </c>
      <c r="N1612" t="s">
        <v>280</v>
      </c>
      <c r="O1612" t="s">
        <v>335</v>
      </c>
      <c r="P1612">
        <v>6.0232662211760643E-2</v>
      </c>
      <c r="Q1612" t="s">
        <v>166</v>
      </c>
    </row>
    <row r="1613" spans="9:17" x14ac:dyDescent="0.45">
      <c r="I1613" t="s">
        <v>215</v>
      </c>
      <c r="J1613" t="s">
        <v>169</v>
      </c>
      <c r="K1613">
        <v>3.8581684858268891E-2</v>
      </c>
      <c r="L1613" t="s">
        <v>166</v>
      </c>
      <c r="N1613" t="s">
        <v>280</v>
      </c>
      <c r="O1613" t="s">
        <v>169</v>
      </c>
      <c r="P1613">
        <v>9.3968891800272666E-2</v>
      </c>
      <c r="Q1613" t="s">
        <v>166</v>
      </c>
    </row>
    <row r="1614" spans="9:17" x14ac:dyDescent="0.45">
      <c r="I1614" t="s">
        <v>215</v>
      </c>
      <c r="J1614" t="s">
        <v>170</v>
      </c>
      <c r="K1614">
        <v>1.7588532788392307E-2</v>
      </c>
      <c r="L1614" t="s">
        <v>166</v>
      </c>
      <c r="N1614" t="s">
        <v>280</v>
      </c>
      <c r="O1614" t="s">
        <v>170</v>
      </c>
      <c r="P1614">
        <v>5.4852158644242343E-3</v>
      </c>
      <c r="Q1614" t="s">
        <v>166</v>
      </c>
    </row>
    <row r="1615" spans="9:17" x14ac:dyDescent="0.45">
      <c r="I1615" t="s">
        <v>215</v>
      </c>
      <c r="J1615" t="s">
        <v>171</v>
      </c>
      <c r="K1615">
        <v>0.10694034883727668</v>
      </c>
      <c r="L1615" t="s">
        <v>166</v>
      </c>
      <c r="N1615" t="s">
        <v>280</v>
      </c>
      <c r="O1615" t="s">
        <v>171</v>
      </c>
      <c r="P1615">
        <v>3.2566032005934713E-2</v>
      </c>
      <c r="Q1615" t="s">
        <v>166</v>
      </c>
    </row>
    <row r="1616" spans="9:17" x14ac:dyDescent="0.45">
      <c r="I1616" t="s">
        <v>215</v>
      </c>
      <c r="J1616" t="s">
        <v>336</v>
      </c>
      <c r="K1616">
        <v>1.3481001271994288E-2</v>
      </c>
      <c r="L1616" t="s">
        <v>166</v>
      </c>
      <c r="N1616" t="s">
        <v>280</v>
      </c>
      <c r="O1616" t="s">
        <v>336</v>
      </c>
      <c r="P1616">
        <v>6.7034444608308017E-3</v>
      </c>
      <c r="Q1616" t="s">
        <v>166</v>
      </c>
    </row>
    <row r="1617" spans="9:17" x14ac:dyDescent="0.45">
      <c r="I1617" t="s">
        <v>215</v>
      </c>
      <c r="J1617" t="s">
        <v>337</v>
      </c>
      <c r="K1617">
        <v>9.3348626176772091E-3</v>
      </c>
      <c r="L1617" t="s">
        <v>166</v>
      </c>
      <c r="N1617" t="s">
        <v>280</v>
      </c>
      <c r="O1617" t="s">
        <v>337</v>
      </c>
      <c r="P1617">
        <v>6.9849255022352182E-3</v>
      </c>
      <c r="Q1617" t="s">
        <v>166</v>
      </c>
    </row>
    <row r="1618" spans="9:17" x14ac:dyDescent="0.45">
      <c r="I1618" t="s">
        <v>215</v>
      </c>
      <c r="J1618" t="s">
        <v>338</v>
      </c>
      <c r="K1618">
        <v>3.1848005151673252E-3</v>
      </c>
      <c r="L1618" t="s">
        <v>166</v>
      </c>
      <c r="N1618" t="s">
        <v>280</v>
      </c>
      <c r="O1618" t="s">
        <v>338</v>
      </c>
      <c r="P1618">
        <v>4.7544408797576855E-2</v>
      </c>
      <c r="Q1618" t="s">
        <v>166</v>
      </c>
    </row>
    <row r="1619" spans="9:17" x14ac:dyDescent="0.45">
      <c r="I1619" t="s">
        <v>215</v>
      </c>
      <c r="J1619" t="s">
        <v>172</v>
      </c>
      <c r="K1619">
        <v>1.9064000298553201E-2</v>
      </c>
      <c r="L1619" t="s">
        <v>166</v>
      </c>
      <c r="N1619" t="s">
        <v>280</v>
      </c>
      <c r="O1619" t="s">
        <v>172</v>
      </c>
      <c r="P1619">
        <v>4.5884570112939886E-2</v>
      </c>
      <c r="Q1619" t="s">
        <v>166</v>
      </c>
    </row>
    <row r="1620" spans="9:17" x14ac:dyDescent="0.45">
      <c r="I1620" t="s">
        <v>215</v>
      </c>
      <c r="J1620" t="s">
        <v>173</v>
      </c>
      <c r="K1620">
        <v>8.040937522071431E-3</v>
      </c>
      <c r="L1620" t="s">
        <v>166</v>
      </c>
      <c r="N1620" t="s">
        <v>280</v>
      </c>
      <c r="O1620" t="s">
        <v>173</v>
      </c>
      <c r="P1620">
        <v>3.3998313358346121E-3</v>
      </c>
      <c r="Q1620" t="s">
        <v>166</v>
      </c>
    </row>
    <row r="1621" spans="9:17" x14ac:dyDescent="0.45">
      <c r="I1621" t="s">
        <v>215</v>
      </c>
      <c r="J1621" t="s">
        <v>174</v>
      </c>
      <c r="K1621">
        <v>4.9525698710719102E-2</v>
      </c>
      <c r="L1621" t="s">
        <v>166</v>
      </c>
      <c r="N1621" t="s">
        <v>280</v>
      </c>
      <c r="O1621" t="s">
        <v>174</v>
      </c>
      <c r="P1621">
        <v>1.6489863439765336E-2</v>
      </c>
      <c r="Q1621" t="s">
        <v>166</v>
      </c>
    </row>
    <row r="1622" spans="9:17" x14ac:dyDescent="0.45">
      <c r="I1622" t="s">
        <v>215</v>
      </c>
      <c r="J1622" t="s">
        <v>339</v>
      </c>
      <c r="K1622">
        <v>6.1234060777303487E-3</v>
      </c>
      <c r="L1622" t="s">
        <v>166</v>
      </c>
      <c r="N1622" t="s">
        <v>280</v>
      </c>
      <c r="O1622" t="s">
        <v>339</v>
      </c>
      <c r="P1622">
        <v>1.8399776765825996E-3</v>
      </c>
      <c r="Q1622" t="s">
        <v>166</v>
      </c>
    </row>
    <row r="1623" spans="9:17" x14ac:dyDescent="0.45">
      <c r="I1623" t="s">
        <v>215</v>
      </c>
      <c r="J1623" t="s">
        <v>340</v>
      </c>
      <c r="K1623">
        <v>4.5096116773078038E-3</v>
      </c>
      <c r="L1623" t="s">
        <v>166</v>
      </c>
      <c r="N1623" t="s">
        <v>280</v>
      </c>
      <c r="O1623" t="s">
        <v>340</v>
      </c>
      <c r="P1623">
        <v>1.9984616713506708E-3</v>
      </c>
      <c r="Q1623" t="s">
        <v>166</v>
      </c>
    </row>
    <row r="1624" spans="9:17" x14ac:dyDescent="0.45">
      <c r="I1624" t="s">
        <v>215</v>
      </c>
      <c r="J1624" t="s">
        <v>341</v>
      </c>
      <c r="K1624">
        <v>2.1357821346204373E-3</v>
      </c>
      <c r="L1624" t="s">
        <v>166</v>
      </c>
      <c r="N1624" t="s">
        <v>280</v>
      </c>
      <c r="O1624" t="s">
        <v>341</v>
      </c>
      <c r="P1624">
        <v>1.8644399884133103E-2</v>
      </c>
      <c r="Q1624" t="s">
        <v>166</v>
      </c>
    </row>
    <row r="1625" spans="9:17" x14ac:dyDescent="0.45">
      <c r="I1625" t="s">
        <v>215</v>
      </c>
      <c r="J1625" t="s">
        <v>175</v>
      </c>
      <c r="K1625">
        <v>1.6382886171712057E-2</v>
      </c>
      <c r="L1625" t="s">
        <v>166</v>
      </c>
      <c r="N1625" t="s">
        <v>280</v>
      </c>
      <c r="O1625" t="s">
        <v>175</v>
      </c>
      <c r="P1625">
        <v>4.7269950106014542E-2</v>
      </c>
      <c r="Q1625" t="s">
        <v>166</v>
      </c>
    </row>
    <row r="1626" spans="9:17" x14ac:dyDescent="0.45">
      <c r="I1626" t="s">
        <v>215</v>
      </c>
      <c r="J1626" t="s">
        <v>176</v>
      </c>
      <c r="K1626">
        <v>7.9293612921642539E-3</v>
      </c>
      <c r="L1626" t="s">
        <v>166</v>
      </c>
      <c r="N1626" t="s">
        <v>280</v>
      </c>
      <c r="O1626" t="s">
        <v>176</v>
      </c>
      <c r="P1626">
        <v>3.5685982036380332E-3</v>
      </c>
      <c r="Q1626" t="s">
        <v>166</v>
      </c>
    </row>
    <row r="1627" spans="9:17" x14ac:dyDescent="0.45">
      <c r="I1627" t="s">
        <v>215</v>
      </c>
      <c r="J1627" t="s">
        <v>177</v>
      </c>
      <c r="K1627">
        <v>4.9197079553678698E-2</v>
      </c>
      <c r="L1627" t="s">
        <v>166</v>
      </c>
      <c r="N1627" t="s">
        <v>280</v>
      </c>
      <c r="O1627" t="s">
        <v>177</v>
      </c>
      <c r="P1627">
        <v>1.3660342680034684E-2</v>
      </c>
      <c r="Q1627" t="s">
        <v>166</v>
      </c>
    </row>
    <row r="1628" spans="9:17" x14ac:dyDescent="0.45">
      <c r="I1628" t="s">
        <v>215</v>
      </c>
      <c r="J1628" t="s">
        <v>342</v>
      </c>
      <c r="K1628">
        <v>5.9740068576289787E-3</v>
      </c>
      <c r="L1628" t="s">
        <v>166</v>
      </c>
      <c r="N1628" t="s">
        <v>280</v>
      </c>
      <c r="O1628" t="s">
        <v>342</v>
      </c>
      <c r="P1628">
        <v>1.401277208483108E-3</v>
      </c>
      <c r="Q1628" t="s">
        <v>166</v>
      </c>
    </row>
    <row r="1629" spans="9:17" x14ac:dyDescent="0.45">
      <c r="I1629" t="s">
        <v>215</v>
      </c>
      <c r="J1629" t="s">
        <v>343</v>
      </c>
      <c r="K1629">
        <v>4.2572746577995649E-3</v>
      </c>
      <c r="L1629" t="s">
        <v>166</v>
      </c>
      <c r="N1629" t="s">
        <v>280</v>
      </c>
      <c r="O1629" t="s">
        <v>343</v>
      </c>
      <c r="P1629">
        <v>1.5223761488040797E-3</v>
      </c>
      <c r="Q1629" t="s">
        <v>166</v>
      </c>
    </row>
    <row r="1630" spans="9:17" x14ac:dyDescent="0.45">
      <c r="I1630" t="s">
        <v>215</v>
      </c>
      <c r="J1630" t="s">
        <v>344</v>
      </c>
      <c r="K1630">
        <v>1.8570757713189693E-3</v>
      </c>
      <c r="L1630" t="s">
        <v>166</v>
      </c>
      <c r="N1630" t="s">
        <v>280</v>
      </c>
      <c r="O1630" t="s">
        <v>344</v>
      </c>
      <c r="P1630">
        <v>1.4269989675637749E-2</v>
      </c>
      <c r="Q1630" t="s">
        <v>166</v>
      </c>
    </row>
    <row r="1631" spans="9:17" x14ac:dyDescent="0.45">
      <c r="I1631" t="s">
        <v>215</v>
      </c>
      <c r="J1631" t="s">
        <v>345</v>
      </c>
      <c r="K1631">
        <v>3.3080040564820661E-2</v>
      </c>
      <c r="L1631" t="s">
        <v>166</v>
      </c>
      <c r="N1631" t="s">
        <v>280</v>
      </c>
      <c r="O1631" t="s">
        <v>345</v>
      </c>
      <c r="P1631">
        <v>8.9806786161468949E-2</v>
      </c>
      <c r="Q1631" t="s">
        <v>166</v>
      </c>
    </row>
    <row r="1632" spans="9:17" x14ac:dyDescent="0.45">
      <c r="I1632" t="s">
        <v>215</v>
      </c>
      <c r="J1632" t="s">
        <v>346</v>
      </c>
      <c r="K1632">
        <v>1.636383678152473E-2</v>
      </c>
      <c r="L1632" t="s">
        <v>166</v>
      </c>
      <c r="N1632" t="s">
        <v>280</v>
      </c>
      <c r="O1632" t="s">
        <v>346</v>
      </c>
      <c r="P1632">
        <v>6.3969768822710795E-3</v>
      </c>
      <c r="Q1632" t="s">
        <v>166</v>
      </c>
    </row>
    <row r="1633" spans="9:17" x14ac:dyDescent="0.45">
      <c r="I1633" t="s">
        <v>215</v>
      </c>
      <c r="J1633" t="s">
        <v>347</v>
      </c>
      <c r="K1633">
        <v>9.897934558060445E-2</v>
      </c>
      <c r="L1633" t="s">
        <v>166</v>
      </c>
      <c r="N1633" t="s">
        <v>280</v>
      </c>
      <c r="O1633" t="s">
        <v>347</v>
      </c>
      <c r="P1633">
        <v>1.9255659546353773E-2</v>
      </c>
      <c r="Q1633" t="s">
        <v>166</v>
      </c>
    </row>
    <row r="1634" spans="9:17" x14ac:dyDescent="0.45">
      <c r="I1634" t="s">
        <v>215</v>
      </c>
      <c r="J1634" t="s">
        <v>348</v>
      </c>
      <c r="K1634">
        <v>1.2278144515904013E-2</v>
      </c>
      <c r="L1634" t="s">
        <v>166</v>
      </c>
      <c r="N1634" t="s">
        <v>280</v>
      </c>
      <c r="O1634" t="s">
        <v>348</v>
      </c>
      <c r="P1634">
        <v>1.429745881911437E-3</v>
      </c>
      <c r="Q1634" t="s">
        <v>166</v>
      </c>
    </row>
    <row r="1635" spans="9:17" x14ac:dyDescent="0.45">
      <c r="I1635" t="s">
        <v>215</v>
      </c>
      <c r="J1635" t="s">
        <v>349</v>
      </c>
      <c r="K1635">
        <v>7.8230092636785986E-3</v>
      </c>
      <c r="L1635" t="s">
        <v>166</v>
      </c>
      <c r="N1635" t="s">
        <v>280</v>
      </c>
      <c r="O1635" t="s">
        <v>349</v>
      </c>
      <c r="P1635">
        <v>1.822675658045353E-3</v>
      </c>
      <c r="Q1635" t="s">
        <v>166</v>
      </c>
    </row>
    <row r="1636" spans="9:17" x14ac:dyDescent="0.45">
      <c r="I1636" t="s">
        <v>215</v>
      </c>
      <c r="J1636" t="s">
        <v>350</v>
      </c>
      <c r="K1636">
        <v>1.7907209344937591E-3</v>
      </c>
      <c r="L1636" t="s">
        <v>166</v>
      </c>
      <c r="N1636" t="s">
        <v>280</v>
      </c>
      <c r="O1636" t="s">
        <v>350</v>
      </c>
      <c r="P1636">
        <v>2.7427938793951879E-2</v>
      </c>
      <c r="Q1636" t="s">
        <v>166</v>
      </c>
    </row>
    <row r="1637" spans="9:17" x14ac:dyDescent="0.45">
      <c r="I1637" t="s">
        <v>215</v>
      </c>
      <c r="J1637" t="s">
        <v>351</v>
      </c>
      <c r="K1637">
        <v>1.6595052261501146E-2</v>
      </c>
      <c r="L1637" t="s">
        <v>166</v>
      </c>
      <c r="N1637" t="s">
        <v>280</v>
      </c>
      <c r="O1637" t="s">
        <v>351</v>
      </c>
      <c r="P1637">
        <v>3.5363577456203513E-2</v>
      </c>
      <c r="Q1637" t="s">
        <v>166</v>
      </c>
    </row>
    <row r="1638" spans="9:17" x14ac:dyDescent="0.45">
      <c r="I1638" t="s">
        <v>215</v>
      </c>
      <c r="J1638" t="s">
        <v>352</v>
      </c>
      <c r="K1638">
        <v>8.0686013769356458E-3</v>
      </c>
      <c r="L1638" t="s">
        <v>166</v>
      </c>
      <c r="N1638" t="s">
        <v>280</v>
      </c>
      <c r="O1638" t="s">
        <v>352</v>
      </c>
      <c r="P1638">
        <v>2.4693896879765661E-3</v>
      </c>
      <c r="Q1638" t="s">
        <v>166</v>
      </c>
    </row>
    <row r="1639" spans="9:17" x14ac:dyDescent="0.45">
      <c r="I1639" t="s">
        <v>215</v>
      </c>
      <c r="J1639" t="s">
        <v>353</v>
      </c>
      <c r="K1639">
        <v>4.6607888393071263E-2</v>
      </c>
      <c r="L1639" t="s">
        <v>166</v>
      </c>
      <c r="N1639" t="s">
        <v>280</v>
      </c>
      <c r="O1639" t="s">
        <v>353</v>
      </c>
      <c r="P1639">
        <v>9.027627495104943E-3</v>
      </c>
      <c r="Q1639" t="s">
        <v>166</v>
      </c>
    </row>
    <row r="1640" spans="9:17" x14ac:dyDescent="0.45">
      <c r="I1640" t="s">
        <v>215</v>
      </c>
      <c r="J1640" t="s">
        <v>354</v>
      </c>
      <c r="K1640">
        <v>4.9121997598568995E-3</v>
      </c>
      <c r="L1640" t="s">
        <v>166</v>
      </c>
      <c r="N1640" t="s">
        <v>280</v>
      </c>
      <c r="O1640" t="s">
        <v>354</v>
      </c>
      <c r="P1640">
        <v>9.0801296927783251E-4</v>
      </c>
      <c r="Q1640" t="s">
        <v>166</v>
      </c>
    </row>
    <row r="1641" spans="9:17" x14ac:dyDescent="0.45">
      <c r="I1641" t="s">
        <v>215</v>
      </c>
      <c r="J1641" t="s">
        <v>355</v>
      </c>
      <c r="K1641">
        <v>1.8346892985585429E-3</v>
      </c>
      <c r="L1641" t="s">
        <v>166</v>
      </c>
      <c r="N1641" t="s">
        <v>280</v>
      </c>
      <c r="O1641" t="s">
        <v>355</v>
      </c>
      <c r="P1641">
        <v>1.1214798788243068E-3</v>
      </c>
      <c r="Q1641" t="s">
        <v>166</v>
      </c>
    </row>
    <row r="1642" spans="9:17" x14ac:dyDescent="0.45">
      <c r="I1642" t="s">
        <v>215</v>
      </c>
      <c r="J1642" t="s">
        <v>356</v>
      </c>
      <c r="K1642">
        <v>0</v>
      </c>
      <c r="L1642" t="s">
        <v>166</v>
      </c>
      <c r="N1642" t="s">
        <v>280</v>
      </c>
      <c r="O1642" t="s">
        <v>356</v>
      </c>
      <c r="P1642">
        <v>1.1314128525790661E-2</v>
      </c>
      <c r="Q1642" t="s">
        <v>166</v>
      </c>
    </row>
    <row r="1643" spans="9:17" x14ac:dyDescent="0.45">
      <c r="I1643" t="s">
        <v>215</v>
      </c>
      <c r="J1643" t="s">
        <v>357</v>
      </c>
      <c r="K1643">
        <v>2.3541084251282741E-2</v>
      </c>
      <c r="L1643" t="s">
        <v>166</v>
      </c>
      <c r="N1643" t="s">
        <v>280</v>
      </c>
      <c r="O1643" t="s">
        <v>357</v>
      </c>
      <c r="P1643">
        <v>8.5828001079142249E-2</v>
      </c>
      <c r="Q1643" t="s">
        <v>166</v>
      </c>
    </row>
    <row r="1644" spans="9:17" x14ac:dyDescent="0.45">
      <c r="I1644" t="s">
        <v>215</v>
      </c>
      <c r="J1644" t="s">
        <v>358</v>
      </c>
      <c r="K1644">
        <v>1.6188130532853048E-2</v>
      </c>
      <c r="L1644" t="s">
        <v>166</v>
      </c>
      <c r="N1644" t="s">
        <v>280</v>
      </c>
      <c r="O1644" t="s">
        <v>358</v>
      </c>
      <c r="P1644">
        <v>4.4257732909783205E-3</v>
      </c>
      <c r="Q1644" t="s">
        <v>166</v>
      </c>
    </row>
    <row r="1645" spans="9:17" x14ac:dyDescent="0.45">
      <c r="I1645" t="s">
        <v>215</v>
      </c>
      <c r="J1645" t="s">
        <v>359</v>
      </c>
      <c r="K1645">
        <v>9.2012160501452514E-2</v>
      </c>
      <c r="L1645" t="s">
        <v>166</v>
      </c>
      <c r="N1645" t="s">
        <v>280</v>
      </c>
      <c r="O1645" t="s">
        <v>359</v>
      </c>
      <c r="P1645">
        <v>2.3474388211194054E-2</v>
      </c>
      <c r="Q1645" t="s">
        <v>166</v>
      </c>
    </row>
    <row r="1646" spans="9:17" x14ac:dyDescent="0.45">
      <c r="I1646" t="s">
        <v>215</v>
      </c>
      <c r="J1646" t="s">
        <v>360</v>
      </c>
      <c r="K1646">
        <v>9.1221855944804055E-3</v>
      </c>
      <c r="L1646" t="s">
        <v>166</v>
      </c>
      <c r="N1646" t="s">
        <v>280</v>
      </c>
      <c r="O1646" t="s">
        <v>360</v>
      </c>
      <c r="P1646">
        <v>3.9668131979495947E-3</v>
      </c>
      <c r="Q1646" t="s">
        <v>166</v>
      </c>
    </row>
    <row r="1647" spans="9:17" x14ac:dyDescent="0.45">
      <c r="I1647" t="s">
        <v>215</v>
      </c>
      <c r="J1647" t="s">
        <v>361</v>
      </c>
      <c r="K1647">
        <v>0</v>
      </c>
      <c r="L1647" t="s">
        <v>166</v>
      </c>
      <c r="N1647" t="s">
        <v>280</v>
      </c>
      <c r="O1647" t="s">
        <v>361</v>
      </c>
      <c r="P1647">
        <v>4.9789313826295546E-3</v>
      </c>
      <c r="Q1647" t="s">
        <v>166</v>
      </c>
    </row>
    <row r="1648" spans="9:17" x14ac:dyDescent="0.45">
      <c r="I1648" t="s">
        <v>215</v>
      </c>
      <c r="J1648" t="s">
        <v>362</v>
      </c>
      <c r="K1648">
        <v>0</v>
      </c>
      <c r="L1648" t="s">
        <v>166</v>
      </c>
      <c r="N1648" t="s">
        <v>280</v>
      </c>
      <c r="O1648" t="s">
        <v>362</v>
      </c>
      <c r="P1648">
        <v>4.0174455321220479E-2</v>
      </c>
      <c r="Q1648" t="s">
        <v>166</v>
      </c>
    </row>
    <row r="1649" spans="9:17" x14ac:dyDescent="0.45">
      <c r="I1649" t="s">
        <v>216</v>
      </c>
      <c r="J1649" t="s">
        <v>165</v>
      </c>
      <c r="K1649">
        <v>3.8501082017809073E-2</v>
      </c>
      <c r="L1649" t="s">
        <v>166</v>
      </c>
      <c r="N1649" t="s">
        <v>281</v>
      </c>
      <c r="O1649" t="s">
        <v>165</v>
      </c>
      <c r="P1649">
        <v>0.11599017264517421</v>
      </c>
      <c r="Q1649" t="s">
        <v>166</v>
      </c>
    </row>
    <row r="1650" spans="9:17" x14ac:dyDescent="0.45">
      <c r="I1650" t="s">
        <v>216</v>
      </c>
      <c r="J1650" t="s">
        <v>167</v>
      </c>
      <c r="K1650">
        <v>2.5733435111127079E-2</v>
      </c>
      <c r="L1650" t="s">
        <v>166</v>
      </c>
      <c r="N1650" t="s">
        <v>281</v>
      </c>
      <c r="O1650" t="s">
        <v>167</v>
      </c>
      <c r="P1650">
        <v>7.9399592470685842E-3</v>
      </c>
      <c r="Q1650" t="s">
        <v>166</v>
      </c>
    </row>
    <row r="1651" spans="9:17" x14ac:dyDescent="0.45">
      <c r="I1651" t="s">
        <v>216</v>
      </c>
      <c r="J1651" t="s">
        <v>168</v>
      </c>
      <c r="K1651">
        <v>0.15211954134658257</v>
      </c>
      <c r="L1651" t="s">
        <v>166</v>
      </c>
      <c r="N1651" t="s">
        <v>281</v>
      </c>
      <c r="O1651" t="s">
        <v>168</v>
      </c>
      <c r="P1651">
        <v>4.7888355125602168E-2</v>
      </c>
      <c r="Q1651" t="s">
        <v>166</v>
      </c>
    </row>
    <row r="1652" spans="9:17" x14ac:dyDescent="0.45">
      <c r="I1652" t="s">
        <v>216</v>
      </c>
      <c r="J1652" t="s">
        <v>333</v>
      </c>
      <c r="K1652">
        <v>1.9037814313583718E-2</v>
      </c>
      <c r="L1652" t="s">
        <v>166</v>
      </c>
      <c r="N1652" t="s">
        <v>281</v>
      </c>
      <c r="O1652" t="s">
        <v>333</v>
      </c>
      <c r="P1652">
        <v>7.9192680499918112E-3</v>
      </c>
      <c r="Q1652" t="s">
        <v>166</v>
      </c>
    </row>
    <row r="1653" spans="9:17" x14ac:dyDescent="0.45">
      <c r="I1653" t="s">
        <v>216</v>
      </c>
      <c r="J1653" t="s">
        <v>334</v>
      </c>
      <c r="K1653">
        <v>9.1494327580054144E-3</v>
      </c>
      <c r="L1653" t="s">
        <v>166</v>
      </c>
      <c r="N1653" t="s">
        <v>281</v>
      </c>
      <c r="O1653" t="s">
        <v>334</v>
      </c>
      <c r="P1653">
        <v>7.7590463894408228E-3</v>
      </c>
      <c r="Q1653" t="s">
        <v>166</v>
      </c>
    </row>
    <row r="1654" spans="9:17" x14ac:dyDescent="0.45">
      <c r="I1654" t="s">
        <v>216</v>
      </c>
      <c r="J1654" t="s">
        <v>335</v>
      </c>
      <c r="K1654">
        <v>0</v>
      </c>
      <c r="L1654" t="s">
        <v>166</v>
      </c>
      <c r="N1654" t="s">
        <v>281</v>
      </c>
      <c r="O1654" t="s">
        <v>335</v>
      </c>
      <c r="P1654">
        <v>5.1012431369348049E-2</v>
      </c>
      <c r="Q1654" t="s">
        <v>166</v>
      </c>
    </row>
    <row r="1655" spans="9:17" x14ac:dyDescent="0.45">
      <c r="I1655" t="s">
        <v>216</v>
      </c>
      <c r="J1655" t="s">
        <v>169</v>
      </c>
      <c r="K1655">
        <v>4.0200049484431552E-2</v>
      </c>
      <c r="L1655" t="s">
        <v>166</v>
      </c>
      <c r="N1655" t="s">
        <v>281</v>
      </c>
      <c r="O1655" t="s">
        <v>169</v>
      </c>
      <c r="P1655">
        <v>9.7568003972068884E-2</v>
      </c>
      <c r="Q1655" t="s">
        <v>166</v>
      </c>
    </row>
    <row r="1656" spans="9:17" x14ac:dyDescent="0.45">
      <c r="I1656" t="s">
        <v>216</v>
      </c>
      <c r="J1656" t="s">
        <v>170</v>
      </c>
      <c r="K1656">
        <v>1.7759270306435072E-2</v>
      </c>
      <c r="L1656" t="s">
        <v>166</v>
      </c>
      <c r="N1656" t="s">
        <v>281</v>
      </c>
      <c r="O1656" t="s">
        <v>170</v>
      </c>
      <c r="P1656">
        <v>7.6019202844344862E-3</v>
      </c>
      <c r="Q1656" t="s">
        <v>166</v>
      </c>
    </row>
    <row r="1657" spans="9:17" x14ac:dyDescent="0.45">
      <c r="I1657" t="s">
        <v>216</v>
      </c>
      <c r="J1657" t="s">
        <v>171</v>
      </c>
      <c r="K1657">
        <v>0.10717648471243153</v>
      </c>
      <c r="L1657" t="s">
        <v>166</v>
      </c>
      <c r="N1657" t="s">
        <v>281</v>
      </c>
      <c r="O1657" t="s">
        <v>171</v>
      </c>
      <c r="P1657">
        <v>4.8455070894594159E-2</v>
      </c>
      <c r="Q1657" t="s">
        <v>166</v>
      </c>
    </row>
    <row r="1658" spans="9:17" x14ac:dyDescent="0.45">
      <c r="I1658" t="s">
        <v>216</v>
      </c>
      <c r="J1658" t="s">
        <v>336</v>
      </c>
      <c r="K1658">
        <v>1.3669455933972173E-2</v>
      </c>
      <c r="L1658" t="s">
        <v>166</v>
      </c>
      <c r="N1658" t="s">
        <v>281</v>
      </c>
      <c r="O1658" t="s">
        <v>336</v>
      </c>
      <c r="P1658">
        <v>8.4718794018926475E-3</v>
      </c>
      <c r="Q1658" t="s">
        <v>166</v>
      </c>
    </row>
    <row r="1659" spans="9:17" x14ac:dyDescent="0.45">
      <c r="I1659" t="s">
        <v>216</v>
      </c>
      <c r="J1659" t="s">
        <v>337</v>
      </c>
      <c r="K1659">
        <v>9.5759949755922034E-3</v>
      </c>
      <c r="L1659" t="s">
        <v>166</v>
      </c>
      <c r="N1659" t="s">
        <v>281</v>
      </c>
      <c r="O1659" t="s">
        <v>337</v>
      </c>
      <c r="P1659">
        <v>8.0672565154588267E-3</v>
      </c>
      <c r="Q1659" t="s">
        <v>166</v>
      </c>
    </row>
    <row r="1660" spans="9:17" x14ac:dyDescent="0.45">
      <c r="I1660" t="s">
        <v>216</v>
      </c>
      <c r="J1660" t="s">
        <v>338</v>
      </c>
      <c r="K1660">
        <v>3.4819843390612622E-3</v>
      </c>
      <c r="L1660" t="s">
        <v>166</v>
      </c>
      <c r="N1660" t="s">
        <v>281</v>
      </c>
      <c r="O1660" t="s">
        <v>338</v>
      </c>
      <c r="P1660">
        <v>4.2687518470907029E-2</v>
      </c>
      <c r="Q1660" t="s">
        <v>166</v>
      </c>
    </row>
    <row r="1661" spans="9:17" x14ac:dyDescent="0.45">
      <c r="I1661" t="s">
        <v>216</v>
      </c>
      <c r="J1661" t="s">
        <v>172</v>
      </c>
      <c r="K1661">
        <v>2.0018659680159357E-2</v>
      </c>
      <c r="L1661" t="s">
        <v>166</v>
      </c>
      <c r="N1661" t="s">
        <v>281</v>
      </c>
      <c r="O1661" t="s">
        <v>172</v>
      </c>
      <c r="P1661">
        <v>3.8094120830876939E-2</v>
      </c>
      <c r="Q1661" t="s">
        <v>166</v>
      </c>
    </row>
    <row r="1662" spans="9:17" x14ac:dyDescent="0.45">
      <c r="I1662" t="s">
        <v>216</v>
      </c>
      <c r="J1662" t="s">
        <v>173</v>
      </c>
      <c r="K1662">
        <v>8.2214088144690056E-3</v>
      </c>
      <c r="L1662" t="s">
        <v>166</v>
      </c>
      <c r="N1662" t="s">
        <v>281</v>
      </c>
      <c r="O1662" t="s">
        <v>173</v>
      </c>
      <c r="P1662">
        <v>2.4911608059091416E-3</v>
      </c>
      <c r="Q1662" t="s">
        <v>166</v>
      </c>
    </row>
    <row r="1663" spans="9:17" x14ac:dyDescent="0.45">
      <c r="I1663" t="s">
        <v>216</v>
      </c>
      <c r="J1663" t="s">
        <v>174</v>
      </c>
      <c r="K1663">
        <v>5.0602312486576609E-2</v>
      </c>
      <c r="L1663" t="s">
        <v>166</v>
      </c>
      <c r="N1663" t="s">
        <v>281</v>
      </c>
      <c r="O1663" t="s">
        <v>174</v>
      </c>
      <c r="P1663">
        <v>1.5899645269676157E-2</v>
      </c>
      <c r="Q1663" t="s">
        <v>166</v>
      </c>
    </row>
    <row r="1664" spans="9:17" x14ac:dyDescent="0.45">
      <c r="I1664" t="s">
        <v>216</v>
      </c>
      <c r="J1664" t="s">
        <v>339</v>
      </c>
      <c r="K1664">
        <v>6.438894618815214E-3</v>
      </c>
      <c r="L1664" t="s">
        <v>166</v>
      </c>
      <c r="N1664" t="s">
        <v>281</v>
      </c>
      <c r="O1664" t="s">
        <v>339</v>
      </c>
      <c r="P1664">
        <v>3.1914330661415857E-3</v>
      </c>
      <c r="Q1664" t="s">
        <v>166</v>
      </c>
    </row>
    <row r="1665" spans="9:17" x14ac:dyDescent="0.45">
      <c r="I1665" t="s">
        <v>216</v>
      </c>
      <c r="J1665" t="s">
        <v>340</v>
      </c>
      <c r="K1665">
        <v>4.8627406758122273E-3</v>
      </c>
      <c r="L1665" t="s">
        <v>166</v>
      </c>
      <c r="N1665" t="s">
        <v>281</v>
      </c>
      <c r="O1665" t="s">
        <v>340</v>
      </c>
      <c r="P1665">
        <v>3.0043351073778621E-3</v>
      </c>
      <c r="Q1665" t="s">
        <v>166</v>
      </c>
    </row>
    <row r="1666" spans="9:17" x14ac:dyDescent="0.45">
      <c r="I1666" t="s">
        <v>216</v>
      </c>
      <c r="J1666" t="s">
        <v>341</v>
      </c>
      <c r="K1666">
        <v>2.4228737050799019E-3</v>
      </c>
      <c r="L1666" t="s">
        <v>166</v>
      </c>
      <c r="N1666" t="s">
        <v>281</v>
      </c>
      <c r="O1666" t="s">
        <v>341</v>
      </c>
      <c r="P1666">
        <v>1.5560207006751661E-2</v>
      </c>
      <c r="Q1666" t="s">
        <v>166</v>
      </c>
    </row>
    <row r="1667" spans="9:17" x14ac:dyDescent="0.45">
      <c r="I1667" t="s">
        <v>216</v>
      </c>
      <c r="J1667" t="s">
        <v>175</v>
      </c>
      <c r="K1667">
        <v>1.7150730619013784E-2</v>
      </c>
      <c r="L1667" t="s">
        <v>166</v>
      </c>
      <c r="N1667" t="s">
        <v>281</v>
      </c>
      <c r="O1667" t="s">
        <v>175</v>
      </c>
      <c r="P1667">
        <v>3.7890929622166156E-2</v>
      </c>
      <c r="Q1667" t="s">
        <v>166</v>
      </c>
    </row>
    <row r="1668" spans="9:17" x14ac:dyDescent="0.45">
      <c r="I1668" t="s">
        <v>216</v>
      </c>
      <c r="J1668" t="s">
        <v>176</v>
      </c>
      <c r="K1668">
        <v>7.9808815347575928E-3</v>
      </c>
      <c r="L1668" t="s">
        <v>166</v>
      </c>
      <c r="N1668" t="s">
        <v>281</v>
      </c>
      <c r="O1668" t="s">
        <v>176</v>
      </c>
      <c r="P1668">
        <v>2.5799518756481781E-3</v>
      </c>
      <c r="Q1668" t="s">
        <v>166</v>
      </c>
    </row>
    <row r="1669" spans="9:17" x14ac:dyDescent="0.45">
      <c r="I1669" t="s">
        <v>216</v>
      </c>
      <c r="J1669" t="s">
        <v>177</v>
      </c>
      <c r="K1669">
        <v>4.9356156586294497E-2</v>
      </c>
      <c r="L1669" t="s">
        <v>166</v>
      </c>
      <c r="N1669" t="s">
        <v>281</v>
      </c>
      <c r="O1669" t="s">
        <v>177</v>
      </c>
      <c r="P1669">
        <v>1.2438873672961346E-2</v>
      </c>
      <c r="Q1669" t="s">
        <v>166</v>
      </c>
    </row>
    <row r="1670" spans="9:17" x14ac:dyDescent="0.45">
      <c r="I1670" t="s">
        <v>216</v>
      </c>
      <c r="J1670" t="s">
        <v>342</v>
      </c>
      <c r="K1670">
        <v>6.0691922107926526E-3</v>
      </c>
      <c r="L1670" t="s">
        <v>166</v>
      </c>
      <c r="N1670" t="s">
        <v>281</v>
      </c>
      <c r="O1670" t="s">
        <v>342</v>
      </c>
      <c r="P1670">
        <v>1.7497856861352404E-3</v>
      </c>
      <c r="Q1670" t="s">
        <v>166</v>
      </c>
    </row>
    <row r="1671" spans="9:17" x14ac:dyDescent="0.45">
      <c r="I1671" t="s">
        <v>216</v>
      </c>
      <c r="J1671" t="s">
        <v>343</v>
      </c>
      <c r="K1671">
        <v>4.2370162215303884E-3</v>
      </c>
      <c r="L1671" t="s">
        <v>166</v>
      </c>
      <c r="N1671" t="s">
        <v>281</v>
      </c>
      <c r="O1671" t="s">
        <v>343</v>
      </c>
      <c r="P1671">
        <v>1.7587772605235415E-3</v>
      </c>
      <c r="Q1671" t="s">
        <v>166</v>
      </c>
    </row>
    <row r="1672" spans="9:17" x14ac:dyDescent="0.45">
      <c r="I1672" t="s">
        <v>216</v>
      </c>
      <c r="J1672" t="s">
        <v>344</v>
      </c>
      <c r="K1672">
        <v>1.9809888601917927E-3</v>
      </c>
      <c r="L1672" t="s">
        <v>166</v>
      </c>
      <c r="N1672" t="s">
        <v>281</v>
      </c>
      <c r="O1672" t="s">
        <v>344</v>
      </c>
      <c r="P1672">
        <v>1.3190999831852608E-2</v>
      </c>
      <c r="Q1672" t="s">
        <v>166</v>
      </c>
    </row>
    <row r="1673" spans="9:17" x14ac:dyDescent="0.45">
      <c r="I1673" t="s">
        <v>216</v>
      </c>
      <c r="J1673" t="s">
        <v>345</v>
      </c>
      <c r="K1673">
        <v>3.3011122755141509E-2</v>
      </c>
      <c r="L1673" t="s">
        <v>166</v>
      </c>
      <c r="N1673" t="s">
        <v>281</v>
      </c>
      <c r="O1673" t="s">
        <v>345</v>
      </c>
      <c r="P1673">
        <v>9.4526841221040048E-2</v>
      </c>
      <c r="Q1673" t="s">
        <v>166</v>
      </c>
    </row>
    <row r="1674" spans="9:17" x14ac:dyDescent="0.45">
      <c r="I1674" t="s">
        <v>216</v>
      </c>
      <c r="J1674" t="s">
        <v>346</v>
      </c>
      <c r="K1674">
        <v>1.6149393129387381E-2</v>
      </c>
      <c r="L1674" t="s">
        <v>166</v>
      </c>
      <c r="N1674" t="s">
        <v>281</v>
      </c>
      <c r="O1674" t="s">
        <v>346</v>
      </c>
      <c r="P1674">
        <v>6.5494065163328114E-3</v>
      </c>
      <c r="Q1674" t="s">
        <v>166</v>
      </c>
    </row>
    <row r="1675" spans="9:17" x14ac:dyDescent="0.45">
      <c r="I1675" t="s">
        <v>216</v>
      </c>
      <c r="J1675" t="s">
        <v>347</v>
      </c>
      <c r="K1675">
        <v>9.7402768789494984E-2</v>
      </c>
      <c r="L1675" t="s">
        <v>166</v>
      </c>
      <c r="N1675" t="s">
        <v>281</v>
      </c>
      <c r="O1675" t="s">
        <v>347</v>
      </c>
      <c r="P1675">
        <v>3.2194648692919936E-2</v>
      </c>
      <c r="Q1675" t="s">
        <v>166</v>
      </c>
    </row>
    <row r="1676" spans="9:17" x14ac:dyDescent="0.45">
      <c r="I1676" t="s">
        <v>216</v>
      </c>
      <c r="J1676" t="s">
        <v>348</v>
      </c>
      <c r="K1676">
        <v>1.2068148360504908E-2</v>
      </c>
      <c r="L1676" t="s">
        <v>166</v>
      </c>
      <c r="N1676" t="s">
        <v>281</v>
      </c>
      <c r="O1676" t="s">
        <v>348</v>
      </c>
      <c r="P1676">
        <v>5.2399322084200808E-3</v>
      </c>
      <c r="Q1676" t="s">
        <v>166</v>
      </c>
    </row>
    <row r="1677" spans="9:17" x14ac:dyDescent="0.45">
      <c r="I1677" t="s">
        <v>216</v>
      </c>
      <c r="J1677" t="s">
        <v>349</v>
      </c>
      <c r="K1677">
        <v>7.8356344926430749E-3</v>
      </c>
      <c r="L1677" t="s">
        <v>166</v>
      </c>
      <c r="N1677" t="s">
        <v>281</v>
      </c>
      <c r="O1677" t="s">
        <v>349</v>
      </c>
      <c r="P1677">
        <v>5.4401139623086068E-3</v>
      </c>
      <c r="Q1677" t="s">
        <v>166</v>
      </c>
    </row>
    <row r="1678" spans="9:17" x14ac:dyDescent="0.45">
      <c r="I1678" t="s">
        <v>216</v>
      </c>
      <c r="J1678" t="s">
        <v>350</v>
      </c>
      <c r="K1678">
        <v>1.8837752367176614E-3</v>
      </c>
      <c r="L1678" t="s">
        <v>166</v>
      </c>
      <c r="N1678" t="s">
        <v>281</v>
      </c>
      <c r="O1678" t="s">
        <v>350</v>
      </c>
      <c r="P1678">
        <v>3.8680321905323466E-2</v>
      </c>
      <c r="Q1678" t="s">
        <v>166</v>
      </c>
    </row>
    <row r="1679" spans="9:17" x14ac:dyDescent="0.45">
      <c r="I1679" t="s">
        <v>216</v>
      </c>
      <c r="J1679" t="s">
        <v>351</v>
      </c>
      <c r="K1679">
        <v>1.6893950615809027E-2</v>
      </c>
      <c r="L1679" t="s">
        <v>166</v>
      </c>
      <c r="N1679" t="s">
        <v>281</v>
      </c>
      <c r="O1679" t="s">
        <v>351</v>
      </c>
      <c r="P1679">
        <v>2.2898013319257487E-2</v>
      </c>
      <c r="Q1679" t="s">
        <v>166</v>
      </c>
    </row>
    <row r="1680" spans="9:17" x14ac:dyDescent="0.45">
      <c r="I1680" t="s">
        <v>216</v>
      </c>
      <c r="J1680" t="s">
        <v>352</v>
      </c>
      <c r="K1680">
        <v>8.1783990750117722E-3</v>
      </c>
      <c r="L1680" t="s">
        <v>166</v>
      </c>
      <c r="N1680" t="s">
        <v>281</v>
      </c>
      <c r="O1680" t="s">
        <v>352</v>
      </c>
      <c r="P1680">
        <v>1.1615698142219764E-3</v>
      </c>
      <c r="Q1680" t="s">
        <v>166</v>
      </c>
    </row>
    <row r="1681" spans="9:17" x14ac:dyDescent="0.45">
      <c r="I1681" t="s">
        <v>216</v>
      </c>
      <c r="J1681" t="s">
        <v>353</v>
      </c>
      <c r="K1681">
        <v>4.6207267614377504E-2</v>
      </c>
      <c r="L1681" t="s">
        <v>166</v>
      </c>
      <c r="N1681" t="s">
        <v>281</v>
      </c>
      <c r="O1681" t="s">
        <v>353</v>
      </c>
      <c r="P1681">
        <v>6.5338236423401102E-3</v>
      </c>
      <c r="Q1681" t="s">
        <v>166</v>
      </c>
    </row>
    <row r="1682" spans="9:17" x14ac:dyDescent="0.45">
      <c r="I1682" t="s">
        <v>216</v>
      </c>
      <c r="J1682" t="s">
        <v>354</v>
      </c>
      <c r="K1682">
        <v>4.9801744537099806E-3</v>
      </c>
      <c r="L1682" t="s">
        <v>166</v>
      </c>
      <c r="N1682" t="s">
        <v>281</v>
      </c>
      <c r="O1682" t="s">
        <v>354</v>
      </c>
      <c r="P1682">
        <v>9.6672556632573651E-4</v>
      </c>
      <c r="Q1682" t="s">
        <v>166</v>
      </c>
    </row>
    <row r="1683" spans="9:17" x14ac:dyDescent="0.45">
      <c r="I1683" t="s">
        <v>216</v>
      </c>
      <c r="J1683" t="s">
        <v>355</v>
      </c>
      <c r="K1683">
        <v>1.6323719370438116E-3</v>
      </c>
      <c r="L1683" t="s">
        <v>166</v>
      </c>
      <c r="N1683" t="s">
        <v>281</v>
      </c>
      <c r="O1683" t="s">
        <v>355</v>
      </c>
      <c r="P1683">
        <v>1.0908832938142934E-3</v>
      </c>
      <c r="Q1683" t="s">
        <v>166</v>
      </c>
    </row>
    <row r="1684" spans="9:17" x14ac:dyDescent="0.45">
      <c r="I1684" t="s">
        <v>216</v>
      </c>
      <c r="J1684" t="s">
        <v>356</v>
      </c>
      <c r="K1684">
        <v>0</v>
      </c>
      <c r="L1684" t="s">
        <v>166</v>
      </c>
      <c r="N1684" t="s">
        <v>281</v>
      </c>
      <c r="O1684" t="s">
        <v>356</v>
      </c>
      <c r="P1684">
        <v>9.5961467839605474E-3</v>
      </c>
      <c r="Q1684" t="s">
        <v>166</v>
      </c>
    </row>
    <row r="1685" spans="9:17" x14ac:dyDescent="0.45">
      <c r="I1685" t="s">
        <v>216</v>
      </c>
      <c r="J1685" t="s">
        <v>357</v>
      </c>
      <c r="K1685">
        <v>2.3212090134467928E-2</v>
      </c>
      <c r="L1685" t="s">
        <v>166</v>
      </c>
      <c r="N1685" t="s">
        <v>281</v>
      </c>
      <c r="O1685" t="s">
        <v>357</v>
      </c>
      <c r="P1685">
        <v>8.3671979765923998E-2</v>
      </c>
      <c r="Q1685" t="s">
        <v>166</v>
      </c>
    </row>
    <row r="1686" spans="9:17" x14ac:dyDescent="0.45">
      <c r="I1686" t="s">
        <v>216</v>
      </c>
      <c r="J1686" t="s">
        <v>358</v>
      </c>
      <c r="K1686">
        <v>1.5935476490692893E-2</v>
      </c>
      <c r="L1686" t="s">
        <v>166</v>
      </c>
      <c r="N1686" t="s">
        <v>281</v>
      </c>
      <c r="O1686" t="s">
        <v>358</v>
      </c>
      <c r="P1686">
        <v>5.5092815145764218E-3</v>
      </c>
      <c r="Q1686" t="s">
        <v>166</v>
      </c>
    </row>
    <row r="1687" spans="9:17" x14ac:dyDescent="0.45">
      <c r="I1687" t="s">
        <v>216</v>
      </c>
      <c r="J1687" t="s">
        <v>359</v>
      </c>
      <c r="K1687">
        <v>9.0146867921670495E-2</v>
      </c>
      <c r="L1687" t="s">
        <v>166</v>
      </c>
      <c r="N1687" t="s">
        <v>281</v>
      </c>
      <c r="O1687" t="s">
        <v>359</v>
      </c>
      <c r="P1687">
        <v>3.4953777978076424E-2</v>
      </c>
      <c r="Q1687" t="s">
        <v>166</v>
      </c>
    </row>
    <row r="1688" spans="9:17" x14ac:dyDescent="0.45">
      <c r="I1688" t="s">
        <v>216</v>
      </c>
      <c r="J1688" t="s">
        <v>360</v>
      </c>
      <c r="K1688">
        <v>8.7161576808015145E-3</v>
      </c>
      <c r="L1688" t="s">
        <v>166</v>
      </c>
      <c r="N1688" t="s">
        <v>281</v>
      </c>
      <c r="O1688" t="s">
        <v>360</v>
      </c>
      <c r="P1688">
        <v>5.8630819923936725E-3</v>
      </c>
      <c r="Q1688" t="s">
        <v>166</v>
      </c>
    </row>
    <row r="1689" spans="9:17" x14ac:dyDescent="0.45">
      <c r="I1689" t="s">
        <v>216</v>
      </c>
      <c r="J1689" t="s">
        <v>361</v>
      </c>
      <c r="K1689">
        <v>0</v>
      </c>
      <c r="L1689" t="s">
        <v>166</v>
      </c>
      <c r="N1689" t="s">
        <v>281</v>
      </c>
      <c r="O1689" t="s">
        <v>361</v>
      </c>
      <c r="P1689">
        <v>6.2173693267381673E-3</v>
      </c>
      <c r="Q1689" t="s">
        <v>166</v>
      </c>
    </row>
    <row r="1690" spans="9:17" x14ac:dyDescent="0.45">
      <c r="I1690" t="s">
        <v>216</v>
      </c>
      <c r="J1690" t="s">
        <v>362</v>
      </c>
      <c r="K1690">
        <v>0</v>
      </c>
      <c r="L1690" t="s">
        <v>166</v>
      </c>
      <c r="N1690" t="s">
        <v>281</v>
      </c>
      <c r="O1690" t="s">
        <v>362</v>
      </c>
      <c r="P1690">
        <v>3.9694980094025951E-2</v>
      </c>
      <c r="Q1690" t="s">
        <v>166</v>
      </c>
    </row>
    <row r="1691" spans="9:17" x14ac:dyDescent="0.45">
      <c r="I1691" t="s">
        <v>217</v>
      </c>
      <c r="J1691" t="s">
        <v>165</v>
      </c>
      <c r="K1691">
        <v>3.7817582336038519E-2</v>
      </c>
      <c r="L1691" t="s">
        <v>166</v>
      </c>
      <c r="N1691" t="s">
        <v>282</v>
      </c>
      <c r="O1691" t="s">
        <v>165</v>
      </c>
      <c r="P1691">
        <v>0.11020338860607731</v>
      </c>
      <c r="Q1691" t="s">
        <v>166</v>
      </c>
    </row>
    <row r="1692" spans="9:17" x14ac:dyDescent="0.45">
      <c r="I1692" t="s">
        <v>217</v>
      </c>
      <c r="J1692" t="s">
        <v>167</v>
      </c>
      <c r="K1692">
        <v>2.5864217888256377E-2</v>
      </c>
      <c r="L1692" t="s">
        <v>166</v>
      </c>
      <c r="N1692" t="s">
        <v>282</v>
      </c>
      <c r="O1692" t="s">
        <v>167</v>
      </c>
      <c r="P1692">
        <v>8.2534355993775614E-3</v>
      </c>
      <c r="Q1692" t="s">
        <v>166</v>
      </c>
    </row>
    <row r="1693" spans="9:17" x14ac:dyDescent="0.45">
      <c r="I1693" t="s">
        <v>217</v>
      </c>
      <c r="J1693" t="s">
        <v>168</v>
      </c>
      <c r="K1693">
        <v>0.15356099410974788</v>
      </c>
      <c r="L1693" t="s">
        <v>166</v>
      </c>
      <c r="N1693" t="s">
        <v>282</v>
      </c>
      <c r="O1693" t="s">
        <v>168</v>
      </c>
      <c r="P1693">
        <v>5.1599040238725781E-2</v>
      </c>
      <c r="Q1693" t="s">
        <v>166</v>
      </c>
    </row>
    <row r="1694" spans="9:17" x14ac:dyDescent="0.45">
      <c r="I1694" t="s">
        <v>217</v>
      </c>
      <c r="J1694" t="s">
        <v>333</v>
      </c>
      <c r="K1694">
        <v>1.9683602359107776E-2</v>
      </c>
      <c r="L1694" t="s">
        <v>166</v>
      </c>
      <c r="N1694" t="s">
        <v>282</v>
      </c>
      <c r="O1694" t="s">
        <v>333</v>
      </c>
      <c r="P1694">
        <v>8.1632809581244064E-3</v>
      </c>
      <c r="Q1694" t="s">
        <v>166</v>
      </c>
    </row>
    <row r="1695" spans="9:17" x14ac:dyDescent="0.45">
      <c r="I1695" t="s">
        <v>217</v>
      </c>
      <c r="J1695" t="s">
        <v>334</v>
      </c>
      <c r="K1695">
        <v>1.1767665378584936E-2</v>
      </c>
      <c r="L1695" t="s">
        <v>166</v>
      </c>
      <c r="N1695" t="s">
        <v>282</v>
      </c>
      <c r="O1695" t="s">
        <v>334</v>
      </c>
      <c r="P1695">
        <v>7.665446440214667E-3</v>
      </c>
      <c r="Q1695" t="s">
        <v>166</v>
      </c>
    </row>
    <row r="1696" spans="9:17" x14ac:dyDescent="0.45">
      <c r="I1696" t="s">
        <v>217</v>
      </c>
      <c r="J1696" t="s">
        <v>335</v>
      </c>
      <c r="K1696">
        <v>0</v>
      </c>
      <c r="L1696" t="s">
        <v>166</v>
      </c>
      <c r="N1696" t="s">
        <v>282</v>
      </c>
      <c r="O1696" t="s">
        <v>335</v>
      </c>
      <c r="P1696">
        <v>4.8604963944613264E-2</v>
      </c>
      <c r="Q1696" t="s">
        <v>166</v>
      </c>
    </row>
    <row r="1697" spans="9:17" x14ac:dyDescent="0.45">
      <c r="I1697" t="s">
        <v>217</v>
      </c>
      <c r="J1697" t="s">
        <v>169</v>
      </c>
      <c r="K1697">
        <v>3.3608117247825739E-2</v>
      </c>
      <c r="L1697" t="s">
        <v>166</v>
      </c>
      <c r="N1697" t="s">
        <v>282</v>
      </c>
      <c r="O1697" t="s">
        <v>169</v>
      </c>
      <c r="P1697">
        <v>9.865081451694277E-2</v>
      </c>
      <c r="Q1697" t="s">
        <v>166</v>
      </c>
    </row>
    <row r="1698" spans="9:17" x14ac:dyDescent="0.45">
      <c r="I1698" t="s">
        <v>217</v>
      </c>
      <c r="J1698" t="s">
        <v>170</v>
      </c>
      <c r="K1698">
        <v>1.6583420576385701E-2</v>
      </c>
      <c r="L1698" t="s">
        <v>166</v>
      </c>
      <c r="N1698" t="s">
        <v>282</v>
      </c>
      <c r="O1698" t="s">
        <v>170</v>
      </c>
      <c r="P1698">
        <v>7.3734272764257695E-3</v>
      </c>
      <c r="Q1698" t="s">
        <v>166</v>
      </c>
    </row>
    <row r="1699" spans="9:17" x14ac:dyDescent="0.45">
      <c r="I1699" t="s">
        <v>217</v>
      </c>
      <c r="J1699" t="s">
        <v>171</v>
      </c>
      <c r="K1699">
        <v>0.1003074812666937</v>
      </c>
      <c r="L1699" t="s">
        <v>166</v>
      </c>
      <c r="N1699" t="s">
        <v>282</v>
      </c>
      <c r="O1699" t="s">
        <v>171</v>
      </c>
      <c r="P1699">
        <v>4.0358443270976728E-2</v>
      </c>
      <c r="Q1699" t="s">
        <v>166</v>
      </c>
    </row>
    <row r="1700" spans="9:17" x14ac:dyDescent="0.45">
      <c r="I1700" t="s">
        <v>217</v>
      </c>
      <c r="J1700" t="s">
        <v>336</v>
      </c>
      <c r="K1700">
        <v>1.1940158661782106E-2</v>
      </c>
      <c r="L1700" t="s">
        <v>166</v>
      </c>
      <c r="N1700" t="s">
        <v>282</v>
      </c>
      <c r="O1700" t="s">
        <v>336</v>
      </c>
      <c r="P1700">
        <v>7.1000921800666444E-3</v>
      </c>
      <c r="Q1700" t="s">
        <v>166</v>
      </c>
    </row>
    <row r="1701" spans="9:17" x14ac:dyDescent="0.45">
      <c r="I1701" t="s">
        <v>217</v>
      </c>
      <c r="J1701" t="s">
        <v>337</v>
      </c>
      <c r="K1701">
        <v>8.0577020203897506E-3</v>
      </c>
      <c r="L1701" t="s">
        <v>166</v>
      </c>
      <c r="N1701" t="s">
        <v>282</v>
      </c>
      <c r="O1701" t="s">
        <v>337</v>
      </c>
      <c r="P1701">
        <v>7.0446760480743437E-3</v>
      </c>
      <c r="Q1701" t="s">
        <v>166</v>
      </c>
    </row>
    <row r="1702" spans="9:17" x14ac:dyDescent="0.45">
      <c r="I1702" t="s">
        <v>217</v>
      </c>
      <c r="J1702" t="s">
        <v>338</v>
      </c>
      <c r="K1702">
        <v>2.0862917883916138E-3</v>
      </c>
      <c r="L1702" t="s">
        <v>166</v>
      </c>
      <c r="N1702" t="s">
        <v>282</v>
      </c>
      <c r="O1702" t="s">
        <v>338</v>
      </c>
      <c r="P1702">
        <v>4.1939079286672898E-2</v>
      </c>
      <c r="Q1702" t="s">
        <v>166</v>
      </c>
    </row>
    <row r="1703" spans="9:17" x14ac:dyDescent="0.45">
      <c r="I1703" t="s">
        <v>217</v>
      </c>
      <c r="J1703" t="s">
        <v>172</v>
      </c>
      <c r="K1703">
        <v>1.6461575850633819E-2</v>
      </c>
      <c r="L1703" t="s">
        <v>166</v>
      </c>
      <c r="N1703" t="s">
        <v>282</v>
      </c>
      <c r="O1703" t="s">
        <v>172</v>
      </c>
      <c r="P1703">
        <v>4.2883561957476252E-2</v>
      </c>
      <c r="Q1703" t="s">
        <v>166</v>
      </c>
    </row>
    <row r="1704" spans="9:17" x14ac:dyDescent="0.45">
      <c r="I1704" t="s">
        <v>217</v>
      </c>
      <c r="J1704" t="s">
        <v>173</v>
      </c>
      <c r="K1704">
        <v>7.89535589139693E-3</v>
      </c>
      <c r="L1704" t="s">
        <v>166</v>
      </c>
      <c r="N1704" t="s">
        <v>282</v>
      </c>
      <c r="O1704" t="s">
        <v>173</v>
      </c>
      <c r="P1704">
        <v>3.1582318355396375E-3</v>
      </c>
      <c r="Q1704" t="s">
        <v>166</v>
      </c>
    </row>
    <row r="1705" spans="9:17" x14ac:dyDescent="0.45">
      <c r="I1705" t="s">
        <v>217</v>
      </c>
      <c r="J1705" t="s">
        <v>174</v>
      </c>
      <c r="K1705">
        <v>4.922000211343338E-2</v>
      </c>
      <c r="L1705" t="s">
        <v>166</v>
      </c>
      <c r="N1705" t="s">
        <v>282</v>
      </c>
      <c r="O1705" t="s">
        <v>174</v>
      </c>
      <c r="P1705">
        <v>2.0234052814445805E-2</v>
      </c>
      <c r="Q1705" t="s">
        <v>166</v>
      </c>
    </row>
    <row r="1706" spans="9:17" x14ac:dyDescent="0.45">
      <c r="I1706" t="s">
        <v>217</v>
      </c>
      <c r="J1706" t="s">
        <v>339</v>
      </c>
      <c r="K1706">
        <v>6.1313430592682232E-3</v>
      </c>
      <c r="L1706" t="s">
        <v>166</v>
      </c>
      <c r="N1706" t="s">
        <v>282</v>
      </c>
      <c r="O1706" t="s">
        <v>339</v>
      </c>
      <c r="P1706">
        <v>3.8583309429192181E-3</v>
      </c>
      <c r="Q1706" t="s">
        <v>166</v>
      </c>
    </row>
    <row r="1707" spans="9:17" x14ac:dyDescent="0.45">
      <c r="I1707" t="s">
        <v>217</v>
      </c>
      <c r="J1707" t="s">
        <v>340</v>
      </c>
      <c r="K1707">
        <v>4.4461647526483055E-3</v>
      </c>
      <c r="L1707" t="s">
        <v>166</v>
      </c>
      <c r="N1707" t="s">
        <v>282</v>
      </c>
      <c r="O1707" t="s">
        <v>340</v>
      </c>
      <c r="P1707">
        <v>3.7841664686406045E-3</v>
      </c>
      <c r="Q1707" t="s">
        <v>166</v>
      </c>
    </row>
    <row r="1708" spans="9:17" x14ac:dyDescent="0.45">
      <c r="I1708" t="s">
        <v>217</v>
      </c>
      <c r="J1708" t="s">
        <v>341</v>
      </c>
      <c r="K1708">
        <v>1.9602127683355395E-3</v>
      </c>
      <c r="L1708" t="s">
        <v>166</v>
      </c>
      <c r="N1708" t="s">
        <v>282</v>
      </c>
      <c r="O1708" t="s">
        <v>341</v>
      </c>
      <c r="P1708">
        <v>1.9025239097640256E-2</v>
      </c>
      <c r="Q1708" t="s">
        <v>166</v>
      </c>
    </row>
    <row r="1709" spans="9:17" x14ac:dyDescent="0.45">
      <c r="I1709" t="s">
        <v>217</v>
      </c>
      <c r="J1709" t="s">
        <v>175</v>
      </c>
      <c r="K1709">
        <v>1.6268252010304522E-2</v>
      </c>
      <c r="L1709" t="s">
        <v>166</v>
      </c>
      <c r="N1709" t="s">
        <v>282</v>
      </c>
      <c r="O1709" t="s">
        <v>175</v>
      </c>
      <c r="P1709">
        <v>3.9038871358611518E-2</v>
      </c>
      <c r="Q1709" t="s">
        <v>166</v>
      </c>
    </row>
    <row r="1710" spans="9:17" x14ac:dyDescent="0.45">
      <c r="I1710" t="s">
        <v>217</v>
      </c>
      <c r="J1710" t="s">
        <v>176</v>
      </c>
      <c r="K1710">
        <v>8.0702133903877669E-3</v>
      </c>
      <c r="L1710" t="s">
        <v>166</v>
      </c>
      <c r="N1710" t="s">
        <v>282</v>
      </c>
      <c r="O1710" t="s">
        <v>176</v>
      </c>
      <c r="P1710">
        <v>2.3417911114173833E-3</v>
      </c>
      <c r="Q1710" t="s">
        <v>166</v>
      </c>
    </row>
    <row r="1711" spans="9:17" x14ac:dyDescent="0.45">
      <c r="I1711" t="s">
        <v>217</v>
      </c>
      <c r="J1711" t="s">
        <v>177</v>
      </c>
      <c r="K1711">
        <v>5.0870987015474732E-2</v>
      </c>
      <c r="L1711" t="s">
        <v>166</v>
      </c>
      <c r="N1711" t="s">
        <v>282</v>
      </c>
      <c r="O1711" t="s">
        <v>177</v>
      </c>
      <c r="P1711">
        <v>1.2205130014182441E-2</v>
      </c>
      <c r="Q1711" t="s">
        <v>166</v>
      </c>
    </row>
    <row r="1712" spans="9:17" x14ac:dyDescent="0.45">
      <c r="I1712" t="s">
        <v>217</v>
      </c>
      <c r="J1712" t="s">
        <v>342</v>
      </c>
      <c r="K1712">
        <v>6.4875899803607156E-3</v>
      </c>
      <c r="L1712" t="s">
        <v>166</v>
      </c>
      <c r="N1712" t="s">
        <v>282</v>
      </c>
      <c r="O1712" t="s">
        <v>342</v>
      </c>
      <c r="P1712">
        <v>1.6566593657785698E-3</v>
      </c>
      <c r="Q1712" t="s">
        <v>166</v>
      </c>
    </row>
    <row r="1713" spans="9:17" x14ac:dyDescent="0.45">
      <c r="I1713" t="s">
        <v>217</v>
      </c>
      <c r="J1713" t="s">
        <v>343</v>
      </c>
      <c r="K1713">
        <v>4.8324747163184271E-3</v>
      </c>
      <c r="L1713" t="s">
        <v>166</v>
      </c>
      <c r="N1713" t="s">
        <v>282</v>
      </c>
      <c r="O1713" t="s">
        <v>343</v>
      </c>
      <c r="P1713">
        <v>1.677019692663971E-3</v>
      </c>
      <c r="Q1713" t="s">
        <v>166</v>
      </c>
    </row>
    <row r="1714" spans="9:17" x14ac:dyDescent="0.45">
      <c r="I1714" t="s">
        <v>217</v>
      </c>
      <c r="J1714" t="s">
        <v>344</v>
      </c>
      <c r="K1714">
        <v>2.2430415100794117E-3</v>
      </c>
      <c r="L1714" t="s">
        <v>166</v>
      </c>
      <c r="N1714" t="s">
        <v>282</v>
      </c>
      <c r="O1714" t="s">
        <v>344</v>
      </c>
      <c r="P1714">
        <v>1.3470999945668584E-2</v>
      </c>
      <c r="Q1714" t="s">
        <v>166</v>
      </c>
    </row>
    <row r="1715" spans="9:17" x14ac:dyDescent="0.45">
      <c r="I1715" t="s">
        <v>217</v>
      </c>
      <c r="J1715" t="s">
        <v>345</v>
      </c>
      <c r="K1715">
        <v>3.3057238069164392E-2</v>
      </c>
      <c r="L1715" t="s">
        <v>166</v>
      </c>
      <c r="N1715" t="s">
        <v>282</v>
      </c>
      <c r="O1715" t="s">
        <v>345</v>
      </c>
      <c r="P1715">
        <v>8.2490855725452311E-2</v>
      </c>
      <c r="Q1715" t="s">
        <v>166</v>
      </c>
    </row>
    <row r="1716" spans="9:17" x14ac:dyDescent="0.45">
      <c r="I1716" t="s">
        <v>217</v>
      </c>
      <c r="J1716" t="s">
        <v>346</v>
      </c>
      <c r="K1716">
        <v>1.6630856015157538E-2</v>
      </c>
      <c r="L1716" t="s">
        <v>166</v>
      </c>
      <c r="N1716" t="s">
        <v>282</v>
      </c>
      <c r="O1716" t="s">
        <v>346</v>
      </c>
      <c r="P1716">
        <v>6.0428912171967579E-3</v>
      </c>
      <c r="Q1716" t="s">
        <v>166</v>
      </c>
    </row>
    <row r="1717" spans="9:17" x14ac:dyDescent="0.45">
      <c r="I1717" t="s">
        <v>217</v>
      </c>
      <c r="J1717" t="s">
        <v>347</v>
      </c>
      <c r="K1717">
        <v>0.10084050395902198</v>
      </c>
      <c r="L1717" t="s">
        <v>166</v>
      </c>
      <c r="N1717" t="s">
        <v>282</v>
      </c>
      <c r="O1717" t="s">
        <v>347</v>
      </c>
      <c r="P1717">
        <v>3.8855127697336331E-2</v>
      </c>
      <c r="Q1717" t="s">
        <v>166</v>
      </c>
    </row>
    <row r="1718" spans="9:17" x14ac:dyDescent="0.45">
      <c r="I1718" t="s">
        <v>217</v>
      </c>
      <c r="J1718" t="s">
        <v>348</v>
      </c>
      <c r="K1718">
        <v>1.2639658110701987E-2</v>
      </c>
      <c r="L1718" t="s">
        <v>166</v>
      </c>
      <c r="N1718" t="s">
        <v>282</v>
      </c>
      <c r="O1718" t="s">
        <v>348</v>
      </c>
      <c r="P1718">
        <v>6.8392932651198503E-3</v>
      </c>
      <c r="Q1718" t="s">
        <v>166</v>
      </c>
    </row>
    <row r="1719" spans="9:17" x14ac:dyDescent="0.45">
      <c r="I1719" t="s">
        <v>217</v>
      </c>
      <c r="J1719" t="s">
        <v>349</v>
      </c>
      <c r="K1719">
        <v>8.1983906785687566E-3</v>
      </c>
      <c r="L1719" t="s">
        <v>166</v>
      </c>
      <c r="N1719" t="s">
        <v>282</v>
      </c>
      <c r="O1719" t="s">
        <v>349</v>
      </c>
      <c r="P1719">
        <v>6.7026457956172692E-3</v>
      </c>
      <c r="Q1719" t="s">
        <v>166</v>
      </c>
    </row>
    <row r="1720" spans="9:17" x14ac:dyDescent="0.45">
      <c r="I1720" t="s">
        <v>217</v>
      </c>
      <c r="J1720" t="s">
        <v>350</v>
      </c>
      <c r="K1720">
        <v>1.7115853165973001E-3</v>
      </c>
      <c r="L1720" t="s">
        <v>166</v>
      </c>
      <c r="N1720" t="s">
        <v>282</v>
      </c>
      <c r="O1720" t="s">
        <v>350</v>
      </c>
      <c r="P1720">
        <v>4.1643781859410117E-2</v>
      </c>
      <c r="Q1720" t="s">
        <v>166</v>
      </c>
    </row>
    <row r="1721" spans="9:17" x14ac:dyDescent="0.45">
      <c r="I1721" t="s">
        <v>217</v>
      </c>
      <c r="J1721" t="s">
        <v>351</v>
      </c>
      <c r="K1721">
        <v>1.8256022962270912E-2</v>
      </c>
      <c r="L1721" t="s">
        <v>166</v>
      </c>
      <c r="N1721" t="s">
        <v>282</v>
      </c>
      <c r="O1721" t="s">
        <v>351</v>
      </c>
      <c r="P1721">
        <v>2.5587102635462329E-2</v>
      </c>
      <c r="Q1721" t="s">
        <v>166</v>
      </c>
    </row>
    <row r="1722" spans="9:17" x14ac:dyDescent="0.45">
      <c r="I1722" t="s">
        <v>217</v>
      </c>
      <c r="J1722" t="s">
        <v>352</v>
      </c>
      <c r="K1722">
        <v>8.979463352277001E-3</v>
      </c>
      <c r="L1722" t="s">
        <v>166</v>
      </c>
      <c r="N1722" t="s">
        <v>282</v>
      </c>
      <c r="O1722" t="s">
        <v>352</v>
      </c>
      <c r="P1722">
        <v>1.3133063446997576E-3</v>
      </c>
      <c r="Q1722" t="s">
        <v>166</v>
      </c>
    </row>
    <row r="1723" spans="9:17" x14ac:dyDescent="0.45">
      <c r="I1723" t="s">
        <v>217</v>
      </c>
      <c r="J1723" t="s">
        <v>353</v>
      </c>
      <c r="K1723">
        <v>5.1681076364250692E-2</v>
      </c>
      <c r="L1723" t="s">
        <v>166</v>
      </c>
      <c r="N1723" t="s">
        <v>282</v>
      </c>
      <c r="O1723" t="s">
        <v>353</v>
      </c>
      <c r="P1723">
        <v>1.07750681717779E-2</v>
      </c>
      <c r="Q1723" t="s">
        <v>166</v>
      </c>
    </row>
    <row r="1724" spans="9:17" x14ac:dyDescent="0.45">
      <c r="I1724" t="s">
        <v>217</v>
      </c>
      <c r="J1724" t="s">
        <v>354</v>
      </c>
      <c r="K1724">
        <v>6.0104626778186843E-3</v>
      </c>
      <c r="L1724" t="s">
        <v>166</v>
      </c>
      <c r="N1724" t="s">
        <v>282</v>
      </c>
      <c r="O1724" t="s">
        <v>354</v>
      </c>
      <c r="P1724">
        <v>1.7509462889268453E-3</v>
      </c>
      <c r="Q1724" t="s">
        <v>166</v>
      </c>
    </row>
    <row r="1725" spans="9:17" x14ac:dyDescent="0.45">
      <c r="I1725" t="s">
        <v>217</v>
      </c>
      <c r="J1725" t="s">
        <v>355</v>
      </c>
      <c r="K1725">
        <v>2.9785702785373081E-3</v>
      </c>
      <c r="L1725" t="s">
        <v>166</v>
      </c>
      <c r="N1725" t="s">
        <v>282</v>
      </c>
      <c r="O1725" t="s">
        <v>355</v>
      </c>
      <c r="P1725">
        <v>1.7045845593086663E-3</v>
      </c>
      <c r="Q1725" t="s">
        <v>166</v>
      </c>
    </row>
    <row r="1726" spans="9:17" x14ac:dyDescent="0.45">
      <c r="I1726" t="s">
        <v>217</v>
      </c>
      <c r="J1726" t="s">
        <v>356</v>
      </c>
      <c r="K1726">
        <v>0</v>
      </c>
      <c r="L1726" t="s">
        <v>166</v>
      </c>
      <c r="N1726" t="s">
        <v>282</v>
      </c>
      <c r="O1726" t="s">
        <v>356</v>
      </c>
      <c r="P1726">
        <v>1.3295169636774573E-2</v>
      </c>
      <c r="Q1726" t="s">
        <v>166</v>
      </c>
    </row>
    <row r="1727" spans="9:17" x14ac:dyDescent="0.45">
      <c r="I1727" t="s">
        <v>217</v>
      </c>
      <c r="J1727" t="s">
        <v>357</v>
      </c>
      <c r="K1727">
        <v>2.464237323598471E-2</v>
      </c>
      <c r="L1727" t="s">
        <v>166</v>
      </c>
      <c r="N1727" t="s">
        <v>282</v>
      </c>
      <c r="O1727" t="s">
        <v>357</v>
      </c>
      <c r="P1727">
        <v>7.6924369759114167E-2</v>
      </c>
      <c r="Q1727" t="s">
        <v>166</v>
      </c>
    </row>
    <row r="1728" spans="9:17" x14ac:dyDescent="0.45">
      <c r="I1728" t="s">
        <v>217</v>
      </c>
      <c r="J1728" t="s">
        <v>358</v>
      </c>
      <c r="K1728">
        <v>1.6265592679512348E-2</v>
      </c>
      <c r="L1728" t="s">
        <v>166</v>
      </c>
      <c r="N1728" t="s">
        <v>282</v>
      </c>
      <c r="O1728" t="s">
        <v>358</v>
      </c>
      <c r="P1728">
        <v>5.507092727508189E-3</v>
      </c>
      <c r="Q1728" t="s">
        <v>166</v>
      </c>
    </row>
    <row r="1729" spans="9:17" x14ac:dyDescent="0.45">
      <c r="I1729" t="s">
        <v>217</v>
      </c>
      <c r="J1729" t="s">
        <v>359</v>
      </c>
      <c r="K1729">
        <v>9.2189770605253671E-2</v>
      </c>
      <c r="L1729" t="s">
        <v>166</v>
      </c>
      <c r="N1729" t="s">
        <v>282</v>
      </c>
      <c r="O1729" t="s">
        <v>359</v>
      </c>
      <c r="P1729">
        <v>3.322620927625642E-2</v>
      </c>
      <c r="Q1729" t="s">
        <v>166</v>
      </c>
    </row>
    <row r="1730" spans="9:17" x14ac:dyDescent="0.45">
      <c r="I1730" t="s">
        <v>217</v>
      </c>
      <c r="J1730" t="s">
        <v>360</v>
      </c>
      <c r="K1730">
        <v>9.7123429483140147E-3</v>
      </c>
      <c r="L1730" t="s">
        <v>166</v>
      </c>
      <c r="N1730" t="s">
        <v>282</v>
      </c>
      <c r="O1730" t="s">
        <v>360</v>
      </c>
      <c r="P1730">
        <v>5.1729304175434105E-3</v>
      </c>
      <c r="Q1730" t="s">
        <v>166</v>
      </c>
    </row>
    <row r="1731" spans="9:17" x14ac:dyDescent="0.45">
      <c r="I1731" t="s">
        <v>217</v>
      </c>
      <c r="J1731" t="s">
        <v>361</v>
      </c>
      <c r="K1731">
        <v>4.164605472389321E-5</v>
      </c>
      <c r="L1731" t="s">
        <v>166</v>
      </c>
      <c r="N1731" t="s">
        <v>282</v>
      </c>
      <c r="O1731" t="s">
        <v>361</v>
      </c>
      <c r="P1731">
        <v>5.6153505787598212E-3</v>
      </c>
      <c r="Q1731" t="s">
        <v>166</v>
      </c>
    </row>
    <row r="1732" spans="9:17" x14ac:dyDescent="0.45">
      <c r="I1732" t="s">
        <v>217</v>
      </c>
      <c r="J1732" t="s">
        <v>362</v>
      </c>
      <c r="K1732">
        <v>0</v>
      </c>
      <c r="L1732" t="s">
        <v>166</v>
      </c>
      <c r="N1732" t="s">
        <v>282</v>
      </c>
      <c r="O1732" t="s">
        <v>362</v>
      </c>
      <c r="P1732">
        <v>3.6263131072455317E-2</v>
      </c>
      <c r="Q1732" t="s">
        <v>166</v>
      </c>
    </row>
    <row r="1733" spans="9:17" x14ac:dyDescent="0.45">
      <c r="I1733" t="s">
        <v>218</v>
      </c>
      <c r="J1733" t="s">
        <v>165</v>
      </c>
      <c r="K1733">
        <v>3.8121473816428816E-2</v>
      </c>
      <c r="L1733" t="s">
        <v>166</v>
      </c>
      <c r="N1733" t="s">
        <v>283</v>
      </c>
      <c r="O1733" t="s">
        <v>165</v>
      </c>
      <c r="P1733">
        <v>0.1075540030358433</v>
      </c>
      <c r="Q1733" t="s">
        <v>166</v>
      </c>
    </row>
    <row r="1734" spans="9:17" x14ac:dyDescent="0.45">
      <c r="I1734" t="s">
        <v>218</v>
      </c>
      <c r="J1734" t="s">
        <v>167</v>
      </c>
      <c r="K1734">
        <v>2.6026127504750713E-2</v>
      </c>
      <c r="L1734" t="s">
        <v>166</v>
      </c>
      <c r="N1734" t="s">
        <v>283</v>
      </c>
      <c r="O1734" t="s">
        <v>167</v>
      </c>
      <c r="P1734">
        <v>7.0091204491727213E-3</v>
      </c>
      <c r="Q1734" t="s">
        <v>166</v>
      </c>
    </row>
    <row r="1735" spans="9:17" x14ac:dyDescent="0.45">
      <c r="I1735" t="s">
        <v>218</v>
      </c>
      <c r="J1735" t="s">
        <v>168</v>
      </c>
      <c r="K1735">
        <v>0.1553426498525573</v>
      </c>
      <c r="L1735" t="s">
        <v>166</v>
      </c>
      <c r="N1735" t="s">
        <v>283</v>
      </c>
      <c r="O1735" t="s">
        <v>168</v>
      </c>
      <c r="P1735">
        <v>4.2250466798826318E-2</v>
      </c>
      <c r="Q1735" t="s">
        <v>166</v>
      </c>
    </row>
    <row r="1736" spans="9:17" x14ac:dyDescent="0.45">
      <c r="I1736" t="s">
        <v>218</v>
      </c>
      <c r="J1736" t="s">
        <v>333</v>
      </c>
      <c r="K1736">
        <v>1.9562542342704506E-2</v>
      </c>
      <c r="L1736" t="s">
        <v>166</v>
      </c>
      <c r="N1736" t="s">
        <v>283</v>
      </c>
      <c r="O1736" t="s">
        <v>333</v>
      </c>
      <c r="P1736">
        <v>6.8232797479702489E-3</v>
      </c>
      <c r="Q1736" t="s">
        <v>166</v>
      </c>
    </row>
    <row r="1737" spans="9:17" x14ac:dyDescent="0.45">
      <c r="I1737" t="s">
        <v>218</v>
      </c>
      <c r="J1737" t="s">
        <v>334</v>
      </c>
      <c r="K1737">
        <v>1.0052032803132618E-2</v>
      </c>
      <c r="L1737" t="s">
        <v>166</v>
      </c>
      <c r="N1737" t="s">
        <v>283</v>
      </c>
      <c r="O1737" t="s">
        <v>334</v>
      </c>
      <c r="P1737">
        <v>6.5175070526514835E-3</v>
      </c>
      <c r="Q1737" t="s">
        <v>166</v>
      </c>
    </row>
    <row r="1738" spans="9:17" x14ac:dyDescent="0.45">
      <c r="I1738" t="s">
        <v>218</v>
      </c>
      <c r="J1738" t="s">
        <v>335</v>
      </c>
      <c r="K1738">
        <v>0</v>
      </c>
      <c r="L1738" t="s">
        <v>166</v>
      </c>
      <c r="N1738" t="s">
        <v>283</v>
      </c>
      <c r="O1738" t="s">
        <v>335</v>
      </c>
      <c r="P1738">
        <v>4.3290485985192244E-2</v>
      </c>
      <c r="Q1738" t="s">
        <v>166</v>
      </c>
    </row>
    <row r="1739" spans="9:17" x14ac:dyDescent="0.45">
      <c r="I1739" t="s">
        <v>218</v>
      </c>
      <c r="J1739" t="s">
        <v>169</v>
      </c>
      <c r="K1739">
        <v>3.6904254124687584E-2</v>
      </c>
      <c r="L1739" t="s">
        <v>166</v>
      </c>
      <c r="N1739" t="s">
        <v>283</v>
      </c>
      <c r="O1739" t="s">
        <v>169</v>
      </c>
      <c r="P1739">
        <v>9.5443081356139686E-2</v>
      </c>
      <c r="Q1739" t="s">
        <v>166</v>
      </c>
    </row>
    <row r="1740" spans="9:17" x14ac:dyDescent="0.45">
      <c r="I1740" t="s">
        <v>218</v>
      </c>
      <c r="J1740" t="s">
        <v>170</v>
      </c>
      <c r="K1740">
        <v>1.7420124218923107E-2</v>
      </c>
      <c r="L1740" t="s">
        <v>166</v>
      </c>
      <c r="N1740" t="s">
        <v>283</v>
      </c>
      <c r="O1740" t="s">
        <v>170</v>
      </c>
      <c r="P1740">
        <v>7.6093849223754688E-3</v>
      </c>
      <c r="Q1740" t="s">
        <v>166</v>
      </c>
    </row>
    <row r="1741" spans="9:17" x14ac:dyDescent="0.45">
      <c r="I1741" t="s">
        <v>218</v>
      </c>
      <c r="J1741" t="s">
        <v>171</v>
      </c>
      <c r="K1741">
        <v>0.10591684818381833</v>
      </c>
      <c r="L1741" t="s">
        <v>166</v>
      </c>
      <c r="N1741" t="s">
        <v>283</v>
      </c>
      <c r="O1741" t="s">
        <v>171</v>
      </c>
      <c r="P1741">
        <v>4.2382958735487787E-2</v>
      </c>
      <c r="Q1741" t="s">
        <v>166</v>
      </c>
    </row>
    <row r="1742" spans="9:17" x14ac:dyDescent="0.45">
      <c r="I1742" t="s">
        <v>218</v>
      </c>
      <c r="J1742" t="s">
        <v>336</v>
      </c>
      <c r="K1742">
        <v>1.3237852826025857E-2</v>
      </c>
      <c r="L1742" t="s">
        <v>166</v>
      </c>
      <c r="N1742" t="s">
        <v>283</v>
      </c>
      <c r="O1742" t="s">
        <v>336</v>
      </c>
      <c r="P1742">
        <v>7.242401288946679E-3</v>
      </c>
      <c r="Q1742" t="s">
        <v>166</v>
      </c>
    </row>
    <row r="1743" spans="9:17" x14ac:dyDescent="0.45">
      <c r="I1743" t="s">
        <v>218</v>
      </c>
      <c r="J1743" t="s">
        <v>337</v>
      </c>
      <c r="K1743">
        <v>8.9426044562202298E-3</v>
      </c>
      <c r="L1743" t="s">
        <v>166</v>
      </c>
      <c r="N1743" t="s">
        <v>283</v>
      </c>
      <c r="O1743" t="s">
        <v>337</v>
      </c>
      <c r="P1743">
        <v>6.8583597070783608E-3</v>
      </c>
      <c r="Q1743" t="s">
        <v>166</v>
      </c>
    </row>
    <row r="1744" spans="9:17" x14ac:dyDescent="0.45">
      <c r="I1744" t="s">
        <v>218</v>
      </c>
      <c r="J1744" t="s">
        <v>338</v>
      </c>
      <c r="K1744">
        <v>2.5578411021351085E-3</v>
      </c>
      <c r="L1744" t="s">
        <v>166</v>
      </c>
      <c r="N1744" t="s">
        <v>283</v>
      </c>
      <c r="O1744" t="s">
        <v>338</v>
      </c>
      <c r="P1744">
        <v>3.8837615894273772E-2</v>
      </c>
      <c r="Q1744" t="s">
        <v>166</v>
      </c>
    </row>
    <row r="1745" spans="9:17" x14ac:dyDescent="0.45">
      <c r="I1745" t="s">
        <v>218</v>
      </c>
      <c r="J1745" t="s">
        <v>172</v>
      </c>
      <c r="K1745">
        <v>1.7915944432877945E-2</v>
      </c>
      <c r="L1745" t="s">
        <v>166</v>
      </c>
      <c r="N1745" t="s">
        <v>283</v>
      </c>
      <c r="O1745" t="s">
        <v>172</v>
      </c>
      <c r="P1745">
        <v>5.0925553426887919E-2</v>
      </c>
      <c r="Q1745" t="s">
        <v>166</v>
      </c>
    </row>
    <row r="1746" spans="9:17" x14ac:dyDescent="0.45">
      <c r="I1746" t="s">
        <v>218</v>
      </c>
      <c r="J1746" t="s">
        <v>173</v>
      </c>
      <c r="K1746">
        <v>7.9425481958234727E-3</v>
      </c>
      <c r="L1746" t="s">
        <v>166</v>
      </c>
      <c r="N1746" t="s">
        <v>283</v>
      </c>
      <c r="O1746" t="s">
        <v>173</v>
      </c>
      <c r="P1746">
        <v>3.6875687110669037E-3</v>
      </c>
      <c r="Q1746" t="s">
        <v>166</v>
      </c>
    </row>
    <row r="1747" spans="9:17" x14ac:dyDescent="0.45">
      <c r="I1747" t="s">
        <v>218</v>
      </c>
      <c r="J1747" t="s">
        <v>174</v>
      </c>
      <c r="K1747">
        <v>4.8882455734585856E-2</v>
      </c>
      <c r="L1747" t="s">
        <v>166</v>
      </c>
      <c r="N1747" t="s">
        <v>283</v>
      </c>
      <c r="O1747" t="s">
        <v>174</v>
      </c>
      <c r="P1747">
        <v>1.9332736662033317E-2</v>
      </c>
      <c r="Q1747" t="s">
        <v>166</v>
      </c>
    </row>
    <row r="1748" spans="9:17" x14ac:dyDescent="0.45">
      <c r="I1748" t="s">
        <v>218</v>
      </c>
      <c r="J1748" t="s">
        <v>339</v>
      </c>
      <c r="K1748">
        <v>5.9379910948352431E-3</v>
      </c>
      <c r="L1748" t="s">
        <v>166</v>
      </c>
      <c r="N1748" t="s">
        <v>283</v>
      </c>
      <c r="O1748" t="s">
        <v>339</v>
      </c>
      <c r="P1748">
        <v>3.4264769231025886E-3</v>
      </c>
      <c r="Q1748" t="s">
        <v>166</v>
      </c>
    </row>
    <row r="1749" spans="9:17" x14ac:dyDescent="0.45">
      <c r="I1749" t="s">
        <v>218</v>
      </c>
      <c r="J1749" t="s">
        <v>340</v>
      </c>
      <c r="K1749">
        <v>4.249296134960257E-3</v>
      </c>
      <c r="L1749" t="s">
        <v>166</v>
      </c>
      <c r="N1749" t="s">
        <v>283</v>
      </c>
      <c r="O1749" t="s">
        <v>340</v>
      </c>
      <c r="P1749">
        <v>3.3837306944394883E-3</v>
      </c>
      <c r="Q1749" t="s">
        <v>166</v>
      </c>
    </row>
    <row r="1750" spans="9:17" x14ac:dyDescent="0.45">
      <c r="I1750" t="s">
        <v>218</v>
      </c>
      <c r="J1750" t="s">
        <v>341</v>
      </c>
      <c r="K1750">
        <v>1.9120560732861784E-3</v>
      </c>
      <c r="L1750" t="s">
        <v>166</v>
      </c>
      <c r="N1750" t="s">
        <v>283</v>
      </c>
      <c r="O1750" t="s">
        <v>341</v>
      </c>
      <c r="P1750">
        <v>2.0084635352314032E-2</v>
      </c>
      <c r="Q1750" t="s">
        <v>166</v>
      </c>
    </row>
    <row r="1751" spans="9:17" x14ac:dyDescent="0.45">
      <c r="I1751" t="s">
        <v>218</v>
      </c>
      <c r="J1751" t="s">
        <v>175</v>
      </c>
      <c r="K1751">
        <v>1.5865477439229538E-2</v>
      </c>
      <c r="L1751" t="s">
        <v>166</v>
      </c>
      <c r="N1751" t="s">
        <v>283</v>
      </c>
      <c r="O1751" t="s">
        <v>175</v>
      </c>
      <c r="P1751">
        <v>4.6794280728073089E-2</v>
      </c>
      <c r="Q1751" t="s">
        <v>166</v>
      </c>
    </row>
    <row r="1752" spans="9:17" x14ac:dyDescent="0.45">
      <c r="I1752" t="s">
        <v>218</v>
      </c>
      <c r="J1752" t="s">
        <v>176</v>
      </c>
      <c r="K1752">
        <v>7.8489151181039291E-3</v>
      </c>
      <c r="L1752" t="s">
        <v>166</v>
      </c>
      <c r="N1752" t="s">
        <v>283</v>
      </c>
      <c r="O1752" t="s">
        <v>176</v>
      </c>
      <c r="P1752">
        <v>3.089884538937012E-3</v>
      </c>
      <c r="Q1752" t="s">
        <v>166</v>
      </c>
    </row>
    <row r="1753" spans="9:17" x14ac:dyDescent="0.45">
      <c r="I1753" t="s">
        <v>218</v>
      </c>
      <c r="J1753" t="s">
        <v>177</v>
      </c>
      <c r="K1753">
        <v>4.8976687728542724E-2</v>
      </c>
      <c r="L1753" t="s">
        <v>166</v>
      </c>
      <c r="N1753" t="s">
        <v>283</v>
      </c>
      <c r="O1753" t="s">
        <v>177</v>
      </c>
      <c r="P1753">
        <v>1.3533874080893391E-2</v>
      </c>
      <c r="Q1753" t="s">
        <v>166</v>
      </c>
    </row>
    <row r="1754" spans="9:17" x14ac:dyDescent="0.45">
      <c r="I1754" t="s">
        <v>218</v>
      </c>
      <c r="J1754" t="s">
        <v>342</v>
      </c>
      <c r="K1754">
        <v>5.945398300008474E-3</v>
      </c>
      <c r="L1754" t="s">
        <v>166</v>
      </c>
      <c r="N1754" t="s">
        <v>283</v>
      </c>
      <c r="O1754" t="s">
        <v>342</v>
      </c>
      <c r="P1754">
        <v>1.742635140701416E-3</v>
      </c>
      <c r="Q1754" t="s">
        <v>166</v>
      </c>
    </row>
    <row r="1755" spans="9:17" x14ac:dyDescent="0.45">
      <c r="I1755" t="s">
        <v>218</v>
      </c>
      <c r="J1755" t="s">
        <v>343</v>
      </c>
      <c r="K1755">
        <v>4.1804978683807814E-3</v>
      </c>
      <c r="L1755" t="s">
        <v>166</v>
      </c>
      <c r="N1755" t="s">
        <v>283</v>
      </c>
      <c r="O1755" t="s">
        <v>343</v>
      </c>
      <c r="P1755">
        <v>1.8621012422088247E-3</v>
      </c>
      <c r="Q1755" t="s">
        <v>166</v>
      </c>
    </row>
    <row r="1756" spans="9:17" x14ac:dyDescent="0.45">
      <c r="I1756" t="s">
        <v>218</v>
      </c>
      <c r="J1756" t="s">
        <v>344</v>
      </c>
      <c r="K1756">
        <v>1.7720745007889249E-3</v>
      </c>
      <c r="L1756" t="s">
        <v>166</v>
      </c>
      <c r="N1756" t="s">
        <v>283</v>
      </c>
      <c r="O1756" t="s">
        <v>344</v>
      </c>
      <c r="P1756">
        <v>1.6488482119177857E-2</v>
      </c>
      <c r="Q1756" t="s">
        <v>166</v>
      </c>
    </row>
    <row r="1757" spans="9:17" x14ac:dyDescent="0.45">
      <c r="I1757" t="s">
        <v>218</v>
      </c>
      <c r="J1757" t="s">
        <v>345</v>
      </c>
      <c r="K1757">
        <v>3.3114320301705927E-2</v>
      </c>
      <c r="L1757" t="s">
        <v>166</v>
      </c>
      <c r="N1757" t="s">
        <v>283</v>
      </c>
      <c r="O1757" t="s">
        <v>345</v>
      </c>
      <c r="P1757">
        <v>9.089467195407272E-2</v>
      </c>
      <c r="Q1757" t="s">
        <v>166</v>
      </c>
    </row>
    <row r="1758" spans="9:17" x14ac:dyDescent="0.45">
      <c r="I1758" t="s">
        <v>218</v>
      </c>
      <c r="J1758" t="s">
        <v>346</v>
      </c>
      <c r="K1758">
        <v>1.6411703451838837E-2</v>
      </c>
      <c r="L1758" t="s">
        <v>166</v>
      </c>
      <c r="N1758" t="s">
        <v>283</v>
      </c>
      <c r="O1758" t="s">
        <v>346</v>
      </c>
      <c r="P1758">
        <v>5.7311882890160367E-3</v>
      </c>
      <c r="Q1758" t="s">
        <v>166</v>
      </c>
    </row>
    <row r="1759" spans="9:17" x14ac:dyDescent="0.45">
      <c r="I1759" t="s">
        <v>218</v>
      </c>
      <c r="J1759" t="s">
        <v>347</v>
      </c>
      <c r="K1759">
        <v>9.936409255389321E-2</v>
      </c>
      <c r="L1759" t="s">
        <v>166</v>
      </c>
      <c r="N1759" t="s">
        <v>283</v>
      </c>
      <c r="O1759" t="s">
        <v>347</v>
      </c>
      <c r="P1759">
        <v>3.1873390162970271E-2</v>
      </c>
      <c r="Q1759" t="s">
        <v>166</v>
      </c>
    </row>
    <row r="1760" spans="9:17" x14ac:dyDescent="0.45">
      <c r="I1760" t="s">
        <v>218</v>
      </c>
      <c r="J1760" t="s">
        <v>348</v>
      </c>
      <c r="K1760">
        <v>1.2317846087794203E-2</v>
      </c>
      <c r="L1760" t="s">
        <v>166</v>
      </c>
      <c r="N1760" t="s">
        <v>283</v>
      </c>
      <c r="O1760" t="s">
        <v>348</v>
      </c>
      <c r="P1760">
        <v>5.8235386140033088E-3</v>
      </c>
      <c r="Q1760" t="s">
        <v>166</v>
      </c>
    </row>
    <row r="1761" spans="9:17" x14ac:dyDescent="0.45">
      <c r="I1761" t="s">
        <v>218</v>
      </c>
      <c r="J1761" t="s">
        <v>349</v>
      </c>
      <c r="K1761">
        <v>7.8541255023240469E-3</v>
      </c>
      <c r="L1761" t="s">
        <v>166</v>
      </c>
      <c r="N1761" t="s">
        <v>283</v>
      </c>
      <c r="O1761" t="s">
        <v>349</v>
      </c>
      <c r="P1761">
        <v>5.9487746448106029E-3</v>
      </c>
      <c r="Q1761" t="s">
        <v>166</v>
      </c>
    </row>
    <row r="1762" spans="9:17" x14ac:dyDescent="0.45">
      <c r="I1762" t="s">
        <v>218</v>
      </c>
      <c r="J1762" t="s">
        <v>350</v>
      </c>
      <c r="K1762">
        <v>1.5376935294203376E-3</v>
      </c>
      <c r="L1762" t="s">
        <v>166</v>
      </c>
      <c r="N1762" t="s">
        <v>283</v>
      </c>
      <c r="O1762" t="s">
        <v>350</v>
      </c>
      <c r="P1762">
        <v>4.0348429247284233E-2</v>
      </c>
      <c r="Q1762" t="s">
        <v>166</v>
      </c>
    </row>
    <row r="1763" spans="9:17" x14ac:dyDescent="0.45">
      <c r="I1763" t="s">
        <v>218</v>
      </c>
      <c r="J1763" t="s">
        <v>351</v>
      </c>
      <c r="K1763">
        <v>1.7347840062637163E-2</v>
      </c>
      <c r="L1763" t="s">
        <v>166</v>
      </c>
      <c r="N1763" t="s">
        <v>283</v>
      </c>
      <c r="O1763" t="s">
        <v>351</v>
      </c>
      <c r="P1763">
        <v>2.8856095049030705E-2</v>
      </c>
      <c r="Q1763" t="s">
        <v>166</v>
      </c>
    </row>
    <row r="1764" spans="9:17" x14ac:dyDescent="0.45">
      <c r="I1764" t="s">
        <v>218</v>
      </c>
      <c r="J1764" t="s">
        <v>352</v>
      </c>
      <c r="K1764">
        <v>8.3475439765402261E-3</v>
      </c>
      <c r="L1764" t="s">
        <v>166</v>
      </c>
      <c r="N1764" t="s">
        <v>283</v>
      </c>
      <c r="O1764" t="s">
        <v>352</v>
      </c>
      <c r="P1764">
        <v>1.2193787184568679E-3</v>
      </c>
      <c r="Q1764" t="s">
        <v>166</v>
      </c>
    </row>
    <row r="1765" spans="9:17" x14ac:dyDescent="0.45">
      <c r="I1765" t="s">
        <v>218</v>
      </c>
      <c r="J1765" t="s">
        <v>353</v>
      </c>
      <c r="K1765">
        <v>4.8077753451827569E-2</v>
      </c>
      <c r="L1765" t="s">
        <v>166</v>
      </c>
      <c r="N1765" t="s">
        <v>283</v>
      </c>
      <c r="O1765" t="s">
        <v>353</v>
      </c>
      <c r="P1765">
        <v>5.695533453028972E-3</v>
      </c>
      <c r="Q1765" t="s">
        <v>166</v>
      </c>
    </row>
    <row r="1766" spans="9:17" x14ac:dyDescent="0.45">
      <c r="I1766" t="s">
        <v>218</v>
      </c>
      <c r="J1766" t="s">
        <v>354</v>
      </c>
      <c r="K1766">
        <v>5.3114123851581135E-3</v>
      </c>
      <c r="L1766" t="s">
        <v>166</v>
      </c>
      <c r="N1766" t="s">
        <v>283</v>
      </c>
      <c r="O1766" t="s">
        <v>354</v>
      </c>
      <c r="P1766">
        <v>9.4423950804190318E-4</v>
      </c>
      <c r="Q1766" t="s">
        <v>166</v>
      </c>
    </row>
    <row r="1767" spans="9:17" x14ac:dyDescent="0.45">
      <c r="I1767" t="s">
        <v>218</v>
      </c>
      <c r="J1767" t="s">
        <v>355</v>
      </c>
      <c r="K1767">
        <v>2.1191090132003142E-3</v>
      </c>
      <c r="L1767" t="s">
        <v>166</v>
      </c>
      <c r="N1767" t="s">
        <v>283</v>
      </c>
      <c r="O1767" t="s">
        <v>355</v>
      </c>
      <c r="P1767">
        <v>1.2185759935668264E-3</v>
      </c>
      <c r="Q1767" t="s">
        <v>166</v>
      </c>
    </row>
    <row r="1768" spans="9:17" x14ac:dyDescent="0.45">
      <c r="I1768" t="s">
        <v>218</v>
      </c>
      <c r="J1768" t="s">
        <v>356</v>
      </c>
      <c r="K1768">
        <v>0</v>
      </c>
      <c r="L1768" t="s">
        <v>166</v>
      </c>
      <c r="N1768" t="s">
        <v>283</v>
      </c>
      <c r="O1768" t="s">
        <v>356</v>
      </c>
      <c r="P1768">
        <v>1.198429288031214E-2</v>
      </c>
      <c r="Q1768" t="s">
        <v>166</v>
      </c>
    </row>
    <row r="1769" spans="9:17" x14ac:dyDescent="0.45">
      <c r="I1769" t="s">
        <v>218</v>
      </c>
      <c r="J1769" t="s">
        <v>357</v>
      </c>
      <c r="K1769">
        <v>2.424380069214762E-2</v>
      </c>
      <c r="L1769" t="s">
        <v>166</v>
      </c>
      <c r="N1769" t="s">
        <v>283</v>
      </c>
      <c r="O1769" t="s">
        <v>357</v>
      </c>
      <c r="P1769">
        <v>8.351329631085587E-2</v>
      </c>
      <c r="Q1769" t="s">
        <v>166</v>
      </c>
    </row>
    <row r="1770" spans="9:17" x14ac:dyDescent="0.45">
      <c r="I1770" t="s">
        <v>218</v>
      </c>
      <c r="J1770" t="s">
        <v>358</v>
      </c>
      <c r="K1770">
        <v>1.6224368375783255E-2</v>
      </c>
      <c r="L1770" t="s">
        <v>166</v>
      </c>
      <c r="N1770" t="s">
        <v>283</v>
      </c>
      <c r="O1770" t="s">
        <v>358</v>
      </c>
      <c r="P1770">
        <v>6.017444239431618E-3</v>
      </c>
      <c r="Q1770" t="s">
        <v>166</v>
      </c>
    </row>
    <row r="1771" spans="9:17" x14ac:dyDescent="0.45">
      <c r="I1771" t="s">
        <v>218</v>
      </c>
      <c r="J1771" t="s">
        <v>359</v>
      </c>
      <c r="K1771">
        <v>9.2967058935797792E-2</v>
      </c>
      <c r="L1771" t="s">
        <v>166</v>
      </c>
      <c r="N1771" t="s">
        <v>283</v>
      </c>
      <c r="O1771" t="s">
        <v>359</v>
      </c>
      <c r="P1771">
        <v>3.4620431221980587E-2</v>
      </c>
      <c r="Q1771" t="s">
        <v>166</v>
      </c>
    </row>
    <row r="1772" spans="9:17" x14ac:dyDescent="0.45">
      <c r="I1772" t="s">
        <v>218</v>
      </c>
      <c r="J1772" t="s">
        <v>360</v>
      </c>
      <c r="K1772">
        <v>9.2470410740989155E-3</v>
      </c>
      <c r="L1772" t="s">
        <v>166</v>
      </c>
      <c r="N1772" t="s">
        <v>283</v>
      </c>
      <c r="O1772" t="s">
        <v>360</v>
      </c>
      <c r="P1772">
        <v>5.6684507109189949E-3</v>
      </c>
      <c r="Q1772" t="s">
        <v>166</v>
      </c>
    </row>
    <row r="1773" spans="9:17" x14ac:dyDescent="0.45">
      <c r="I1773" t="s">
        <v>218</v>
      </c>
      <c r="J1773" t="s">
        <v>361</v>
      </c>
      <c r="K1773">
        <v>5.9675302274017254E-7</v>
      </c>
      <c r="L1773" t="s">
        <v>166</v>
      </c>
      <c r="N1773" t="s">
        <v>283</v>
      </c>
      <c r="O1773" t="s">
        <v>361</v>
      </c>
      <c r="P1773">
        <v>6.2023761859215289E-3</v>
      </c>
      <c r="Q1773" t="s">
        <v>166</v>
      </c>
    </row>
    <row r="1774" spans="9:17" x14ac:dyDescent="0.45">
      <c r="I1774" t="s">
        <v>218</v>
      </c>
      <c r="J1774" t="s">
        <v>362</v>
      </c>
      <c r="K1774">
        <v>0</v>
      </c>
      <c r="L1774" t="s">
        <v>166</v>
      </c>
      <c r="N1774" t="s">
        <v>283</v>
      </c>
      <c r="O1774" t="s">
        <v>362</v>
      </c>
      <c r="P1774">
        <v>3.7269268222506861E-2</v>
      </c>
      <c r="Q1774" t="s">
        <v>166</v>
      </c>
    </row>
    <row r="1775" spans="9:17" x14ac:dyDescent="0.45">
      <c r="I1775" t="s">
        <v>219</v>
      </c>
      <c r="J1775" t="s">
        <v>165</v>
      </c>
      <c r="K1775">
        <v>4.7454108543803906E-2</v>
      </c>
      <c r="L1775" t="s">
        <v>166</v>
      </c>
      <c r="N1775" t="s">
        <v>284</v>
      </c>
      <c r="O1775" t="s">
        <v>165</v>
      </c>
      <c r="P1775">
        <v>0.10803478849107931</v>
      </c>
      <c r="Q1775" t="s">
        <v>166</v>
      </c>
    </row>
    <row r="1776" spans="9:17" x14ac:dyDescent="0.45">
      <c r="I1776" t="s">
        <v>219</v>
      </c>
      <c r="J1776" t="s">
        <v>167</v>
      </c>
      <c r="K1776">
        <v>2.6429083262388433E-2</v>
      </c>
      <c r="L1776" t="s">
        <v>166</v>
      </c>
      <c r="N1776" t="s">
        <v>284</v>
      </c>
      <c r="O1776" t="s">
        <v>167</v>
      </c>
      <c r="P1776">
        <v>7.8483297070629406E-3</v>
      </c>
      <c r="Q1776" t="s">
        <v>166</v>
      </c>
    </row>
    <row r="1777" spans="9:17" x14ac:dyDescent="0.45">
      <c r="I1777" t="s">
        <v>219</v>
      </c>
      <c r="J1777" t="s">
        <v>168</v>
      </c>
      <c r="K1777">
        <v>0.15402780297680008</v>
      </c>
      <c r="L1777" t="s">
        <v>166</v>
      </c>
      <c r="N1777" t="s">
        <v>284</v>
      </c>
      <c r="O1777" t="s">
        <v>168</v>
      </c>
      <c r="P1777">
        <v>5.2997500896699336E-2</v>
      </c>
      <c r="Q1777" t="s">
        <v>166</v>
      </c>
    </row>
    <row r="1778" spans="9:17" x14ac:dyDescent="0.45">
      <c r="I1778" t="s">
        <v>219</v>
      </c>
      <c r="J1778" t="s">
        <v>333</v>
      </c>
      <c r="K1778">
        <v>1.6766352854980252E-2</v>
      </c>
      <c r="L1778" t="s">
        <v>166</v>
      </c>
      <c r="N1778" t="s">
        <v>284</v>
      </c>
      <c r="O1778" t="s">
        <v>333</v>
      </c>
      <c r="P1778">
        <v>9.7493972253494508E-3</v>
      </c>
      <c r="Q1778" t="s">
        <v>166</v>
      </c>
    </row>
    <row r="1779" spans="9:17" x14ac:dyDescent="0.45">
      <c r="I1779" t="s">
        <v>219</v>
      </c>
      <c r="J1779" t="s">
        <v>334</v>
      </c>
      <c r="K1779">
        <v>6.1112687946350691E-3</v>
      </c>
      <c r="L1779" t="s">
        <v>166</v>
      </c>
      <c r="N1779" t="s">
        <v>284</v>
      </c>
      <c r="O1779" t="s">
        <v>334</v>
      </c>
      <c r="P1779">
        <v>1.0404869045286719E-2</v>
      </c>
      <c r="Q1779" t="s">
        <v>166</v>
      </c>
    </row>
    <row r="1780" spans="9:17" x14ac:dyDescent="0.45">
      <c r="I1780" t="s">
        <v>219</v>
      </c>
      <c r="J1780" t="s">
        <v>335</v>
      </c>
      <c r="K1780">
        <v>0</v>
      </c>
      <c r="L1780" t="s">
        <v>166</v>
      </c>
      <c r="N1780" t="s">
        <v>284</v>
      </c>
      <c r="O1780" t="s">
        <v>335</v>
      </c>
      <c r="P1780">
        <v>6.3941949088473532E-2</v>
      </c>
      <c r="Q1780" t="s">
        <v>166</v>
      </c>
    </row>
    <row r="1781" spans="9:17" x14ac:dyDescent="0.45">
      <c r="I1781" t="s">
        <v>219</v>
      </c>
      <c r="J1781" t="s">
        <v>169</v>
      </c>
      <c r="K1781">
        <v>4.1138601238021669E-2</v>
      </c>
      <c r="L1781" t="s">
        <v>166</v>
      </c>
      <c r="N1781" t="s">
        <v>284</v>
      </c>
      <c r="O1781" t="s">
        <v>169</v>
      </c>
      <c r="P1781">
        <v>9.4204919275904839E-2</v>
      </c>
      <c r="Q1781" t="s">
        <v>166</v>
      </c>
    </row>
    <row r="1782" spans="9:17" x14ac:dyDescent="0.45">
      <c r="I1782" t="s">
        <v>219</v>
      </c>
      <c r="J1782" t="s">
        <v>170</v>
      </c>
      <c r="K1782">
        <v>1.7236164265973922E-2</v>
      </c>
      <c r="L1782" t="s">
        <v>166</v>
      </c>
      <c r="N1782" t="s">
        <v>284</v>
      </c>
      <c r="O1782" t="s">
        <v>170</v>
      </c>
      <c r="P1782">
        <v>6.2097810847952292E-3</v>
      </c>
      <c r="Q1782" t="s">
        <v>166</v>
      </c>
    </row>
    <row r="1783" spans="9:17" x14ac:dyDescent="0.45">
      <c r="I1783" t="s">
        <v>219</v>
      </c>
      <c r="J1783" t="s">
        <v>171</v>
      </c>
      <c r="K1783">
        <v>0.10164608810714743</v>
      </c>
      <c r="L1783" t="s">
        <v>166</v>
      </c>
      <c r="N1783" t="s">
        <v>284</v>
      </c>
      <c r="O1783" t="s">
        <v>171</v>
      </c>
      <c r="P1783">
        <v>3.4752547400065156E-2</v>
      </c>
      <c r="Q1783" t="s">
        <v>166</v>
      </c>
    </row>
    <row r="1784" spans="9:17" x14ac:dyDescent="0.45">
      <c r="I1784" t="s">
        <v>219</v>
      </c>
      <c r="J1784" t="s">
        <v>336</v>
      </c>
      <c r="K1784">
        <v>1.1160154929249105E-2</v>
      </c>
      <c r="L1784" t="s">
        <v>166</v>
      </c>
      <c r="N1784" t="s">
        <v>284</v>
      </c>
      <c r="O1784" t="s">
        <v>336</v>
      </c>
      <c r="P1784">
        <v>7.0183335519053789E-3</v>
      </c>
      <c r="Q1784" t="s">
        <v>166</v>
      </c>
    </row>
    <row r="1785" spans="9:17" x14ac:dyDescent="0.45">
      <c r="I1785" t="s">
        <v>219</v>
      </c>
      <c r="J1785" t="s">
        <v>337</v>
      </c>
      <c r="K1785">
        <v>6.0460172486543236E-3</v>
      </c>
      <c r="L1785" t="s">
        <v>166</v>
      </c>
      <c r="N1785" t="s">
        <v>284</v>
      </c>
      <c r="O1785" t="s">
        <v>337</v>
      </c>
      <c r="P1785">
        <v>7.4734527583522389E-3</v>
      </c>
      <c r="Q1785" t="s">
        <v>166</v>
      </c>
    </row>
    <row r="1786" spans="9:17" x14ac:dyDescent="0.45">
      <c r="I1786" t="s">
        <v>219</v>
      </c>
      <c r="J1786" t="s">
        <v>338</v>
      </c>
      <c r="K1786">
        <v>0</v>
      </c>
      <c r="L1786" t="s">
        <v>166</v>
      </c>
      <c r="N1786" t="s">
        <v>284</v>
      </c>
      <c r="O1786" t="s">
        <v>338</v>
      </c>
      <c r="P1786">
        <v>5.3101262126762624E-2</v>
      </c>
      <c r="Q1786" t="s">
        <v>166</v>
      </c>
    </row>
    <row r="1787" spans="9:17" x14ac:dyDescent="0.45">
      <c r="I1787" t="s">
        <v>219</v>
      </c>
      <c r="J1787" t="s">
        <v>172</v>
      </c>
      <c r="K1787">
        <v>2.0357208829793409E-2</v>
      </c>
      <c r="L1787" t="s">
        <v>166</v>
      </c>
      <c r="N1787" t="s">
        <v>284</v>
      </c>
      <c r="O1787" t="s">
        <v>172</v>
      </c>
      <c r="P1787">
        <v>3.8478754209996142E-2</v>
      </c>
      <c r="Q1787" t="s">
        <v>166</v>
      </c>
    </row>
    <row r="1788" spans="9:17" x14ac:dyDescent="0.45">
      <c r="I1788" t="s">
        <v>219</v>
      </c>
      <c r="J1788" t="s">
        <v>173</v>
      </c>
      <c r="K1788">
        <v>8.0473603231390779E-3</v>
      </c>
      <c r="L1788" t="s">
        <v>166</v>
      </c>
      <c r="N1788" t="s">
        <v>284</v>
      </c>
      <c r="O1788" t="s">
        <v>173</v>
      </c>
      <c r="P1788">
        <v>2.5423893548917678E-3</v>
      </c>
      <c r="Q1788" t="s">
        <v>166</v>
      </c>
    </row>
    <row r="1789" spans="9:17" x14ac:dyDescent="0.45">
      <c r="I1789" t="s">
        <v>219</v>
      </c>
      <c r="J1789" t="s">
        <v>174</v>
      </c>
      <c r="K1789">
        <v>4.8053288429749284E-2</v>
      </c>
      <c r="L1789" t="s">
        <v>166</v>
      </c>
      <c r="N1789" t="s">
        <v>284</v>
      </c>
      <c r="O1789" t="s">
        <v>174</v>
      </c>
      <c r="P1789">
        <v>1.6767607683741411E-2</v>
      </c>
      <c r="Q1789" t="s">
        <v>166</v>
      </c>
    </row>
    <row r="1790" spans="9:17" x14ac:dyDescent="0.45">
      <c r="I1790" t="s">
        <v>219</v>
      </c>
      <c r="J1790" t="s">
        <v>339</v>
      </c>
      <c r="K1790">
        <v>5.2741463964595392E-3</v>
      </c>
      <c r="L1790" t="s">
        <v>166</v>
      </c>
      <c r="N1790" t="s">
        <v>284</v>
      </c>
      <c r="O1790" t="s">
        <v>339</v>
      </c>
      <c r="P1790">
        <v>3.1689586140012452E-3</v>
      </c>
      <c r="Q1790" t="s">
        <v>166</v>
      </c>
    </row>
    <row r="1791" spans="9:17" x14ac:dyDescent="0.45">
      <c r="I1791" t="s">
        <v>219</v>
      </c>
      <c r="J1791" t="s">
        <v>340</v>
      </c>
      <c r="K1791">
        <v>3.2325183020860074E-3</v>
      </c>
      <c r="L1791" t="s">
        <v>166</v>
      </c>
      <c r="N1791" t="s">
        <v>284</v>
      </c>
      <c r="O1791" t="s">
        <v>340</v>
      </c>
      <c r="P1791">
        <v>3.1768506968644114E-3</v>
      </c>
      <c r="Q1791" t="s">
        <v>166</v>
      </c>
    </row>
    <row r="1792" spans="9:17" x14ac:dyDescent="0.45">
      <c r="I1792" t="s">
        <v>219</v>
      </c>
      <c r="J1792" t="s">
        <v>341</v>
      </c>
      <c r="K1792">
        <v>9.9961748933576397E-5</v>
      </c>
      <c r="L1792" t="s">
        <v>166</v>
      </c>
      <c r="N1792" t="s">
        <v>284</v>
      </c>
      <c r="O1792" t="s">
        <v>341</v>
      </c>
      <c r="P1792">
        <v>2.1583331986823284E-2</v>
      </c>
      <c r="Q1792" t="s">
        <v>166</v>
      </c>
    </row>
    <row r="1793" spans="9:17" x14ac:dyDescent="0.45">
      <c r="I1793" t="s">
        <v>219</v>
      </c>
      <c r="J1793" t="s">
        <v>175</v>
      </c>
      <c r="K1793">
        <v>1.9048604241266795E-2</v>
      </c>
      <c r="L1793" t="s">
        <v>166</v>
      </c>
      <c r="N1793" t="s">
        <v>284</v>
      </c>
      <c r="O1793" t="s">
        <v>175</v>
      </c>
      <c r="P1793">
        <v>3.7355789806978887E-2</v>
      </c>
      <c r="Q1793" t="s">
        <v>166</v>
      </c>
    </row>
    <row r="1794" spans="9:17" x14ac:dyDescent="0.45">
      <c r="I1794" t="s">
        <v>219</v>
      </c>
      <c r="J1794" t="s">
        <v>176</v>
      </c>
      <c r="K1794">
        <v>8.087658199814959E-3</v>
      </c>
      <c r="L1794" t="s">
        <v>166</v>
      </c>
      <c r="N1794" t="s">
        <v>284</v>
      </c>
      <c r="O1794" t="s">
        <v>176</v>
      </c>
      <c r="P1794">
        <v>1.8488675027125531E-3</v>
      </c>
      <c r="Q1794" t="s">
        <v>166</v>
      </c>
    </row>
    <row r="1795" spans="9:17" x14ac:dyDescent="0.45">
      <c r="I1795" t="s">
        <v>219</v>
      </c>
      <c r="J1795" t="s">
        <v>177</v>
      </c>
      <c r="K1795">
        <v>4.8473833617468653E-2</v>
      </c>
      <c r="L1795" t="s">
        <v>166</v>
      </c>
      <c r="N1795" t="s">
        <v>284</v>
      </c>
      <c r="O1795" t="s">
        <v>177</v>
      </c>
      <c r="P1795">
        <v>1.1916755236928112E-2</v>
      </c>
      <c r="Q1795" t="s">
        <v>166</v>
      </c>
    </row>
    <row r="1796" spans="9:17" x14ac:dyDescent="0.45">
      <c r="I1796" t="s">
        <v>219</v>
      </c>
      <c r="J1796" t="s">
        <v>342</v>
      </c>
      <c r="K1796">
        <v>5.3044254654392884E-3</v>
      </c>
      <c r="L1796" t="s">
        <v>166</v>
      </c>
      <c r="N1796" t="s">
        <v>284</v>
      </c>
      <c r="O1796" t="s">
        <v>342</v>
      </c>
      <c r="P1796">
        <v>2.6632187860327391E-3</v>
      </c>
      <c r="Q1796" t="s">
        <v>166</v>
      </c>
    </row>
    <row r="1797" spans="9:17" x14ac:dyDescent="0.45">
      <c r="I1797" t="s">
        <v>219</v>
      </c>
      <c r="J1797" t="s">
        <v>343</v>
      </c>
      <c r="K1797">
        <v>3.2679833902581746E-3</v>
      </c>
      <c r="L1797" t="s">
        <v>166</v>
      </c>
      <c r="N1797" t="s">
        <v>284</v>
      </c>
      <c r="O1797" t="s">
        <v>343</v>
      </c>
      <c r="P1797">
        <v>2.6342971770988693E-3</v>
      </c>
      <c r="Q1797" t="s">
        <v>166</v>
      </c>
    </row>
    <row r="1798" spans="9:17" x14ac:dyDescent="0.45">
      <c r="I1798" t="s">
        <v>219</v>
      </c>
      <c r="J1798" t="s">
        <v>344</v>
      </c>
      <c r="K1798">
        <v>1.380189976749775E-4</v>
      </c>
      <c r="L1798" t="s">
        <v>166</v>
      </c>
      <c r="N1798" t="s">
        <v>284</v>
      </c>
      <c r="O1798" t="s">
        <v>344</v>
      </c>
      <c r="P1798">
        <v>1.7765504468324284E-2</v>
      </c>
      <c r="Q1798" t="s">
        <v>166</v>
      </c>
    </row>
    <row r="1799" spans="9:17" x14ac:dyDescent="0.45">
      <c r="I1799" t="s">
        <v>219</v>
      </c>
      <c r="J1799" t="s">
        <v>345</v>
      </c>
      <c r="K1799">
        <v>3.6127968450205807E-2</v>
      </c>
      <c r="L1799" t="s">
        <v>166</v>
      </c>
      <c r="N1799" t="s">
        <v>284</v>
      </c>
      <c r="O1799" t="s">
        <v>345</v>
      </c>
      <c r="P1799">
        <v>6.8663284542882938E-2</v>
      </c>
      <c r="Q1799" t="s">
        <v>166</v>
      </c>
    </row>
    <row r="1800" spans="9:17" x14ac:dyDescent="0.45">
      <c r="I1800" t="s">
        <v>219</v>
      </c>
      <c r="J1800" t="s">
        <v>346</v>
      </c>
      <c r="K1800">
        <v>1.6452839198763929E-2</v>
      </c>
      <c r="L1800" t="s">
        <v>166</v>
      </c>
      <c r="N1800" t="s">
        <v>284</v>
      </c>
      <c r="O1800" t="s">
        <v>346</v>
      </c>
      <c r="P1800">
        <v>6.4440626875709242E-3</v>
      </c>
      <c r="Q1800" t="s">
        <v>166</v>
      </c>
    </row>
    <row r="1801" spans="9:17" x14ac:dyDescent="0.45">
      <c r="I1801" t="s">
        <v>219</v>
      </c>
      <c r="J1801" t="s">
        <v>347</v>
      </c>
      <c r="K1801">
        <v>9.5000395065884313E-2</v>
      </c>
      <c r="L1801" t="s">
        <v>166</v>
      </c>
      <c r="N1801" t="s">
        <v>284</v>
      </c>
      <c r="O1801" t="s">
        <v>347</v>
      </c>
      <c r="P1801">
        <v>4.3805481903551068E-2</v>
      </c>
      <c r="Q1801" t="s">
        <v>166</v>
      </c>
    </row>
    <row r="1802" spans="9:17" x14ac:dyDescent="0.45">
      <c r="I1802" t="s">
        <v>219</v>
      </c>
      <c r="J1802" t="s">
        <v>348</v>
      </c>
      <c r="K1802">
        <v>9.8492205355362687E-3</v>
      </c>
      <c r="L1802" t="s">
        <v>166</v>
      </c>
      <c r="N1802" t="s">
        <v>284</v>
      </c>
      <c r="O1802" t="s">
        <v>348</v>
      </c>
      <c r="P1802">
        <v>7.5769110772403968E-3</v>
      </c>
      <c r="Q1802" t="s">
        <v>166</v>
      </c>
    </row>
    <row r="1803" spans="9:17" x14ac:dyDescent="0.45">
      <c r="I1803" t="s">
        <v>219</v>
      </c>
      <c r="J1803" t="s">
        <v>349</v>
      </c>
      <c r="K1803">
        <v>5.3531374057530275E-3</v>
      </c>
      <c r="L1803" t="s">
        <v>166</v>
      </c>
      <c r="N1803" t="s">
        <v>284</v>
      </c>
      <c r="O1803" t="s">
        <v>349</v>
      </c>
      <c r="P1803">
        <v>7.044559139887982E-3</v>
      </c>
      <c r="Q1803" t="s">
        <v>166</v>
      </c>
    </row>
    <row r="1804" spans="9:17" x14ac:dyDescent="0.45">
      <c r="I1804" t="s">
        <v>219</v>
      </c>
      <c r="J1804" t="s">
        <v>350</v>
      </c>
      <c r="K1804">
        <v>0</v>
      </c>
      <c r="L1804" t="s">
        <v>166</v>
      </c>
      <c r="N1804" t="s">
        <v>284</v>
      </c>
      <c r="O1804" t="s">
        <v>350</v>
      </c>
      <c r="P1804">
        <v>4.1400580405740225E-2</v>
      </c>
      <c r="Q1804" t="s">
        <v>166</v>
      </c>
    </row>
    <row r="1805" spans="9:17" x14ac:dyDescent="0.45">
      <c r="I1805" t="s">
        <v>219</v>
      </c>
      <c r="J1805" t="s">
        <v>351</v>
      </c>
      <c r="K1805">
        <v>2.0006449499619862E-2</v>
      </c>
      <c r="L1805" t="s">
        <v>166</v>
      </c>
      <c r="N1805" t="s">
        <v>284</v>
      </c>
      <c r="O1805" t="s">
        <v>351</v>
      </c>
      <c r="P1805">
        <v>2.1399751685198594E-2</v>
      </c>
      <c r="Q1805" t="s">
        <v>166</v>
      </c>
    </row>
    <row r="1806" spans="9:17" x14ac:dyDescent="0.45">
      <c r="I1806" t="s">
        <v>219</v>
      </c>
      <c r="J1806" t="s">
        <v>352</v>
      </c>
      <c r="K1806">
        <v>8.8208379209531208E-3</v>
      </c>
      <c r="L1806" t="s">
        <v>166</v>
      </c>
      <c r="N1806" t="s">
        <v>284</v>
      </c>
      <c r="O1806" t="s">
        <v>352</v>
      </c>
      <c r="P1806">
        <v>1.4808810772481721E-3</v>
      </c>
      <c r="Q1806" t="s">
        <v>166</v>
      </c>
    </row>
    <row r="1807" spans="9:17" x14ac:dyDescent="0.45">
      <c r="I1807" t="s">
        <v>219</v>
      </c>
      <c r="J1807" t="s">
        <v>353</v>
      </c>
      <c r="K1807">
        <v>4.9897554605291369E-2</v>
      </c>
      <c r="L1807" t="s">
        <v>166</v>
      </c>
      <c r="N1807" t="s">
        <v>284</v>
      </c>
      <c r="O1807" t="s">
        <v>353</v>
      </c>
      <c r="P1807">
        <v>1.8772699384616974E-2</v>
      </c>
      <c r="Q1807" t="s">
        <v>166</v>
      </c>
    </row>
    <row r="1808" spans="9:17" x14ac:dyDescent="0.45">
      <c r="I1808" t="s">
        <v>219</v>
      </c>
      <c r="J1808" t="s">
        <v>354</v>
      </c>
      <c r="K1808">
        <v>4.7630275603207182E-3</v>
      </c>
      <c r="L1808" t="s">
        <v>166</v>
      </c>
      <c r="N1808" t="s">
        <v>284</v>
      </c>
      <c r="O1808" t="s">
        <v>354</v>
      </c>
      <c r="P1808">
        <v>3.29808051143583E-3</v>
      </c>
      <c r="Q1808" t="s">
        <v>166</v>
      </c>
    </row>
    <row r="1809" spans="9:17" x14ac:dyDescent="0.45">
      <c r="I1809" t="s">
        <v>219</v>
      </c>
      <c r="J1809" t="s">
        <v>355</v>
      </c>
      <c r="K1809">
        <v>1.4602807891996825E-4</v>
      </c>
      <c r="L1809" t="s">
        <v>166</v>
      </c>
      <c r="N1809" t="s">
        <v>284</v>
      </c>
      <c r="O1809" t="s">
        <v>355</v>
      </c>
      <c r="P1809">
        <v>3.1986205125848419E-3</v>
      </c>
      <c r="Q1809" t="s">
        <v>166</v>
      </c>
    </row>
    <row r="1810" spans="9:17" x14ac:dyDescent="0.45">
      <c r="I1810" t="s">
        <v>219</v>
      </c>
      <c r="J1810" t="s">
        <v>356</v>
      </c>
      <c r="K1810">
        <v>0</v>
      </c>
      <c r="L1810" t="s">
        <v>166</v>
      </c>
      <c r="N1810" t="s">
        <v>284</v>
      </c>
      <c r="O1810" t="s">
        <v>356</v>
      </c>
      <c r="P1810">
        <v>1.8120305123268815E-2</v>
      </c>
      <c r="Q1810" t="s">
        <v>166</v>
      </c>
    </row>
    <row r="1811" spans="9:17" x14ac:dyDescent="0.45">
      <c r="I1811" t="s">
        <v>219</v>
      </c>
      <c r="J1811" t="s">
        <v>357</v>
      </c>
      <c r="K1811">
        <v>3.5411212626994745E-2</v>
      </c>
      <c r="L1811" t="s">
        <v>166</v>
      </c>
      <c r="N1811" t="s">
        <v>284</v>
      </c>
      <c r="O1811" t="s">
        <v>357</v>
      </c>
      <c r="P1811">
        <v>6.3977524889081247E-2</v>
      </c>
      <c r="Q1811" t="s">
        <v>166</v>
      </c>
    </row>
    <row r="1812" spans="9:17" x14ac:dyDescent="0.45">
      <c r="I1812" t="s">
        <v>219</v>
      </c>
      <c r="J1812" t="s">
        <v>358</v>
      </c>
      <c r="K1812">
        <v>1.7406842082280615E-2</v>
      </c>
      <c r="L1812" t="s">
        <v>166</v>
      </c>
      <c r="N1812" t="s">
        <v>284</v>
      </c>
      <c r="O1812" t="s">
        <v>358</v>
      </c>
      <c r="P1812">
        <v>5.0878338122083925E-3</v>
      </c>
      <c r="Q1812" t="s">
        <v>166</v>
      </c>
    </row>
    <row r="1813" spans="9:17" x14ac:dyDescent="0.45">
      <c r="I1813" t="s">
        <v>219</v>
      </c>
      <c r="J1813" t="s">
        <v>359</v>
      </c>
      <c r="K1813">
        <v>9.537444545931735E-2</v>
      </c>
      <c r="L1813" t="s">
        <v>166</v>
      </c>
      <c r="N1813" t="s">
        <v>284</v>
      </c>
      <c r="O1813" t="s">
        <v>359</v>
      </c>
      <c r="P1813">
        <v>2.7151344987858421E-2</v>
      </c>
      <c r="Q1813" t="s">
        <v>166</v>
      </c>
    </row>
    <row r="1814" spans="9:17" x14ac:dyDescent="0.45">
      <c r="I1814" t="s">
        <v>219</v>
      </c>
      <c r="J1814" t="s">
        <v>360</v>
      </c>
      <c r="K1814">
        <v>7.9893913464195686E-3</v>
      </c>
      <c r="L1814" t="s">
        <v>166</v>
      </c>
      <c r="N1814" t="s">
        <v>284</v>
      </c>
      <c r="O1814" t="s">
        <v>360</v>
      </c>
      <c r="P1814">
        <v>4.6888548626091327E-3</v>
      </c>
      <c r="Q1814" t="s">
        <v>166</v>
      </c>
    </row>
    <row r="1815" spans="9:17" x14ac:dyDescent="0.45">
      <c r="I1815" t="s">
        <v>219</v>
      </c>
      <c r="J1815" t="s">
        <v>361</v>
      </c>
      <c r="K1815">
        <v>0</v>
      </c>
      <c r="L1815" t="s">
        <v>166</v>
      </c>
      <c r="N1815" t="s">
        <v>284</v>
      </c>
      <c r="O1815" t="s">
        <v>361</v>
      </c>
      <c r="P1815">
        <v>5.449018301600694E-3</v>
      </c>
      <c r="Q1815" t="s">
        <v>166</v>
      </c>
    </row>
    <row r="1816" spans="9:17" x14ac:dyDescent="0.45">
      <c r="I1816" t="s">
        <v>219</v>
      </c>
      <c r="J1816" t="s">
        <v>362</v>
      </c>
      <c r="K1816">
        <v>0</v>
      </c>
      <c r="L1816" t="s">
        <v>166</v>
      </c>
      <c r="N1816" t="s">
        <v>284</v>
      </c>
      <c r="O1816" t="s">
        <v>362</v>
      </c>
      <c r="P1816">
        <v>3.6800748919282596E-2</v>
      </c>
      <c r="Q1816" t="s">
        <v>166</v>
      </c>
    </row>
    <row r="1817" spans="9:17" x14ac:dyDescent="0.45">
      <c r="I1817" t="s">
        <v>220</v>
      </c>
      <c r="J1817" t="s">
        <v>165</v>
      </c>
      <c r="K1817">
        <v>4.5155025136072321E-2</v>
      </c>
      <c r="L1817" t="s">
        <v>166</v>
      </c>
      <c r="N1817" t="s">
        <v>285</v>
      </c>
      <c r="O1817" t="s">
        <v>165</v>
      </c>
      <c r="P1817">
        <v>0.10983917956241666</v>
      </c>
      <c r="Q1817" t="s">
        <v>166</v>
      </c>
    </row>
    <row r="1818" spans="9:17" x14ac:dyDescent="0.45">
      <c r="I1818" t="s">
        <v>220</v>
      </c>
      <c r="J1818" t="s">
        <v>167</v>
      </c>
      <c r="K1818">
        <v>2.6561931015290131E-2</v>
      </c>
      <c r="L1818" t="s">
        <v>166</v>
      </c>
      <c r="N1818" t="s">
        <v>285</v>
      </c>
      <c r="O1818" t="s">
        <v>167</v>
      </c>
      <c r="P1818">
        <v>7.4443504619156721E-3</v>
      </c>
      <c r="Q1818" t="s">
        <v>166</v>
      </c>
    </row>
    <row r="1819" spans="9:17" x14ac:dyDescent="0.45">
      <c r="I1819" t="s">
        <v>220</v>
      </c>
      <c r="J1819" t="s">
        <v>168</v>
      </c>
      <c r="K1819">
        <v>0.15501122271191428</v>
      </c>
      <c r="L1819" t="s">
        <v>166</v>
      </c>
      <c r="N1819" t="s">
        <v>285</v>
      </c>
      <c r="O1819" t="s">
        <v>168</v>
      </c>
      <c r="P1819">
        <v>4.9932888085903022E-2</v>
      </c>
      <c r="Q1819" t="s">
        <v>166</v>
      </c>
    </row>
    <row r="1820" spans="9:17" x14ac:dyDescent="0.45">
      <c r="I1820" t="s">
        <v>220</v>
      </c>
      <c r="J1820" t="s">
        <v>333</v>
      </c>
      <c r="K1820">
        <v>1.733593162736595E-2</v>
      </c>
      <c r="L1820" t="s">
        <v>166</v>
      </c>
      <c r="N1820" t="s">
        <v>285</v>
      </c>
      <c r="O1820" t="s">
        <v>333</v>
      </c>
      <c r="P1820">
        <v>8.8793625379302542E-3</v>
      </c>
      <c r="Q1820" t="s">
        <v>166</v>
      </c>
    </row>
    <row r="1821" spans="9:17" x14ac:dyDescent="0.45">
      <c r="I1821" t="s">
        <v>220</v>
      </c>
      <c r="J1821" t="s">
        <v>334</v>
      </c>
      <c r="K1821">
        <v>6.7614562938242825E-3</v>
      </c>
      <c r="L1821" t="s">
        <v>166</v>
      </c>
      <c r="N1821" t="s">
        <v>285</v>
      </c>
      <c r="O1821" t="s">
        <v>334</v>
      </c>
      <c r="P1821">
        <v>9.2061522667734701E-3</v>
      </c>
      <c r="Q1821" t="s">
        <v>166</v>
      </c>
    </row>
    <row r="1822" spans="9:17" x14ac:dyDescent="0.45">
      <c r="I1822" t="s">
        <v>220</v>
      </c>
      <c r="J1822" t="s">
        <v>335</v>
      </c>
      <c r="K1822">
        <v>0</v>
      </c>
      <c r="L1822" t="s">
        <v>166</v>
      </c>
      <c r="N1822" t="s">
        <v>285</v>
      </c>
      <c r="O1822" t="s">
        <v>335</v>
      </c>
      <c r="P1822">
        <v>5.8634288206361677E-2</v>
      </c>
      <c r="Q1822" t="s">
        <v>166</v>
      </c>
    </row>
    <row r="1823" spans="9:17" x14ac:dyDescent="0.45">
      <c r="I1823" t="s">
        <v>220</v>
      </c>
      <c r="J1823" t="s">
        <v>169</v>
      </c>
      <c r="K1823">
        <v>4.0070028801661293E-2</v>
      </c>
      <c r="L1823" t="s">
        <v>166</v>
      </c>
      <c r="N1823" t="s">
        <v>285</v>
      </c>
      <c r="O1823" t="s">
        <v>169</v>
      </c>
      <c r="P1823">
        <v>0.10378516099887826</v>
      </c>
      <c r="Q1823" t="s">
        <v>166</v>
      </c>
    </row>
    <row r="1824" spans="9:17" x14ac:dyDescent="0.45">
      <c r="I1824" t="s">
        <v>220</v>
      </c>
      <c r="J1824" t="s">
        <v>170</v>
      </c>
      <c r="K1824">
        <v>1.7295177762026527E-2</v>
      </c>
      <c r="L1824" t="s">
        <v>166</v>
      </c>
      <c r="N1824" t="s">
        <v>285</v>
      </c>
      <c r="O1824" t="s">
        <v>170</v>
      </c>
      <c r="P1824">
        <v>6.9680357312523833E-3</v>
      </c>
      <c r="Q1824" t="s">
        <v>166</v>
      </c>
    </row>
    <row r="1825" spans="9:17" x14ac:dyDescent="0.45">
      <c r="I1825" t="s">
        <v>220</v>
      </c>
      <c r="J1825" t="s">
        <v>171</v>
      </c>
      <c r="K1825">
        <v>0.10324422357725696</v>
      </c>
      <c r="L1825" t="s">
        <v>166</v>
      </c>
      <c r="N1825" t="s">
        <v>285</v>
      </c>
      <c r="O1825" t="s">
        <v>171</v>
      </c>
      <c r="P1825">
        <v>3.0832723804243203E-2</v>
      </c>
      <c r="Q1825" t="s">
        <v>166</v>
      </c>
    </row>
    <row r="1826" spans="9:17" x14ac:dyDescent="0.45">
      <c r="I1826" t="s">
        <v>220</v>
      </c>
      <c r="J1826" t="s">
        <v>336</v>
      </c>
      <c r="K1826">
        <v>1.1809157211586471E-2</v>
      </c>
      <c r="L1826" t="s">
        <v>166</v>
      </c>
      <c r="N1826" t="s">
        <v>285</v>
      </c>
      <c r="O1826" t="s">
        <v>336</v>
      </c>
      <c r="P1826">
        <v>5.8661159480885719E-3</v>
      </c>
      <c r="Q1826" t="s">
        <v>166</v>
      </c>
    </row>
    <row r="1827" spans="9:17" x14ac:dyDescent="0.45">
      <c r="I1827" t="s">
        <v>220</v>
      </c>
      <c r="J1827" t="s">
        <v>337</v>
      </c>
      <c r="K1827">
        <v>6.8668683679734303E-3</v>
      </c>
      <c r="L1827" t="s">
        <v>166</v>
      </c>
      <c r="N1827" t="s">
        <v>285</v>
      </c>
      <c r="O1827" t="s">
        <v>337</v>
      </c>
      <c r="P1827">
        <v>6.2676468673089018E-3</v>
      </c>
      <c r="Q1827" t="s">
        <v>166</v>
      </c>
    </row>
    <row r="1828" spans="9:17" x14ac:dyDescent="0.45">
      <c r="I1828" t="s">
        <v>220</v>
      </c>
      <c r="J1828" t="s">
        <v>338</v>
      </c>
      <c r="K1828">
        <v>2.159595974288617E-5</v>
      </c>
      <c r="L1828" t="s">
        <v>166</v>
      </c>
      <c r="N1828" t="s">
        <v>285</v>
      </c>
      <c r="O1828" t="s">
        <v>338</v>
      </c>
      <c r="P1828">
        <v>4.6420702801068053E-2</v>
      </c>
      <c r="Q1828" t="s">
        <v>166</v>
      </c>
    </row>
    <row r="1829" spans="9:17" x14ac:dyDescent="0.45">
      <c r="I1829" t="s">
        <v>220</v>
      </c>
      <c r="J1829" t="s">
        <v>172</v>
      </c>
      <c r="K1829">
        <v>1.9681890528328198E-2</v>
      </c>
      <c r="L1829" t="s">
        <v>166</v>
      </c>
      <c r="N1829" t="s">
        <v>285</v>
      </c>
      <c r="O1829" t="s">
        <v>172</v>
      </c>
      <c r="P1829">
        <v>4.8899973421848299E-2</v>
      </c>
      <c r="Q1829" t="s">
        <v>166</v>
      </c>
    </row>
    <row r="1830" spans="9:17" x14ac:dyDescent="0.45">
      <c r="I1830" t="s">
        <v>220</v>
      </c>
      <c r="J1830" t="s">
        <v>173</v>
      </c>
      <c r="K1830">
        <v>7.9715993209699063E-3</v>
      </c>
      <c r="L1830" t="s">
        <v>166</v>
      </c>
      <c r="N1830" t="s">
        <v>285</v>
      </c>
      <c r="O1830" t="s">
        <v>173</v>
      </c>
      <c r="P1830">
        <v>3.3311308725089139E-3</v>
      </c>
      <c r="Q1830" t="s">
        <v>166</v>
      </c>
    </row>
    <row r="1831" spans="9:17" x14ac:dyDescent="0.45">
      <c r="I1831" t="s">
        <v>220</v>
      </c>
      <c r="J1831" t="s">
        <v>174</v>
      </c>
      <c r="K1831">
        <v>4.8294433184984241E-2</v>
      </c>
      <c r="L1831" t="s">
        <v>166</v>
      </c>
      <c r="N1831" t="s">
        <v>285</v>
      </c>
      <c r="O1831" t="s">
        <v>174</v>
      </c>
      <c r="P1831">
        <v>1.4850692460120813E-2</v>
      </c>
      <c r="Q1831" t="s">
        <v>166</v>
      </c>
    </row>
    <row r="1832" spans="9:17" x14ac:dyDescent="0.45">
      <c r="I1832" t="s">
        <v>220</v>
      </c>
      <c r="J1832" t="s">
        <v>339</v>
      </c>
      <c r="K1832">
        <v>5.5420342210084688E-3</v>
      </c>
      <c r="L1832" t="s">
        <v>166</v>
      </c>
      <c r="N1832" t="s">
        <v>285</v>
      </c>
      <c r="O1832" t="s">
        <v>339</v>
      </c>
      <c r="P1832">
        <v>2.6436828133907389E-3</v>
      </c>
      <c r="Q1832" t="s">
        <v>166</v>
      </c>
    </row>
    <row r="1833" spans="9:17" x14ac:dyDescent="0.45">
      <c r="I1833" t="s">
        <v>220</v>
      </c>
      <c r="J1833" t="s">
        <v>340</v>
      </c>
      <c r="K1833">
        <v>3.5680686810077565E-3</v>
      </c>
      <c r="L1833" t="s">
        <v>166</v>
      </c>
      <c r="N1833" t="s">
        <v>285</v>
      </c>
      <c r="O1833" t="s">
        <v>340</v>
      </c>
      <c r="P1833">
        <v>2.736273961686732E-3</v>
      </c>
      <c r="Q1833" t="s">
        <v>166</v>
      </c>
    </row>
    <row r="1834" spans="9:17" x14ac:dyDescent="0.45">
      <c r="I1834" t="s">
        <v>220</v>
      </c>
      <c r="J1834" t="s">
        <v>341</v>
      </c>
      <c r="K1834">
        <v>1.1217331193807889E-3</v>
      </c>
      <c r="L1834" t="s">
        <v>166</v>
      </c>
      <c r="N1834" t="s">
        <v>285</v>
      </c>
      <c r="O1834" t="s">
        <v>341</v>
      </c>
      <c r="P1834">
        <v>1.9195663710147592E-2</v>
      </c>
      <c r="Q1834" t="s">
        <v>166</v>
      </c>
    </row>
    <row r="1835" spans="9:17" x14ac:dyDescent="0.45">
      <c r="I1835" t="s">
        <v>220</v>
      </c>
      <c r="J1835" t="s">
        <v>175</v>
      </c>
      <c r="K1835">
        <v>1.8059892548793172E-2</v>
      </c>
      <c r="L1835" t="s">
        <v>166</v>
      </c>
      <c r="N1835" t="s">
        <v>285</v>
      </c>
      <c r="O1835" t="s">
        <v>175</v>
      </c>
      <c r="P1835">
        <v>4.2040530650059721E-2</v>
      </c>
      <c r="Q1835" t="s">
        <v>166</v>
      </c>
    </row>
    <row r="1836" spans="9:17" x14ac:dyDescent="0.45">
      <c r="I1836" t="s">
        <v>220</v>
      </c>
      <c r="J1836" t="s">
        <v>176</v>
      </c>
      <c r="K1836">
        <v>7.9815947033091573E-3</v>
      </c>
      <c r="L1836" t="s">
        <v>166</v>
      </c>
      <c r="N1836" t="s">
        <v>285</v>
      </c>
      <c r="O1836" t="s">
        <v>176</v>
      </c>
      <c r="P1836">
        <v>1.902225856449579E-3</v>
      </c>
      <c r="Q1836" t="s">
        <v>166</v>
      </c>
    </row>
    <row r="1837" spans="9:17" x14ac:dyDescent="0.45">
      <c r="I1837" t="s">
        <v>220</v>
      </c>
      <c r="J1837" t="s">
        <v>177</v>
      </c>
      <c r="K1837">
        <v>4.8384065575775695E-2</v>
      </c>
      <c r="L1837" t="s">
        <v>166</v>
      </c>
      <c r="N1837" t="s">
        <v>285</v>
      </c>
      <c r="O1837" t="s">
        <v>177</v>
      </c>
      <c r="P1837">
        <v>1.2157215741331693E-2</v>
      </c>
      <c r="Q1837" t="s">
        <v>166</v>
      </c>
    </row>
    <row r="1838" spans="9:17" x14ac:dyDescent="0.45">
      <c r="I1838" t="s">
        <v>220</v>
      </c>
      <c r="J1838" t="s">
        <v>342</v>
      </c>
      <c r="K1838">
        <v>5.3572097792791941E-3</v>
      </c>
      <c r="L1838" t="s">
        <v>166</v>
      </c>
      <c r="N1838" t="s">
        <v>285</v>
      </c>
      <c r="O1838" t="s">
        <v>342</v>
      </c>
      <c r="P1838">
        <v>2.3409622310797311E-3</v>
      </c>
      <c r="Q1838" t="s">
        <v>166</v>
      </c>
    </row>
    <row r="1839" spans="9:17" x14ac:dyDescent="0.45">
      <c r="I1839" t="s">
        <v>220</v>
      </c>
      <c r="J1839" t="s">
        <v>343</v>
      </c>
      <c r="K1839">
        <v>3.4092087781183973E-3</v>
      </c>
      <c r="L1839" t="s">
        <v>166</v>
      </c>
      <c r="N1839" t="s">
        <v>285</v>
      </c>
      <c r="O1839" t="s">
        <v>343</v>
      </c>
      <c r="P1839">
        <v>2.3496284719935626E-3</v>
      </c>
      <c r="Q1839" t="s">
        <v>166</v>
      </c>
    </row>
    <row r="1840" spans="9:17" x14ac:dyDescent="0.45">
      <c r="I1840" t="s">
        <v>220</v>
      </c>
      <c r="J1840" t="s">
        <v>344</v>
      </c>
      <c r="K1840">
        <v>1.1636157875416892E-3</v>
      </c>
      <c r="L1840" t="s">
        <v>166</v>
      </c>
      <c r="N1840" t="s">
        <v>285</v>
      </c>
      <c r="O1840" t="s">
        <v>344</v>
      </c>
      <c r="P1840">
        <v>1.7820605193186533E-2</v>
      </c>
      <c r="Q1840" t="s">
        <v>166</v>
      </c>
    </row>
    <row r="1841" spans="9:17" x14ac:dyDescent="0.45">
      <c r="I1841" t="s">
        <v>220</v>
      </c>
      <c r="J1841" t="s">
        <v>345</v>
      </c>
      <c r="K1841">
        <v>3.5348639800002225E-2</v>
      </c>
      <c r="L1841" t="s">
        <v>166</v>
      </c>
      <c r="N1841" t="s">
        <v>285</v>
      </c>
      <c r="O1841" t="s">
        <v>345</v>
      </c>
      <c r="P1841">
        <v>7.3822560216905045E-2</v>
      </c>
      <c r="Q1841" t="s">
        <v>166</v>
      </c>
    </row>
    <row r="1842" spans="9:17" x14ac:dyDescent="0.45">
      <c r="I1842" t="s">
        <v>220</v>
      </c>
      <c r="J1842" t="s">
        <v>346</v>
      </c>
      <c r="K1842">
        <v>1.6456391886252277E-2</v>
      </c>
      <c r="L1842" t="s">
        <v>166</v>
      </c>
      <c r="N1842" t="s">
        <v>285</v>
      </c>
      <c r="O1842" t="s">
        <v>346</v>
      </c>
      <c r="P1842">
        <v>5.8106843308019978E-3</v>
      </c>
      <c r="Q1842" t="s">
        <v>166</v>
      </c>
    </row>
    <row r="1843" spans="9:17" x14ac:dyDescent="0.45">
      <c r="I1843" t="s">
        <v>220</v>
      </c>
      <c r="J1843" t="s">
        <v>347</v>
      </c>
      <c r="K1843">
        <v>9.6446103752356377E-2</v>
      </c>
      <c r="L1843" t="s">
        <v>166</v>
      </c>
      <c r="N1843" t="s">
        <v>285</v>
      </c>
      <c r="O1843" t="s">
        <v>347</v>
      </c>
      <c r="P1843">
        <v>4.0273454884502603E-2</v>
      </c>
      <c r="Q1843" t="s">
        <v>166</v>
      </c>
    </row>
    <row r="1844" spans="9:17" x14ac:dyDescent="0.45">
      <c r="I1844" t="s">
        <v>220</v>
      </c>
      <c r="J1844" t="s">
        <v>348</v>
      </c>
      <c r="K1844">
        <v>1.0496275861751619E-2</v>
      </c>
      <c r="L1844" t="s">
        <v>166</v>
      </c>
      <c r="N1844" t="s">
        <v>285</v>
      </c>
      <c r="O1844" t="s">
        <v>348</v>
      </c>
      <c r="P1844">
        <v>7.3024257594511309E-3</v>
      </c>
      <c r="Q1844" t="s">
        <v>166</v>
      </c>
    </row>
    <row r="1845" spans="9:17" x14ac:dyDescent="0.45">
      <c r="I1845" t="s">
        <v>220</v>
      </c>
      <c r="J1845" t="s">
        <v>349</v>
      </c>
      <c r="K1845">
        <v>5.8419810253051924E-3</v>
      </c>
      <c r="L1845" t="s">
        <v>166</v>
      </c>
      <c r="N1845" t="s">
        <v>285</v>
      </c>
      <c r="O1845" t="s">
        <v>349</v>
      </c>
      <c r="P1845">
        <v>7.0088599694903813E-3</v>
      </c>
      <c r="Q1845" t="s">
        <v>166</v>
      </c>
    </row>
    <row r="1846" spans="9:17" x14ac:dyDescent="0.45">
      <c r="I1846" t="s">
        <v>220</v>
      </c>
      <c r="J1846" t="s">
        <v>350</v>
      </c>
      <c r="K1846">
        <v>2.8857546453831151E-5</v>
      </c>
      <c r="L1846" t="s">
        <v>166</v>
      </c>
      <c r="N1846" t="s">
        <v>285</v>
      </c>
      <c r="O1846" t="s">
        <v>350</v>
      </c>
      <c r="P1846">
        <v>4.1897753880326197E-2</v>
      </c>
      <c r="Q1846" t="s">
        <v>166</v>
      </c>
    </row>
    <row r="1847" spans="9:17" x14ac:dyDescent="0.45">
      <c r="I1847" t="s">
        <v>220</v>
      </c>
      <c r="J1847" t="s">
        <v>351</v>
      </c>
      <c r="K1847">
        <v>1.907316245241707E-2</v>
      </c>
      <c r="L1847" t="s">
        <v>166</v>
      </c>
      <c r="N1847" t="s">
        <v>285</v>
      </c>
      <c r="O1847" t="s">
        <v>351</v>
      </c>
      <c r="P1847">
        <v>2.7678987779880863E-2</v>
      </c>
      <c r="Q1847" t="s">
        <v>166</v>
      </c>
    </row>
    <row r="1848" spans="9:17" x14ac:dyDescent="0.45">
      <c r="I1848" t="s">
        <v>220</v>
      </c>
      <c r="J1848" t="s">
        <v>352</v>
      </c>
      <c r="K1848">
        <v>8.7141988473648929E-3</v>
      </c>
      <c r="L1848" t="s">
        <v>166</v>
      </c>
      <c r="N1848" t="s">
        <v>285</v>
      </c>
      <c r="O1848" t="s">
        <v>352</v>
      </c>
      <c r="P1848">
        <v>1.3678267393820473E-3</v>
      </c>
      <c r="Q1848" t="s">
        <v>166</v>
      </c>
    </row>
    <row r="1849" spans="9:17" x14ac:dyDescent="0.45">
      <c r="I1849" t="s">
        <v>220</v>
      </c>
      <c r="J1849" t="s">
        <v>353</v>
      </c>
      <c r="K1849">
        <v>4.9838475604411223E-2</v>
      </c>
      <c r="L1849" t="s">
        <v>166</v>
      </c>
      <c r="N1849" t="s">
        <v>285</v>
      </c>
      <c r="O1849" t="s">
        <v>353</v>
      </c>
      <c r="P1849">
        <v>2.0399351104967517E-2</v>
      </c>
      <c r="Q1849" t="s">
        <v>166</v>
      </c>
    </row>
    <row r="1850" spans="9:17" x14ac:dyDescent="0.45">
      <c r="I1850" t="s">
        <v>220</v>
      </c>
      <c r="J1850" t="s">
        <v>354</v>
      </c>
      <c r="K1850">
        <v>4.9279059519540015E-3</v>
      </c>
      <c r="L1850" t="s">
        <v>166</v>
      </c>
      <c r="N1850" t="s">
        <v>285</v>
      </c>
      <c r="O1850" t="s">
        <v>354</v>
      </c>
      <c r="P1850">
        <v>4.0283411878533504E-3</v>
      </c>
      <c r="Q1850" t="s">
        <v>166</v>
      </c>
    </row>
    <row r="1851" spans="9:17" x14ac:dyDescent="0.45">
      <c r="I1851" t="s">
        <v>220</v>
      </c>
      <c r="J1851" t="s">
        <v>355</v>
      </c>
      <c r="K1851">
        <v>4.7532587161076394E-4</v>
      </c>
      <c r="L1851" t="s">
        <v>166</v>
      </c>
      <c r="N1851" t="s">
        <v>285</v>
      </c>
      <c r="O1851" t="s">
        <v>355</v>
      </c>
      <c r="P1851">
        <v>3.767725237542935E-3</v>
      </c>
      <c r="Q1851" t="s">
        <v>166</v>
      </c>
    </row>
    <row r="1852" spans="9:17" x14ac:dyDescent="0.45">
      <c r="I1852" t="s">
        <v>220</v>
      </c>
      <c r="J1852" t="s">
        <v>356</v>
      </c>
      <c r="K1852">
        <v>0</v>
      </c>
      <c r="L1852" t="s">
        <v>166</v>
      </c>
      <c r="N1852" t="s">
        <v>285</v>
      </c>
      <c r="O1852" t="s">
        <v>356</v>
      </c>
      <c r="P1852">
        <v>1.945435664988546E-2</v>
      </c>
      <c r="Q1852" t="s">
        <v>166</v>
      </c>
    </row>
    <row r="1853" spans="9:17" x14ac:dyDescent="0.45">
      <c r="I1853" t="s">
        <v>220</v>
      </c>
      <c r="J1853" t="s">
        <v>357</v>
      </c>
      <c r="K1853">
        <v>3.1412873699584141E-2</v>
      </c>
      <c r="L1853" t="s">
        <v>166</v>
      </c>
      <c r="N1853" t="s">
        <v>285</v>
      </c>
      <c r="O1853" t="s">
        <v>357</v>
      </c>
      <c r="P1853">
        <v>6.1735748665110515E-2</v>
      </c>
      <c r="Q1853" t="s">
        <v>166</v>
      </c>
    </row>
    <row r="1854" spans="9:17" x14ac:dyDescent="0.45">
      <c r="I1854" t="s">
        <v>220</v>
      </c>
      <c r="J1854" t="s">
        <v>358</v>
      </c>
      <c r="K1854">
        <v>1.6880003444651733E-2</v>
      </c>
      <c r="L1854" t="s">
        <v>166</v>
      </c>
      <c r="N1854" t="s">
        <v>285</v>
      </c>
      <c r="O1854" t="s">
        <v>358</v>
      </c>
      <c r="P1854">
        <v>4.2609688694751884E-3</v>
      </c>
      <c r="Q1854" t="s">
        <v>166</v>
      </c>
    </row>
    <row r="1855" spans="9:17" x14ac:dyDescent="0.45">
      <c r="I1855" t="s">
        <v>220</v>
      </c>
      <c r="J1855" t="s">
        <v>359</v>
      </c>
      <c r="K1855">
        <v>9.502439768576372E-2</v>
      </c>
      <c r="L1855" t="s">
        <v>166</v>
      </c>
      <c r="N1855" t="s">
        <v>285</v>
      </c>
      <c r="O1855" t="s">
        <v>359</v>
      </c>
      <c r="P1855">
        <v>2.4187417976422709E-2</v>
      </c>
      <c r="Q1855" t="s">
        <v>166</v>
      </c>
    </row>
    <row r="1856" spans="9:17" x14ac:dyDescent="0.45">
      <c r="I1856" t="s">
        <v>220</v>
      </c>
      <c r="J1856" t="s">
        <v>360</v>
      </c>
      <c r="K1856">
        <v>8.3674418769109186E-3</v>
      </c>
      <c r="L1856" t="s">
        <v>166</v>
      </c>
      <c r="N1856" t="s">
        <v>285</v>
      </c>
      <c r="O1856" t="s">
        <v>360</v>
      </c>
      <c r="P1856">
        <v>4.5964947528555891E-3</v>
      </c>
      <c r="Q1856" t="s">
        <v>166</v>
      </c>
    </row>
    <row r="1857" spans="9:17" x14ac:dyDescent="0.45">
      <c r="I1857" t="s">
        <v>220</v>
      </c>
      <c r="J1857" t="s">
        <v>361</v>
      </c>
      <c r="K1857">
        <v>0</v>
      </c>
      <c r="L1857" t="s">
        <v>166</v>
      </c>
      <c r="N1857" t="s">
        <v>285</v>
      </c>
      <c r="O1857" t="s">
        <v>361</v>
      </c>
      <c r="P1857">
        <v>5.1591827599490221E-3</v>
      </c>
      <c r="Q1857" t="s">
        <v>166</v>
      </c>
    </row>
    <row r="1858" spans="9:17" x14ac:dyDescent="0.45">
      <c r="I1858" t="s">
        <v>220</v>
      </c>
      <c r="J1858" t="s">
        <v>362</v>
      </c>
      <c r="K1858">
        <v>0</v>
      </c>
      <c r="L1858" t="s">
        <v>166</v>
      </c>
      <c r="N1858" t="s">
        <v>285</v>
      </c>
      <c r="O1858" t="s">
        <v>362</v>
      </c>
      <c r="P1858">
        <v>3.2902666579255106E-2</v>
      </c>
      <c r="Q1858" t="s">
        <v>166</v>
      </c>
    </row>
    <row r="1859" spans="9:17" x14ac:dyDescent="0.45">
      <c r="I1859" t="s">
        <v>221</v>
      </c>
      <c r="J1859" t="s">
        <v>165</v>
      </c>
      <c r="K1859">
        <v>4.9645271537243019E-2</v>
      </c>
      <c r="L1859" t="s">
        <v>166</v>
      </c>
      <c r="N1859" t="s">
        <v>286</v>
      </c>
      <c r="O1859" t="s">
        <v>165</v>
      </c>
      <c r="P1859">
        <v>0.10375130669940096</v>
      </c>
      <c r="Q1859" t="s">
        <v>166</v>
      </c>
    </row>
    <row r="1860" spans="9:17" x14ac:dyDescent="0.45">
      <c r="I1860" t="s">
        <v>221</v>
      </c>
      <c r="J1860" t="s">
        <v>167</v>
      </c>
      <c r="K1860">
        <v>2.7030090090212615E-2</v>
      </c>
      <c r="L1860" t="s">
        <v>166</v>
      </c>
      <c r="N1860" t="s">
        <v>286</v>
      </c>
      <c r="O1860" t="s">
        <v>167</v>
      </c>
      <c r="P1860">
        <v>7.4438840837847643E-3</v>
      </c>
      <c r="Q1860" t="s">
        <v>166</v>
      </c>
    </row>
    <row r="1861" spans="9:17" x14ac:dyDescent="0.45">
      <c r="I1861" t="s">
        <v>221</v>
      </c>
      <c r="J1861" t="s">
        <v>168</v>
      </c>
      <c r="K1861">
        <v>0.1545394322077428</v>
      </c>
      <c r="L1861" t="s">
        <v>166</v>
      </c>
      <c r="N1861" t="s">
        <v>286</v>
      </c>
      <c r="O1861" t="s">
        <v>168</v>
      </c>
      <c r="P1861">
        <v>5.549407688497783E-2</v>
      </c>
      <c r="Q1861" t="s">
        <v>166</v>
      </c>
    </row>
    <row r="1862" spans="9:17" x14ac:dyDescent="0.45">
      <c r="I1862" t="s">
        <v>221</v>
      </c>
      <c r="J1862" t="s">
        <v>333</v>
      </c>
      <c r="K1862">
        <v>1.6197663229641977E-2</v>
      </c>
      <c r="L1862" t="s">
        <v>166</v>
      </c>
      <c r="N1862" t="s">
        <v>286</v>
      </c>
      <c r="O1862" t="s">
        <v>333</v>
      </c>
      <c r="P1862">
        <v>1.0470915194533519E-2</v>
      </c>
      <c r="Q1862" t="s">
        <v>166</v>
      </c>
    </row>
    <row r="1863" spans="9:17" x14ac:dyDescent="0.45">
      <c r="I1863" t="s">
        <v>221</v>
      </c>
      <c r="J1863" t="s">
        <v>334</v>
      </c>
      <c r="K1863">
        <v>4.6245290157668458E-3</v>
      </c>
      <c r="L1863" t="s">
        <v>166</v>
      </c>
      <c r="N1863" t="s">
        <v>286</v>
      </c>
      <c r="O1863" t="s">
        <v>334</v>
      </c>
      <c r="P1863">
        <v>1.1301891759778511E-2</v>
      </c>
      <c r="Q1863" t="s">
        <v>166</v>
      </c>
    </row>
    <row r="1864" spans="9:17" x14ac:dyDescent="0.45">
      <c r="I1864" t="s">
        <v>221</v>
      </c>
      <c r="J1864" t="s">
        <v>335</v>
      </c>
      <c r="K1864">
        <v>0</v>
      </c>
      <c r="L1864" t="s">
        <v>166</v>
      </c>
      <c r="N1864" t="s">
        <v>286</v>
      </c>
      <c r="O1864" t="s">
        <v>335</v>
      </c>
      <c r="P1864">
        <v>6.4731637516583423E-2</v>
      </c>
      <c r="Q1864" t="s">
        <v>166</v>
      </c>
    </row>
    <row r="1865" spans="9:17" x14ac:dyDescent="0.45">
      <c r="I1865" t="s">
        <v>221</v>
      </c>
      <c r="J1865" t="s">
        <v>169</v>
      </c>
      <c r="K1865">
        <v>4.3466821748086998E-2</v>
      </c>
      <c r="L1865" t="s">
        <v>166</v>
      </c>
      <c r="N1865" t="s">
        <v>286</v>
      </c>
      <c r="O1865" t="s">
        <v>169</v>
      </c>
      <c r="P1865">
        <v>9.0082971443394541E-2</v>
      </c>
      <c r="Q1865" t="s">
        <v>166</v>
      </c>
    </row>
    <row r="1866" spans="9:17" x14ac:dyDescent="0.45">
      <c r="I1866" t="s">
        <v>221</v>
      </c>
      <c r="J1866" t="s">
        <v>170</v>
      </c>
      <c r="K1866">
        <v>1.7500710243738959E-2</v>
      </c>
      <c r="L1866" t="s">
        <v>166</v>
      </c>
      <c r="N1866" t="s">
        <v>286</v>
      </c>
      <c r="O1866" t="s">
        <v>170</v>
      </c>
      <c r="P1866">
        <v>6.1896669684378056E-3</v>
      </c>
      <c r="Q1866" t="s">
        <v>166</v>
      </c>
    </row>
    <row r="1867" spans="9:17" x14ac:dyDescent="0.45">
      <c r="I1867" t="s">
        <v>221</v>
      </c>
      <c r="J1867" t="s">
        <v>171</v>
      </c>
      <c r="K1867">
        <v>0.10187323891979326</v>
      </c>
      <c r="L1867" t="s">
        <v>166</v>
      </c>
      <c r="N1867" t="s">
        <v>286</v>
      </c>
      <c r="O1867" t="s">
        <v>171</v>
      </c>
      <c r="P1867">
        <v>4.0835485158712319E-2</v>
      </c>
      <c r="Q1867" t="s">
        <v>166</v>
      </c>
    </row>
    <row r="1868" spans="9:17" x14ac:dyDescent="0.45">
      <c r="I1868" t="s">
        <v>221</v>
      </c>
      <c r="J1868" t="s">
        <v>336</v>
      </c>
      <c r="K1868">
        <v>1.0858430870430463E-2</v>
      </c>
      <c r="L1868" t="s">
        <v>166</v>
      </c>
      <c r="N1868" t="s">
        <v>286</v>
      </c>
      <c r="O1868" t="s">
        <v>336</v>
      </c>
      <c r="P1868">
        <v>8.8460679373784136E-3</v>
      </c>
      <c r="Q1868" t="s">
        <v>166</v>
      </c>
    </row>
    <row r="1869" spans="9:17" x14ac:dyDescent="0.45">
      <c r="I1869" t="s">
        <v>221</v>
      </c>
      <c r="J1869" t="s">
        <v>337</v>
      </c>
      <c r="K1869">
        <v>5.8631319357584722E-3</v>
      </c>
      <c r="L1869" t="s">
        <v>166</v>
      </c>
      <c r="N1869" t="s">
        <v>286</v>
      </c>
      <c r="O1869" t="s">
        <v>337</v>
      </c>
      <c r="P1869">
        <v>9.5851816529677579E-3</v>
      </c>
      <c r="Q1869" t="s">
        <v>166</v>
      </c>
    </row>
    <row r="1870" spans="9:17" x14ac:dyDescent="0.45">
      <c r="I1870" t="s">
        <v>221</v>
      </c>
      <c r="J1870" t="s">
        <v>338</v>
      </c>
      <c r="K1870">
        <v>0</v>
      </c>
      <c r="L1870" t="s">
        <v>166</v>
      </c>
      <c r="N1870" t="s">
        <v>286</v>
      </c>
      <c r="O1870" t="s">
        <v>338</v>
      </c>
      <c r="P1870">
        <v>5.9774130641430452E-2</v>
      </c>
      <c r="Q1870" t="s">
        <v>166</v>
      </c>
    </row>
    <row r="1871" spans="9:17" x14ac:dyDescent="0.45">
      <c r="I1871" t="s">
        <v>221</v>
      </c>
      <c r="J1871" t="s">
        <v>172</v>
      </c>
      <c r="K1871">
        <v>2.0806234287784154E-2</v>
      </c>
      <c r="L1871" t="s">
        <v>166</v>
      </c>
      <c r="N1871" t="s">
        <v>286</v>
      </c>
      <c r="O1871" t="s">
        <v>172</v>
      </c>
      <c r="P1871">
        <v>3.0999531303051341E-2</v>
      </c>
      <c r="Q1871" t="s">
        <v>166</v>
      </c>
    </row>
    <row r="1872" spans="9:17" x14ac:dyDescent="0.45">
      <c r="I1872" t="s">
        <v>221</v>
      </c>
      <c r="J1872" t="s">
        <v>173</v>
      </c>
      <c r="K1872">
        <v>8.1631856293743511E-3</v>
      </c>
      <c r="L1872" t="s">
        <v>166</v>
      </c>
      <c r="N1872" t="s">
        <v>286</v>
      </c>
      <c r="O1872" t="s">
        <v>173</v>
      </c>
      <c r="P1872">
        <v>1.7911994757743334E-3</v>
      </c>
      <c r="Q1872" t="s">
        <v>166</v>
      </c>
    </row>
    <row r="1873" spans="9:17" x14ac:dyDescent="0.45">
      <c r="I1873" t="s">
        <v>221</v>
      </c>
      <c r="J1873" t="s">
        <v>174</v>
      </c>
      <c r="K1873">
        <v>4.7692026008357223E-2</v>
      </c>
      <c r="L1873" t="s">
        <v>166</v>
      </c>
      <c r="N1873" t="s">
        <v>286</v>
      </c>
      <c r="O1873" t="s">
        <v>174</v>
      </c>
      <c r="P1873">
        <v>1.7860835621819299E-2</v>
      </c>
      <c r="Q1873" t="s">
        <v>166</v>
      </c>
    </row>
    <row r="1874" spans="9:17" x14ac:dyDescent="0.45">
      <c r="I1874" t="s">
        <v>221</v>
      </c>
      <c r="J1874" t="s">
        <v>339</v>
      </c>
      <c r="K1874">
        <v>4.9846188559007441E-3</v>
      </c>
      <c r="L1874" t="s">
        <v>166</v>
      </c>
      <c r="N1874" t="s">
        <v>286</v>
      </c>
      <c r="O1874" t="s">
        <v>339</v>
      </c>
      <c r="P1874">
        <v>3.9001625930822981E-3</v>
      </c>
      <c r="Q1874" t="s">
        <v>166</v>
      </c>
    </row>
    <row r="1875" spans="9:17" x14ac:dyDescent="0.45">
      <c r="I1875" t="s">
        <v>221</v>
      </c>
      <c r="J1875" t="s">
        <v>340</v>
      </c>
      <c r="K1875">
        <v>2.9500090982240239E-3</v>
      </c>
      <c r="L1875" t="s">
        <v>166</v>
      </c>
      <c r="N1875" t="s">
        <v>286</v>
      </c>
      <c r="O1875" t="s">
        <v>340</v>
      </c>
      <c r="P1875">
        <v>4.1618239353317021E-3</v>
      </c>
      <c r="Q1875" t="s">
        <v>166</v>
      </c>
    </row>
    <row r="1876" spans="9:17" x14ac:dyDescent="0.45">
      <c r="I1876" t="s">
        <v>221</v>
      </c>
      <c r="J1876" t="s">
        <v>341</v>
      </c>
      <c r="K1876">
        <v>1.0168595164701976E-4</v>
      </c>
      <c r="L1876" t="s">
        <v>166</v>
      </c>
      <c r="N1876" t="s">
        <v>286</v>
      </c>
      <c r="O1876" t="s">
        <v>341</v>
      </c>
      <c r="P1876">
        <v>2.7501924928796117E-2</v>
      </c>
      <c r="Q1876" t="s">
        <v>166</v>
      </c>
    </row>
    <row r="1877" spans="9:17" x14ac:dyDescent="0.45">
      <c r="I1877" t="s">
        <v>221</v>
      </c>
      <c r="J1877" t="s">
        <v>175</v>
      </c>
      <c r="K1877">
        <v>2.0203542470696861E-2</v>
      </c>
      <c r="L1877" t="s">
        <v>166</v>
      </c>
      <c r="N1877" t="s">
        <v>286</v>
      </c>
      <c r="O1877" t="s">
        <v>175</v>
      </c>
      <c r="P1877">
        <v>3.5140961058486381E-2</v>
      </c>
      <c r="Q1877" t="s">
        <v>166</v>
      </c>
    </row>
    <row r="1878" spans="9:17" x14ac:dyDescent="0.45">
      <c r="I1878" t="s">
        <v>221</v>
      </c>
      <c r="J1878" t="s">
        <v>176</v>
      </c>
      <c r="K1878">
        <v>8.2360805306359412E-3</v>
      </c>
      <c r="L1878" t="s">
        <v>166</v>
      </c>
      <c r="N1878" t="s">
        <v>286</v>
      </c>
      <c r="O1878" t="s">
        <v>176</v>
      </c>
      <c r="P1878">
        <v>1.8203903546469479E-3</v>
      </c>
      <c r="Q1878" t="s">
        <v>166</v>
      </c>
    </row>
    <row r="1879" spans="9:17" x14ac:dyDescent="0.45">
      <c r="I1879" t="s">
        <v>221</v>
      </c>
      <c r="J1879" t="s">
        <v>177</v>
      </c>
      <c r="K1879">
        <v>4.8287258291063978E-2</v>
      </c>
      <c r="L1879" t="s">
        <v>166</v>
      </c>
      <c r="N1879" t="s">
        <v>286</v>
      </c>
      <c r="O1879" t="s">
        <v>177</v>
      </c>
      <c r="P1879">
        <v>1.4670538406913404E-2</v>
      </c>
      <c r="Q1879" t="s">
        <v>166</v>
      </c>
    </row>
    <row r="1880" spans="9:17" x14ac:dyDescent="0.45">
      <c r="I1880" t="s">
        <v>221</v>
      </c>
      <c r="J1880" t="s">
        <v>342</v>
      </c>
      <c r="K1880">
        <v>4.9429784527678169E-3</v>
      </c>
      <c r="L1880" t="s">
        <v>166</v>
      </c>
      <c r="N1880" t="s">
        <v>286</v>
      </c>
      <c r="O1880" t="s">
        <v>342</v>
      </c>
      <c r="P1880">
        <v>3.8388799538382496E-3</v>
      </c>
      <c r="Q1880" t="s">
        <v>166</v>
      </c>
    </row>
    <row r="1881" spans="9:17" x14ac:dyDescent="0.45">
      <c r="I1881" t="s">
        <v>221</v>
      </c>
      <c r="J1881" t="s">
        <v>343</v>
      </c>
      <c r="K1881">
        <v>2.9029232026989973E-3</v>
      </c>
      <c r="L1881" t="s">
        <v>166</v>
      </c>
      <c r="N1881" t="s">
        <v>286</v>
      </c>
      <c r="O1881" t="s">
        <v>343</v>
      </c>
      <c r="P1881">
        <v>3.9667453897084468E-3</v>
      </c>
      <c r="Q1881" t="s">
        <v>166</v>
      </c>
    </row>
    <row r="1882" spans="9:17" x14ac:dyDescent="0.45">
      <c r="I1882" t="s">
        <v>221</v>
      </c>
      <c r="J1882" t="s">
        <v>344</v>
      </c>
      <c r="K1882">
        <v>1.30128442158228E-4</v>
      </c>
      <c r="L1882" t="s">
        <v>166</v>
      </c>
      <c r="N1882" t="s">
        <v>286</v>
      </c>
      <c r="O1882" t="s">
        <v>344</v>
      </c>
      <c r="P1882">
        <v>2.3799097743850944E-2</v>
      </c>
      <c r="Q1882" t="s">
        <v>166</v>
      </c>
    </row>
    <row r="1883" spans="9:17" x14ac:dyDescent="0.45">
      <c r="I1883" t="s">
        <v>221</v>
      </c>
      <c r="J1883" t="s">
        <v>345</v>
      </c>
      <c r="K1883">
        <v>3.8711938055455752E-2</v>
      </c>
      <c r="L1883" t="s">
        <v>166</v>
      </c>
      <c r="N1883" t="s">
        <v>286</v>
      </c>
      <c r="O1883" t="s">
        <v>345</v>
      </c>
      <c r="P1883">
        <v>5.2753556173759111E-2</v>
      </c>
      <c r="Q1883" t="s">
        <v>166</v>
      </c>
    </row>
    <row r="1884" spans="9:17" x14ac:dyDescent="0.45">
      <c r="I1884" t="s">
        <v>221</v>
      </c>
      <c r="J1884" t="s">
        <v>346</v>
      </c>
      <c r="K1884">
        <v>1.6769103673670575E-2</v>
      </c>
      <c r="L1884" t="s">
        <v>166</v>
      </c>
      <c r="N1884" t="s">
        <v>286</v>
      </c>
      <c r="O1884" t="s">
        <v>346</v>
      </c>
      <c r="P1884">
        <v>4.5960383798564668E-3</v>
      </c>
      <c r="Q1884" t="s">
        <v>166</v>
      </c>
    </row>
    <row r="1885" spans="9:17" x14ac:dyDescent="0.45">
      <c r="I1885" t="s">
        <v>221</v>
      </c>
      <c r="J1885" t="s">
        <v>347</v>
      </c>
      <c r="K1885">
        <v>9.5347362400440949E-2</v>
      </c>
      <c r="L1885" t="s">
        <v>166</v>
      </c>
      <c r="N1885" t="s">
        <v>286</v>
      </c>
      <c r="O1885" t="s">
        <v>347</v>
      </c>
      <c r="P1885">
        <v>4.005605640191684E-2</v>
      </c>
      <c r="Q1885" t="s">
        <v>166</v>
      </c>
    </row>
    <row r="1886" spans="9:17" x14ac:dyDescent="0.45">
      <c r="I1886" t="s">
        <v>221</v>
      </c>
      <c r="J1886" t="s">
        <v>348</v>
      </c>
      <c r="K1886">
        <v>9.3108458241885871E-3</v>
      </c>
      <c r="L1886" t="s">
        <v>166</v>
      </c>
      <c r="N1886" t="s">
        <v>286</v>
      </c>
      <c r="O1886" t="s">
        <v>348</v>
      </c>
      <c r="P1886">
        <v>7.9777529073692087E-3</v>
      </c>
      <c r="Q1886" t="s">
        <v>166</v>
      </c>
    </row>
    <row r="1887" spans="9:17" x14ac:dyDescent="0.45">
      <c r="I1887" t="s">
        <v>221</v>
      </c>
      <c r="J1887" t="s">
        <v>349</v>
      </c>
      <c r="K1887">
        <v>4.474008032965486E-3</v>
      </c>
      <c r="L1887" t="s">
        <v>166</v>
      </c>
      <c r="N1887" t="s">
        <v>286</v>
      </c>
      <c r="O1887" t="s">
        <v>349</v>
      </c>
      <c r="P1887">
        <v>7.5706023184376513E-3</v>
      </c>
      <c r="Q1887" t="s">
        <v>166</v>
      </c>
    </row>
    <row r="1888" spans="9:17" x14ac:dyDescent="0.45">
      <c r="I1888" t="s">
        <v>221</v>
      </c>
      <c r="J1888" t="s">
        <v>350</v>
      </c>
      <c r="K1888">
        <v>0</v>
      </c>
      <c r="L1888" t="s">
        <v>166</v>
      </c>
      <c r="N1888" t="s">
        <v>286</v>
      </c>
      <c r="O1888" t="s">
        <v>350</v>
      </c>
      <c r="P1888">
        <v>4.0923481723714669E-2</v>
      </c>
      <c r="Q1888" t="s">
        <v>166</v>
      </c>
    </row>
    <row r="1889" spans="9:17" x14ac:dyDescent="0.45">
      <c r="I1889" t="s">
        <v>221</v>
      </c>
      <c r="J1889" t="s">
        <v>351</v>
      </c>
      <c r="K1889">
        <v>2.0499841614405261E-2</v>
      </c>
      <c r="L1889" t="s">
        <v>166</v>
      </c>
      <c r="N1889" t="s">
        <v>286</v>
      </c>
      <c r="O1889" t="s">
        <v>351</v>
      </c>
      <c r="P1889">
        <v>1.8619043115607591E-2</v>
      </c>
      <c r="Q1889" t="s">
        <v>166</v>
      </c>
    </row>
    <row r="1890" spans="9:17" x14ac:dyDescent="0.45">
      <c r="I1890" t="s">
        <v>221</v>
      </c>
      <c r="J1890" t="s">
        <v>352</v>
      </c>
      <c r="K1890">
        <v>8.8305158108663209E-3</v>
      </c>
      <c r="L1890" t="s">
        <v>166</v>
      </c>
      <c r="N1890" t="s">
        <v>286</v>
      </c>
      <c r="O1890" t="s">
        <v>352</v>
      </c>
      <c r="P1890">
        <v>9.3562243925674187E-4</v>
      </c>
      <c r="Q1890" t="s">
        <v>166</v>
      </c>
    </row>
    <row r="1891" spans="9:17" x14ac:dyDescent="0.45">
      <c r="I1891" t="s">
        <v>221</v>
      </c>
      <c r="J1891" t="s">
        <v>353</v>
      </c>
      <c r="K1891">
        <v>4.941143385868519E-2</v>
      </c>
      <c r="L1891" t="s">
        <v>166</v>
      </c>
      <c r="N1891" t="s">
        <v>286</v>
      </c>
      <c r="O1891" t="s">
        <v>353</v>
      </c>
      <c r="P1891">
        <v>1.3405934806355308E-2</v>
      </c>
      <c r="Q1891" t="s">
        <v>166</v>
      </c>
    </row>
    <row r="1892" spans="9:17" x14ac:dyDescent="0.45">
      <c r="I1892" t="s">
        <v>221</v>
      </c>
      <c r="J1892" t="s">
        <v>354</v>
      </c>
      <c r="K1892">
        <v>4.5263126511991729E-3</v>
      </c>
      <c r="L1892" t="s">
        <v>166</v>
      </c>
      <c r="N1892" t="s">
        <v>286</v>
      </c>
      <c r="O1892" t="s">
        <v>354</v>
      </c>
      <c r="P1892">
        <v>3.0623668996393534E-3</v>
      </c>
      <c r="Q1892" t="s">
        <v>166</v>
      </c>
    </row>
    <row r="1893" spans="9:17" x14ac:dyDescent="0.45">
      <c r="I1893" t="s">
        <v>221</v>
      </c>
      <c r="J1893" t="s">
        <v>355</v>
      </c>
      <c r="K1893">
        <v>0</v>
      </c>
      <c r="L1893" t="s">
        <v>166</v>
      </c>
      <c r="N1893" t="s">
        <v>286</v>
      </c>
      <c r="O1893" t="s">
        <v>355</v>
      </c>
      <c r="P1893">
        <v>3.3513572217246219E-3</v>
      </c>
      <c r="Q1893" t="s">
        <v>166</v>
      </c>
    </row>
    <row r="1894" spans="9:17" x14ac:dyDescent="0.45">
      <c r="I1894" t="s">
        <v>221</v>
      </c>
      <c r="J1894" t="s">
        <v>356</v>
      </c>
      <c r="K1894">
        <v>0</v>
      </c>
      <c r="L1894" t="s">
        <v>166</v>
      </c>
      <c r="N1894" t="s">
        <v>286</v>
      </c>
      <c r="O1894" t="s">
        <v>356</v>
      </c>
      <c r="P1894">
        <v>1.8883502537946621E-2</v>
      </c>
      <c r="Q1894" t="s">
        <v>166</v>
      </c>
    </row>
    <row r="1895" spans="9:17" x14ac:dyDescent="0.45">
      <c r="I1895" t="s">
        <v>221</v>
      </c>
      <c r="J1895" t="s">
        <v>357</v>
      </c>
      <c r="K1895">
        <v>3.4329145710577026E-2</v>
      </c>
      <c r="L1895" t="s">
        <v>166</v>
      </c>
      <c r="N1895" t="s">
        <v>286</v>
      </c>
      <c r="O1895" t="s">
        <v>357</v>
      </c>
      <c r="P1895">
        <v>6.7713057655248696E-2</v>
      </c>
      <c r="Q1895" t="s">
        <v>166</v>
      </c>
    </row>
    <row r="1896" spans="9:17" x14ac:dyDescent="0.45">
      <c r="I1896" t="s">
        <v>221</v>
      </c>
      <c r="J1896" t="s">
        <v>358</v>
      </c>
      <c r="K1896">
        <v>1.7057389862068426E-2</v>
      </c>
      <c r="L1896" t="s">
        <v>166</v>
      </c>
      <c r="N1896" t="s">
        <v>286</v>
      </c>
      <c r="O1896" t="s">
        <v>358</v>
      </c>
      <c r="P1896">
        <v>5.6246195449742428E-3</v>
      </c>
      <c r="Q1896" t="s">
        <v>166</v>
      </c>
    </row>
    <row r="1897" spans="9:17" x14ac:dyDescent="0.45">
      <c r="I1897" t="s">
        <v>221</v>
      </c>
      <c r="J1897" t="s">
        <v>359</v>
      </c>
      <c r="K1897">
        <v>9.2484909685308814E-2</v>
      </c>
      <c r="L1897" t="s">
        <v>166</v>
      </c>
      <c r="N1897" t="s">
        <v>286</v>
      </c>
      <c r="O1897" t="s">
        <v>359</v>
      </c>
      <c r="P1897">
        <v>3.1031136321296175E-2</v>
      </c>
      <c r="Q1897" t="s">
        <v>166</v>
      </c>
    </row>
    <row r="1898" spans="9:17" x14ac:dyDescent="0.45">
      <c r="I1898" t="s">
        <v>221</v>
      </c>
      <c r="J1898" t="s">
        <v>360</v>
      </c>
      <c r="K1898">
        <v>7.2472018004427798E-3</v>
      </c>
      <c r="L1898" t="s">
        <v>166</v>
      </c>
      <c r="N1898" t="s">
        <v>286</v>
      </c>
      <c r="O1898" t="s">
        <v>360</v>
      </c>
      <c r="P1898">
        <v>5.0786861311524611E-3</v>
      </c>
      <c r="Q1898" t="s">
        <v>166</v>
      </c>
    </row>
    <row r="1899" spans="9:17" x14ac:dyDescent="0.45">
      <c r="I1899" t="s">
        <v>221</v>
      </c>
      <c r="J1899" t="s">
        <v>361</v>
      </c>
      <c r="K1899">
        <v>0</v>
      </c>
      <c r="L1899" t="s">
        <v>166</v>
      </c>
      <c r="N1899" t="s">
        <v>286</v>
      </c>
      <c r="O1899" t="s">
        <v>361</v>
      </c>
      <c r="P1899">
        <v>5.7485841742049345E-3</v>
      </c>
      <c r="Q1899" t="s">
        <v>166</v>
      </c>
    </row>
    <row r="1900" spans="9:17" x14ac:dyDescent="0.45">
      <c r="I1900" t="s">
        <v>221</v>
      </c>
      <c r="J1900" t="s">
        <v>362</v>
      </c>
      <c r="K1900">
        <v>0</v>
      </c>
      <c r="L1900" t="s">
        <v>166</v>
      </c>
      <c r="N1900" t="s">
        <v>286</v>
      </c>
      <c r="O1900" t="s">
        <v>362</v>
      </c>
      <c r="P1900">
        <v>3.4709294540856889E-2</v>
      </c>
      <c r="Q1900" t="s">
        <v>166</v>
      </c>
    </row>
    <row r="1901" spans="9:17" x14ac:dyDescent="0.45">
      <c r="I1901" t="s">
        <v>222</v>
      </c>
      <c r="J1901" t="s">
        <v>165</v>
      </c>
      <c r="K1901">
        <v>5.6212213384263431E-2</v>
      </c>
      <c r="L1901" t="s">
        <v>166</v>
      </c>
      <c r="N1901" t="s">
        <v>287</v>
      </c>
      <c r="O1901" t="s">
        <v>165</v>
      </c>
      <c r="P1901">
        <v>0.11354190037240008</v>
      </c>
      <c r="Q1901" t="s">
        <v>166</v>
      </c>
    </row>
    <row r="1902" spans="9:17" x14ac:dyDescent="0.45">
      <c r="I1902" t="s">
        <v>222</v>
      </c>
      <c r="J1902" t="s">
        <v>167</v>
      </c>
      <c r="K1902">
        <v>2.633778868409167E-2</v>
      </c>
      <c r="L1902" t="s">
        <v>166</v>
      </c>
      <c r="N1902" t="s">
        <v>287</v>
      </c>
      <c r="O1902" t="s">
        <v>167</v>
      </c>
      <c r="P1902">
        <v>8.2677803281833249E-3</v>
      </c>
      <c r="Q1902" t="s">
        <v>166</v>
      </c>
    </row>
    <row r="1903" spans="9:17" x14ac:dyDescent="0.45">
      <c r="I1903" t="s">
        <v>222</v>
      </c>
      <c r="J1903" t="s">
        <v>168</v>
      </c>
      <c r="K1903">
        <v>0.14836208824196101</v>
      </c>
      <c r="L1903" t="s">
        <v>166</v>
      </c>
      <c r="N1903" t="s">
        <v>287</v>
      </c>
      <c r="O1903" t="s">
        <v>168</v>
      </c>
      <c r="P1903">
        <v>5.2695732449415195E-2</v>
      </c>
      <c r="Q1903" t="s">
        <v>166</v>
      </c>
    </row>
    <row r="1904" spans="9:17" x14ac:dyDescent="0.45">
      <c r="I1904" t="s">
        <v>222</v>
      </c>
      <c r="J1904" t="s">
        <v>333</v>
      </c>
      <c r="K1904">
        <v>1.4026946814390817E-2</v>
      </c>
      <c r="L1904" t="s">
        <v>166</v>
      </c>
      <c r="N1904" t="s">
        <v>287</v>
      </c>
      <c r="O1904" t="s">
        <v>333</v>
      </c>
      <c r="P1904">
        <v>8.7888518842923671E-3</v>
      </c>
      <c r="Q1904" t="s">
        <v>166</v>
      </c>
    </row>
    <row r="1905" spans="9:17" x14ac:dyDescent="0.45">
      <c r="I1905" t="s">
        <v>222</v>
      </c>
      <c r="J1905" t="s">
        <v>334</v>
      </c>
      <c r="K1905">
        <v>1.94150393440097E-3</v>
      </c>
      <c r="L1905" t="s">
        <v>166</v>
      </c>
      <c r="N1905" t="s">
        <v>287</v>
      </c>
      <c r="O1905" t="s">
        <v>334</v>
      </c>
      <c r="P1905">
        <v>9.2948031248749497E-3</v>
      </c>
      <c r="Q1905" t="s">
        <v>166</v>
      </c>
    </row>
    <row r="1906" spans="9:17" x14ac:dyDescent="0.45">
      <c r="I1906" t="s">
        <v>222</v>
      </c>
      <c r="J1906" t="s">
        <v>335</v>
      </c>
      <c r="K1906">
        <v>0</v>
      </c>
      <c r="L1906" t="s">
        <v>166</v>
      </c>
      <c r="N1906" t="s">
        <v>287</v>
      </c>
      <c r="O1906" t="s">
        <v>335</v>
      </c>
      <c r="P1906">
        <v>5.9211264730784925E-2</v>
      </c>
      <c r="Q1906" t="s">
        <v>166</v>
      </c>
    </row>
    <row r="1907" spans="9:17" x14ac:dyDescent="0.45">
      <c r="I1907" t="s">
        <v>222</v>
      </c>
      <c r="J1907" t="s">
        <v>169</v>
      </c>
      <c r="K1907">
        <v>4.608465271518352E-2</v>
      </c>
      <c r="L1907" t="s">
        <v>166</v>
      </c>
      <c r="N1907" t="s">
        <v>287</v>
      </c>
      <c r="O1907" t="s">
        <v>169</v>
      </c>
      <c r="P1907">
        <v>9.6922638278916146E-2</v>
      </c>
      <c r="Q1907" t="s">
        <v>166</v>
      </c>
    </row>
    <row r="1908" spans="9:17" x14ac:dyDescent="0.45">
      <c r="I1908" t="s">
        <v>222</v>
      </c>
      <c r="J1908" t="s">
        <v>170</v>
      </c>
      <c r="K1908">
        <v>1.7113293237641405E-2</v>
      </c>
      <c r="L1908" t="s">
        <v>166</v>
      </c>
      <c r="N1908" t="s">
        <v>287</v>
      </c>
      <c r="O1908" t="s">
        <v>170</v>
      </c>
      <c r="P1908">
        <v>7.0483497248466443E-3</v>
      </c>
      <c r="Q1908" t="s">
        <v>166</v>
      </c>
    </row>
    <row r="1909" spans="9:17" x14ac:dyDescent="0.45">
      <c r="I1909" t="s">
        <v>222</v>
      </c>
      <c r="J1909" t="s">
        <v>171</v>
      </c>
      <c r="K1909">
        <v>9.6744217260032073E-2</v>
      </c>
      <c r="L1909" t="s">
        <v>166</v>
      </c>
      <c r="N1909" t="s">
        <v>287</v>
      </c>
      <c r="O1909" t="s">
        <v>171</v>
      </c>
      <c r="P1909">
        <v>4.2142760564109157E-2</v>
      </c>
      <c r="Q1909" t="s">
        <v>166</v>
      </c>
    </row>
    <row r="1910" spans="9:17" x14ac:dyDescent="0.45">
      <c r="I1910" t="s">
        <v>222</v>
      </c>
      <c r="J1910" t="s">
        <v>336</v>
      </c>
      <c r="K1910">
        <v>9.493772787673738E-3</v>
      </c>
      <c r="L1910" t="s">
        <v>166</v>
      </c>
      <c r="N1910" t="s">
        <v>287</v>
      </c>
      <c r="O1910" t="s">
        <v>336</v>
      </c>
      <c r="P1910">
        <v>7.7393302319981386E-3</v>
      </c>
      <c r="Q1910" t="s">
        <v>166</v>
      </c>
    </row>
    <row r="1911" spans="9:17" x14ac:dyDescent="0.45">
      <c r="I1911" t="s">
        <v>222</v>
      </c>
      <c r="J1911" t="s">
        <v>337</v>
      </c>
      <c r="K1911">
        <v>4.4134748418235359E-3</v>
      </c>
      <c r="L1911" t="s">
        <v>166</v>
      </c>
      <c r="N1911" t="s">
        <v>287</v>
      </c>
      <c r="O1911" t="s">
        <v>337</v>
      </c>
      <c r="P1911">
        <v>7.6819475547870355E-3</v>
      </c>
      <c r="Q1911" t="s">
        <v>166</v>
      </c>
    </row>
    <row r="1912" spans="9:17" x14ac:dyDescent="0.45">
      <c r="I1912" t="s">
        <v>222</v>
      </c>
      <c r="J1912" t="s">
        <v>338</v>
      </c>
      <c r="K1912">
        <v>0</v>
      </c>
      <c r="L1912" t="s">
        <v>166</v>
      </c>
      <c r="N1912" t="s">
        <v>287</v>
      </c>
      <c r="O1912" t="s">
        <v>338</v>
      </c>
      <c r="P1912">
        <v>4.9257683186380768E-2</v>
      </c>
      <c r="Q1912" t="s">
        <v>166</v>
      </c>
    </row>
    <row r="1913" spans="9:17" x14ac:dyDescent="0.45">
      <c r="I1913" t="s">
        <v>222</v>
      </c>
      <c r="J1913" t="s">
        <v>172</v>
      </c>
      <c r="K1913">
        <v>2.2016177735781687E-2</v>
      </c>
      <c r="L1913" t="s">
        <v>166</v>
      </c>
      <c r="N1913" t="s">
        <v>287</v>
      </c>
      <c r="O1913" t="s">
        <v>172</v>
      </c>
      <c r="P1913">
        <v>3.8424207810134885E-2</v>
      </c>
      <c r="Q1913" t="s">
        <v>166</v>
      </c>
    </row>
    <row r="1914" spans="9:17" x14ac:dyDescent="0.45">
      <c r="I1914" t="s">
        <v>222</v>
      </c>
      <c r="J1914" t="s">
        <v>173</v>
      </c>
      <c r="K1914">
        <v>8.0706843431855701E-3</v>
      </c>
      <c r="L1914" t="s">
        <v>166</v>
      </c>
      <c r="N1914" t="s">
        <v>287</v>
      </c>
      <c r="O1914" t="s">
        <v>173</v>
      </c>
      <c r="P1914">
        <v>2.3018659818164464E-3</v>
      </c>
      <c r="Q1914" t="s">
        <v>166</v>
      </c>
    </row>
    <row r="1915" spans="9:17" x14ac:dyDescent="0.45">
      <c r="I1915" t="s">
        <v>222</v>
      </c>
      <c r="J1915" t="s">
        <v>174</v>
      </c>
      <c r="K1915">
        <v>4.6706434026351683E-2</v>
      </c>
      <c r="L1915" t="s">
        <v>166</v>
      </c>
      <c r="N1915" t="s">
        <v>287</v>
      </c>
      <c r="O1915" t="s">
        <v>174</v>
      </c>
      <c r="P1915">
        <v>1.8294073103964623E-2</v>
      </c>
      <c r="Q1915" t="s">
        <v>166</v>
      </c>
    </row>
    <row r="1916" spans="9:17" x14ac:dyDescent="0.45">
      <c r="I1916" t="s">
        <v>222</v>
      </c>
      <c r="J1916" t="s">
        <v>339</v>
      </c>
      <c r="K1916">
        <v>4.8616572037495078E-3</v>
      </c>
      <c r="L1916" t="s">
        <v>166</v>
      </c>
      <c r="N1916" t="s">
        <v>287</v>
      </c>
      <c r="O1916" t="s">
        <v>339</v>
      </c>
      <c r="P1916">
        <v>3.5742183023080702E-3</v>
      </c>
      <c r="Q1916" t="s">
        <v>166</v>
      </c>
    </row>
    <row r="1917" spans="9:17" x14ac:dyDescent="0.45">
      <c r="I1917" t="s">
        <v>222</v>
      </c>
      <c r="J1917" t="s">
        <v>340</v>
      </c>
      <c r="K1917">
        <v>2.5614623246718398E-3</v>
      </c>
      <c r="L1917" t="s">
        <v>166</v>
      </c>
      <c r="N1917" t="s">
        <v>287</v>
      </c>
      <c r="O1917" t="s">
        <v>340</v>
      </c>
      <c r="P1917">
        <v>3.4136636875467447E-3</v>
      </c>
      <c r="Q1917" t="s">
        <v>166</v>
      </c>
    </row>
    <row r="1918" spans="9:17" x14ac:dyDescent="0.45">
      <c r="I1918" t="s">
        <v>222</v>
      </c>
      <c r="J1918" t="s">
        <v>341</v>
      </c>
      <c r="K1918">
        <v>0</v>
      </c>
      <c r="L1918" t="s">
        <v>166</v>
      </c>
      <c r="N1918" t="s">
        <v>287</v>
      </c>
      <c r="O1918" t="s">
        <v>341</v>
      </c>
      <c r="P1918">
        <v>2.3042353719020334E-2</v>
      </c>
      <c r="Q1918" t="s">
        <v>166</v>
      </c>
    </row>
    <row r="1919" spans="9:17" x14ac:dyDescent="0.45">
      <c r="I1919" t="s">
        <v>222</v>
      </c>
      <c r="J1919" t="s">
        <v>175</v>
      </c>
      <c r="K1919">
        <v>2.1746817750382921E-2</v>
      </c>
      <c r="L1919" t="s">
        <v>166</v>
      </c>
      <c r="N1919" t="s">
        <v>287</v>
      </c>
      <c r="O1919" t="s">
        <v>175</v>
      </c>
      <c r="P1919">
        <v>3.9376778447685015E-2</v>
      </c>
      <c r="Q1919" t="s">
        <v>166</v>
      </c>
    </row>
    <row r="1920" spans="9:17" x14ac:dyDescent="0.45">
      <c r="I1920" t="s">
        <v>222</v>
      </c>
      <c r="J1920" t="s">
        <v>176</v>
      </c>
      <c r="K1920">
        <v>8.2975904999966609E-3</v>
      </c>
      <c r="L1920" t="s">
        <v>166</v>
      </c>
      <c r="N1920" t="s">
        <v>287</v>
      </c>
      <c r="O1920" t="s">
        <v>176</v>
      </c>
      <c r="P1920">
        <v>2.1515567209810797E-3</v>
      </c>
      <c r="Q1920" t="s">
        <v>166</v>
      </c>
    </row>
    <row r="1921" spans="9:17" x14ac:dyDescent="0.45">
      <c r="I1921" t="s">
        <v>222</v>
      </c>
      <c r="J1921" t="s">
        <v>177</v>
      </c>
      <c r="K1921">
        <v>4.8305397529349564E-2</v>
      </c>
      <c r="L1921" t="s">
        <v>166</v>
      </c>
      <c r="N1921" t="s">
        <v>287</v>
      </c>
      <c r="O1921" t="s">
        <v>177</v>
      </c>
      <c r="P1921">
        <v>9.8816486399318365E-3</v>
      </c>
      <c r="Q1921" t="s">
        <v>166</v>
      </c>
    </row>
    <row r="1922" spans="9:17" x14ac:dyDescent="0.45">
      <c r="I1922" t="s">
        <v>222</v>
      </c>
      <c r="J1922" t="s">
        <v>342</v>
      </c>
      <c r="K1922">
        <v>5.1737137124493668E-3</v>
      </c>
      <c r="L1922" t="s">
        <v>166</v>
      </c>
      <c r="N1922" t="s">
        <v>287</v>
      </c>
      <c r="O1922" t="s">
        <v>342</v>
      </c>
      <c r="P1922">
        <v>1.759777433394177E-3</v>
      </c>
      <c r="Q1922" t="s">
        <v>166</v>
      </c>
    </row>
    <row r="1923" spans="9:17" x14ac:dyDescent="0.45">
      <c r="I1923" t="s">
        <v>222</v>
      </c>
      <c r="J1923" t="s">
        <v>343</v>
      </c>
      <c r="K1923">
        <v>2.7619839499588498E-3</v>
      </c>
      <c r="L1923" t="s">
        <v>166</v>
      </c>
      <c r="N1923" t="s">
        <v>287</v>
      </c>
      <c r="O1923" t="s">
        <v>343</v>
      </c>
      <c r="P1923">
        <v>1.8602234573349085E-3</v>
      </c>
      <c r="Q1923" t="s">
        <v>166</v>
      </c>
    </row>
    <row r="1924" spans="9:17" x14ac:dyDescent="0.45">
      <c r="I1924" t="s">
        <v>222</v>
      </c>
      <c r="J1924" t="s">
        <v>344</v>
      </c>
      <c r="K1924">
        <v>0</v>
      </c>
      <c r="L1924" t="s">
        <v>166</v>
      </c>
      <c r="N1924" t="s">
        <v>287</v>
      </c>
      <c r="O1924" t="s">
        <v>344</v>
      </c>
      <c r="P1924">
        <v>1.5284879494697243E-2</v>
      </c>
      <c r="Q1924" t="s">
        <v>166</v>
      </c>
    </row>
    <row r="1925" spans="9:17" x14ac:dyDescent="0.45">
      <c r="I1925" t="s">
        <v>222</v>
      </c>
      <c r="J1925" t="s">
        <v>345</v>
      </c>
      <c r="K1925">
        <v>4.4753156377381774E-2</v>
      </c>
      <c r="L1925" t="s">
        <v>166</v>
      </c>
      <c r="N1925" t="s">
        <v>287</v>
      </c>
      <c r="O1925" t="s">
        <v>345</v>
      </c>
      <c r="P1925">
        <v>7.7237357423751388E-2</v>
      </c>
      <c r="Q1925" t="s">
        <v>166</v>
      </c>
    </row>
    <row r="1926" spans="9:17" x14ac:dyDescent="0.45">
      <c r="I1926" t="s">
        <v>222</v>
      </c>
      <c r="J1926" t="s">
        <v>346</v>
      </c>
      <c r="K1926">
        <v>1.6788275728964814E-2</v>
      </c>
      <c r="L1926" t="s">
        <v>166</v>
      </c>
      <c r="N1926" t="s">
        <v>287</v>
      </c>
      <c r="O1926" t="s">
        <v>346</v>
      </c>
      <c r="P1926">
        <v>5.9724581466348015E-3</v>
      </c>
      <c r="Q1926" t="s">
        <v>166</v>
      </c>
    </row>
    <row r="1927" spans="9:17" x14ac:dyDescent="0.45">
      <c r="I1927" t="s">
        <v>222</v>
      </c>
      <c r="J1927" t="s">
        <v>347</v>
      </c>
      <c r="K1927">
        <v>9.4251519976792236E-2</v>
      </c>
      <c r="L1927" t="s">
        <v>166</v>
      </c>
      <c r="N1927" t="s">
        <v>287</v>
      </c>
      <c r="O1927" t="s">
        <v>347</v>
      </c>
      <c r="P1927">
        <v>3.5845478087340413E-2</v>
      </c>
      <c r="Q1927" t="s">
        <v>166</v>
      </c>
    </row>
    <row r="1928" spans="9:17" x14ac:dyDescent="0.45">
      <c r="I1928" t="s">
        <v>222</v>
      </c>
      <c r="J1928" t="s">
        <v>348</v>
      </c>
      <c r="K1928">
        <v>9.1581666882550403E-3</v>
      </c>
      <c r="L1928" t="s">
        <v>166</v>
      </c>
      <c r="N1928" t="s">
        <v>287</v>
      </c>
      <c r="O1928" t="s">
        <v>348</v>
      </c>
      <c r="P1928">
        <v>6.1657005209031432E-3</v>
      </c>
      <c r="Q1928" t="s">
        <v>166</v>
      </c>
    </row>
    <row r="1929" spans="9:17" x14ac:dyDescent="0.45">
      <c r="I1929" t="s">
        <v>222</v>
      </c>
      <c r="J1929" t="s">
        <v>349</v>
      </c>
      <c r="K1929">
        <v>3.2458259673153744E-3</v>
      </c>
      <c r="L1929" t="s">
        <v>166</v>
      </c>
      <c r="N1929" t="s">
        <v>287</v>
      </c>
      <c r="O1929" t="s">
        <v>349</v>
      </c>
      <c r="P1929">
        <v>6.0502890764197945E-3</v>
      </c>
      <c r="Q1929" t="s">
        <v>166</v>
      </c>
    </row>
    <row r="1930" spans="9:17" x14ac:dyDescent="0.45">
      <c r="I1930" t="s">
        <v>222</v>
      </c>
      <c r="J1930" t="s">
        <v>350</v>
      </c>
      <c r="K1930">
        <v>0</v>
      </c>
      <c r="L1930" t="s">
        <v>166</v>
      </c>
      <c r="N1930" t="s">
        <v>287</v>
      </c>
      <c r="O1930" t="s">
        <v>350</v>
      </c>
      <c r="P1930">
        <v>3.831888776781775E-2</v>
      </c>
      <c r="Q1930" t="s">
        <v>166</v>
      </c>
    </row>
    <row r="1931" spans="9:17" x14ac:dyDescent="0.45">
      <c r="I1931" t="s">
        <v>222</v>
      </c>
      <c r="J1931" t="s">
        <v>351</v>
      </c>
      <c r="K1931">
        <v>2.3312270536659595E-2</v>
      </c>
      <c r="L1931" t="s">
        <v>166</v>
      </c>
      <c r="N1931" t="s">
        <v>287</v>
      </c>
      <c r="O1931" t="s">
        <v>351</v>
      </c>
      <c r="P1931">
        <v>1.9854881948165724E-2</v>
      </c>
      <c r="Q1931" t="s">
        <v>166</v>
      </c>
    </row>
    <row r="1932" spans="9:17" x14ac:dyDescent="0.45">
      <c r="I1932" t="s">
        <v>222</v>
      </c>
      <c r="J1932" t="s">
        <v>352</v>
      </c>
      <c r="K1932">
        <v>8.9914352585370796E-3</v>
      </c>
      <c r="L1932" t="s">
        <v>166</v>
      </c>
      <c r="N1932" t="s">
        <v>287</v>
      </c>
      <c r="O1932" t="s">
        <v>352</v>
      </c>
      <c r="P1932">
        <v>1.0005122234894605E-3</v>
      </c>
      <c r="Q1932" t="s">
        <v>166</v>
      </c>
    </row>
    <row r="1933" spans="9:17" x14ac:dyDescent="0.45">
      <c r="I1933" t="s">
        <v>222</v>
      </c>
      <c r="J1933" t="s">
        <v>353</v>
      </c>
      <c r="K1933">
        <v>4.9642443287188989E-2</v>
      </c>
      <c r="L1933" t="s">
        <v>166</v>
      </c>
      <c r="N1933" t="s">
        <v>287</v>
      </c>
      <c r="O1933" t="s">
        <v>353</v>
      </c>
      <c r="P1933">
        <v>8.5583235924109498E-3</v>
      </c>
      <c r="Q1933" t="s">
        <v>166</v>
      </c>
    </row>
    <row r="1934" spans="9:17" x14ac:dyDescent="0.45">
      <c r="I1934" t="s">
        <v>222</v>
      </c>
      <c r="J1934" t="s">
        <v>354</v>
      </c>
      <c r="K1934">
        <v>3.8628439635743726E-3</v>
      </c>
      <c r="L1934" t="s">
        <v>166</v>
      </c>
      <c r="N1934" t="s">
        <v>287</v>
      </c>
      <c r="O1934" t="s">
        <v>354</v>
      </c>
      <c r="P1934">
        <v>1.6827903912189587E-3</v>
      </c>
      <c r="Q1934" t="s">
        <v>166</v>
      </c>
    </row>
    <row r="1935" spans="9:17" x14ac:dyDescent="0.45">
      <c r="I1935" t="s">
        <v>222</v>
      </c>
      <c r="J1935" t="s">
        <v>355</v>
      </c>
      <c r="K1935">
        <v>0</v>
      </c>
      <c r="L1935" t="s">
        <v>166</v>
      </c>
      <c r="N1935" t="s">
        <v>287</v>
      </c>
      <c r="O1935" t="s">
        <v>355</v>
      </c>
      <c r="P1935">
        <v>1.8912404994648499E-3</v>
      </c>
      <c r="Q1935" t="s">
        <v>166</v>
      </c>
    </row>
    <row r="1936" spans="9:17" x14ac:dyDescent="0.45">
      <c r="I1936" t="s">
        <v>222</v>
      </c>
      <c r="J1936" t="s">
        <v>356</v>
      </c>
      <c r="K1936">
        <v>0</v>
      </c>
      <c r="L1936" t="s">
        <v>166</v>
      </c>
      <c r="N1936" t="s">
        <v>287</v>
      </c>
      <c r="O1936" t="s">
        <v>356</v>
      </c>
      <c r="P1936">
        <v>1.2910058627675873E-2</v>
      </c>
      <c r="Q1936" t="s">
        <v>166</v>
      </c>
    </row>
    <row r="1937" spans="9:17" x14ac:dyDescent="0.45">
      <c r="I1937" t="s">
        <v>222</v>
      </c>
      <c r="J1937" t="s">
        <v>357</v>
      </c>
      <c r="K1937">
        <v>3.9512101780464097E-2</v>
      </c>
      <c r="L1937" t="s">
        <v>166</v>
      </c>
      <c r="N1937" t="s">
        <v>287</v>
      </c>
      <c r="O1937" t="s">
        <v>357</v>
      </c>
      <c r="P1937">
        <v>7.6403646080268783E-2</v>
      </c>
      <c r="Q1937" t="s">
        <v>166</v>
      </c>
    </row>
    <row r="1938" spans="9:17" x14ac:dyDescent="0.45">
      <c r="I1938" t="s">
        <v>222</v>
      </c>
      <c r="J1938" t="s">
        <v>358</v>
      </c>
      <c r="K1938">
        <v>1.7082389520113605E-2</v>
      </c>
      <c r="L1938" t="s">
        <v>166</v>
      </c>
      <c r="N1938" t="s">
        <v>287</v>
      </c>
      <c r="O1938" t="s">
        <v>358</v>
      </c>
      <c r="P1938">
        <v>5.7523106782497169E-3</v>
      </c>
      <c r="Q1938" t="s">
        <v>166</v>
      </c>
    </row>
    <row r="1939" spans="9:17" x14ac:dyDescent="0.45">
      <c r="I1939" t="s">
        <v>222</v>
      </c>
      <c r="J1939" t="s">
        <v>359</v>
      </c>
      <c r="K1939">
        <v>9.1415261927098493E-2</v>
      </c>
      <c r="L1939" t="s">
        <v>166</v>
      </c>
      <c r="N1939" t="s">
        <v>287</v>
      </c>
      <c r="O1939" t="s">
        <v>359</v>
      </c>
      <c r="P1939">
        <v>3.2262207305235942E-2</v>
      </c>
      <c r="Q1939" t="s">
        <v>166</v>
      </c>
    </row>
    <row r="1940" spans="9:17" x14ac:dyDescent="0.45">
      <c r="I1940" t="s">
        <v>222</v>
      </c>
      <c r="J1940" t="s">
        <v>360</v>
      </c>
      <c r="K1940">
        <v>6.7524380103141423E-3</v>
      </c>
      <c r="L1940" t="s">
        <v>166</v>
      </c>
      <c r="N1940" t="s">
        <v>287</v>
      </c>
      <c r="O1940" t="s">
        <v>360</v>
      </c>
      <c r="P1940">
        <v>5.1049613798552921E-3</v>
      </c>
      <c r="Q1940" t="s">
        <v>166</v>
      </c>
    </row>
    <row r="1941" spans="9:17" x14ac:dyDescent="0.45">
      <c r="I1941" t="s">
        <v>222</v>
      </c>
      <c r="J1941" t="s">
        <v>361</v>
      </c>
      <c r="K1941">
        <v>0</v>
      </c>
      <c r="L1941" t="s">
        <v>166</v>
      </c>
      <c r="N1941" t="s">
        <v>287</v>
      </c>
      <c r="O1941" t="s">
        <v>361</v>
      </c>
      <c r="P1941">
        <v>5.6368653454457471E-3</v>
      </c>
      <c r="Q1941" t="s">
        <v>166</v>
      </c>
    </row>
    <row r="1942" spans="9:17" x14ac:dyDescent="0.45">
      <c r="I1942" t="s">
        <v>222</v>
      </c>
      <c r="J1942" t="s">
        <v>362</v>
      </c>
      <c r="K1942">
        <v>0</v>
      </c>
      <c r="L1942" t="s">
        <v>166</v>
      </c>
      <c r="N1942" t="s">
        <v>287</v>
      </c>
      <c r="O1942" t="s">
        <v>362</v>
      </c>
      <c r="P1942">
        <v>3.739374167584894E-2</v>
      </c>
      <c r="Q1942" t="s">
        <v>166</v>
      </c>
    </row>
    <row r="1943" spans="9:17" x14ac:dyDescent="0.45">
      <c r="I1943" t="s">
        <v>223</v>
      </c>
      <c r="J1943" t="s">
        <v>165</v>
      </c>
      <c r="K1943">
        <v>5.233263612066677E-2</v>
      </c>
      <c r="L1943" t="s">
        <v>166</v>
      </c>
      <c r="N1943" t="s">
        <v>288</v>
      </c>
      <c r="O1943" t="s">
        <v>165</v>
      </c>
      <c r="P1943">
        <v>0.11694155978677138</v>
      </c>
      <c r="Q1943" t="s">
        <v>166</v>
      </c>
    </row>
    <row r="1944" spans="9:17" x14ac:dyDescent="0.45">
      <c r="I1944" t="s">
        <v>223</v>
      </c>
      <c r="J1944" t="s">
        <v>167</v>
      </c>
      <c r="K1944">
        <v>2.6171465454025773E-2</v>
      </c>
      <c r="L1944" t="s">
        <v>166</v>
      </c>
      <c r="N1944" t="s">
        <v>288</v>
      </c>
      <c r="O1944" t="s">
        <v>167</v>
      </c>
      <c r="P1944">
        <v>8.3883781187703132E-3</v>
      </c>
      <c r="Q1944" t="s">
        <v>166</v>
      </c>
    </row>
    <row r="1945" spans="9:17" x14ac:dyDescent="0.45">
      <c r="I1945" t="s">
        <v>223</v>
      </c>
      <c r="J1945" t="s">
        <v>168</v>
      </c>
      <c r="K1945">
        <v>0.15083873603373352</v>
      </c>
      <c r="L1945" t="s">
        <v>166</v>
      </c>
      <c r="N1945" t="s">
        <v>288</v>
      </c>
      <c r="O1945" t="s">
        <v>168</v>
      </c>
      <c r="P1945">
        <v>5.0513601557012275E-2</v>
      </c>
      <c r="Q1945" t="s">
        <v>166</v>
      </c>
    </row>
    <row r="1946" spans="9:17" x14ac:dyDescent="0.45">
      <c r="I1946" t="s">
        <v>223</v>
      </c>
      <c r="J1946" t="s">
        <v>333</v>
      </c>
      <c r="K1946">
        <v>1.5536369250138573E-2</v>
      </c>
      <c r="L1946" t="s">
        <v>166</v>
      </c>
      <c r="N1946" t="s">
        <v>288</v>
      </c>
      <c r="O1946" t="s">
        <v>333</v>
      </c>
      <c r="P1946">
        <v>8.2943762547031449E-3</v>
      </c>
      <c r="Q1946" t="s">
        <v>166</v>
      </c>
    </row>
    <row r="1947" spans="9:17" x14ac:dyDescent="0.45">
      <c r="I1947" t="s">
        <v>223</v>
      </c>
      <c r="J1947" t="s">
        <v>334</v>
      </c>
      <c r="K1947">
        <v>4.6096599613564965E-3</v>
      </c>
      <c r="L1947" t="s">
        <v>166</v>
      </c>
      <c r="N1947" t="s">
        <v>288</v>
      </c>
      <c r="O1947" t="s">
        <v>334</v>
      </c>
      <c r="P1947">
        <v>8.5323417317728478E-3</v>
      </c>
      <c r="Q1947" t="s">
        <v>166</v>
      </c>
    </row>
    <row r="1948" spans="9:17" x14ac:dyDescent="0.45">
      <c r="I1948" t="s">
        <v>223</v>
      </c>
      <c r="J1948" t="s">
        <v>335</v>
      </c>
      <c r="K1948">
        <v>0</v>
      </c>
      <c r="L1948" t="s">
        <v>166</v>
      </c>
      <c r="N1948" t="s">
        <v>288</v>
      </c>
      <c r="O1948" t="s">
        <v>335</v>
      </c>
      <c r="P1948">
        <v>5.6176992620933314E-2</v>
      </c>
      <c r="Q1948" t="s">
        <v>166</v>
      </c>
    </row>
    <row r="1949" spans="9:17" x14ac:dyDescent="0.45">
      <c r="I1949" t="s">
        <v>223</v>
      </c>
      <c r="J1949" t="s">
        <v>169</v>
      </c>
      <c r="K1949">
        <v>4.2279279208080056E-2</v>
      </c>
      <c r="L1949" t="s">
        <v>166</v>
      </c>
      <c r="N1949" t="s">
        <v>288</v>
      </c>
      <c r="O1949" t="s">
        <v>169</v>
      </c>
      <c r="P1949">
        <v>9.7644394347477834E-2</v>
      </c>
      <c r="Q1949" t="s">
        <v>166</v>
      </c>
    </row>
    <row r="1950" spans="9:17" x14ac:dyDescent="0.45">
      <c r="I1950" t="s">
        <v>223</v>
      </c>
      <c r="J1950" t="s">
        <v>170</v>
      </c>
      <c r="K1950">
        <v>1.6999284712570183E-2</v>
      </c>
      <c r="L1950" t="s">
        <v>166</v>
      </c>
      <c r="N1950" t="s">
        <v>288</v>
      </c>
      <c r="O1950" t="s">
        <v>170</v>
      </c>
      <c r="P1950">
        <v>7.3613555696667556E-3</v>
      </c>
      <c r="Q1950" t="s">
        <v>166</v>
      </c>
    </row>
    <row r="1951" spans="9:17" x14ac:dyDescent="0.45">
      <c r="I1951" t="s">
        <v>223</v>
      </c>
      <c r="J1951" t="s">
        <v>171</v>
      </c>
      <c r="K1951">
        <v>9.9074255627592561E-2</v>
      </c>
      <c r="L1951" t="s">
        <v>166</v>
      </c>
      <c r="N1951" t="s">
        <v>288</v>
      </c>
      <c r="O1951" t="s">
        <v>171</v>
      </c>
      <c r="P1951">
        <v>4.9526887645659372E-2</v>
      </c>
      <c r="Q1951" t="s">
        <v>166</v>
      </c>
    </row>
    <row r="1952" spans="9:17" x14ac:dyDescent="0.45">
      <c r="I1952" t="s">
        <v>223</v>
      </c>
      <c r="J1952" t="s">
        <v>336</v>
      </c>
      <c r="K1952">
        <v>1.0524486028132881E-2</v>
      </c>
      <c r="L1952" t="s">
        <v>166</v>
      </c>
      <c r="N1952" t="s">
        <v>288</v>
      </c>
      <c r="O1952" t="s">
        <v>336</v>
      </c>
      <c r="P1952">
        <v>9.0699622531096244E-3</v>
      </c>
      <c r="Q1952" t="s">
        <v>166</v>
      </c>
    </row>
    <row r="1953" spans="9:17" x14ac:dyDescent="0.45">
      <c r="I1953" t="s">
        <v>223</v>
      </c>
      <c r="J1953" t="s">
        <v>337</v>
      </c>
      <c r="K1953">
        <v>5.2663739068832928E-3</v>
      </c>
      <c r="L1953" t="s">
        <v>166</v>
      </c>
      <c r="N1953" t="s">
        <v>288</v>
      </c>
      <c r="O1953" t="s">
        <v>337</v>
      </c>
      <c r="P1953">
        <v>8.4284052446829769E-3</v>
      </c>
      <c r="Q1953" t="s">
        <v>166</v>
      </c>
    </row>
    <row r="1954" spans="9:17" x14ac:dyDescent="0.45">
      <c r="I1954" t="s">
        <v>223</v>
      </c>
      <c r="J1954" t="s">
        <v>338</v>
      </c>
      <c r="K1954">
        <v>0</v>
      </c>
      <c r="L1954" t="s">
        <v>166</v>
      </c>
      <c r="N1954" t="s">
        <v>288</v>
      </c>
      <c r="O1954" t="s">
        <v>338</v>
      </c>
      <c r="P1954">
        <v>4.8893913917979141E-2</v>
      </c>
      <c r="Q1954" t="s">
        <v>166</v>
      </c>
    </row>
    <row r="1955" spans="9:17" x14ac:dyDescent="0.45">
      <c r="I1955" t="s">
        <v>223</v>
      </c>
      <c r="J1955" t="s">
        <v>172</v>
      </c>
      <c r="K1955">
        <v>2.0373629747769618E-2</v>
      </c>
      <c r="L1955" t="s">
        <v>166</v>
      </c>
      <c r="N1955" t="s">
        <v>288</v>
      </c>
      <c r="O1955" t="s">
        <v>172</v>
      </c>
      <c r="P1955">
        <v>3.4290210866999266E-2</v>
      </c>
      <c r="Q1955" t="s">
        <v>166</v>
      </c>
    </row>
    <row r="1956" spans="9:17" x14ac:dyDescent="0.45">
      <c r="I1956" t="s">
        <v>223</v>
      </c>
      <c r="J1956" t="s">
        <v>173</v>
      </c>
      <c r="K1956">
        <v>7.9317326946923526E-3</v>
      </c>
      <c r="L1956" t="s">
        <v>166</v>
      </c>
      <c r="N1956" t="s">
        <v>288</v>
      </c>
      <c r="O1956" t="s">
        <v>173</v>
      </c>
      <c r="P1956">
        <v>1.7309472424810704E-3</v>
      </c>
      <c r="Q1956" t="s">
        <v>166</v>
      </c>
    </row>
    <row r="1957" spans="9:17" x14ac:dyDescent="0.45">
      <c r="I1957" t="s">
        <v>223</v>
      </c>
      <c r="J1957" t="s">
        <v>174</v>
      </c>
      <c r="K1957">
        <v>4.6880889155699192E-2</v>
      </c>
      <c r="L1957" t="s">
        <v>166</v>
      </c>
      <c r="N1957" t="s">
        <v>288</v>
      </c>
      <c r="O1957" t="s">
        <v>174</v>
      </c>
      <c r="P1957">
        <v>1.4868441309718917E-2</v>
      </c>
      <c r="Q1957" t="s">
        <v>166</v>
      </c>
    </row>
    <row r="1958" spans="9:17" x14ac:dyDescent="0.45">
      <c r="I1958" t="s">
        <v>223</v>
      </c>
      <c r="J1958" t="s">
        <v>339</v>
      </c>
      <c r="K1958">
        <v>5.0227193908506931E-3</v>
      </c>
      <c r="L1958" t="s">
        <v>166</v>
      </c>
      <c r="N1958" t="s">
        <v>288</v>
      </c>
      <c r="O1958" t="s">
        <v>339</v>
      </c>
      <c r="P1958">
        <v>3.0285760944406422E-3</v>
      </c>
      <c r="Q1958" t="s">
        <v>166</v>
      </c>
    </row>
    <row r="1959" spans="9:17" x14ac:dyDescent="0.45">
      <c r="I1959" t="s">
        <v>223</v>
      </c>
      <c r="J1959" t="s">
        <v>340</v>
      </c>
      <c r="K1959">
        <v>2.84146690575724E-3</v>
      </c>
      <c r="L1959" t="s">
        <v>166</v>
      </c>
      <c r="N1959" t="s">
        <v>288</v>
      </c>
      <c r="O1959" t="s">
        <v>340</v>
      </c>
      <c r="P1959">
        <v>2.7940361146782575E-3</v>
      </c>
      <c r="Q1959" t="s">
        <v>166</v>
      </c>
    </row>
    <row r="1960" spans="9:17" x14ac:dyDescent="0.45">
      <c r="I1960" t="s">
        <v>223</v>
      </c>
      <c r="J1960" t="s">
        <v>341</v>
      </c>
      <c r="K1960">
        <v>0</v>
      </c>
      <c r="L1960" t="s">
        <v>166</v>
      </c>
      <c r="N1960" t="s">
        <v>288</v>
      </c>
      <c r="O1960" t="s">
        <v>341</v>
      </c>
      <c r="P1960">
        <v>1.8886361894350445E-2</v>
      </c>
      <c r="Q1960" t="s">
        <v>166</v>
      </c>
    </row>
    <row r="1961" spans="9:17" x14ac:dyDescent="0.45">
      <c r="I1961" t="s">
        <v>223</v>
      </c>
      <c r="J1961" t="s">
        <v>175</v>
      </c>
      <c r="K1961">
        <v>2.0122753807960522E-2</v>
      </c>
      <c r="L1961" t="s">
        <v>166</v>
      </c>
      <c r="N1961" t="s">
        <v>288</v>
      </c>
      <c r="O1961" t="s">
        <v>175</v>
      </c>
      <c r="P1961">
        <v>3.6312246595756728E-2</v>
      </c>
      <c r="Q1961" t="s">
        <v>166</v>
      </c>
    </row>
    <row r="1962" spans="9:17" x14ac:dyDescent="0.45">
      <c r="I1962" t="s">
        <v>223</v>
      </c>
      <c r="J1962" t="s">
        <v>176</v>
      </c>
      <c r="K1962">
        <v>8.1180418047967426E-3</v>
      </c>
      <c r="L1962" t="s">
        <v>166</v>
      </c>
      <c r="N1962" t="s">
        <v>288</v>
      </c>
      <c r="O1962" t="s">
        <v>176</v>
      </c>
      <c r="P1962">
        <v>2.1689597659954548E-3</v>
      </c>
      <c r="Q1962" t="s">
        <v>166</v>
      </c>
    </row>
    <row r="1963" spans="9:17" x14ac:dyDescent="0.45">
      <c r="I1963" t="s">
        <v>223</v>
      </c>
      <c r="J1963" t="s">
        <v>177</v>
      </c>
      <c r="K1963">
        <v>4.7992011076121062E-2</v>
      </c>
      <c r="L1963" t="s">
        <v>166</v>
      </c>
      <c r="N1963" t="s">
        <v>288</v>
      </c>
      <c r="O1963" t="s">
        <v>177</v>
      </c>
      <c r="P1963">
        <v>8.7274819612978283E-3</v>
      </c>
      <c r="Q1963" t="s">
        <v>166</v>
      </c>
    </row>
    <row r="1964" spans="9:17" x14ac:dyDescent="0.45">
      <c r="I1964" t="s">
        <v>223</v>
      </c>
      <c r="J1964" t="s">
        <v>342</v>
      </c>
      <c r="K1964">
        <v>5.3178570942153574E-3</v>
      </c>
      <c r="L1964" t="s">
        <v>166</v>
      </c>
      <c r="N1964" t="s">
        <v>288</v>
      </c>
      <c r="O1964" t="s">
        <v>342</v>
      </c>
      <c r="P1964">
        <v>1.6253279634922682E-3</v>
      </c>
      <c r="Q1964" t="s">
        <v>166</v>
      </c>
    </row>
    <row r="1965" spans="9:17" x14ac:dyDescent="0.45">
      <c r="I1965" t="s">
        <v>223</v>
      </c>
      <c r="J1965" t="s">
        <v>343</v>
      </c>
      <c r="K1965">
        <v>3.1054052321062343E-3</v>
      </c>
      <c r="L1965" t="s">
        <v>166</v>
      </c>
      <c r="N1965" t="s">
        <v>288</v>
      </c>
      <c r="O1965" t="s">
        <v>343</v>
      </c>
      <c r="P1965">
        <v>1.8135724246895683E-3</v>
      </c>
      <c r="Q1965" t="s">
        <v>166</v>
      </c>
    </row>
    <row r="1966" spans="9:17" x14ac:dyDescent="0.45">
      <c r="I1966" t="s">
        <v>223</v>
      </c>
      <c r="J1966" t="s">
        <v>344</v>
      </c>
      <c r="K1966">
        <v>0</v>
      </c>
      <c r="L1966" t="s">
        <v>166</v>
      </c>
      <c r="N1966" t="s">
        <v>288</v>
      </c>
      <c r="O1966" t="s">
        <v>344</v>
      </c>
      <c r="P1966">
        <v>1.4708664992814341E-2</v>
      </c>
      <c r="Q1966" t="s">
        <v>166</v>
      </c>
    </row>
    <row r="1967" spans="9:17" x14ac:dyDescent="0.45">
      <c r="I1967" t="s">
        <v>223</v>
      </c>
      <c r="J1967" t="s">
        <v>345</v>
      </c>
      <c r="K1967">
        <v>3.9165810494150528E-2</v>
      </c>
      <c r="L1967" t="s">
        <v>166</v>
      </c>
      <c r="N1967" t="s">
        <v>288</v>
      </c>
      <c r="O1967" t="s">
        <v>345</v>
      </c>
      <c r="P1967">
        <v>8.3352851582634738E-2</v>
      </c>
      <c r="Q1967" t="s">
        <v>166</v>
      </c>
    </row>
    <row r="1968" spans="9:17" x14ac:dyDescent="0.45">
      <c r="I1968" t="s">
        <v>223</v>
      </c>
      <c r="J1968" t="s">
        <v>346</v>
      </c>
      <c r="K1968">
        <v>1.6640839855060978E-2</v>
      </c>
      <c r="L1968" t="s">
        <v>166</v>
      </c>
      <c r="N1968" t="s">
        <v>288</v>
      </c>
      <c r="O1968" t="s">
        <v>346</v>
      </c>
      <c r="P1968">
        <v>5.9522021571907042E-3</v>
      </c>
      <c r="Q1968" t="s">
        <v>166</v>
      </c>
    </row>
    <row r="1969" spans="9:17" x14ac:dyDescent="0.45">
      <c r="I1969" t="s">
        <v>223</v>
      </c>
      <c r="J1969" t="s">
        <v>347</v>
      </c>
      <c r="K1969">
        <v>9.4688668323575267E-2</v>
      </c>
      <c r="L1969" t="s">
        <v>166</v>
      </c>
      <c r="N1969" t="s">
        <v>288</v>
      </c>
      <c r="O1969" t="s">
        <v>347</v>
      </c>
      <c r="P1969">
        <v>2.9979734586320101E-2</v>
      </c>
      <c r="Q1969" t="s">
        <v>166</v>
      </c>
    </row>
    <row r="1970" spans="9:17" x14ac:dyDescent="0.45">
      <c r="I1970" t="s">
        <v>223</v>
      </c>
      <c r="J1970" t="s">
        <v>348</v>
      </c>
      <c r="K1970">
        <v>9.7307729953251439E-3</v>
      </c>
      <c r="L1970" t="s">
        <v>166</v>
      </c>
      <c r="N1970" t="s">
        <v>288</v>
      </c>
      <c r="O1970" t="s">
        <v>348</v>
      </c>
      <c r="P1970">
        <v>5.4010743268176464E-3</v>
      </c>
      <c r="Q1970" t="s">
        <v>166</v>
      </c>
    </row>
    <row r="1971" spans="9:17" x14ac:dyDescent="0.45">
      <c r="I1971" t="s">
        <v>223</v>
      </c>
      <c r="J1971" t="s">
        <v>349</v>
      </c>
      <c r="K1971">
        <v>4.5654213069797585E-3</v>
      </c>
      <c r="L1971" t="s">
        <v>166</v>
      </c>
      <c r="N1971" t="s">
        <v>288</v>
      </c>
      <c r="O1971" t="s">
        <v>349</v>
      </c>
      <c r="P1971">
        <v>5.7387149510027971E-3</v>
      </c>
      <c r="Q1971" t="s">
        <v>166</v>
      </c>
    </row>
    <row r="1972" spans="9:17" x14ac:dyDescent="0.45">
      <c r="I1972" t="s">
        <v>223</v>
      </c>
      <c r="J1972" t="s">
        <v>350</v>
      </c>
      <c r="K1972">
        <v>0</v>
      </c>
      <c r="L1972" t="s">
        <v>166</v>
      </c>
      <c r="N1972" t="s">
        <v>288</v>
      </c>
      <c r="O1972" t="s">
        <v>350</v>
      </c>
      <c r="P1972">
        <v>3.9637107296900627E-2</v>
      </c>
      <c r="Q1972" t="s">
        <v>166</v>
      </c>
    </row>
    <row r="1973" spans="9:17" x14ac:dyDescent="0.45">
      <c r="I1973" t="s">
        <v>223</v>
      </c>
      <c r="J1973" t="s">
        <v>351</v>
      </c>
      <c r="K1973">
        <v>2.1539066988810973E-2</v>
      </c>
      <c r="L1973" t="s">
        <v>166</v>
      </c>
      <c r="N1973" t="s">
        <v>288</v>
      </c>
      <c r="O1973" t="s">
        <v>351</v>
      </c>
      <c r="P1973">
        <v>2.2713402654797699E-2</v>
      </c>
      <c r="Q1973" t="s">
        <v>166</v>
      </c>
    </row>
    <row r="1974" spans="9:17" x14ac:dyDescent="0.45">
      <c r="I1974" t="s">
        <v>223</v>
      </c>
      <c r="J1974" t="s">
        <v>352</v>
      </c>
      <c r="K1974">
        <v>9.0265134451711151E-3</v>
      </c>
      <c r="L1974" t="s">
        <v>166</v>
      </c>
      <c r="N1974" t="s">
        <v>288</v>
      </c>
      <c r="O1974" t="s">
        <v>352</v>
      </c>
      <c r="P1974">
        <v>1.17809086987607E-3</v>
      </c>
      <c r="Q1974" t="s">
        <v>166</v>
      </c>
    </row>
    <row r="1975" spans="9:17" x14ac:dyDescent="0.45">
      <c r="I1975" t="s">
        <v>223</v>
      </c>
      <c r="J1975" t="s">
        <v>353</v>
      </c>
      <c r="K1975">
        <v>5.0599268494088696E-2</v>
      </c>
      <c r="L1975" t="s">
        <v>166</v>
      </c>
      <c r="N1975" t="s">
        <v>288</v>
      </c>
      <c r="O1975" t="s">
        <v>353</v>
      </c>
      <c r="P1975">
        <v>6.9769454855366101E-3</v>
      </c>
      <c r="Q1975" t="s">
        <v>166</v>
      </c>
    </row>
    <row r="1976" spans="9:17" x14ac:dyDescent="0.45">
      <c r="I1976" t="s">
        <v>223</v>
      </c>
      <c r="J1976" t="s">
        <v>354</v>
      </c>
      <c r="K1976">
        <v>4.5497312040760083E-3</v>
      </c>
      <c r="L1976" t="s">
        <v>166</v>
      </c>
      <c r="N1976" t="s">
        <v>288</v>
      </c>
      <c r="O1976" t="s">
        <v>354</v>
      </c>
      <c r="P1976">
        <v>1.2825526260822177E-3</v>
      </c>
      <c r="Q1976" t="s">
        <v>166</v>
      </c>
    </row>
    <row r="1977" spans="9:17" x14ac:dyDescent="0.45">
      <c r="I1977" t="s">
        <v>223</v>
      </c>
      <c r="J1977" t="s">
        <v>355</v>
      </c>
      <c r="K1977">
        <v>0</v>
      </c>
      <c r="L1977" t="s">
        <v>166</v>
      </c>
      <c r="N1977" t="s">
        <v>288</v>
      </c>
      <c r="O1977" t="s">
        <v>355</v>
      </c>
      <c r="P1977">
        <v>1.6394267408873443E-3</v>
      </c>
      <c r="Q1977" t="s">
        <v>166</v>
      </c>
    </row>
    <row r="1978" spans="9:17" x14ac:dyDescent="0.45">
      <c r="I1978" t="s">
        <v>223</v>
      </c>
      <c r="J1978" t="s">
        <v>356</v>
      </c>
      <c r="K1978">
        <v>0</v>
      </c>
      <c r="L1978" t="s">
        <v>166</v>
      </c>
      <c r="N1978" t="s">
        <v>288</v>
      </c>
      <c r="O1978" t="s">
        <v>356</v>
      </c>
      <c r="P1978">
        <v>1.2591012572508924E-2</v>
      </c>
      <c r="Q1978" t="s">
        <v>166</v>
      </c>
    </row>
    <row r="1979" spans="9:17" x14ac:dyDescent="0.45">
      <c r="I1979" t="s">
        <v>223</v>
      </c>
      <c r="J1979" t="s">
        <v>357</v>
      </c>
      <c r="K1979">
        <v>3.8327497307562165E-2</v>
      </c>
      <c r="L1979" t="s">
        <v>166</v>
      </c>
      <c r="N1979" t="s">
        <v>288</v>
      </c>
      <c r="O1979" t="s">
        <v>357</v>
      </c>
      <c r="P1979">
        <v>7.9510971713829426E-2</v>
      </c>
      <c r="Q1979" t="s">
        <v>166</v>
      </c>
    </row>
    <row r="1980" spans="9:17" x14ac:dyDescent="0.45">
      <c r="I1980" t="s">
        <v>223</v>
      </c>
      <c r="J1980" t="s">
        <v>358</v>
      </c>
      <c r="K1980">
        <v>1.7329195652510433E-2</v>
      </c>
      <c r="L1980" t="s">
        <v>166</v>
      </c>
      <c r="N1980" t="s">
        <v>288</v>
      </c>
      <c r="O1980" t="s">
        <v>358</v>
      </c>
      <c r="P1980">
        <v>6.0679409348824405E-3</v>
      </c>
      <c r="Q1980" t="s">
        <v>166</v>
      </c>
    </row>
    <row r="1981" spans="9:17" x14ac:dyDescent="0.45">
      <c r="I1981" t="s">
        <v>223</v>
      </c>
      <c r="J1981" t="s">
        <v>359</v>
      </c>
      <c r="K1981">
        <v>9.5000496487220365E-2</v>
      </c>
      <c r="L1981" t="s">
        <v>166</v>
      </c>
      <c r="N1981" t="s">
        <v>288</v>
      </c>
      <c r="O1981" t="s">
        <v>359</v>
      </c>
      <c r="P1981">
        <v>3.3494968456012478E-2</v>
      </c>
      <c r="Q1981" t="s">
        <v>166</v>
      </c>
    </row>
    <row r="1982" spans="9:17" x14ac:dyDescent="0.45">
      <c r="I1982" t="s">
        <v>223</v>
      </c>
      <c r="J1982" t="s">
        <v>360</v>
      </c>
      <c r="K1982">
        <v>7.4976642323193411E-3</v>
      </c>
      <c r="L1982" t="s">
        <v>166</v>
      </c>
      <c r="N1982" t="s">
        <v>288</v>
      </c>
      <c r="O1982" t="s">
        <v>360</v>
      </c>
      <c r="P1982">
        <v>5.6788541157725509E-3</v>
      </c>
      <c r="Q1982" t="s">
        <v>166</v>
      </c>
    </row>
    <row r="1983" spans="9:17" x14ac:dyDescent="0.45">
      <c r="I1983" t="s">
        <v>223</v>
      </c>
      <c r="J1983" t="s">
        <v>361</v>
      </c>
      <c r="K1983">
        <v>0</v>
      </c>
      <c r="L1983" t="s">
        <v>166</v>
      </c>
      <c r="N1983" t="s">
        <v>288</v>
      </c>
      <c r="O1983" t="s">
        <v>361</v>
      </c>
      <c r="P1983">
        <v>6.4229483692693542E-3</v>
      </c>
      <c r="Q1983" t="s">
        <v>166</v>
      </c>
    </row>
    <row r="1984" spans="9:17" x14ac:dyDescent="0.45">
      <c r="I1984" t="s">
        <v>223</v>
      </c>
      <c r="J1984" t="s">
        <v>362</v>
      </c>
      <c r="K1984">
        <v>0</v>
      </c>
      <c r="L1984" t="s">
        <v>166</v>
      </c>
      <c r="N1984" t="s">
        <v>288</v>
      </c>
      <c r="O1984" t="s">
        <v>362</v>
      </c>
      <c r="P1984">
        <v>4.1654204284423388E-2</v>
      </c>
      <c r="Q1984" t="s">
        <v>166</v>
      </c>
    </row>
    <row r="1985" spans="9:17" x14ac:dyDescent="0.45">
      <c r="I1985" t="s">
        <v>224</v>
      </c>
      <c r="J1985" t="s">
        <v>165</v>
      </c>
      <c r="K1985">
        <v>5.4724441429181495E-2</v>
      </c>
      <c r="L1985" t="s">
        <v>166</v>
      </c>
      <c r="N1985" t="s">
        <v>289</v>
      </c>
      <c r="O1985" t="s">
        <v>165</v>
      </c>
      <c r="P1985">
        <v>0.1126253973766066</v>
      </c>
      <c r="Q1985" t="s">
        <v>166</v>
      </c>
    </row>
    <row r="1986" spans="9:17" x14ac:dyDescent="0.45">
      <c r="I1986" t="s">
        <v>224</v>
      </c>
      <c r="J1986" t="s">
        <v>167</v>
      </c>
      <c r="K1986">
        <v>2.644282773500695E-2</v>
      </c>
      <c r="L1986" t="s">
        <v>166</v>
      </c>
      <c r="N1986" t="s">
        <v>289</v>
      </c>
      <c r="O1986" t="s">
        <v>167</v>
      </c>
      <c r="P1986">
        <v>7.9213167301953238E-3</v>
      </c>
      <c r="Q1986" t="s">
        <v>166</v>
      </c>
    </row>
    <row r="1987" spans="9:17" x14ac:dyDescent="0.45">
      <c r="I1987" t="s">
        <v>224</v>
      </c>
      <c r="J1987" t="s">
        <v>168</v>
      </c>
      <c r="K1987">
        <v>0.15140996755609448</v>
      </c>
      <c r="L1987" t="s">
        <v>166</v>
      </c>
      <c r="N1987" t="s">
        <v>289</v>
      </c>
      <c r="O1987" t="s">
        <v>168</v>
      </c>
      <c r="P1987">
        <v>5.2101456168846379E-2</v>
      </c>
      <c r="Q1987" t="s">
        <v>166</v>
      </c>
    </row>
    <row r="1988" spans="9:17" x14ac:dyDescent="0.45">
      <c r="I1988" t="s">
        <v>224</v>
      </c>
      <c r="J1988" t="s">
        <v>333</v>
      </c>
      <c r="K1988">
        <v>1.5326099860905039E-2</v>
      </c>
      <c r="L1988" t="s">
        <v>166</v>
      </c>
      <c r="N1988" t="s">
        <v>289</v>
      </c>
      <c r="O1988" t="s">
        <v>333</v>
      </c>
      <c r="P1988">
        <v>8.8495320617389128E-3</v>
      </c>
      <c r="Q1988" t="s">
        <v>166</v>
      </c>
    </row>
    <row r="1989" spans="9:17" x14ac:dyDescent="0.45">
      <c r="I1989" t="s">
        <v>224</v>
      </c>
      <c r="J1989" t="s">
        <v>334</v>
      </c>
      <c r="K1989">
        <v>3.8788407983065061E-3</v>
      </c>
      <c r="L1989" t="s">
        <v>166</v>
      </c>
      <c r="N1989" t="s">
        <v>289</v>
      </c>
      <c r="O1989" t="s">
        <v>334</v>
      </c>
      <c r="P1989">
        <v>9.3957260852274172E-3</v>
      </c>
      <c r="Q1989" t="s">
        <v>166</v>
      </c>
    </row>
    <row r="1990" spans="9:17" x14ac:dyDescent="0.45">
      <c r="I1990" t="s">
        <v>224</v>
      </c>
      <c r="J1990" t="s">
        <v>335</v>
      </c>
      <c r="K1990">
        <v>0</v>
      </c>
      <c r="L1990" t="s">
        <v>166</v>
      </c>
      <c r="N1990" t="s">
        <v>289</v>
      </c>
      <c r="O1990" t="s">
        <v>335</v>
      </c>
      <c r="P1990">
        <v>6.0637113772013515E-2</v>
      </c>
      <c r="Q1990" t="s">
        <v>166</v>
      </c>
    </row>
    <row r="1991" spans="9:17" x14ac:dyDescent="0.45">
      <c r="I1991" t="s">
        <v>224</v>
      </c>
      <c r="J1991" t="s">
        <v>169</v>
      </c>
      <c r="K1991">
        <v>4.4044228491069211E-2</v>
      </c>
      <c r="L1991" t="s">
        <v>166</v>
      </c>
      <c r="N1991" t="s">
        <v>289</v>
      </c>
      <c r="O1991" t="s">
        <v>169</v>
      </c>
      <c r="P1991">
        <v>0.10545534025805929</v>
      </c>
      <c r="Q1991" t="s">
        <v>166</v>
      </c>
    </row>
    <row r="1992" spans="9:17" x14ac:dyDescent="0.45">
      <c r="I1992" t="s">
        <v>224</v>
      </c>
      <c r="J1992" t="s">
        <v>170</v>
      </c>
      <c r="K1992">
        <v>1.7165904211872588E-2</v>
      </c>
      <c r="L1992" t="s">
        <v>166</v>
      </c>
      <c r="N1992" t="s">
        <v>289</v>
      </c>
      <c r="O1992" t="s">
        <v>170</v>
      </c>
      <c r="P1992">
        <v>7.3739512227257034E-3</v>
      </c>
      <c r="Q1992" t="s">
        <v>166</v>
      </c>
    </row>
    <row r="1993" spans="9:17" x14ac:dyDescent="0.45">
      <c r="I1993" t="s">
        <v>224</v>
      </c>
      <c r="J1993" t="s">
        <v>171</v>
      </c>
      <c r="K1993">
        <v>9.8406364217560091E-2</v>
      </c>
      <c r="L1993" t="s">
        <v>166</v>
      </c>
      <c r="N1993" t="s">
        <v>289</v>
      </c>
      <c r="O1993" t="s">
        <v>171</v>
      </c>
      <c r="P1993">
        <v>4.3083303704065552E-2</v>
      </c>
      <c r="Q1993" t="s">
        <v>166</v>
      </c>
    </row>
    <row r="1994" spans="9:17" x14ac:dyDescent="0.45">
      <c r="I1994" t="s">
        <v>224</v>
      </c>
      <c r="J1994" t="s">
        <v>336</v>
      </c>
      <c r="K1994">
        <v>1.0006306832015491E-2</v>
      </c>
      <c r="L1994" t="s">
        <v>166</v>
      </c>
      <c r="N1994" t="s">
        <v>289</v>
      </c>
      <c r="O1994" t="s">
        <v>336</v>
      </c>
      <c r="P1994">
        <v>8.1987936989833202E-3</v>
      </c>
      <c r="Q1994" t="s">
        <v>166</v>
      </c>
    </row>
    <row r="1995" spans="9:17" x14ac:dyDescent="0.45">
      <c r="I1995" t="s">
        <v>224</v>
      </c>
      <c r="J1995" t="s">
        <v>337</v>
      </c>
      <c r="K1995">
        <v>4.9456612047310486E-3</v>
      </c>
      <c r="L1995" t="s">
        <v>166</v>
      </c>
      <c r="N1995" t="s">
        <v>289</v>
      </c>
      <c r="O1995" t="s">
        <v>337</v>
      </c>
      <c r="P1995">
        <v>8.4889649415264626E-3</v>
      </c>
      <c r="Q1995" t="s">
        <v>166</v>
      </c>
    </row>
    <row r="1996" spans="9:17" x14ac:dyDescent="0.45">
      <c r="I1996" t="s">
        <v>224</v>
      </c>
      <c r="J1996" t="s">
        <v>338</v>
      </c>
      <c r="K1996">
        <v>0</v>
      </c>
      <c r="L1996" t="s">
        <v>166</v>
      </c>
      <c r="N1996" t="s">
        <v>289</v>
      </c>
      <c r="O1996" t="s">
        <v>338</v>
      </c>
      <c r="P1996">
        <v>5.4136025128518332E-2</v>
      </c>
      <c r="Q1996" t="s">
        <v>166</v>
      </c>
    </row>
    <row r="1997" spans="9:17" x14ac:dyDescent="0.45">
      <c r="I1997" t="s">
        <v>224</v>
      </c>
      <c r="J1997" t="s">
        <v>172</v>
      </c>
      <c r="K1997">
        <v>2.1322387882459552E-2</v>
      </c>
      <c r="L1997" t="s">
        <v>166</v>
      </c>
      <c r="N1997" t="s">
        <v>289</v>
      </c>
      <c r="O1997" t="s">
        <v>172</v>
      </c>
      <c r="P1997">
        <v>3.6930718079050774E-2</v>
      </c>
      <c r="Q1997" t="s">
        <v>166</v>
      </c>
    </row>
    <row r="1998" spans="9:17" x14ac:dyDescent="0.45">
      <c r="I1998" t="s">
        <v>224</v>
      </c>
      <c r="J1998" t="s">
        <v>173</v>
      </c>
      <c r="K1998">
        <v>8.098328110978532E-3</v>
      </c>
      <c r="L1998" t="s">
        <v>166</v>
      </c>
      <c r="N1998" t="s">
        <v>289</v>
      </c>
      <c r="O1998" t="s">
        <v>173</v>
      </c>
      <c r="P1998">
        <v>1.6290214717029885E-3</v>
      </c>
      <c r="Q1998" t="s">
        <v>166</v>
      </c>
    </row>
    <row r="1999" spans="9:17" x14ac:dyDescent="0.45">
      <c r="I1999" t="s">
        <v>224</v>
      </c>
      <c r="J1999" t="s">
        <v>174</v>
      </c>
      <c r="K1999">
        <v>4.6607561870882643E-2</v>
      </c>
      <c r="L1999" t="s">
        <v>166</v>
      </c>
      <c r="N1999" t="s">
        <v>289</v>
      </c>
      <c r="O1999" t="s">
        <v>174</v>
      </c>
      <c r="P1999">
        <v>1.393811770556532E-2</v>
      </c>
      <c r="Q1999" t="s">
        <v>166</v>
      </c>
    </row>
    <row r="2000" spans="9:17" x14ac:dyDescent="0.45">
      <c r="I2000" t="s">
        <v>224</v>
      </c>
      <c r="J2000" t="s">
        <v>339</v>
      </c>
      <c r="K2000">
        <v>4.779065435960959E-3</v>
      </c>
      <c r="L2000" t="s">
        <v>166</v>
      </c>
      <c r="N2000" t="s">
        <v>289</v>
      </c>
      <c r="O2000" t="s">
        <v>339</v>
      </c>
      <c r="P2000">
        <v>2.9497574084348184E-3</v>
      </c>
      <c r="Q2000" t="s">
        <v>166</v>
      </c>
    </row>
    <row r="2001" spans="9:17" x14ac:dyDescent="0.45">
      <c r="I2001" t="s">
        <v>224</v>
      </c>
      <c r="J2001" t="s">
        <v>340</v>
      </c>
      <c r="K2001">
        <v>2.6368211470357591E-3</v>
      </c>
      <c r="L2001" t="s">
        <v>166</v>
      </c>
      <c r="N2001" t="s">
        <v>289</v>
      </c>
      <c r="O2001" t="s">
        <v>340</v>
      </c>
      <c r="P2001">
        <v>3.1821623451757253E-3</v>
      </c>
      <c r="Q2001" t="s">
        <v>166</v>
      </c>
    </row>
    <row r="2002" spans="9:17" x14ac:dyDescent="0.45">
      <c r="I2002" t="s">
        <v>224</v>
      </c>
      <c r="J2002" t="s">
        <v>341</v>
      </c>
      <c r="K2002">
        <v>0</v>
      </c>
      <c r="L2002" t="s">
        <v>166</v>
      </c>
      <c r="N2002" t="s">
        <v>289</v>
      </c>
      <c r="O2002" t="s">
        <v>341</v>
      </c>
      <c r="P2002">
        <v>2.4053080290025949E-2</v>
      </c>
      <c r="Q2002" t="s">
        <v>166</v>
      </c>
    </row>
    <row r="2003" spans="9:17" x14ac:dyDescent="0.45">
      <c r="I2003" t="s">
        <v>224</v>
      </c>
      <c r="J2003" t="s">
        <v>175</v>
      </c>
      <c r="K2003">
        <v>2.0887064767998106E-2</v>
      </c>
      <c r="L2003" t="s">
        <v>166</v>
      </c>
      <c r="N2003" t="s">
        <v>289</v>
      </c>
      <c r="O2003" t="s">
        <v>175</v>
      </c>
      <c r="P2003">
        <v>3.9460553899105348E-2</v>
      </c>
      <c r="Q2003" t="s">
        <v>166</v>
      </c>
    </row>
    <row r="2004" spans="9:17" x14ac:dyDescent="0.45">
      <c r="I2004" t="s">
        <v>224</v>
      </c>
      <c r="J2004" t="s">
        <v>176</v>
      </c>
      <c r="K2004">
        <v>8.3226832372627121E-3</v>
      </c>
      <c r="L2004" t="s">
        <v>166</v>
      </c>
      <c r="N2004" t="s">
        <v>289</v>
      </c>
      <c r="O2004" t="s">
        <v>176</v>
      </c>
      <c r="P2004">
        <v>1.5908541044693794E-3</v>
      </c>
      <c r="Q2004" t="s">
        <v>166</v>
      </c>
    </row>
    <row r="2005" spans="9:17" x14ac:dyDescent="0.45">
      <c r="I2005" t="s">
        <v>224</v>
      </c>
      <c r="J2005" t="s">
        <v>177</v>
      </c>
      <c r="K2005">
        <v>4.8662398463726407E-2</v>
      </c>
      <c r="L2005" t="s">
        <v>166</v>
      </c>
      <c r="N2005" t="s">
        <v>289</v>
      </c>
      <c r="O2005" t="s">
        <v>177</v>
      </c>
      <c r="P2005">
        <v>8.7673521731726784E-3</v>
      </c>
      <c r="Q2005" t="s">
        <v>166</v>
      </c>
    </row>
    <row r="2006" spans="9:17" x14ac:dyDescent="0.45">
      <c r="I2006" t="s">
        <v>224</v>
      </c>
      <c r="J2006" t="s">
        <v>342</v>
      </c>
      <c r="K2006">
        <v>5.1747168097832285E-3</v>
      </c>
      <c r="L2006" t="s">
        <v>166</v>
      </c>
      <c r="N2006" t="s">
        <v>289</v>
      </c>
      <c r="O2006" t="s">
        <v>342</v>
      </c>
      <c r="P2006">
        <v>2.0675571791779934E-3</v>
      </c>
      <c r="Q2006" t="s">
        <v>166</v>
      </c>
    </row>
    <row r="2007" spans="9:17" x14ac:dyDescent="0.45">
      <c r="I2007" t="s">
        <v>224</v>
      </c>
      <c r="J2007" t="s">
        <v>343</v>
      </c>
      <c r="K2007">
        <v>2.9349983909062148E-3</v>
      </c>
      <c r="L2007" t="s">
        <v>166</v>
      </c>
      <c r="N2007" t="s">
        <v>289</v>
      </c>
      <c r="O2007" t="s">
        <v>343</v>
      </c>
      <c r="P2007">
        <v>2.5634138223826694E-3</v>
      </c>
      <c r="Q2007" t="s">
        <v>166</v>
      </c>
    </row>
    <row r="2008" spans="9:17" x14ac:dyDescent="0.45">
      <c r="I2008" t="s">
        <v>224</v>
      </c>
      <c r="J2008" t="s">
        <v>344</v>
      </c>
      <c r="K2008">
        <v>0</v>
      </c>
      <c r="L2008" t="s">
        <v>166</v>
      </c>
      <c r="N2008" t="s">
        <v>289</v>
      </c>
      <c r="O2008" t="s">
        <v>344</v>
      </c>
      <c r="P2008">
        <v>2.3352107561375693E-2</v>
      </c>
      <c r="Q2008" t="s">
        <v>166</v>
      </c>
    </row>
    <row r="2009" spans="9:17" x14ac:dyDescent="0.45">
      <c r="I2009" t="s">
        <v>224</v>
      </c>
      <c r="J2009" t="s">
        <v>345</v>
      </c>
      <c r="K2009">
        <v>4.0831961650136674E-2</v>
      </c>
      <c r="L2009" t="s">
        <v>166</v>
      </c>
      <c r="N2009" t="s">
        <v>289</v>
      </c>
      <c r="O2009" t="s">
        <v>345</v>
      </c>
      <c r="P2009">
        <v>6.3833816638771801E-2</v>
      </c>
      <c r="Q2009" t="s">
        <v>166</v>
      </c>
    </row>
    <row r="2010" spans="9:17" x14ac:dyDescent="0.45">
      <c r="I2010" t="s">
        <v>224</v>
      </c>
      <c r="J2010" t="s">
        <v>346</v>
      </c>
      <c r="K2010">
        <v>1.6687264837680859E-2</v>
      </c>
      <c r="L2010" t="s">
        <v>166</v>
      </c>
      <c r="N2010" t="s">
        <v>289</v>
      </c>
      <c r="O2010" t="s">
        <v>346</v>
      </c>
      <c r="P2010">
        <v>4.3793512260560264E-3</v>
      </c>
      <c r="Q2010" t="s">
        <v>166</v>
      </c>
    </row>
    <row r="2011" spans="9:17" x14ac:dyDescent="0.45">
      <c r="I2011" t="s">
        <v>224</v>
      </c>
      <c r="J2011" t="s">
        <v>347</v>
      </c>
      <c r="K2011">
        <v>9.3802664138303224E-2</v>
      </c>
      <c r="L2011" t="s">
        <v>166</v>
      </c>
      <c r="N2011" t="s">
        <v>289</v>
      </c>
      <c r="O2011" t="s">
        <v>347</v>
      </c>
      <c r="P2011">
        <v>2.9415127087008289E-2</v>
      </c>
      <c r="Q2011" t="s">
        <v>166</v>
      </c>
    </row>
    <row r="2012" spans="9:17" x14ac:dyDescent="0.45">
      <c r="I2012" t="s">
        <v>224</v>
      </c>
      <c r="J2012" t="s">
        <v>348</v>
      </c>
      <c r="K2012">
        <v>9.1160637650320644E-3</v>
      </c>
      <c r="L2012" t="s">
        <v>166</v>
      </c>
      <c r="N2012" t="s">
        <v>289</v>
      </c>
      <c r="O2012" t="s">
        <v>348</v>
      </c>
      <c r="P2012">
        <v>5.7832484506988918E-3</v>
      </c>
      <c r="Q2012" t="s">
        <v>166</v>
      </c>
    </row>
    <row r="2013" spans="9:17" x14ac:dyDescent="0.45">
      <c r="I2013" t="s">
        <v>224</v>
      </c>
      <c r="J2013" t="s">
        <v>349</v>
      </c>
      <c r="K2013">
        <v>3.980931295347369E-3</v>
      </c>
      <c r="L2013" t="s">
        <v>166</v>
      </c>
      <c r="N2013" t="s">
        <v>289</v>
      </c>
      <c r="O2013" t="s">
        <v>349</v>
      </c>
      <c r="P2013">
        <v>5.9131214374057404E-3</v>
      </c>
      <c r="Q2013" t="s">
        <v>166</v>
      </c>
    </row>
    <row r="2014" spans="9:17" x14ac:dyDescent="0.45">
      <c r="I2014" t="s">
        <v>224</v>
      </c>
      <c r="J2014" t="s">
        <v>350</v>
      </c>
      <c r="K2014">
        <v>0</v>
      </c>
      <c r="L2014" t="s">
        <v>166</v>
      </c>
      <c r="N2014" t="s">
        <v>289</v>
      </c>
      <c r="O2014" t="s">
        <v>350</v>
      </c>
      <c r="P2014">
        <v>4.0167041672253212E-2</v>
      </c>
      <c r="Q2014" t="s">
        <v>166</v>
      </c>
    </row>
    <row r="2015" spans="9:17" x14ac:dyDescent="0.45">
      <c r="I2015" t="s">
        <v>224</v>
      </c>
      <c r="J2015" t="s">
        <v>351</v>
      </c>
      <c r="K2015">
        <v>2.1402403199340898E-2</v>
      </c>
      <c r="L2015" t="s">
        <v>166</v>
      </c>
      <c r="N2015" t="s">
        <v>289</v>
      </c>
      <c r="O2015" t="s">
        <v>351</v>
      </c>
      <c r="P2015">
        <v>2.5983071122153957E-2</v>
      </c>
      <c r="Q2015" t="s">
        <v>166</v>
      </c>
    </row>
    <row r="2016" spans="9:17" x14ac:dyDescent="0.45">
      <c r="I2016" t="s">
        <v>224</v>
      </c>
      <c r="J2016" t="s">
        <v>352</v>
      </c>
      <c r="K2016">
        <v>8.9820407882679563E-3</v>
      </c>
      <c r="L2016" t="s">
        <v>166</v>
      </c>
      <c r="N2016" t="s">
        <v>289</v>
      </c>
      <c r="O2016" t="s">
        <v>352</v>
      </c>
      <c r="P2016">
        <v>9.1823936588160307E-4</v>
      </c>
      <c r="Q2016" t="s">
        <v>166</v>
      </c>
    </row>
    <row r="2017" spans="9:17" x14ac:dyDescent="0.45">
      <c r="I2017" t="s">
        <v>224</v>
      </c>
      <c r="J2017" t="s">
        <v>353</v>
      </c>
      <c r="K2017">
        <v>4.9340439358131725E-2</v>
      </c>
      <c r="L2017" t="s">
        <v>166</v>
      </c>
      <c r="N2017" t="s">
        <v>289</v>
      </c>
      <c r="O2017" t="s">
        <v>353</v>
      </c>
      <c r="P2017">
        <v>6.8906222249532209E-3</v>
      </c>
      <c r="Q2017" t="s">
        <v>166</v>
      </c>
    </row>
    <row r="2018" spans="9:17" x14ac:dyDescent="0.45">
      <c r="I2018" t="s">
        <v>224</v>
      </c>
      <c r="J2018" t="s">
        <v>354</v>
      </c>
      <c r="K2018">
        <v>4.0955349660021009E-3</v>
      </c>
      <c r="L2018" t="s">
        <v>166</v>
      </c>
      <c r="N2018" t="s">
        <v>289</v>
      </c>
      <c r="O2018" t="s">
        <v>354</v>
      </c>
      <c r="P2018">
        <v>1.5052279940180955E-3</v>
      </c>
      <c r="Q2018" t="s">
        <v>166</v>
      </c>
    </row>
    <row r="2019" spans="9:17" x14ac:dyDescent="0.45">
      <c r="I2019" t="s">
        <v>224</v>
      </c>
      <c r="J2019" t="s">
        <v>355</v>
      </c>
      <c r="K2019">
        <v>0</v>
      </c>
      <c r="L2019" t="s">
        <v>166</v>
      </c>
      <c r="N2019" t="s">
        <v>289</v>
      </c>
      <c r="O2019" t="s">
        <v>355</v>
      </c>
      <c r="P2019">
        <v>1.7666107838969524E-3</v>
      </c>
      <c r="Q2019" t="s">
        <v>166</v>
      </c>
    </row>
    <row r="2020" spans="9:17" x14ac:dyDescent="0.45">
      <c r="I2020" t="s">
        <v>224</v>
      </c>
      <c r="J2020" t="s">
        <v>356</v>
      </c>
      <c r="K2020">
        <v>0</v>
      </c>
      <c r="L2020" t="s">
        <v>166</v>
      </c>
      <c r="N2020" t="s">
        <v>289</v>
      </c>
      <c r="O2020" t="s">
        <v>356</v>
      </c>
      <c r="P2020">
        <v>1.3377849105987591E-2</v>
      </c>
      <c r="Q2020" t="s">
        <v>166</v>
      </c>
    </row>
    <row r="2021" spans="9:17" x14ac:dyDescent="0.45">
      <c r="I2021" t="s">
        <v>224</v>
      </c>
      <c r="J2021" t="s">
        <v>357</v>
      </c>
      <c r="K2021">
        <v>3.8243136061626284E-2</v>
      </c>
      <c r="L2021" t="s">
        <v>166</v>
      </c>
      <c r="N2021" t="s">
        <v>289</v>
      </c>
      <c r="O2021" t="s">
        <v>357</v>
      </c>
      <c r="P2021">
        <v>7.4211159886051148E-2</v>
      </c>
      <c r="Q2021" t="s">
        <v>166</v>
      </c>
    </row>
    <row r="2022" spans="9:17" x14ac:dyDescent="0.45">
      <c r="I2022" t="s">
        <v>224</v>
      </c>
      <c r="J2022" t="s">
        <v>358</v>
      </c>
      <c r="K2022">
        <v>1.7281594974656568E-2</v>
      </c>
      <c r="L2022" t="s">
        <v>166</v>
      </c>
      <c r="N2022" t="s">
        <v>289</v>
      </c>
      <c r="O2022" t="s">
        <v>358</v>
      </c>
      <c r="P2022">
        <v>5.7092450585049222E-3</v>
      </c>
      <c r="Q2022" t="s">
        <v>166</v>
      </c>
    </row>
    <row r="2023" spans="9:17" x14ac:dyDescent="0.45">
      <c r="I2023" t="s">
        <v>224</v>
      </c>
      <c r="J2023" t="s">
        <v>359</v>
      </c>
      <c r="K2023">
        <v>9.3423572644219438E-2</v>
      </c>
      <c r="L2023" t="s">
        <v>166</v>
      </c>
      <c r="N2023" t="s">
        <v>289</v>
      </c>
      <c r="O2023" t="s">
        <v>359</v>
      </c>
      <c r="P2023">
        <v>3.3531740913220948E-2</v>
      </c>
      <c r="Q2023" t="s">
        <v>166</v>
      </c>
    </row>
    <row r="2024" spans="9:17" x14ac:dyDescent="0.45">
      <c r="I2024" t="s">
        <v>224</v>
      </c>
      <c r="J2024" t="s">
        <v>360</v>
      </c>
      <c r="K2024">
        <v>7.0357238675171317E-3</v>
      </c>
      <c r="L2024" t="s">
        <v>166</v>
      </c>
      <c r="N2024" t="s">
        <v>289</v>
      </c>
      <c r="O2024" t="s">
        <v>360</v>
      </c>
      <c r="P2024">
        <v>5.2099088108597995E-3</v>
      </c>
      <c r="Q2024" t="s">
        <v>166</v>
      </c>
    </row>
    <row r="2025" spans="9:17" x14ac:dyDescent="0.45">
      <c r="I2025" t="s">
        <v>224</v>
      </c>
      <c r="J2025" t="s">
        <v>361</v>
      </c>
      <c r="K2025">
        <v>0</v>
      </c>
      <c r="L2025" t="s">
        <v>166</v>
      </c>
      <c r="N2025" t="s">
        <v>289</v>
      </c>
      <c r="O2025" t="s">
        <v>361</v>
      </c>
      <c r="P2025">
        <v>5.7692748740829714E-3</v>
      </c>
      <c r="Q2025" t="s">
        <v>166</v>
      </c>
    </row>
    <row r="2026" spans="9:17" x14ac:dyDescent="0.45">
      <c r="I2026" t="s">
        <v>224</v>
      </c>
      <c r="J2026" t="s">
        <v>362</v>
      </c>
      <c r="K2026">
        <v>0</v>
      </c>
      <c r="L2026" t="s">
        <v>166</v>
      </c>
      <c r="N2026" t="s">
        <v>289</v>
      </c>
      <c r="O2026" t="s">
        <v>362</v>
      </c>
      <c r="P2026">
        <v>3.6883726160049431E-2</v>
      </c>
      <c r="Q2026" t="s">
        <v>166</v>
      </c>
    </row>
    <row r="2027" spans="9:17" x14ac:dyDescent="0.45">
      <c r="I2027" t="s">
        <v>225</v>
      </c>
      <c r="J2027" t="s">
        <v>165</v>
      </c>
      <c r="K2027">
        <v>6.1475228159408882E-2</v>
      </c>
      <c r="L2027" t="s">
        <v>166</v>
      </c>
      <c r="N2027" t="s">
        <v>290</v>
      </c>
      <c r="O2027" t="s">
        <v>165</v>
      </c>
      <c r="P2027">
        <v>9.8024356823954856E-2</v>
      </c>
      <c r="Q2027" t="s">
        <v>166</v>
      </c>
    </row>
    <row r="2028" spans="9:17" x14ac:dyDescent="0.45">
      <c r="I2028" t="s">
        <v>225</v>
      </c>
      <c r="J2028" t="s">
        <v>167</v>
      </c>
      <c r="K2028">
        <v>2.6803792369583395E-2</v>
      </c>
      <c r="L2028" t="s">
        <v>166</v>
      </c>
      <c r="N2028" t="s">
        <v>290</v>
      </c>
      <c r="O2028" t="s">
        <v>167</v>
      </c>
      <c r="P2028">
        <v>6.6780276989422006E-3</v>
      </c>
      <c r="Q2028" t="s">
        <v>166</v>
      </c>
    </row>
    <row r="2029" spans="9:17" x14ac:dyDescent="0.45">
      <c r="I2029" t="s">
        <v>225</v>
      </c>
      <c r="J2029" t="s">
        <v>168</v>
      </c>
      <c r="K2029">
        <v>0.14805441180886003</v>
      </c>
      <c r="L2029" t="s">
        <v>166</v>
      </c>
      <c r="N2029" t="s">
        <v>290</v>
      </c>
      <c r="O2029" t="s">
        <v>168</v>
      </c>
      <c r="P2029">
        <v>4.8089053785632385E-2</v>
      </c>
      <c r="Q2029" t="s">
        <v>166</v>
      </c>
    </row>
    <row r="2030" spans="9:17" x14ac:dyDescent="0.45">
      <c r="I2030" t="s">
        <v>225</v>
      </c>
      <c r="J2030" t="s">
        <v>333</v>
      </c>
      <c r="K2030">
        <v>1.2615587775795911E-2</v>
      </c>
      <c r="L2030" t="s">
        <v>166</v>
      </c>
      <c r="N2030" t="s">
        <v>290</v>
      </c>
      <c r="O2030" t="s">
        <v>333</v>
      </c>
      <c r="P2030">
        <v>8.0595415422986486E-3</v>
      </c>
      <c r="Q2030" t="s">
        <v>166</v>
      </c>
    </row>
    <row r="2031" spans="9:17" x14ac:dyDescent="0.45">
      <c r="I2031" t="s">
        <v>225</v>
      </c>
      <c r="J2031" t="s">
        <v>334</v>
      </c>
      <c r="K2031">
        <v>2.9588154870001421E-5</v>
      </c>
      <c r="L2031" t="s">
        <v>166</v>
      </c>
      <c r="N2031" t="s">
        <v>290</v>
      </c>
      <c r="O2031" t="s">
        <v>334</v>
      </c>
      <c r="P2031">
        <v>7.8897154943768765E-3</v>
      </c>
      <c r="Q2031" t="s">
        <v>166</v>
      </c>
    </row>
    <row r="2032" spans="9:17" x14ac:dyDescent="0.45">
      <c r="I2032" t="s">
        <v>225</v>
      </c>
      <c r="J2032" t="s">
        <v>335</v>
      </c>
      <c r="K2032">
        <v>0</v>
      </c>
      <c r="L2032" t="s">
        <v>166</v>
      </c>
      <c r="N2032" t="s">
        <v>290</v>
      </c>
      <c r="O2032" t="s">
        <v>335</v>
      </c>
      <c r="P2032">
        <v>4.4254219047742974E-2</v>
      </c>
      <c r="Q2032" t="s">
        <v>166</v>
      </c>
    </row>
    <row r="2033" spans="9:17" x14ac:dyDescent="0.45">
      <c r="I2033" t="s">
        <v>225</v>
      </c>
      <c r="J2033" t="s">
        <v>169</v>
      </c>
      <c r="K2033">
        <v>4.8710094350455667E-2</v>
      </c>
      <c r="L2033" t="s">
        <v>166</v>
      </c>
      <c r="N2033" t="s">
        <v>290</v>
      </c>
      <c r="O2033" t="s">
        <v>169</v>
      </c>
      <c r="P2033">
        <v>9.1683065401158323E-2</v>
      </c>
      <c r="Q2033" t="s">
        <v>166</v>
      </c>
    </row>
    <row r="2034" spans="9:17" x14ac:dyDescent="0.45">
      <c r="I2034" t="s">
        <v>225</v>
      </c>
      <c r="J2034" t="s">
        <v>170</v>
      </c>
      <c r="K2034">
        <v>1.7338122310922136E-2</v>
      </c>
      <c r="L2034" t="s">
        <v>166</v>
      </c>
      <c r="N2034" t="s">
        <v>290</v>
      </c>
      <c r="O2034" t="s">
        <v>170</v>
      </c>
      <c r="P2034">
        <v>7.0440082178364009E-3</v>
      </c>
      <c r="Q2034" t="s">
        <v>166</v>
      </c>
    </row>
    <row r="2035" spans="9:17" x14ac:dyDescent="0.45">
      <c r="I2035" t="s">
        <v>225</v>
      </c>
      <c r="J2035" t="s">
        <v>171</v>
      </c>
      <c r="K2035">
        <v>9.5920745138075858E-2</v>
      </c>
      <c r="L2035" t="s">
        <v>166</v>
      </c>
      <c r="N2035" t="s">
        <v>290</v>
      </c>
      <c r="O2035" t="s">
        <v>171</v>
      </c>
      <c r="P2035">
        <v>4.2180338786448071E-2</v>
      </c>
      <c r="Q2035" t="s">
        <v>166</v>
      </c>
    </row>
    <row r="2036" spans="9:17" x14ac:dyDescent="0.45">
      <c r="I2036" t="s">
        <v>225</v>
      </c>
      <c r="J2036" t="s">
        <v>336</v>
      </c>
      <c r="K2036">
        <v>8.4022671323777925E-3</v>
      </c>
      <c r="L2036" t="s">
        <v>166</v>
      </c>
      <c r="N2036" t="s">
        <v>290</v>
      </c>
      <c r="O2036" t="s">
        <v>336</v>
      </c>
      <c r="P2036">
        <v>7.5754917256525191E-3</v>
      </c>
      <c r="Q2036" t="s">
        <v>166</v>
      </c>
    </row>
    <row r="2037" spans="9:17" x14ac:dyDescent="0.45">
      <c r="I2037" t="s">
        <v>225</v>
      </c>
      <c r="J2037" t="s">
        <v>337</v>
      </c>
      <c r="K2037">
        <v>3.1304332445034476E-3</v>
      </c>
      <c r="L2037" t="s">
        <v>166</v>
      </c>
      <c r="N2037" t="s">
        <v>290</v>
      </c>
      <c r="O2037" t="s">
        <v>337</v>
      </c>
      <c r="P2037">
        <v>7.8278539320743145E-3</v>
      </c>
      <c r="Q2037" t="s">
        <v>166</v>
      </c>
    </row>
    <row r="2038" spans="9:17" x14ac:dyDescent="0.45">
      <c r="I2038" t="s">
        <v>225</v>
      </c>
      <c r="J2038" t="s">
        <v>338</v>
      </c>
      <c r="K2038">
        <v>0</v>
      </c>
      <c r="L2038" t="s">
        <v>166</v>
      </c>
      <c r="N2038" t="s">
        <v>290</v>
      </c>
      <c r="O2038" t="s">
        <v>338</v>
      </c>
      <c r="P2038">
        <v>4.7638825649491436E-2</v>
      </c>
      <c r="Q2038" t="s">
        <v>166</v>
      </c>
    </row>
    <row r="2039" spans="9:17" x14ac:dyDescent="0.45">
      <c r="I2039" t="s">
        <v>225</v>
      </c>
      <c r="J2039" t="s">
        <v>172</v>
      </c>
      <c r="K2039">
        <v>2.3651357430759929E-2</v>
      </c>
      <c r="L2039" t="s">
        <v>166</v>
      </c>
      <c r="N2039" t="s">
        <v>290</v>
      </c>
      <c r="O2039" t="s">
        <v>172</v>
      </c>
      <c r="P2039">
        <v>5.3288998634466747E-2</v>
      </c>
      <c r="Q2039" t="s">
        <v>166</v>
      </c>
    </row>
    <row r="2040" spans="9:17" x14ac:dyDescent="0.45">
      <c r="I2040" t="s">
        <v>225</v>
      </c>
      <c r="J2040" t="s">
        <v>173</v>
      </c>
      <c r="K2040">
        <v>8.2922527699067512E-3</v>
      </c>
      <c r="L2040" t="s">
        <v>166</v>
      </c>
      <c r="N2040" t="s">
        <v>290</v>
      </c>
      <c r="O2040" t="s">
        <v>173</v>
      </c>
      <c r="P2040">
        <v>4.1069320008459984E-3</v>
      </c>
      <c r="Q2040" t="s">
        <v>166</v>
      </c>
    </row>
    <row r="2041" spans="9:17" x14ac:dyDescent="0.45">
      <c r="I2041" t="s">
        <v>225</v>
      </c>
      <c r="J2041" t="s">
        <v>174</v>
      </c>
      <c r="K2041">
        <v>4.6714053610241044E-2</v>
      </c>
      <c r="L2041" t="s">
        <v>166</v>
      </c>
      <c r="N2041" t="s">
        <v>290</v>
      </c>
      <c r="O2041" t="s">
        <v>174</v>
      </c>
      <c r="P2041">
        <v>1.841643006197068E-2</v>
      </c>
      <c r="Q2041" t="s">
        <v>166</v>
      </c>
    </row>
    <row r="2042" spans="9:17" x14ac:dyDescent="0.45">
      <c r="I2042" t="s">
        <v>225</v>
      </c>
      <c r="J2042" t="s">
        <v>339</v>
      </c>
      <c r="K2042">
        <v>4.4675580229958092E-3</v>
      </c>
      <c r="L2042" t="s">
        <v>166</v>
      </c>
      <c r="N2042" t="s">
        <v>290</v>
      </c>
      <c r="O2042" t="s">
        <v>339</v>
      </c>
      <c r="P2042">
        <v>3.0838157821497861E-3</v>
      </c>
      <c r="Q2042" t="s">
        <v>166</v>
      </c>
    </row>
    <row r="2043" spans="9:17" x14ac:dyDescent="0.45">
      <c r="I2043" t="s">
        <v>225</v>
      </c>
      <c r="J2043" t="s">
        <v>340</v>
      </c>
      <c r="K2043">
        <v>2.1147430320074948E-3</v>
      </c>
      <c r="L2043" t="s">
        <v>166</v>
      </c>
      <c r="N2043" t="s">
        <v>290</v>
      </c>
      <c r="O2043" t="s">
        <v>340</v>
      </c>
      <c r="P2043">
        <v>3.2325921834708538E-3</v>
      </c>
      <c r="Q2043" t="s">
        <v>166</v>
      </c>
    </row>
    <row r="2044" spans="9:17" x14ac:dyDescent="0.45">
      <c r="I2044" t="s">
        <v>225</v>
      </c>
      <c r="J2044" t="s">
        <v>341</v>
      </c>
      <c r="K2044">
        <v>0</v>
      </c>
      <c r="L2044" t="s">
        <v>166</v>
      </c>
      <c r="N2044" t="s">
        <v>290</v>
      </c>
      <c r="O2044" t="s">
        <v>341</v>
      </c>
      <c r="P2044">
        <v>2.3772777881071173E-2</v>
      </c>
      <c r="Q2044" t="s">
        <v>166</v>
      </c>
    </row>
    <row r="2045" spans="9:17" x14ac:dyDescent="0.45">
      <c r="I2045" t="s">
        <v>225</v>
      </c>
      <c r="J2045" t="s">
        <v>175</v>
      </c>
      <c r="K2045">
        <v>2.3704066514914551E-2</v>
      </c>
      <c r="L2045" t="s">
        <v>166</v>
      </c>
      <c r="N2045" t="s">
        <v>290</v>
      </c>
      <c r="O2045" t="s">
        <v>175</v>
      </c>
      <c r="P2045">
        <v>5.2496157189200761E-2</v>
      </c>
      <c r="Q2045" t="s">
        <v>166</v>
      </c>
    </row>
    <row r="2046" spans="9:17" x14ac:dyDescent="0.45">
      <c r="I2046" t="s">
        <v>225</v>
      </c>
      <c r="J2046" t="s">
        <v>176</v>
      </c>
      <c r="K2046">
        <v>8.5386224157558595E-3</v>
      </c>
      <c r="L2046" t="s">
        <v>166</v>
      </c>
      <c r="N2046" t="s">
        <v>290</v>
      </c>
      <c r="O2046" t="s">
        <v>176</v>
      </c>
      <c r="P2046">
        <v>3.1560151387014265E-3</v>
      </c>
      <c r="Q2046" t="s">
        <v>166</v>
      </c>
    </row>
    <row r="2047" spans="9:17" x14ac:dyDescent="0.45">
      <c r="I2047" t="s">
        <v>225</v>
      </c>
      <c r="J2047" t="s">
        <v>177</v>
      </c>
      <c r="K2047">
        <v>4.8582752486708944E-2</v>
      </c>
      <c r="L2047" t="s">
        <v>166</v>
      </c>
      <c r="N2047" t="s">
        <v>290</v>
      </c>
      <c r="O2047" t="s">
        <v>177</v>
      </c>
      <c r="P2047">
        <v>8.9621760870486206E-3</v>
      </c>
      <c r="Q2047" t="s">
        <v>166</v>
      </c>
    </row>
    <row r="2048" spans="9:17" x14ac:dyDescent="0.45">
      <c r="I2048" t="s">
        <v>225</v>
      </c>
      <c r="J2048" t="s">
        <v>342</v>
      </c>
      <c r="K2048">
        <v>4.8250296381454607E-3</v>
      </c>
      <c r="L2048" t="s">
        <v>166</v>
      </c>
      <c r="N2048" t="s">
        <v>290</v>
      </c>
      <c r="O2048" t="s">
        <v>342</v>
      </c>
      <c r="P2048">
        <v>1.9044032150788014E-3</v>
      </c>
      <c r="Q2048" t="s">
        <v>166</v>
      </c>
    </row>
    <row r="2049" spans="9:17" x14ac:dyDescent="0.45">
      <c r="I2049" t="s">
        <v>225</v>
      </c>
      <c r="J2049" t="s">
        <v>343</v>
      </c>
      <c r="K2049">
        <v>2.3623867562654016E-3</v>
      </c>
      <c r="L2049" t="s">
        <v>166</v>
      </c>
      <c r="N2049" t="s">
        <v>290</v>
      </c>
      <c r="O2049" t="s">
        <v>343</v>
      </c>
      <c r="P2049">
        <v>2.3603704995161525E-3</v>
      </c>
      <c r="Q2049" t="s">
        <v>166</v>
      </c>
    </row>
    <row r="2050" spans="9:17" x14ac:dyDescent="0.45">
      <c r="I2050" t="s">
        <v>225</v>
      </c>
      <c r="J2050" t="s">
        <v>344</v>
      </c>
      <c r="K2050">
        <v>0</v>
      </c>
      <c r="L2050" t="s">
        <v>166</v>
      </c>
      <c r="N2050" t="s">
        <v>290</v>
      </c>
      <c r="O2050" t="s">
        <v>344</v>
      </c>
      <c r="P2050">
        <v>2.1292349323755431E-2</v>
      </c>
      <c r="Q2050" t="s">
        <v>166</v>
      </c>
    </row>
    <row r="2051" spans="9:17" x14ac:dyDescent="0.45">
      <c r="I2051" t="s">
        <v>225</v>
      </c>
      <c r="J2051" t="s">
        <v>345</v>
      </c>
      <c r="K2051">
        <v>4.8112467317657934E-2</v>
      </c>
      <c r="L2051" t="s">
        <v>166</v>
      </c>
      <c r="N2051" t="s">
        <v>290</v>
      </c>
      <c r="O2051" t="s">
        <v>345</v>
      </c>
      <c r="P2051">
        <v>9.7363208409941823E-2</v>
      </c>
      <c r="Q2051" t="s">
        <v>166</v>
      </c>
    </row>
    <row r="2052" spans="9:17" x14ac:dyDescent="0.45">
      <c r="I2052" t="s">
        <v>225</v>
      </c>
      <c r="J2052" t="s">
        <v>346</v>
      </c>
      <c r="K2052">
        <v>1.7170612720120423E-2</v>
      </c>
      <c r="L2052" t="s">
        <v>166</v>
      </c>
      <c r="N2052" t="s">
        <v>290</v>
      </c>
      <c r="O2052" t="s">
        <v>346</v>
      </c>
      <c r="P2052">
        <v>5.4574857941824444E-3</v>
      </c>
      <c r="Q2052" t="s">
        <v>166</v>
      </c>
    </row>
    <row r="2053" spans="9:17" x14ac:dyDescent="0.45">
      <c r="I2053" t="s">
        <v>225</v>
      </c>
      <c r="J2053" t="s">
        <v>347</v>
      </c>
      <c r="K2053">
        <v>9.5298058110528605E-2</v>
      </c>
      <c r="L2053" t="s">
        <v>166</v>
      </c>
      <c r="N2053" t="s">
        <v>290</v>
      </c>
      <c r="O2053" t="s">
        <v>347</v>
      </c>
      <c r="P2053">
        <v>1.7465476012020146E-2</v>
      </c>
      <c r="Q2053" t="s">
        <v>166</v>
      </c>
    </row>
    <row r="2054" spans="9:17" x14ac:dyDescent="0.45">
      <c r="I2054" t="s">
        <v>225</v>
      </c>
      <c r="J2054" t="s">
        <v>348</v>
      </c>
      <c r="K2054">
        <v>8.2992902657789067E-3</v>
      </c>
      <c r="L2054" t="s">
        <v>166</v>
      </c>
      <c r="N2054" t="s">
        <v>290</v>
      </c>
      <c r="O2054" t="s">
        <v>348</v>
      </c>
      <c r="P2054">
        <v>3.6145228385249671E-3</v>
      </c>
      <c r="Q2054" t="s">
        <v>166</v>
      </c>
    </row>
    <row r="2055" spans="9:17" x14ac:dyDescent="0.45">
      <c r="I2055" t="s">
        <v>225</v>
      </c>
      <c r="J2055" t="s">
        <v>349</v>
      </c>
      <c r="K2055">
        <v>2.1018044235771916E-3</v>
      </c>
      <c r="L2055" t="s">
        <v>166</v>
      </c>
      <c r="N2055" t="s">
        <v>290</v>
      </c>
      <c r="O2055" t="s">
        <v>349</v>
      </c>
      <c r="P2055">
        <v>4.9865046566692295E-3</v>
      </c>
      <c r="Q2055" t="s">
        <v>166</v>
      </c>
    </row>
    <row r="2056" spans="9:17" x14ac:dyDescent="0.45">
      <c r="I2056" t="s">
        <v>225</v>
      </c>
      <c r="J2056" t="s">
        <v>350</v>
      </c>
      <c r="K2056">
        <v>0</v>
      </c>
      <c r="L2056" t="s">
        <v>166</v>
      </c>
      <c r="N2056" t="s">
        <v>290</v>
      </c>
      <c r="O2056" t="s">
        <v>350</v>
      </c>
      <c r="P2056">
        <v>4.4806043566926898E-2</v>
      </c>
      <c r="Q2056" t="s">
        <v>166</v>
      </c>
    </row>
    <row r="2057" spans="9:17" x14ac:dyDescent="0.45">
      <c r="I2057" t="s">
        <v>225</v>
      </c>
      <c r="J2057" t="s">
        <v>351</v>
      </c>
      <c r="K2057">
        <v>2.6006976404335198E-2</v>
      </c>
      <c r="L2057" t="s">
        <v>166</v>
      </c>
      <c r="N2057" t="s">
        <v>290</v>
      </c>
      <c r="O2057" t="s">
        <v>351</v>
      </c>
      <c r="P2057">
        <v>5.0674618193394326E-2</v>
      </c>
      <c r="Q2057" t="s">
        <v>166</v>
      </c>
    </row>
    <row r="2058" spans="9:17" x14ac:dyDescent="0.45">
      <c r="I2058" t="s">
        <v>225</v>
      </c>
      <c r="J2058" t="s">
        <v>352</v>
      </c>
      <c r="K2058">
        <v>8.9304271176373334E-3</v>
      </c>
      <c r="L2058" t="s">
        <v>166</v>
      </c>
      <c r="N2058" t="s">
        <v>290</v>
      </c>
      <c r="O2058" t="s">
        <v>352</v>
      </c>
      <c r="P2058">
        <v>4.0582189604801986E-3</v>
      </c>
      <c r="Q2058" t="s">
        <v>166</v>
      </c>
    </row>
    <row r="2059" spans="9:17" x14ac:dyDescent="0.45">
      <c r="I2059" t="s">
        <v>225</v>
      </c>
      <c r="J2059" t="s">
        <v>353</v>
      </c>
      <c r="K2059">
        <v>4.8650426110561799E-2</v>
      </c>
      <c r="L2059" t="s">
        <v>166</v>
      </c>
      <c r="N2059" t="s">
        <v>290</v>
      </c>
      <c r="O2059" t="s">
        <v>353</v>
      </c>
      <c r="P2059">
        <v>1.2091324926898392E-2</v>
      </c>
      <c r="Q2059" t="s">
        <v>166</v>
      </c>
    </row>
    <row r="2060" spans="9:17" x14ac:dyDescent="0.45">
      <c r="I2060" t="s">
        <v>225</v>
      </c>
      <c r="J2060" t="s">
        <v>354</v>
      </c>
      <c r="K2060">
        <v>3.4004803479794096E-3</v>
      </c>
      <c r="L2060" t="s">
        <v>166</v>
      </c>
      <c r="N2060" t="s">
        <v>290</v>
      </c>
      <c r="O2060" t="s">
        <v>354</v>
      </c>
      <c r="P2060">
        <v>1.354830938991088E-3</v>
      </c>
      <c r="Q2060" t="s">
        <v>166</v>
      </c>
    </row>
    <row r="2061" spans="9:17" x14ac:dyDescent="0.45">
      <c r="I2061" t="s">
        <v>225</v>
      </c>
      <c r="J2061" t="s">
        <v>355</v>
      </c>
      <c r="K2061">
        <v>0</v>
      </c>
      <c r="L2061" t="s">
        <v>166</v>
      </c>
      <c r="N2061" t="s">
        <v>290</v>
      </c>
      <c r="O2061" t="s">
        <v>355</v>
      </c>
      <c r="P2061">
        <v>1.9668142778427123E-3</v>
      </c>
      <c r="Q2061" t="s">
        <v>166</v>
      </c>
    </row>
    <row r="2062" spans="9:17" x14ac:dyDescent="0.45">
      <c r="I2062" t="s">
        <v>225</v>
      </c>
      <c r="J2062" t="s">
        <v>356</v>
      </c>
      <c r="K2062">
        <v>0</v>
      </c>
      <c r="L2062" t="s">
        <v>166</v>
      </c>
      <c r="N2062" t="s">
        <v>290</v>
      </c>
      <c r="O2062" t="s">
        <v>356</v>
      </c>
      <c r="P2062">
        <v>2.0081135585958809E-2</v>
      </c>
      <c r="Q2062" t="s">
        <v>166</v>
      </c>
    </row>
    <row r="2063" spans="9:17" x14ac:dyDescent="0.45">
      <c r="I2063" t="s">
        <v>225</v>
      </c>
      <c r="J2063" t="s">
        <v>357</v>
      </c>
      <c r="K2063">
        <v>3.9915970461658873E-2</v>
      </c>
      <c r="L2063" t="s">
        <v>166</v>
      </c>
      <c r="N2063" t="s">
        <v>290</v>
      </c>
      <c r="O2063" t="s">
        <v>357</v>
      </c>
      <c r="P2063">
        <v>5.8767876301568954E-2</v>
      </c>
      <c r="Q2063" t="s">
        <v>166</v>
      </c>
    </row>
    <row r="2064" spans="9:17" x14ac:dyDescent="0.45">
      <c r="I2064" t="s">
        <v>225</v>
      </c>
      <c r="J2064" t="s">
        <v>358</v>
      </c>
      <c r="K2064">
        <v>1.6686646542989451E-2</v>
      </c>
      <c r="L2064" t="s">
        <v>166</v>
      </c>
      <c r="N2064" t="s">
        <v>290</v>
      </c>
      <c r="O2064" t="s">
        <v>358</v>
      </c>
      <c r="P2064">
        <v>3.864196051065276E-3</v>
      </c>
      <c r="Q2064" t="s">
        <v>166</v>
      </c>
    </row>
    <row r="2065" spans="9:17" x14ac:dyDescent="0.45">
      <c r="I2065" t="s">
        <v>225</v>
      </c>
      <c r="J2065" t="s">
        <v>359</v>
      </c>
      <c r="K2065">
        <v>8.7694159076736666E-2</v>
      </c>
      <c r="L2065" t="s">
        <v>166</v>
      </c>
      <c r="N2065" t="s">
        <v>290</v>
      </c>
      <c r="O2065" t="s">
        <v>359</v>
      </c>
      <c r="P2065">
        <v>2.2410833940743537E-2</v>
      </c>
      <c r="Q2065" t="s">
        <v>166</v>
      </c>
    </row>
    <row r="2066" spans="9:17" x14ac:dyDescent="0.45">
      <c r="I2066" t="s">
        <v>225</v>
      </c>
      <c r="J2066" t="s">
        <v>360</v>
      </c>
      <c r="K2066">
        <v>1.9995879778837836E-3</v>
      </c>
      <c r="L2066" t="s">
        <v>166</v>
      </c>
      <c r="N2066" t="s">
        <v>290</v>
      </c>
      <c r="O2066" t="s">
        <v>360</v>
      </c>
      <c r="P2066">
        <v>4.2613983572054792E-3</v>
      </c>
      <c r="Q2066" t="s">
        <v>166</v>
      </c>
    </row>
    <row r="2067" spans="9:17" x14ac:dyDescent="0.45">
      <c r="I2067" t="s">
        <v>225</v>
      </c>
      <c r="J2067" t="s">
        <v>361</v>
      </c>
      <c r="K2067">
        <v>0</v>
      </c>
      <c r="L2067" t="s">
        <v>166</v>
      </c>
      <c r="N2067" t="s">
        <v>290</v>
      </c>
      <c r="O2067" t="s">
        <v>361</v>
      </c>
      <c r="P2067">
        <v>4.8815524836442661E-3</v>
      </c>
      <c r="Q2067" t="s">
        <v>166</v>
      </c>
    </row>
    <row r="2068" spans="9:17" x14ac:dyDescent="0.45">
      <c r="I2068" t="s">
        <v>225</v>
      </c>
      <c r="J2068" t="s">
        <v>362</v>
      </c>
      <c r="K2068">
        <v>0</v>
      </c>
      <c r="L2068" t="s">
        <v>166</v>
      </c>
      <c r="N2068" t="s">
        <v>290</v>
      </c>
      <c r="O2068" t="s">
        <v>362</v>
      </c>
      <c r="P2068">
        <v>2.8876442601059853E-2</v>
      </c>
      <c r="Q2068" t="s">
        <v>166</v>
      </c>
    </row>
    <row r="2069" spans="9:17" x14ac:dyDescent="0.45">
      <c r="I2069" t="s">
        <v>226</v>
      </c>
      <c r="J2069" t="s">
        <v>165</v>
      </c>
      <c r="K2069">
        <v>5.9752587446193745E-2</v>
      </c>
      <c r="L2069" t="s">
        <v>166</v>
      </c>
      <c r="N2069" t="s">
        <v>291</v>
      </c>
      <c r="O2069" t="s">
        <v>165</v>
      </c>
      <c r="P2069">
        <v>8.5452867961778395E-2</v>
      </c>
      <c r="Q2069" t="s">
        <v>166</v>
      </c>
    </row>
    <row r="2070" spans="9:17" x14ac:dyDescent="0.45">
      <c r="I2070" t="s">
        <v>226</v>
      </c>
      <c r="J2070" t="s">
        <v>167</v>
      </c>
      <c r="K2070">
        <v>2.7095986388742093E-2</v>
      </c>
      <c r="L2070" t="s">
        <v>166</v>
      </c>
      <c r="N2070" t="s">
        <v>291</v>
      </c>
      <c r="O2070" t="s">
        <v>167</v>
      </c>
      <c r="P2070">
        <v>5.0898481616521935E-3</v>
      </c>
      <c r="Q2070" t="s">
        <v>166</v>
      </c>
    </row>
    <row r="2071" spans="9:17" x14ac:dyDescent="0.45">
      <c r="I2071" t="s">
        <v>226</v>
      </c>
      <c r="J2071" t="s">
        <v>168</v>
      </c>
      <c r="K2071">
        <v>0.15015626648832031</v>
      </c>
      <c r="L2071" t="s">
        <v>166</v>
      </c>
      <c r="N2071" t="s">
        <v>291</v>
      </c>
      <c r="O2071" t="s">
        <v>168</v>
      </c>
      <c r="P2071">
        <v>3.9327512656082954E-2</v>
      </c>
      <c r="Q2071" t="s">
        <v>166</v>
      </c>
    </row>
    <row r="2072" spans="9:17" x14ac:dyDescent="0.45">
      <c r="I2072" t="s">
        <v>226</v>
      </c>
      <c r="J2072" t="s">
        <v>333</v>
      </c>
      <c r="K2072">
        <v>1.305882678105365E-2</v>
      </c>
      <c r="L2072" t="s">
        <v>166</v>
      </c>
      <c r="N2072" t="s">
        <v>291</v>
      </c>
      <c r="O2072" t="s">
        <v>333</v>
      </c>
      <c r="P2072">
        <v>7.0442012911865869E-3</v>
      </c>
      <c r="Q2072" t="s">
        <v>166</v>
      </c>
    </row>
    <row r="2073" spans="9:17" x14ac:dyDescent="0.45">
      <c r="I2073" t="s">
        <v>226</v>
      </c>
      <c r="J2073" t="s">
        <v>334</v>
      </c>
      <c r="K2073">
        <v>6.5626940977228643E-4</v>
      </c>
      <c r="L2073" t="s">
        <v>166</v>
      </c>
      <c r="N2073" t="s">
        <v>291</v>
      </c>
      <c r="O2073" t="s">
        <v>334</v>
      </c>
      <c r="P2073">
        <v>7.5636740671750921E-3</v>
      </c>
      <c r="Q2073" t="s">
        <v>166</v>
      </c>
    </row>
    <row r="2074" spans="9:17" x14ac:dyDescent="0.45">
      <c r="I2074" t="s">
        <v>226</v>
      </c>
      <c r="J2074" t="s">
        <v>335</v>
      </c>
      <c r="K2074">
        <v>0</v>
      </c>
      <c r="L2074" t="s">
        <v>166</v>
      </c>
      <c r="N2074" t="s">
        <v>291</v>
      </c>
      <c r="O2074" t="s">
        <v>335</v>
      </c>
      <c r="P2074">
        <v>4.5254169716183644E-2</v>
      </c>
      <c r="Q2074" t="s">
        <v>166</v>
      </c>
    </row>
    <row r="2075" spans="9:17" x14ac:dyDescent="0.45">
      <c r="I2075" t="s">
        <v>226</v>
      </c>
      <c r="J2075" t="s">
        <v>169</v>
      </c>
      <c r="K2075">
        <v>4.7580243147714564E-2</v>
      </c>
      <c r="L2075" t="s">
        <v>166</v>
      </c>
      <c r="N2075" t="s">
        <v>291</v>
      </c>
      <c r="O2075" t="s">
        <v>169</v>
      </c>
      <c r="P2075">
        <v>9.0808755008086994E-2</v>
      </c>
      <c r="Q2075" t="s">
        <v>166</v>
      </c>
    </row>
    <row r="2076" spans="9:17" x14ac:dyDescent="0.45">
      <c r="I2076" t="s">
        <v>226</v>
      </c>
      <c r="J2076" t="s">
        <v>170</v>
      </c>
      <c r="K2076">
        <v>1.7544666435217286E-2</v>
      </c>
      <c r="L2076" t="s">
        <v>166</v>
      </c>
      <c r="N2076" t="s">
        <v>291</v>
      </c>
      <c r="O2076" t="s">
        <v>170</v>
      </c>
      <c r="P2076">
        <v>6.9319100992119098E-3</v>
      </c>
      <c r="Q2076" t="s">
        <v>166</v>
      </c>
    </row>
    <row r="2077" spans="9:17" x14ac:dyDescent="0.45">
      <c r="I2077" t="s">
        <v>226</v>
      </c>
      <c r="J2077" t="s">
        <v>171</v>
      </c>
      <c r="K2077">
        <v>9.7116265811352478E-2</v>
      </c>
      <c r="L2077" t="s">
        <v>166</v>
      </c>
      <c r="N2077" t="s">
        <v>291</v>
      </c>
      <c r="O2077" t="s">
        <v>171</v>
      </c>
      <c r="P2077">
        <v>3.8270940531883388E-2</v>
      </c>
      <c r="Q2077" t="s">
        <v>166</v>
      </c>
    </row>
    <row r="2078" spans="9:17" x14ac:dyDescent="0.45">
      <c r="I2078" t="s">
        <v>226</v>
      </c>
      <c r="J2078" t="s">
        <v>336</v>
      </c>
      <c r="K2078">
        <v>8.6513505138027351E-3</v>
      </c>
      <c r="L2078" t="s">
        <v>166</v>
      </c>
      <c r="N2078" t="s">
        <v>291</v>
      </c>
      <c r="O2078" t="s">
        <v>336</v>
      </c>
      <c r="P2078">
        <v>7.4813955156380956E-3</v>
      </c>
      <c r="Q2078" t="s">
        <v>166</v>
      </c>
    </row>
    <row r="2079" spans="9:17" x14ac:dyDescent="0.45">
      <c r="I2079" t="s">
        <v>226</v>
      </c>
      <c r="J2079" t="s">
        <v>337</v>
      </c>
      <c r="K2079">
        <v>3.7880227263533358E-3</v>
      </c>
      <c r="L2079" t="s">
        <v>166</v>
      </c>
      <c r="N2079" t="s">
        <v>291</v>
      </c>
      <c r="O2079" t="s">
        <v>337</v>
      </c>
      <c r="P2079">
        <v>8.114487271470152E-3</v>
      </c>
      <c r="Q2079" t="s">
        <v>166</v>
      </c>
    </row>
    <row r="2080" spans="9:17" x14ac:dyDescent="0.45">
      <c r="I2080" t="s">
        <v>226</v>
      </c>
      <c r="J2080" t="s">
        <v>338</v>
      </c>
      <c r="K2080">
        <v>0</v>
      </c>
      <c r="L2080" t="s">
        <v>166</v>
      </c>
      <c r="N2080" t="s">
        <v>291</v>
      </c>
      <c r="O2080" t="s">
        <v>338</v>
      </c>
      <c r="P2080">
        <v>5.0751351689663396E-2</v>
      </c>
      <c r="Q2080" t="s">
        <v>166</v>
      </c>
    </row>
    <row r="2081" spans="9:17" x14ac:dyDescent="0.45">
      <c r="I2081" t="s">
        <v>226</v>
      </c>
      <c r="J2081" t="s">
        <v>172</v>
      </c>
      <c r="K2081">
        <v>2.3403903670756152E-2</v>
      </c>
      <c r="L2081" t="s">
        <v>166</v>
      </c>
      <c r="N2081" t="s">
        <v>291</v>
      </c>
      <c r="O2081" t="s">
        <v>172</v>
      </c>
      <c r="P2081">
        <v>4.9679985386296317E-2</v>
      </c>
      <c r="Q2081" t="s">
        <v>166</v>
      </c>
    </row>
    <row r="2082" spans="9:17" x14ac:dyDescent="0.45">
      <c r="I2082" t="s">
        <v>226</v>
      </c>
      <c r="J2082" t="s">
        <v>173</v>
      </c>
      <c r="K2082">
        <v>8.4270755797618922E-3</v>
      </c>
      <c r="L2082" t="s">
        <v>166</v>
      </c>
      <c r="N2082" t="s">
        <v>291</v>
      </c>
      <c r="O2082" t="s">
        <v>173</v>
      </c>
      <c r="P2082">
        <v>3.2279811934893704E-3</v>
      </c>
      <c r="Q2082" t="s">
        <v>166</v>
      </c>
    </row>
    <row r="2083" spans="9:17" x14ac:dyDescent="0.45">
      <c r="I2083" t="s">
        <v>226</v>
      </c>
      <c r="J2083" t="s">
        <v>174</v>
      </c>
      <c r="K2083">
        <v>4.7614346150752627E-2</v>
      </c>
      <c r="L2083" t="s">
        <v>166</v>
      </c>
      <c r="N2083" t="s">
        <v>291</v>
      </c>
      <c r="O2083" t="s">
        <v>174</v>
      </c>
      <c r="P2083">
        <v>1.2168521645731423E-2</v>
      </c>
      <c r="Q2083" t="s">
        <v>166</v>
      </c>
    </row>
    <row r="2084" spans="9:17" x14ac:dyDescent="0.45">
      <c r="I2084" t="s">
        <v>226</v>
      </c>
      <c r="J2084" t="s">
        <v>339</v>
      </c>
      <c r="K2084">
        <v>4.791333133698567E-3</v>
      </c>
      <c r="L2084" t="s">
        <v>166</v>
      </c>
      <c r="N2084" t="s">
        <v>291</v>
      </c>
      <c r="O2084" t="s">
        <v>339</v>
      </c>
      <c r="P2084">
        <v>2.3185864302824699E-3</v>
      </c>
      <c r="Q2084" t="s">
        <v>166</v>
      </c>
    </row>
    <row r="2085" spans="9:17" x14ac:dyDescent="0.45">
      <c r="I2085" t="s">
        <v>226</v>
      </c>
      <c r="J2085" t="s">
        <v>340</v>
      </c>
      <c r="K2085">
        <v>2.4190519082417407E-3</v>
      </c>
      <c r="L2085" t="s">
        <v>166</v>
      </c>
      <c r="N2085" t="s">
        <v>291</v>
      </c>
      <c r="O2085" t="s">
        <v>340</v>
      </c>
      <c r="P2085">
        <v>2.876866919932788E-3</v>
      </c>
      <c r="Q2085" t="s">
        <v>166</v>
      </c>
    </row>
    <row r="2086" spans="9:17" x14ac:dyDescent="0.45">
      <c r="I2086" t="s">
        <v>226</v>
      </c>
      <c r="J2086" t="s">
        <v>341</v>
      </c>
      <c r="K2086">
        <v>0</v>
      </c>
      <c r="L2086" t="s">
        <v>166</v>
      </c>
      <c r="N2086" t="s">
        <v>291</v>
      </c>
      <c r="O2086" t="s">
        <v>341</v>
      </c>
      <c r="P2086">
        <v>2.5324140001886888E-2</v>
      </c>
      <c r="Q2086" t="s">
        <v>166</v>
      </c>
    </row>
    <row r="2087" spans="9:17" x14ac:dyDescent="0.45">
      <c r="I2087" t="s">
        <v>226</v>
      </c>
      <c r="J2087" t="s">
        <v>175</v>
      </c>
      <c r="K2087">
        <v>2.4065900417044331E-2</v>
      </c>
      <c r="L2087" t="s">
        <v>166</v>
      </c>
      <c r="N2087" t="s">
        <v>291</v>
      </c>
      <c r="O2087" t="s">
        <v>175</v>
      </c>
      <c r="P2087">
        <v>5.5056876530115637E-2</v>
      </c>
      <c r="Q2087" t="s">
        <v>166</v>
      </c>
    </row>
    <row r="2088" spans="9:17" x14ac:dyDescent="0.45">
      <c r="I2088" t="s">
        <v>226</v>
      </c>
      <c r="J2088" t="s">
        <v>176</v>
      </c>
      <c r="K2088">
        <v>8.6972668628244876E-3</v>
      </c>
      <c r="L2088" t="s">
        <v>166</v>
      </c>
      <c r="N2088" t="s">
        <v>291</v>
      </c>
      <c r="O2088" t="s">
        <v>176</v>
      </c>
      <c r="P2088">
        <v>3.3605895924968335E-3</v>
      </c>
      <c r="Q2088" t="s">
        <v>166</v>
      </c>
    </row>
    <row r="2089" spans="9:17" x14ac:dyDescent="0.45">
      <c r="I2089" t="s">
        <v>226</v>
      </c>
      <c r="J2089" t="s">
        <v>177</v>
      </c>
      <c r="K2089">
        <v>5.0212626499217032E-2</v>
      </c>
      <c r="L2089" t="s">
        <v>166</v>
      </c>
      <c r="N2089" t="s">
        <v>291</v>
      </c>
      <c r="O2089" t="s">
        <v>177</v>
      </c>
      <c r="P2089">
        <v>1.0394816396709665E-2</v>
      </c>
      <c r="Q2089" t="s">
        <v>166</v>
      </c>
    </row>
    <row r="2090" spans="9:17" x14ac:dyDescent="0.45">
      <c r="I2090" t="s">
        <v>226</v>
      </c>
      <c r="J2090" t="s">
        <v>342</v>
      </c>
      <c r="K2090">
        <v>5.3002585435732216E-3</v>
      </c>
      <c r="L2090" t="s">
        <v>166</v>
      </c>
      <c r="N2090" t="s">
        <v>291</v>
      </c>
      <c r="O2090" t="s">
        <v>342</v>
      </c>
      <c r="P2090">
        <v>2.1655458174984687E-3</v>
      </c>
      <c r="Q2090" t="s">
        <v>166</v>
      </c>
    </row>
    <row r="2091" spans="9:17" x14ac:dyDescent="0.45">
      <c r="I2091" t="s">
        <v>226</v>
      </c>
      <c r="J2091" t="s">
        <v>343</v>
      </c>
      <c r="K2091">
        <v>2.7887156712450649E-3</v>
      </c>
      <c r="L2091" t="s">
        <v>166</v>
      </c>
      <c r="N2091" t="s">
        <v>291</v>
      </c>
      <c r="O2091" t="s">
        <v>343</v>
      </c>
      <c r="P2091">
        <v>2.7532024962401871E-3</v>
      </c>
      <c r="Q2091" t="s">
        <v>166</v>
      </c>
    </row>
    <row r="2092" spans="9:17" x14ac:dyDescent="0.45">
      <c r="I2092" t="s">
        <v>226</v>
      </c>
      <c r="J2092" t="s">
        <v>344</v>
      </c>
      <c r="K2092">
        <v>0</v>
      </c>
      <c r="L2092" t="s">
        <v>166</v>
      </c>
      <c r="N2092" t="s">
        <v>291</v>
      </c>
      <c r="O2092" t="s">
        <v>344</v>
      </c>
      <c r="P2092">
        <v>2.6726303418484341E-2</v>
      </c>
      <c r="Q2092" t="s">
        <v>166</v>
      </c>
    </row>
    <row r="2093" spans="9:17" x14ac:dyDescent="0.45">
      <c r="I2093" t="s">
        <v>226</v>
      </c>
      <c r="J2093" t="s">
        <v>345</v>
      </c>
      <c r="K2093">
        <v>4.7173276268954803E-2</v>
      </c>
      <c r="L2093" t="s">
        <v>166</v>
      </c>
      <c r="N2093" t="s">
        <v>291</v>
      </c>
      <c r="O2093" t="s">
        <v>345</v>
      </c>
      <c r="P2093">
        <v>9.6758886406276542E-2</v>
      </c>
      <c r="Q2093" t="s">
        <v>166</v>
      </c>
    </row>
    <row r="2094" spans="9:17" x14ac:dyDescent="0.45">
      <c r="I2094" t="s">
        <v>226</v>
      </c>
      <c r="J2094" t="s">
        <v>346</v>
      </c>
      <c r="K2094">
        <v>1.7309322507835029E-2</v>
      </c>
      <c r="L2094" t="s">
        <v>166</v>
      </c>
      <c r="N2094" t="s">
        <v>291</v>
      </c>
      <c r="O2094" t="s">
        <v>346</v>
      </c>
      <c r="P2094">
        <v>6.0012135530951756E-3</v>
      </c>
      <c r="Q2094" t="s">
        <v>166</v>
      </c>
    </row>
    <row r="2095" spans="9:17" x14ac:dyDescent="0.45">
      <c r="I2095" t="s">
        <v>226</v>
      </c>
      <c r="J2095" t="s">
        <v>347</v>
      </c>
      <c r="K2095">
        <v>9.7672645761719259E-2</v>
      </c>
      <c r="L2095" t="s">
        <v>166</v>
      </c>
      <c r="N2095" t="s">
        <v>291</v>
      </c>
      <c r="O2095" t="s">
        <v>347</v>
      </c>
      <c r="P2095">
        <v>1.9397739872743232E-2</v>
      </c>
      <c r="Q2095" t="s">
        <v>166</v>
      </c>
    </row>
    <row r="2096" spans="9:17" x14ac:dyDescent="0.45">
      <c r="I2096" t="s">
        <v>226</v>
      </c>
      <c r="J2096" t="s">
        <v>348</v>
      </c>
      <c r="K2096">
        <v>9.0449166773005282E-3</v>
      </c>
      <c r="L2096" t="s">
        <v>166</v>
      </c>
      <c r="N2096" t="s">
        <v>291</v>
      </c>
      <c r="O2096" t="s">
        <v>348</v>
      </c>
      <c r="P2096">
        <v>3.9527583772112421E-3</v>
      </c>
      <c r="Q2096" t="s">
        <v>166</v>
      </c>
    </row>
    <row r="2097" spans="9:17" x14ac:dyDescent="0.45">
      <c r="I2097" t="s">
        <v>226</v>
      </c>
      <c r="J2097" t="s">
        <v>349</v>
      </c>
      <c r="K2097">
        <v>2.7934267448001559E-3</v>
      </c>
      <c r="L2097" t="s">
        <v>166</v>
      </c>
      <c r="N2097" t="s">
        <v>291</v>
      </c>
      <c r="O2097" t="s">
        <v>349</v>
      </c>
      <c r="P2097">
        <v>5.4843098135759728E-3</v>
      </c>
      <c r="Q2097" t="s">
        <v>166</v>
      </c>
    </row>
    <row r="2098" spans="9:17" x14ac:dyDescent="0.45">
      <c r="I2098" t="s">
        <v>226</v>
      </c>
      <c r="J2098" t="s">
        <v>350</v>
      </c>
      <c r="K2098">
        <v>0</v>
      </c>
      <c r="L2098" t="s">
        <v>166</v>
      </c>
      <c r="N2098" t="s">
        <v>291</v>
      </c>
      <c r="O2098" t="s">
        <v>350</v>
      </c>
      <c r="P2098">
        <v>5.0957663342723378E-2</v>
      </c>
      <c r="Q2098" t="s">
        <v>166</v>
      </c>
    </row>
    <row r="2099" spans="9:17" x14ac:dyDescent="0.45">
      <c r="I2099" t="s">
        <v>226</v>
      </c>
      <c r="J2099" t="s">
        <v>351</v>
      </c>
      <c r="K2099">
        <v>2.3087411115623114E-2</v>
      </c>
      <c r="L2099" t="s">
        <v>166</v>
      </c>
      <c r="N2099" t="s">
        <v>291</v>
      </c>
      <c r="O2099" t="s">
        <v>351</v>
      </c>
      <c r="P2099">
        <v>4.9924879289179012E-2</v>
      </c>
      <c r="Q2099" t="s">
        <v>166</v>
      </c>
    </row>
    <row r="2100" spans="9:17" x14ac:dyDescent="0.45">
      <c r="I2100" t="s">
        <v>226</v>
      </c>
      <c r="J2100" t="s">
        <v>352</v>
      </c>
      <c r="K2100">
        <v>8.8158038115815317E-3</v>
      </c>
      <c r="L2100" t="s">
        <v>166</v>
      </c>
      <c r="N2100" t="s">
        <v>291</v>
      </c>
      <c r="O2100" t="s">
        <v>352</v>
      </c>
      <c r="P2100">
        <v>3.2793980631109663E-3</v>
      </c>
      <c r="Q2100" t="s">
        <v>166</v>
      </c>
    </row>
    <row r="2101" spans="9:17" x14ac:dyDescent="0.45">
      <c r="I2101" t="s">
        <v>226</v>
      </c>
      <c r="J2101" t="s">
        <v>353</v>
      </c>
      <c r="K2101">
        <v>4.7783284723128677E-2</v>
      </c>
      <c r="L2101" t="s">
        <v>166</v>
      </c>
      <c r="N2101" t="s">
        <v>291</v>
      </c>
      <c r="O2101" t="s">
        <v>353</v>
      </c>
      <c r="P2101">
        <v>1.2013776109283747E-2</v>
      </c>
      <c r="Q2101" t="s">
        <v>166</v>
      </c>
    </row>
    <row r="2102" spans="9:17" x14ac:dyDescent="0.45">
      <c r="I2102" t="s">
        <v>226</v>
      </c>
      <c r="J2102" t="s">
        <v>354</v>
      </c>
      <c r="K2102">
        <v>3.3035552515409362E-3</v>
      </c>
      <c r="L2102" t="s">
        <v>166</v>
      </c>
      <c r="N2102" t="s">
        <v>291</v>
      </c>
      <c r="O2102" t="s">
        <v>354</v>
      </c>
      <c r="P2102">
        <v>2.3531637949740837E-3</v>
      </c>
      <c r="Q2102" t="s">
        <v>166</v>
      </c>
    </row>
    <row r="2103" spans="9:17" x14ac:dyDescent="0.45">
      <c r="I2103" t="s">
        <v>226</v>
      </c>
      <c r="J2103" t="s">
        <v>355</v>
      </c>
      <c r="K2103">
        <v>0</v>
      </c>
      <c r="L2103" t="s">
        <v>166</v>
      </c>
      <c r="N2103" t="s">
        <v>291</v>
      </c>
      <c r="O2103" t="s">
        <v>355</v>
      </c>
      <c r="P2103">
        <v>3.4775977467937586E-3</v>
      </c>
      <c r="Q2103" t="s">
        <v>166</v>
      </c>
    </row>
    <row r="2104" spans="9:17" x14ac:dyDescent="0.45">
      <c r="I2104" t="s">
        <v>226</v>
      </c>
      <c r="J2104" t="s">
        <v>356</v>
      </c>
      <c r="K2104">
        <v>0</v>
      </c>
      <c r="L2104" t="s">
        <v>166</v>
      </c>
      <c r="N2104" t="s">
        <v>291</v>
      </c>
      <c r="O2104" t="s">
        <v>356</v>
      </c>
      <c r="P2104">
        <v>2.7502721439355417E-2</v>
      </c>
      <c r="Q2104" t="s">
        <v>166</v>
      </c>
    </row>
    <row r="2105" spans="9:17" x14ac:dyDescent="0.45">
      <c r="I2105" t="s">
        <v>226</v>
      </c>
      <c r="J2105" t="s">
        <v>357</v>
      </c>
      <c r="K2105">
        <v>3.6750405384944999E-2</v>
      </c>
      <c r="L2105" t="s">
        <v>166</v>
      </c>
      <c r="N2105" t="s">
        <v>291</v>
      </c>
      <c r="O2105" t="s">
        <v>357</v>
      </c>
      <c r="P2105">
        <v>5.8107294513791201E-2</v>
      </c>
      <c r="Q2105" t="s">
        <v>166</v>
      </c>
    </row>
    <row r="2106" spans="9:17" x14ac:dyDescent="0.45">
      <c r="I2106" t="s">
        <v>226</v>
      </c>
      <c r="J2106" t="s">
        <v>358</v>
      </c>
      <c r="K2106">
        <v>1.6479801597499844E-2</v>
      </c>
      <c r="L2106" t="s">
        <v>166</v>
      </c>
      <c r="N2106" t="s">
        <v>291</v>
      </c>
      <c r="O2106" t="s">
        <v>358</v>
      </c>
      <c r="P2106">
        <v>3.5480713894214142E-3</v>
      </c>
      <c r="Q2106" t="s">
        <v>166</v>
      </c>
    </row>
    <row r="2107" spans="9:17" x14ac:dyDescent="0.45">
      <c r="I2107" t="s">
        <v>226</v>
      </c>
      <c r="J2107" t="s">
        <v>359</v>
      </c>
      <c r="K2107">
        <v>8.5695482999669503E-2</v>
      </c>
      <c r="L2107" t="s">
        <v>166</v>
      </c>
      <c r="N2107" t="s">
        <v>291</v>
      </c>
      <c r="O2107" t="s">
        <v>359</v>
      </c>
      <c r="P2107">
        <v>2.2733174593884523E-2</v>
      </c>
      <c r="Q2107" t="s">
        <v>166</v>
      </c>
    </row>
    <row r="2108" spans="9:17" x14ac:dyDescent="0.45">
      <c r="I2108" t="s">
        <v>226</v>
      </c>
      <c r="J2108" t="s">
        <v>360</v>
      </c>
      <c r="K2108">
        <v>9.6970356976482639E-4</v>
      </c>
      <c r="L2108" t="s">
        <v>166</v>
      </c>
      <c r="N2108" t="s">
        <v>291</v>
      </c>
      <c r="O2108" t="s">
        <v>360</v>
      </c>
      <c r="P2108">
        <v>4.6619039939053558E-3</v>
      </c>
      <c r="Q2108" t="s">
        <v>166</v>
      </c>
    </row>
    <row r="2109" spans="9:17" x14ac:dyDescent="0.45">
      <c r="I2109" t="s">
        <v>226</v>
      </c>
      <c r="J2109" t="s">
        <v>361</v>
      </c>
      <c r="K2109">
        <v>0</v>
      </c>
      <c r="L2109" t="s">
        <v>166</v>
      </c>
      <c r="N2109" t="s">
        <v>291</v>
      </c>
      <c r="O2109" t="s">
        <v>361</v>
      </c>
      <c r="P2109">
        <v>5.6824715497851728E-3</v>
      </c>
      <c r="Q2109" t="s">
        <v>166</v>
      </c>
    </row>
    <row r="2110" spans="9:17" x14ac:dyDescent="0.45">
      <c r="I2110" t="s">
        <v>226</v>
      </c>
      <c r="J2110" t="s">
        <v>362</v>
      </c>
      <c r="K2110">
        <v>0</v>
      </c>
      <c r="L2110" t="s">
        <v>166</v>
      </c>
      <c r="N2110" t="s">
        <v>291</v>
      </c>
      <c r="O2110" t="s">
        <v>362</v>
      </c>
      <c r="P2110">
        <v>3.6018446351708214E-2</v>
      </c>
      <c r="Q2110" t="s">
        <v>166</v>
      </c>
    </row>
    <row r="2111" spans="9:17" x14ac:dyDescent="0.45">
      <c r="I2111" t="s">
        <v>227</v>
      </c>
      <c r="J2111" t="s">
        <v>165</v>
      </c>
      <c r="K2111">
        <v>5.9499376747874241E-2</v>
      </c>
      <c r="L2111" t="s">
        <v>166</v>
      </c>
      <c r="N2111" t="s">
        <v>292</v>
      </c>
      <c r="O2111" t="s">
        <v>165</v>
      </c>
      <c r="P2111">
        <v>0.10312715613055895</v>
      </c>
      <c r="Q2111" t="s">
        <v>166</v>
      </c>
    </row>
    <row r="2112" spans="9:17" x14ac:dyDescent="0.45">
      <c r="I2112" t="s">
        <v>227</v>
      </c>
      <c r="J2112" t="s">
        <v>167</v>
      </c>
      <c r="K2112">
        <v>2.7236148315818682E-2</v>
      </c>
      <c r="L2112" t="s">
        <v>166</v>
      </c>
      <c r="N2112" t="s">
        <v>292</v>
      </c>
      <c r="O2112" t="s">
        <v>167</v>
      </c>
      <c r="P2112">
        <v>5.6753712421866052E-3</v>
      </c>
      <c r="Q2112" t="s">
        <v>166</v>
      </c>
    </row>
    <row r="2113" spans="9:17" x14ac:dyDescent="0.45">
      <c r="I2113" t="s">
        <v>227</v>
      </c>
      <c r="J2113" t="s">
        <v>168</v>
      </c>
      <c r="K2113">
        <v>0.15218797984341464</v>
      </c>
      <c r="L2113" t="s">
        <v>166</v>
      </c>
      <c r="N2113" t="s">
        <v>292</v>
      </c>
      <c r="O2113" t="s">
        <v>168</v>
      </c>
      <c r="P2113">
        <v>4.068526772501542E-2</v>
      </c>
      <c r="Q2113" t="s">
        <v>166</v>
      </c>
    </row>
    <row r="2114" spans="9:17" x14ac:dyDescent="0.45">
      <c r="I2114" t="s">
        <v>227</v>
      </c>
      <c r="J2114" t="s">
        <v>333</v>
      </c>
      <c r="K2114">
        <v>1.3831902008972502E-2</v>
      </c>
      <c r="L2114" t="s">
        <v>166</v>
      </c>
      <c r="N2114" t="s">
        <v>292</v>
      </c>
      <c r="O2114" t="s">
        <v>333</v>
      </c>
      <c r="P2114">
        <v>7.0327484604469281E-3</v>
      </c>
      <c r="Q2114" t="s">
        <v>166</v>
      </c>
    </row>
    <row r="2115" spans="9:17" x14ac:dyDescent="0.45">
      <c r="I2115" t="s">
        <v>227</v>
      </c>
      <c r="J2115" t="s">
        <v>334</v>
      </c>
      <c r="K2115">
        <v>1.1687436665296781E-3</v>
      </c>
      <c r="L2115" t="s">
        <v>166</v>
      </c>
      <c r="N2115" t="s">
        <v>292</v>
      </c>
      <c r="O2115" t="s">
        <v>334</v>
      </c>
      <c r="P2115">
        <v>7.051631022554127E-3</v>
      </c>
      <c r="Q2115" t="s">
        <v>166</v>
      </c>
    </row>
    <row r="2116" spans="9:17" x14ac:dyDescent="0.45">
      <c r="I2116" t="s">
        <v>227</v>
      </c>
      <c r="J2116" t="s">
        <v>335</v>
      </c>
      <c r="K2116">
        <v>0</v>
      </c>
      <c r="L2116" t="s">
        <v>166</v>
      </c>
      <c r="N2116" t="s">
        <v>292</v>
      </c>
      <c r="O2116" t="s">
        <v>335</v>
      </c>
      <c r="P2116">
        <v>4.6332415884132304E-2</v>
      </c>
      <c r="Q2116" t="s">
        <v>166</v>
      </c>
    </row>
    <row r="2117" spans="9:17" x14ac:dyDescent="0.45">
      <c r="I2117" t="s">
        <v>227</v>
      </c>
      <c r="J2117" t="s">
        <v>169</v>
      </c>
      <c r="K2117">
        <v>4.7371912104291022E-2</v>
      </c>
      <c r="L2117" t="s">
        <v>166</v>
      </c>
      <c r="N2117" t="s">
        <v>292</v>
      </c>
      <c r="O2117" t="s">
        <v>169</v>
      </c>
      <c r="P2117">
        <v>9.5855686001022816E-2</v>
      </c>
      <c r="Q2117" t="s">
        <v>166</v>
      </c>
    </row>
    <row r="2118" spans="9:17" x14ac:dyDescent="0.45">
      <c r="I2118" t="s">
        <v>227</v>
      </c>
      <c r="J2118" t="s">
        <v>170</v>
      </c>
      <c r="K2118">
        <v>1.7623907494912522E-2</v>
      </c>
      <c r="L2118" t="s">
        <v>166</v>
      </c>
      <c r="N2118" t="s">
        <v>292</v>
      </c>
      <c r="O2118" t="s">
        <v>170</v>
      </c>
      <c r="P2118">
        <v>6.6288941066660854E-3</v>
      </c>
      <c r="Q2118" t="s">
        <v>166</v>
      </c>
    </row>
    <row r="2119" spans="9:17" x14ac:dyDescent="0.45">
      <c r="I2119" t="s">
        <v>227</v>
      </c>
      <c r="J2119" t="s">
        <v>171</v>
      </c>
      <c r="K2119">
        <v>9.605647224679599E-2</v>
      </c>
      <c r="L2119" t="s">
        <v>166</v>
      </c>
      <c r="N2119" t="s">
        <v>292</v>
      </c>
      <c r="O2119" t="s">
        <v>171</v>
      </c>
      <c r="P2119">
        <v>4.606982140004575E-2</v>
      </c>
      <c r="Q2119" t="s">
        <v>166</v>
      </c>
    </row>
    <row r="2120" spans="9:17" x14ac:dyDescent="0.45">
      <c r="I2120" t="s">
        <v>227</v>
      </c>
      <c r="J2120" t="s">
        <v>336</v>
      </c>
      <c r="K2120">
        <v>8.2432541367699619E-3</v>
      </c>
      <c r="L2120" t="s">
        <v>166</v>
      </c>
      <c r="N2120" t="s">
        <v>292</v>
      </c>
      <c r="O2120" t="s">
        <v>336</v>
      </c>
      <c r="P2120">
        <v>8.1940613214208802E-3</v>
      </c>
      <c r="Q2120" t="s">
        <v>166</v>
      </c>
    </row>
    <row r="2121" spans="9:17" x14ac:dyDescent="0.45">
      <c r="I2121" t="s">
        <v>227</v>
      </c>
      <c r="J2121" t="s">
        <v>337</v>
      </c>
      <c r="K2121">
        <v>3.7270760657871337E-3</v>
      </c>
      <c r="L2121" t="s">
        <v>166</v>
      </c>
      <c r="N2121" t="s">
        <v>292</v>
      </c>
      <c r="O2121" t="s">
        <v>337</v>
      </c>
      <c r="P2121">
        <v>8.2646393017568806E-3</v>
      </c>
      <c r="Q2121" t="s">
        <v>166</v>
      </c>
    </row>
    <row r="2122" spans="9:17" x14ac:dyDescent="0.45">
      <c r="I2122" t="s">
        <v>227</v>
      </c>
      <c r="J2122" t="s">
        <v>338</v>
      </c>
      <c r="K2122">
        <v>0</v>
      </c>
      <c r="L2122" t="s">
        <v>166</v>
      </c>
      <c r="N2122" t="s">
        <v>292</v>
      </c>
      <c r="O2122" t="s">
        <v>338</v>
      </c>
      <c r="P2122">
        <v>5.2282612363051907E-2</v>
      </c>
      <c r="Q2122" t="s">
        <v>166</v>
      </c>
    </row>
    <row r="2123" spans="9:17" x14ac:dyDescent="0.45">
      <c r="I2123" t="s">
        <v>227</v>
      </c>
      <c r="J2123" t="s">
        <v>172</v>
      </c>
      <c r="K2123">
        <v>2.2862178442621128E-2</v>
      </c>
      <c r="L2123" t="s">
        <v>166</v>
      </c>
      <c r="N2123" t="s">
        <v>292</v>
      </c>
      <c r="O2123" t="s">
        <v>172</v>
      </c>
      <c r="P2123">
        <v>5.2339442849257095E-2</v>
      </c>
      <c r="Q2123" t="s">
        <v>166</v>
      </c>
    </row>
    <row r="2124" spans="9:17" x14ac:dyDescent="0.45">
      <c r="I2124" t="s">
        <v>227</v>
      </c>
      <c r="J2124" t="s">
        <v>173</v>
      </c>
      <c r="K2124">
        <v>8.3493061699177421E-3</v>
      </c>
      <c r="L2124" t="s">
        <v>166</v>
      </c>
      <c r="N2124" t="s">
        <v>292</v>
      </c>
      <c r="O2124" t="s">
        <v>173</v>
      </c>
      <c r="P2124">
        <v>3.5122330836299584E-3</v>
      </c>
      <c r="Q2124" t="s">
        <v>166</v>
      </c>
    </row>
    <row r="2125" spans="9:17" x14ac:dyDescent="0.45">
      <c r="I2125" t="s">
        <v>227</v>
      </c>
      <c r="J2125" t="s">
        <v>174</v>
      </c>
      <c r="K2125">
        <v>4.6505307867458656E-2</v>
      </c>
      <c r="L2125" t="s">
        <v>166</v>
      </c>
      <c r="N2125" t="s">
        <v>292</v>
      </c>
      <c r="O2125" t="s">
        <v>174</v>
      </c>
      <c r="P2125">
        <v>1.5995319715540902E-2</v>
      </c>
      <c r="Q2125" t="s">
        <v>166</v>
      </c>
    </row>
    <row r="2126" spans="9:17" x14ac:dyDescent="0.45">
      <c r="I2126" t="s">
        <v>227</v>
      </c>
      <c r="J2126" t="s">
        <v>339</v>
      </c>
      <c r="K2126">
        <v>4.2888613982698361E-3</v>
      </c>
      <c r="L2126" t="s">
        <v>166</v>
      </c>
      <c r="N2126" t="s">
        <v>292</v>
      </c>
      <c r="O2126" t="s">
        <v>339</v>
      </c>
      <c r="P2126">
        <v>2.8648596500500706E-3</v>
      </c>
      <c r="Q2126" t="s">
        <v>166</v>
      </c>
    </row>
    <row r="2127" spans="9:17" x14ac:dyDescent="0.45">
      <c r="I2127" t="s">
        <v>227</v>
      </c>
      <c r="J2127" t="s">
        <v>340</v>
      </c>
      <c r="K2127">
        <v>2.1891618897549505E-3</v>
      </c>
      <c r="L2127" t="s">
        <v>166</v>
      </c>
      <c r="N2127" t="s">
        <v>292</v>
      </c>
      <c r="O2127" t="s">
        <v>340</v>
      </c>
      <c r="P2127">
        <v>3.1371407988766242E-3</v>
      </c>
      <c r="Q2127" t="s">
        <v>166</v>
      </c>
    </row>
    <row r="2128" spans="9:17" x14ac:dyDescent="0.45">
      <c r="I2128" t="s">
        <v>227</v>
      </c>
      <c r="J2128" t="s">
        <v>341</v>
      </c>
      <c r="K2128">
        <v>0</v>
      </c>
      <c r="L2128" t="s">
        <v>166</v>
      </c>
      <c r="N2128" t="s">
        <v>292</v>
      </c>
      <c r="O2128" t="s">
        <v>341</v>
      </c>
      <c r="P2128">
        <v>2.4464252998062794E-2</v>
      </c>
      <c r="Q2128" t="s">
        <v>166</v>
      </c>
    </row>
    <row r="2129" spans="9:17" x14ac:dyDescent="0.45">
      <c r="I2129" t="s">
        <v>227</v>
      </c>
      <c r="J2129" t="s">
        <v>175</v>
      </c>
      <c r="K2129">
        <v>2.3396051112105735E-2</v>
      </c>
      <c r="L2129" t="s">
        <v>166</v>
      </c>
      <c r="N2129" t="s">
        <v>292</v>
      </c>
      <c r="O2129" t="s">
        <v>175</v>
      </c>
      <c r="P2129">
        <v>5.1673159587380897E-2</v>
      </c>
      <c r="Q2129" t="s">
        <v>166</v>
      </c>
    </row>
    <row r="2130" spans="9:17" x14ac:dyDescent="0.45">
      <c r="I2130" t="s">
        <v>227</v>
      </c>
      <c r="J2130" t="s">
        <v>176</v>
      </c>
      <c r="K2130">
        <v>8.6401866269796134E-3</v>
      </c>
      <c r="L2130" t="s">
        <v>166</v>
      </c>
      <c r="N2130" t="s">
        <v>292</v>
      </c>
      <c r="O2130" t="s">
        <v>176</v>
      </c>
      <c r="P2130">
        <v>2.9652961785159139E-3</v>
      </c>
      <c r="Q2130" t="s">
        <v>166</v>
      </c>
    </row>
    <row r="2131" spans="9:17" x14ac:dyDescent="0.45">
      <c r="I2131" t="s">
        <v>227</v>
      </c>
      <c r="J2131" t="s">
        <v>177</v>
      </c>
      <c r="K2131">
        <v>4.8879874586110948E-2</v>
      </c>
      <c r="L2131" t="s">
        <v>166</v>
      </c>
      <c r="N2131" t="s">
        <v>292</v>
      </c>
      <c r="O2131" t="s">
        <v>177</v>
      </c>
      <c r="P2131">
        <v>1.2922819698005473E-2</v>
      </c>
      <c r="Q2131" t="s">
        <v>166</v>
      </c>
    </row>
    <row r="2132" spans="9:17" x14ac:dyDescent="0.45">
      <c r="I2132" t="s">
        <v>227</v>
      </c>
      <c r="J2132" t="s">
        <v>342</v>
      </c>
      <c r="K2132">
        <v>4.8100322118643677E-3</v>
      </c>
      <c r="L2132" t="s">
        <v>166</v>
      </c>
      <c r="N2132" t="s">
        <v>292</v>
      </c>
      <c r="O2132" t="s">
        <v>342</v>
      </c>
      <c r="P2132">
        <v>2.4330591497842553E-3</v>
      </c>
      <c r="Q2132" t="s">
        <v>166</v>
      </c>
    </row>
    <row r="2133" spans="9:17" x14ac:dyDescent="0.45">
      <c r="I2133" t="s">
        <v>227</v>
      </c>
      <c r="J2133" t="s">
        <v>343</v>
      </c>
      <c r="K2133">
        <v>2.590883334505481E-3</v>
      </c>
      <c r="L2133" t="s">
        <v>166</v>
      </c>
      <c r="N2133" t="s">
        <v>292</v>
      </c>
      <c r="O2133" t="s">
        <v>343</v>
      </c>
      <c r="P2133">
        <v>2.8274527255151144E-3</v>
      </c>
      <c r="Q2133" t="s">
        <v>166</v>
      </c>
    </row>
    <row r="2134" spans="9:17" x14ac:dyDescent="0.45">
      <c r="I2134" t="s">
        <v>227</v>
      </c>
      <c r="J2134" t="s">
        <v>344</v>
      </c>
      <c r="K2134">
        <v>0</v>
      </c>
      <c r="L2134" t="s">
        <v>166</v>
      </c>
      <c r="N2134" t="s">
        <v>292</v>
      </c>
      <c r="O2134" t="s">
        <v>344</v>
      </c>
      <c r="P2134">
        <v>2.4448794039853793E-2</v>
      </c>
      <c r="Q2134" t="s">
        <v>166</v>
      </c>
    </row>
    <row r="2135" spans="9:17" x14ac:dyDescent="0.45">
      <c r="I2135" t="s">
        <v>227</v>
      </c>
      <c r="J2135" t="s">
        <v>345</v>
      </c>
      <c r="K2135">
        <v>4.6623535174969526E-2</v>
      </c>
      <c r="L2135" t="s">
        <v>166</v>
      </c>
      <c r="N2135" t="s">
        <v>292</v>
      </c>
      <c r="O2135" t="s">
        <v>345</v>
      </c>
      <c r="P2135">
        <v>9.8369175124550845E-2</v>
      </c>
      <c r="Q2135" t="s">
        <v>166</v>
      </c>
    </row>
    <row r="2136" spans="9:17" x14ac:dyDescent="0.45">
      <c r="I2136" t="s">
        <v>227</v>
      </c>
      <c r="J2136" t="s">
        <v>346</v>
      </c>
      <c r="K2136">
        <v>1.732494284465512E-2</v>
      </c>
      <c r="L2136" t="s">
        <v>166</v>
      </c>
      <c r="N2136" t="s">
        <v>292</v>
      </c>
      <c r="O2136" t="s">
        <v>346</v>
      </c>
      <c r="P2136">
        <v>5.5671006467005787E-3</v>
      </c>
      <c r="Q2136" t="s">
        <v>166</v>
      </c>
    </row>
    <row r="2137" spans="9:17" x14ac:dyDescent="0.45">
      <c r="I2137" t="s">
        <v>227</v>
      </c>
      <c r="J2137" t="s">
        <v>347</v>
      </c>
      <c r="K2137">
        <v>9.491952429829037E-2</v>
      </c>
      <c r="L2137" t="s">
        <v>166</v>
      </c>
      <c r="N2137" t="s">
        <v>292</v>
      </c>
      <c r="O2137" t="s">
        <v>347</v>
      </c>
      <c r="P2137">
        <v>2.5585122214137085E-2</v>
      </c>
      <c r="Q2137" t="s">
        <v>166</v>
      </c>
    </row>
    <row r="2138" spans="9:17" x14ac:dyDescent="0.45">
      <c r="I2138" t="s">
        <v>227</v>
      </c>
      <c r="J2138" t="s">
        <v>348</v>
      </c>
      <c r="K2138">
        <v>8.1989984954861667E-3</v>
      </c>
      <c r="L2138" t="s">
        <v>166</v>
      </c>
      <c r="N2138" t="s">
        <v>292</v>
      </c>
      <c r="O2138" t="s">
        <v>348</v>
      </c>
      <c r="P2138">
        <v>5.2638739633682373E-3</v>
      </c>
      <c r="Q2138" t="s">
        <v>166</v>
      </c>
    </row>
    <row r="2139" spans="9:17" x14ac:dyDescent="0.45">
      <c r="I2139" t="s">
        <v>227</v>
      </c>
      <c r="J2139" t="s">
        <v>349</v>
      </c>
      <c r="K2139">
        <v>2.6845453551612992E-3</v>
      </c>
      <c r="L2139" t="s">
        <v>166</v>
      </c>
      <c r="N2139" t="s">
        <v>292</v>
      </c>
      <c r="O2139" t="s">
        <v>349</v>
      </c>
      <c r="P2139">
        <v>6.2674481459631375E-3</v>
      </c>
      <c r="Q2139" t="s">
        <v>166</v>
      </c>
    </row>
    <row r="2140" spans="9:17" x14ac:dyDescent="0.45">
      <c r="I2140" t="s">
        <v>227</v>
      </c>
      <c r="J2140" t="s">
        <v>350</v>
      </c>
      <c r="K2140">
        <v>0</v>
      </c>
      <c r="L2140" t="s">
        <v>166</v>
      </c>
      <c r="N2140" t="s">
        <v>292</v>
      </c>
      <c r="O2140" t="s">
        <v>350</v>
      </c>
      <c r="P2140">
        <v>4.997624265621825E-2</v>
      </c>
      <c r="Q2140" t="s">
        <v>166</v>
      </c>
    </row>
    <row r="2141" spans="9:17" x14ac:dyDescent="0.45">
      <c r="I2141" t="s">
        <v>227</v>
      </c>
      <c r="J2141" t="s">
        <v>351</v>
      </c>
      <c r="K2141">
        <v>2.2948072927063832E-2</v>
      </c>
      <c r="L2141" t="s">
        <v>166</v>
      </c>
      <c r="N2141" t="s">
        <v>292</v>
      </c>
      <c r="O2141" t="s">
        <v>351</v>
      </c>
      <c r="P2141">
        <v>3.3303518413114401E-2</v>
      </c>
      <c r="Q2141" t="s">
        <v>166</v>
      </c>
    </row>
    <row r="2142" spans="9:17" x14ac:dyDescent="0.45">
      <c r="I2142" t="s">
        <v>227</v>
      </c>
      <c r="J2142" t="s">
        <v>352</v>
      </c>
      <c r="K2142">
        <v>8.8899106747868384E-3</v>
      </c>
      <c r="L2142" t="s">
        <v>166</v>
      </c>
      <c r="N2142" t="s">
        <v>292</v>
      </c>
      <c r="O2142" t="s">
        <v>352</v>
      </c>
      <c r="P2142">
        <v>1.809527774938404E-3</v>
      </c>
      <c r="Q2142" t="s">
        <v>166</v>
      </c>
    </row>
    <row r="2143" spans="9:17" x14ac:dyDescent="0.45">
      <c r="I2143" t="s">
        <v>227</v>
      </c>
      <c r="J2143" t="s">
        <v>353</v>
      </c>
      <c r="K2143">
        <v>4.8488098255837331E-2</v>
      </c>
      <c r="L2143" t="s">
        <v>166</v>
      </c>
      <c r="N2143" t="s">
        <v>292</v>
      </c>
      <c r="O2143" t="s">
        <v>353</v>
      </c>
      <c r="P2143">
        <v>6.5493076544491987E-3</v>
      </c>
      <c r="Q2143" t="s">
        <v>166</v>
      </c>
    </row>
    <row r="2144" spans="9:17" x14ac:dyDescent="0.45">
      <c r="I2144" t="s">
        <v>227</v>
      </c>
      <c r="J2144" t="s">
        <v>354</v>
      </c>
      <c r="K2144">
        <v>3.5439594455519011E-3</v>
      </c>
      <c r="L2144" t="s">
        <v>166</v>
      </c>
      <c r="N2144" t="s">
        <v>292</v>
      </c>
      <c r="O2144" t="s">
        <v>354</v>
      </c>
      <c r="P2144">
        <v>1.2687628999962326E-3</v>
      </c>
      <c r="Q2144" t="s">
        <v>166</v>
      </c>
    </row>
    <row r="2145" spans="9:17" x14ac:dyDescent="0.45">
      <c r="I2145" t="s">
        <v>227</v>
      </c>
      <c r="J2145" t="s">
        <v>355</v>
      </c>
      <c r="K2145">
        <v>0</v>
      </c>
      <c r="L2145" t="s">
        <v>166</v>
      </c>
      <c r="N2145" t="s">
        <v>292</v>
      </c>
      <c r="O2145" t="s">
        <v>355</v>
      </c>
      <c r="P2145">
        <v>1.8845241826130987E-3</v>
      </c>
      <c r="Q2145" t="s">
        <v>166</v>
      </c>
    </row>
    <row r="2146" spans="9:17" x14ac:dyDescent="0.45">
      <c r="I2146" t="s">
        <v>227</v>
      </c>
      <c r="J2146" t="s">
        <v>356</v>
      </c>
      <c r="K2146">
        <v>0</v>
      </c>
      <c r="L2146" t="s">
        <v>166</v>
      </c>
      <c r="N2146" t="s">
        <v>292</v>
      </c>
      <c r="O2146" t="s">
        <v>356</v>
      </c>
      <c r="P2146">
        <v>1.6516785455940614E-2</v>
      </c>
      <c r="Q2146" t="s">
        <v>166</v>
      </c>
    </row>
    <row r="2147" spans="9:17" x14ac:dyDescent="0.45">
      <c r="I2147" t="s">
        <v>227</v>
      </c>
      <c r="J2147" t="s">
        <v>357</v>
      </c>
      <c r="K2147">
        <v>3.8210653489183864E-2</v>
      </c>
      <c r="L2147" t="s">
        <v>166</v>
      </c>
      <c r="N2147" t="s">
        <v>292</v>
      </c>
      <c r="O2147" t="s">
        <v>357</v>
      </c>
      <c r="P2147">
        <v>5.580895268544761E-2</v>
      </c>
      <c r="Q2147" t="s">
        <v>166</v>
      </c>
    </row>
    <row r="2148" spans="9:17" x14ac:dyDescent="0.45">
      <c r="I2148" t="s">
        <v>227</v>
      </c>
      <c r="J2148" t="s">
        <v>358</v>
      </c>
      <c r="K2148">
        <v>1.6920977635645734E-2</v>
      </c>
      <c r="L2148" t="s">
        <v>166</v>
      </c>
      <c r="N2148" t="s">
        <v>292</v>
      </c>
      <c r="O2148" t="s">
        <v>358</v>
      </c>
      <c r="P2148">
        <v>2.7968407120746198E-3</v>
      </c>
      <c r="Q2148" t="s">
        <v>166</v>
      </c>
    </row>
    <row r="2149" spans="9:17" x14ac:dyDescent="0.45">
      <c r="I2149" t="s">
        <v>227</v>
      </c>
      <c r="J2149" t="s">
        <v>359</v>
      </c>
      <c r="K2149">
        <v>8.7927125074709095E-2</v>
      </c>
      <c r="L2149" t="s">
        <v>166</v>
      </c>
      <c r="N2149" t="s">
        <v>292</v>
      </c>
      <c r="O2149" t="s">
        <v>359</v>
      </c>
      <c r="P2149">
        <v>2.0388792245117984E-2</v>
      </c>
      <c r="Q2149" t="s">
        <v>166</v>
      </c>
    </row>
    <row r="2150" spans="9:17" x14ac:dyDescent="0.45">
      <c r="I2150" t="s">
        <v>227</v>
      </c>
      <c r="J2150" t="s">
        <v>360</v>
      </c>
      <c r="K2150">
        <v>3.8610400579017767E-3</v>
      </c>
      <c r="L2150" t="s">
        <v>166</v>
      </c>
      <c r="N2150" t="s">
        <v>292</v>
      </c>
      <c r="O2150" t="s">
        <v>360</v>
      </c>
      <c r="P2150">
        <v>4.5988329446719533E-3</v>
      </c>
      <c r="Q2150" t="s">
        <v>166</v>
      </c>
    </row>
    <row r="2151" spans="9:17" x14ac:dyDescent="0.45">
      <c r="I2151" t="s">
        <v>227</v>
      </c>
      <c r="J2151" t="s">
        <v>361</v>
      </c>
      <c r="K2151">
        <v>0</v>
      </c>
      <c r="L2151" t="s">
        <v>166</v>
      </c>
      <c r="N2151" t="s">
        <v>292</v>
      </c>
      <c r="O2151" t="s">
        <v>361</v>
      </c>
      <c r="P2151">
        <v>5.3870501535275605E-3</v>
      </c>
      <c r="Q2151" t="s">
        <v>166</v>
      </c>
    </row>
    <row r="2152" spans="9:17" x14ac:dyDescent="0.45">
      <c r="I2152" t="s">
        <v>227</v>
      </c>
      <c r="J2152" t="s">
        <v>362</v>
      </c>
      <c r="K2152">
        <v>0</v>
      </c>
      <c r="L2152" t="s">
        <v>166</v>
      </c>
      <c r="N2152" t="s">
        <v>292</v>
      </c>
      <c r="O2152" t="s">
        <v>362</v>
      </c>
      <c r="P2152">
        <v>3.187400669383493E-2</v>
      </c>
      <c r="Q2152" t="s">
        <v>166</v>
      </c>
    </row>
    <row r="2153" spans="9:17" x14ac:dyDescent="0.45">
      <c r="I2153" t="s">
        <v>228</v>
      </c>
      <c r="J2153" t="s">
        <v>165</v>
      </c>
      <c r="K2153">
        <v>5.4364767142753137E-2</v>
      </c>
      <c r="L2153" t="s">
        <v>166</v>
      </c>
      <c r="N2153" t="s">
        <v>293</v>
      </c>
      <c r="O2153" t="s">
        <v>165</v>
      </c>
      <c r="P2153">
        <v>9.9842358411789511E-2</v>
      </c>
      <c r="Q2153" t="s">
        <v>166</v>
      </c>
    </row>
    <row r="2154" spans="9:17" x14ac:dyDescent="0.45">
      <c r="I2154" t="s">
        <v>228</v>
      </c>
      <c r="J2154" t="s">
        <v>167</v>
      </c>
      <c r="K2154">
        <v>2.7113353272492022E-2</v>
      </c>
      <c r="L2154" t="s">
        <v>166</v>
      </c>
      <c r="N2154" t="s">
        <v>293</v>
      </c>
      <c r="O2154" t="s">
        <v>167</v>
      </c>
      <c r="P2154">
        <v>6.69736116071725E-3</v>
      </c>
      <c r="Q2154" t="s">
        <v>166</v>
      </c>
    </row>
    <row r="2155" spans="9:17" x14ac:dyDescent="0.45">
      <c r="I2155" t="s">
        <v>228</v>
      </c>
      <c r="J2155" t="s">
        <v>168</v>
      </c>
      <c r="K2155">
        <v>0.15442349810750092</v>
      </c>
      <c r="L2155" t="s">
        <v>166</v>
      </c>
      <c r="N2155" t="s">
        <v>293</v>
      </c>
      <c r="O2155" t="s">
        <v>168</v>
      </c>
      <c r="P2155">
        <v>4.6417304679540472E-2</v>
      </c>
      <c r="Q2155" t="s">
        <v>166</v>
      </c>
    </row>
    <row r="2156" spans="9:17" x14ac:dyDescent="0.45">
      <c r="I2156" t="s">
        <v>228</v>
      </c>
      <c r="J2156" t="s">
        <v>333</v>
      </c>
      <c r="K2156">
        <v>1.5642938863003008E-2</v>
      </c>
      <c r="L2156" t="s">
        <v>166</v>
      </c>
      <c r="N2156" t="s">
        <v>293</v>
      </c>
      <c r="O2156" t="s">
        <v>333</v>
      </c>
      <c r="P2156">
        <v>8.1915800791919294E-3</v>
      </c>
      <c r="Q2156" t="s">
        <v>166</v>
      </c>
    </row>
    <row r="2157" spans="9:17" x14ac:dyDescent="0.45">
      <c r="I2157" t="s">
        <v>228</v>
      </c>
      <c r="J2157" t="s">
        <v>334</v>
      </c>
      <c r="K2157">
        <v>3.8122142839724792E-3</v>
      </c>
      <c r="L2157" t="s">
        <v>166</v>
      </c>
      <c r="N2157" t="s">
        <v>293</v>
      </c>
      <c r="O2157" t="s">
        <v>334</v>
      </c>
      <c r="P2157">
        <v>8.0062100081081007E-3</v>
      </c>
      <c r="Q2157" t="s">
        <v>166</v>
      </c>
    </row>
    <row r="2158" spans="9:17" x14ac:dyDescent="0.45">
      <c r="I2158" t="s">
        <v>228</v>
      </c>
      <c r="J2158" t="s">
        <v>335</v>
      </c>
      <c r="K2158">
        <v>0</v>
      </c>
      <c r="L2158" t="s">
        <v>166</v>
      </c>
      <c r="N2158" t="s">
        <v>293</v>
      </c>
      <c r="O2158" t="s">
        <v>335</v>
      </c>
      <c r="P2158">
        <v>4.6362379634362447E-2</v>
      </c>
      <c r="Q2158" t="s">
        <v>166</v>
      </c>
    </row>
    <row r="2159" spans="9:17" x14ac:dyDescent="0.45">
      <c r="I2159" t="s">
        <v>228</v>
      </c>
      <c r="J2159" t="s">
        <v>169</v>
      </c>
      <c r="K2159">
        <v>4.5776385979372898E-2</v>
      </c>
      <c r="L2159" t="s">
        <v>166</v>
      </c>
      <c r="N2159" t="s">
        <v>293</v>
      </c>
      <c r="O2159" t="s">
        <v>169</v>
      </c>
      <c r="P2159">
        <v>8.9781985445808177E-2</v>
      </c>
      <c r="Q2159" t="s">
        <v>166</v>
      </c>
    </row>
    <row r="2160" spans="9:17" x14ac:dyDescent="0.45">
      <c r="I2160" t="s">
        <v>228</v>
      </c>
      <c r="J2160" t="s">
        <v>170</v>
      </c>
      <c r="K2160">
        <v>1.7608550033397719E-2</v>
      </c>
      <c r="L2160" t="s">
        <v>166</v>
      </c>
      <c r="N2160" t="s">
        <v>293</v>
      </c>
      <c r="O2160" t="s">
        <v>170</v>
      </c>
      <c r="P2160">
        <v>7.4463917288266736E-3</v>
      </c>
      <c r="Q2160" t="s">
        <v>166</v>
      </c>
    </row>
    <row r="2161" spans="9:17" x14ac:dyDescent="0.45">
      <c r="I2161" t="s">
        <v>228</v>
      </c>
      <c r="J2161" t="s">
        <v>171</v>
      </c>
      <c r="K2161">
        <v>9.9388729541478607E-2</v>
      </c>
      <c r="L2161" t="s">
        <v>166</v>
      </c>
      <c r="N2161" t="s">
        <v>293</v>
      </c>
      <c r="O2161" t="s">
        <v>171</v>
      </c>
      <c r="P2161">
        <v>4.494793921961969E-2</v>
      </c>
      <c r="Q2161" t="s">
        <v>166</v>
      </c>
    </row>
    <row r="2162" spans="9:17" x14ac:dyDescent="0.45">
      <c r="I2162" t="s">
        <v>228</v>
      </c>
      <c r="J2162" t="s">
        <v>336</v>
      </c>
      <c r="K2162">
        <v>1.0141427830366112E-2</v>
      </c>
      <c r="L2162" t="s">
        <v>166</v>
      </c>
      <c r="N2162" t="s">
        <v>293</v>
      </c>
      <c r="O2162" t="s">
        <v>336</v>
      </c>
      <c r="P2162">
        <v>7.9468599010891639E-3</v>
      </c>
      <c r="Q2162" t="s">
        <v>166</v>
      </c>
    </row>
    <row r="2163" spans="9:17" x14ac:dyDescent="0.45">
      <c r="I2163" t="s">
        <v>228</v>
      </c>
      <c r="J2163" t="s">
        <v>337</v>
      </c>
      <c r="K2163">
        <v>5.1397746510667012E-3</v>
      </c>
      <c r="L2163" t="s">
        <v>166</v>
      </c>
      <c r="N2163" t="s">
        <v>293</v>
      </c>
      <c r="O2163" t="s">
        <v>337</v>
      </c>
      <c r="P2163">
        <v>8.1232745126320702E-3</v>
      </c>
      <c r="Q2163" t="s">
        <v>166</v>
      </c>
    </row>
    <row r="2164" spans="9:17" x14ac:dyDescent="0.45">
      <c r="I2164" t="s">
        <v>228</v>
      </c>
      <c r="J2164" t="s">
        <v>338</v>
      </c>
      <c r="K2164">
        <v>0</v>
      </c>
      <c r="L2164" t="s">
        <v>166</v>
      </c>
      <c r="N2164" t="s">
        <v>293</v>
      </c>
      <c r="O2164" t="s">
        <v>338</v>
      </c>
      <c r="P2164">
        <v>4.7437903185903976E-2</v>
      </c>
      <c r="Q2164" t="s">
        <v>166</v>
      </c>
    </row>
    <row r="2165" spans="9:17" x14ac:dyDescent="0.45">
      <c r="I2165" t="s">
        <v>228</v>
      </c>
      <c r="J2165" t="s">
        <v>172</v>
      </c>
      <c r="K2165">
        <v>2.1630531811807862E-2</v>
      </c>
      <c r="L2165" t="s">
        <v>166</v>
      </c>
      <c r="N2165" t="s">
        <v>293</v>
      </c>
      <c r="O2165" t="s">
        <v>172</v>
      </c>
      <c r="P2165">
        <v>5.4449104493419845E-2</v>
      </c>
      <c r="Q2165" t="s">
        <v>166</v>
      </c>
    </row>
    <row r="2166" spans="9:17" x14ac:dyDescent="0.45">
      <c r="I2166" t="s">
        <v>228</v>
      </c>
      <c r="J2166" t="s">
        <v>173</v>
      </c>
      <c r="K2166">
        <v>8.2603612628408592E-3</v>
      </c>
      <c r="L2166" t="s">
        <v>166</v>
      </c>
      <c r="N2166" t="s">
        <v>293</v>
      </c>
      <c r="O2166" t="s">
        <v>173</v>
      </c>
      <c r="P2166">
        <v>4.202676785354343E-3</v>
      </c>
      <c r="Q2166" t="s">
        <v>166</v>
      </c>
    </row>
    <row r="2167" spans="9:17" x14ac:dyDescent="0.45">
      <c r="I2167" t="s">
        <v>228</v>
      </c>
      <c r="J2167" t="s">
        <v>174</v>
      </c>
      <c r="K2167">
        <v>4.63264513644027E-2</v>
      </c>
      <c r="L2167" t="s">
        <v>166</v>
      </c>
      <c r="N2167" t="s">
        <v>293</v>
      </c>
      <c r="O2167" t="s">
        <v>174</v>
      </c>
      <c r="P2167">
        <v>2.2249965971512967E-2</v>
      </c>
      <c r="Q2167" t="s">
        <v>166</v>
      </c>
    </row>
    <row r="2168" spans="9:17" x14ac:dyDescent="0.45">
      <c r="I2168" t="s">
        <v>228</v>
      </c>
      <c r="J2168" t="s">
        <v>339</v>
      </c>
      <c r="K2168">
        <v>4.349170234752067E-3</v>
      </c>
      <c r="L2168" t="s">
        <v>166</v>
      </c>
      <c r="N2168" t="s">
        <v>293</v>
      </c>
      <c r="O2168" t="s">
        <v>339</v>
      </c>
      <c r="P2168">
        <v>3.9841401527470864E-3</v>
      </c>
      <c r="Q2168" t="s">
        <v>166</v>
      </c>
    </row>
    <row r="2169" spans="9:17" x14ac:dyDescent="0.45">
      <c r="I2169" t="s">
        <v>228</v>
      </c>
      <c r="J2169" t="s">
        <v>340</v>
      </c>
      <c r="K2169">
        <v>2.3759529118660121E-3</v>
      </c>
      <c r="L2169" t="s">
        <v>166</v>
      </c>
      <c r="N2169" t="s">
        <v>293</v>
      </c>
      <c r="O2169" t="s">
        <v>340</v>
      </c>
      <c r="P2169">
        <v>4.2059857566919814E-3</v>
      </c>
      <c r="Q2169" t="s">
        <v>166</v>
      </c>
    </row>
    <row r="2170" spans="9:17" x14ac:dyDescent="0.45">
      <c r="I2170" t="s">
        <v>228</v>
      </c>
      <c r="J2170" t="s">
        <v>341</v>
      </c>
      <c r="K2170">
        <v>0</v>
      </c>
      <c r="L2170" t="s">
        <v>166</v>
      </c>
      <c r="N2170" t="s">
        <v>293</v>
      </c>
      <c r="O2170" t="s">
        <v>341</v>
      </c>
      <c r="P2170">
        <v>2.704385016564461E-2</v>
      </c>
      <c r="Q2170" t="s">
        <v>166</v>
      </c>
    </row>
    <row r="2171" spans="9:17" x14ac:dyDescent="0.45">
      <c r="I2171" t="s">
        <v>228</v>
      </c>
      <c r="J2171" t="s">
        <v>175</v>
      </c>
      <c r="K2171">
        <v>2.1434757189314601E-2</v>
      </c>
      <c r="L2171" t="s">
        <v>166</v>
      </c>
      <c r="N2171" t="s">
        <v>293</v>
      </c>
      <c r="O2171" t="s">
        <v>175</v>
      </c>
      <c r="P2171">
        <v>5.1068417149593905E-2</v>
      </c>
      <c r="Q2171" t="s">
        <v>166</v>
      </c>
    </row>
    <row r="2172" spans="9:17" x14ac:dyDescent="0.45">
      <c r="I2172" t="s">
        <v>228</v>
      </c>
      <c r="J2172" t="s">
        <v>176</v>
      </c>
      <c r="K2172">
        <v>8.4657942992835446E-3</v>
      </c>
      <c r="L2172" t="s">
        <v>166</v>
      </c>
      <c r="N2172" t="s">
        <v>293</v>
      </c>
      <c r="O2172" t="s">
        <v>176</v>
      </c>
      <c r="P2172">
        <v>3.8245620202926782E-3</v>
      </c>
      <c r="Q2172" t="s">
        <v>166</v>
      </c>
    </row>
    <row r="2173" spans="9:17" x14ac:dyDescent="0.45">
      <c r="I2173" t="s">
        <v>228</v>
      </c>
      <c r="J2173" t="s">
        <v>177</v>
      </c>
      <c r="K2173">
        <v>4.7443816019925054E-2</v>
      </c>
      <c r="L2173" t="s">
        <v>166</v>
      </c>
      <c r="N2173" t="s">
        <v>293</v>
      </c>
      <c r="O2173" t="s">
        <v>177</v>
      </c>
      <c r="P2173">
        <v>1.7526287778343669E-2</v>
      </c>
      <c r="Q2173" t="s">
        <v>166</v>
      </c>
    </row>
    <row r="2174" spans="9:17" x14ac:dyDescent="0.45">
      <c r="I2174" t="s">
        <v>228</v>
      </c>
      <c r="J2174" t="s">
        <v>342</v>
      </c>
      <c r="K2174">
        <v>4.3399625281598658E-3</v>
      </c>
      <c r="L2174" t="s">
        <v>166</v>
      </c>
      <c r="N2174" t="s">
        <v>293</v>
      </c>
      <c r="O2174" t="s">
        <v>342</v>
      </c>
      <c r="P2174">
        <v>2.5522255383690494E-3</v>
      </c>
      <c r="Q2174" t="s">
        <v>166</v>
      </c>
    </row>
    <row r="2175" spans="9:17" x14ac:dyDescent="0.45">
      <c r="I2175" t="s">
        <v>228</v>
      </c>
      <c r="J2175" t="s">
        <v>343</v>
      </c>
      <c r="K2175">
        <v>2.4318608349577155E-3</v>
      </c>
      <c r="L2175" t="s">
        <v>166</v>
      </c>
      <c r="N2175" t="s">
        <v>293</v>
      </c>
      <c r="O2175" t="s">
        <v>343</v>
      </c>
      <c r="P2175">
        <v>2.9086654205396838E-3</v>
      </c>
      <c r="Q2175" t="s">
        <v>166</v>
      </c>
    </row>
    <row r="2176" spans="9:17" x14ac:dyDescent="0.45">
      <c r="I2176" t="s">
        <v>228</v>
      </c>
      <c r="J2176" t="s">
        <v>344</v>
      </c>
      <c r="K2176">
        <v>0</v>
      </c>
      <c r="L2176" t="s">
        <v>166</v>
      </c>
      <c r="N2176" t="s">
        <v>293</v>
      </c>
      <c r="O2176" t="s">
        <v>344</v>
      </c>
      <c r="P2176">
        <v>2.4806966429560845E-2</v>
      </c>
      <c r="Q2176" t="s">
        <v>166</v>
      </c>
    </row>
    <row r="2177" spans="9:17" x14ac:dyDescent="0.45">
      <c r="I2177" t="s">
        <v>228</v>
      </c>
      <c r="J2177" t="s">
        <v>345</v>
      </c>
      <c r="K2177">
        <v>4.0993942276782942E-2</v>
      </c>
      <c r="L2177" t="s">
        <v>166</v>
      </c>
      <c r="N2177" t="s">
        <v>293</v>
      </c>
      <c r="O2177" t="s">
        <v>345</v>
      </c>
      <c r="P2177">
        <v>8.0171079842892373E-2</v>
      </c>
      <c r="Q2177" t="s">
        <v>166</v>
      </c>
    </row>
    <row r="2178" spans="9:17" x14ac:dyDescent="0.45">
      <c r="I2178" t="s">
        <v>228</v>
      </c>
      <c r="J2178" t="s">
        <v>346</v>
      </c>
      <c r="K2178">
        <v>1.6971602630658264E-2</v>
      </c>
      <c r="L2178" t="s">
        <v>166</v>
      </c>
      <c r="N2178" t="s">
        <v>293</v>
      </c>
      <c r="O2178" t="s">
        <v>346</v>
      </c>
      <c r="P2178">
        <v>5.7916978696690539E-3</v>
      </c>
      <c r="Q2178" t="s">
        <v>166</v>
      </c>
    </row>
    <row r="2179" spans="9:17" x14ac:dyDescent="0.45">
      <c r="I2179" t="s">
        <v>228</v>
      </c>
      <c r="J2179" t="s">
        <v>347</v>
      </c>
      <c r="K2179">
        <v>9.1124720123910041E-2</v>
      </c>
      <c r="L2179" t="s">
        <v>166</v>
      </c>
      <c r="N2179" t="s">
        <v>293</v>
      </c>
      <c r="O2179" t="s">
        <v>347</v>
      </c>
      <c r="P2179">
        <v>3.2797217401639052E-2</v>
      </c>
      <c r="Q2179" t="s">
        <v>166</v>
      </c>
    </row>
    <row r="2180" spans="9:17" x14ac:dyDescent="0.45">
      <c r="I2180" t="s">
        <v>228</v>
      </c>
      <c r="J2180" t="s">
        <v>348</v>
      </c>
      <c r="K2180">
        <v>7.9801425579245373E-3</v>
      </c>
      <c r="L2180" t="s">
        <v>166</v>
      </c>
      <c r="N2180" t="s">
        <v>293</v>
      </c>
      <c r="O2180" t="s">
        <v>348</v>
      </c>
      <c r="P2180">
        <v>6.0929875975715047E-3</v>
      </c>
      <c r="Q2180" t="s">
        <v>166</v>
      </c>
    </row>
    <row r="2181" spans="9:17" x14ac:dyDescent="0.45">
      <c r="I2181" t="s">
        <v>228</v>
      </c>
      <c r="J2181" t="s">
        <v>349</v>
      </c>
      <c r="K2181">
        <v>3.4607111569273019E-3</v>
      </c>
      <c r="L2181" t="s">
        <v>166</v>
      </c>
      <c r="N2181" t="s">
        <v>293</v>
      </c>
      <c r="O2181" t="s">
        <v>349</v>
      </c>
      <c r="P2181">
        <v>6.6655202520282068E-3</v>
      </c>
      <c r="Q2181" t="s">
        <v>166</v>
      </c>
    </row>
    <row r="2182" spans="9:17" x14ac:dyDescent="0.45">
      <c r="I2182" t="s">
        <v>228</v>
      </c>
      <c r="J2182" t="s">
        <v>350</v>
      </c>
      <c r="K2182">
        <v>0</v>
      </c>
      <c r="L2182" t="s">
        <v>166</v>
      </c>
      <c r="N2182" t="s">
        <v>293</v>
      </c>
      <c r="O2182" t="s">
        <v>350</v>
      </c>
      <c r="P2182">
        <v>4.5986853723893974E-2</v>
      </c>
      <c r="Q2182" t="s">
        <v>166</v>
      </c>
    </row>
    <row r="2183" spans="9:17" x14ac:dyDescent="0.45">
      <c r="I2183" t="s">
        <v>228</v>
      </c>
      <c r="J2183" t="s">
        <v>351</v>
      </c>
      <c r="K2183">
        <v>2.1343859580261731E-2</v>
      </c>
      <c r="L2183" t="s">
        <v>166</v>
      </c>
      <c r="N2183" t="s">
        <v>293</v>
      </c>
      <c r="O2183" t="s">
        <v>351</v>
      </c>
      <c r="P2183">
        <v>2.4169086219754683E-2</v>
      </c>
      <c r="Q2183" t="s">
        <v>166</v>
      </c>
    </row>
    <row r="2184" spans="9:17" x14ac:dyDescent="0.45">
      <c r="I2184" t="s">
        <v>228</v>
      </c>
      <c r="J2184" t="s">
        <v>352</v>
      </c>
      <c r="K2184">
        <v>8.9493309065209053E-3</v>
      </c>
      <c r="L2184" t="s">
        <v>166</v>
      </c>
      <c r="N2184" t="s">
        <v>293</v>
      </c>
      <c r="O2184" t="s">
        <v>352</v>
      </c>
      <c r="P2184">
        <v>1.0561686169908988E-3</v>
      </c>
      <c r="Q2184" t="s">
        <v>166</v>
      </c>
    </row>
    <row r="2185" spans="9:17" x14ac:dyDescent="0.45">
      <c r="I2185" t="s">
        <v>228</v>
      </c>
      <c r="J2185" t="s">
        <v>353</v>
      </c>
      <c r="K2185">
        <v>4.8982394442319201E-2</v>
      </c>
      <c r="L2185" t="s">
        <v>166</v>
      </c>
      <c r="N2185" t="s">
        <v>293</v>
      </c>
      <c r="O2185" t="s">
        <v>353</v>
      </c>
      <c r="P2185">
        <v>6.2201267204361676E-3</v>
      </c>
      <c r="Q2185" t="s">
        <v>166</v>
      </c>
    </row>
    <row r="2186" spans="9:17" x14ac:dyDescent="0.45">
      <c r="I2186" t="s">
        <v>228</v>
      </c>
      <c r="J2186" t="s">
        <v>354</v>
      </c>
      <c r="K2186">
        <v>4.0216214558960557E-3</v>
      </c>
      <c r="L2186" t="s">
        <v>166</v>
      </c>
      <c r="N2186" t="s">
        <v>293</v>
      </c>
      <c r="O2186" t="s">
        <v>354</v>
      </c>
      <c r="P2186">
        <v>1.3803082263464921E-3</v>
      </c>
      <c r="Q2186" t="s">
        <v>166</v>
      </c>
    </row>
    <row r="2187" spans="9:17" x14ac:dyDescent="0.45">
      <c r="I2187" t="s">
        <v>228</v>
      </c>
      <c r="J2187" t="s">
        <v>355</v>
      </c>
      <c r="K2187">
        <v>0</v>
      </c>
      <c r="L2187" t="s">
        <v>166</v>
      </c>
      <c r="N2187" t="s">
        <v>293</v>
      </c>
      <c r="O2187" t="s">
        <v>355</v>
      </c>
      <c r="P2187">
        <v>2.0256169344813816E-3</v>
      </c>
      <c r="Q2187" t="s">
        <v>166</v>
      </c>
    </row>
    <row r="2188" spans="9:17" x14ac:dyDescent="0.45">
      <c r="I2188" t="s">
        <v>228</v>
      </c>
      <c r="J2188" t="s">
        <v>356</v>
      </c>
      <c r="K2188">
        <v>0</v>
      </c>
      <c r="L2188" t="s">
        <v>166</v>
      </c>
      <c r="N2188" t="s">
        <v>293</v>
      </c>
      <c r="O2188" t="s">
        <v>356</v>
      </c>
      <c r="P2188">
        <v>1.6164502798016827E-2</v>
      </c>
      <c r="Q2188" t="s">
        <v>166</v>
      </c>
    </row>
    <row r="2189" spans="9:17" x14ac:dyDescent="0.45">
      <c r="I2189" t="s">
        <v>228</v>
      </c>
      <c r="J2189" t="s">
        <v>357</v>
      </c>
      <c r="K2189">
        <v>3.8168855126905016E-2</v>
      </c>
      <c r="L2189" t="s">
        <v>166</v>
      </c>
      <c r="N2189" t="s">
        <v>293</v>
      </c>
      <c r="O2189" t="s">
        <v>357</v>
      </c>
      <c r="P2189">
        <v>6.0425935992248193E-2</v>
      </c>
      <c r="Q2189" t="s">
        <v>166</v>
      </c>
    </row>
    <row r="2190" spans="9:17" x14ac:dyDescent="0.45">
      <c r="I2190" t="s">
        <v>228</v>
      </c>
      <c r="J2190" t="s">
        <v>358</v>
      </c>
      <c r="K2190">
        <v>1.7384045591892147E-2</v>
      </c>
      <c r="L2190" t="s">
        <v>166</v>
      </c>
      <c r="N2190" t="s">
        <v>293</v>
      </c>
      <c r="O2190" t="s">
        <v>358</v>
      </c>
      <c r="P2190">
        <v>4.178137287466359E-3</v>
      </c>
      <c r="Q2190" t="s">
        <v>166</v>
      </c>
    </row>
    <row r="2191" spans="9:17" x14ac:dyDescent="0.45">
      <c r="I2191" t="s">
        <v>228</v>
      </c>
      <c r="J2191" t="s">
        <v>359</v>
      </c>
      <c r="K2191">
        <v>9.3217044509622399E-2</v>
      </c>
      <c r="L2191" t="s">
        <v>166</v>
      </c>
      <c r="N2191" t="s">
        <v>293</v>
      </c>
      <c r="O2191" t="s">
        <v>359</v>
      </c>
      <c r="P2191">
        <v>2.7903787854967364E-2</v>
      </c>
      <c r="Q2191" t="s">
        <v>166</v>
      </c>
    </row>
    <row r="2192" spans="9:17" x14ac:dyDescent="0.45">
      <c r="I2192" t="s">
        <v>228</v>
      </c>
      <c r="J2192" t="s">
        <v>360</v>
      </c>
      <c r="K2192">
        <v>6.9314314776657716E-3</v>
      </c>
      <c r="L2192" t="s">
        <v>166</v>
      </c>
      <c r="N2192" t="s">
        <v>293</v>
      </c>
      <c r="O2192" t="s">
        <v>360</v>
      </c>
      <c r="P2192">
        <v>4.9572990685882523E-3</v>
      </c>
      <c r="Q2192" t="s">
        <v>166</v>
      </c>
    </row>
    <row r="2193" spans="9:17" x14ac:dyDescent="0.45">
      <c r="I2193" t="s">
        <v>228</v>
      </c>
      <c r="J2193" t="s">
        <v>361</v>
      </c>
      <c r="K2193">
        <v>0</v>
      </c>
      <c r="L2193" t="s">
        <v>166</v>
      </c>
      <c r="N2193" t="s">
        <v>293</v>
      </c>
      <c r="O2193" t="s">
        <v>361</v>
      </c>
      <c r="P2193">
        <v>5.3304141418761683E-3</v>
      </c>
      <c r="Q2193" t="s">
        <v>166</v>
      </c>
    </row>
    <row r="2194" spans="9:17" x14ac:dyDescent="0.45">
      <c r="I2194" t="s">
        <v>228</v>
      </c>
      <c r="J2194" t="s">
        <v>362</v>
      </c>
      <c r="K2194">
        <v>0</v>
      </c>
      <c r="L2194" t="s">
        <v>166</v>
      </c>
      <c r="N2194" t="s">
        <v>293</v>
      </c>
      <c r="O2194" t="s">
        <v>362</v>
      </c>
      <c r="P2194">
        <v>2.865886382147502E-2</v>
      </c>
      <c r="Q2194" t="s">
        <v>166</v>
      </c>
    </row>
    <row r="2195" spans="9:17" x14ac:dyDescent="0.45">
      <c r="I2195" t="s">
        <v>229</v>
      </c>
      <c r="J2195" t="s">
        <v>165</v>
      </c>
      <c r="K2195">
        <v>5.819958624870375E-2</v>
      </c>
      <c r="L2195" t="s">
        <v>166</v>
      </c>
      <c r="N2195" t="s">
        <v>294</v>
      </c>
      <c r="O2195" t="s">
        <v>165</v>
      </c>
      <c r="P2195">
        <v>0.11536604371868799</v>
      </c>
      <c r="Q2195" t="s">
        <v>166</v>
      </c>
    </row>
    <row r="2196" spans="9:17" x14ac:dyDescent="0.45">
      <c r="I2196" t="s">
        <v>229</v>
      </c>
      <c r="J2196" t="s">
        <v>167</v>
      </c>
      <c r="K2196">
        <v>2.6888053371505089E-2</v>
      </c>
      <c r="L2196" t="s">
        <v>166</v>
      </c>
      <c r="N2196" t="s">
        <v>294</v>
      </c>
      <c r="O2196" t="s">
        <v>167</v>
      </c>
      <c r="P2196">
        <v>8.129243701348569E-3</v>
      </c>
      <c r="Q2196" t="s">
        <v>166</v>
      </c>
    </row>
    <row r="2197" spans="9:17" x14ac:dyDescent="0.45">
      <c r="I2197" t="s">
        <v>229</v>
      </c>
      <c r="J2197" t="s">
        <v>168</v>
      </c>
      <c r="K2197">
        <v>0.15059025913351456</v>
      </c>
      <c r="L2197" t="s">
        <v>166</v>
      </c>
      <c r="N2197" t="s">
        <v>294</v>
      </c>
      <c r="O2197" t="s">
        <v>168</v>
      </c>
      <c r="P2197">
        <v>5.8396408310768304E-2</v>
      </c>
      <c r="Q2197" t="s">
        <v>166</v>
      </c>
    </row>
    <row r="2198" spans="9:17" x14ac:dyDescent="0.45">
      <c r="I2198" t="s">
        <v>229</v>
      </c>
      <c r="J2198" t="s">
        <v>333</v>
      </c>
      <c r="K2198">
        <v>1.3982907240040345E-2</v>
      </c>
      <c r="L2198" t="s">
        <v>166</v>
      </c>
      <c r="N2198" t="s">
        <v>294</v>
      </c>
      <c r="O2198" t="s">
        <v>333</v>
      </c>
      <c r="P2198">
        <v>9.3175282713251258E-3</v>
      </c>
      <c r="Q2198" t="s">
        <v>166</v>
      </c>
    </row>
    <row r="2199" spans="9:17" x14ac:dyDescent="0.45">
      <c r="I2199" t="s">
        <v>229</v>
      </c>
      <c r="J2199" t="s">
        <v>334</v>
      </c>
      <c r="K2199">
        <v>1.6783670281029317E-3</v>
      </c>
      <c r="L2199" t="s">
        <v>166</v>
      </c>
      <c r="N2199" t="s">
        <v>294</v>
      </c>
      <c r="O2199" t="s">
        <v>334</v>
      </c>
      <c r="P2199">
        <v>9.3341096571516249E-3</v>
      </c>
      <c r="Q2199" t="s">
        <v>166</v>
      </c>
    </row>
    <row r="2200" spans="9:17" x14ac:dyDescent="0.45">
      <c r="I2200" t="s">
        <v>229</v>
      </c>
      <c r="J2200" t="s">
        <v>335</v>
      </c>
      <c r="K2200">
        <v>0</v>
      </c>
      <c r="L2200" t="s">
        <v>166</v>
      </c>
      <c r="N2200" t="s">
        <v>294</v>
      </c>
      <c r="O2200" t="s">
        <v>335</v>
      </c>
      <c r="P2200">
        <v>5.3419734291041958E-2</v>
      </c>
      <c r="Q2200" t="s">
        <v>166</v>
      </c>
    </row>
    <row r="2201" spans="9:17" x14ac:dyDescent="0.45">
      <c r="I2201" t="s">
        <v>229</v>
      </c>
      <c r="J2201" t="s">
        <v>169</v>
      </c>
      <c r="K2201">
        <v>4.6819320208727921E-2</v>
      </c>
      <c r="L2201" t="s">
        <v>166</v>
      </c>
      <c r="N2201" t="s">
        <v>294</v>
      </c>
      <c r="O2201" t="s">
        <v>169</v>
      </c>
      <c r="P2201">
        <v>9.4232388029524383E-2</v>
      </c>
      <c r="Q2201" t="s">
        <v>166</v>
      </c>
    </row>
    <row r="2202" spans="9:17" x14ac:dyDescent="0.45">
      <c r="I2202" t="s">
        <v>229</v>
      </c>
      <c r="J2202" t="s">
        <v>170</v>
      </c>
      <c r="K2202">
        <v>1.7427461041845192E-2</v>
      </c>
      <c r="L2202" t="s">
        <v>166</v>
      </c>
      <c r="N2202" t="s">
        <v>294</v>
      </c>
      <c r="O2202" t="s">
        <v>170</v>
      </c>
      <c r="P2202">
        <v>6.6216157496279014E-3</v>
      </c>
      <c r="Q2202" t="s">
        <v>166</v>
      </c>
    </row>
    <row r="2203" spans="9:17" x14ac:dyDescent="0.45">
      <c r="I2203" t="s">
        <v>229</v>
      </c>
      <c r="J2203" t="s">
        <v>171</v>
      </c>
      <c r="K2203">
        <v>9.6043190561056049E-2</v>
      </c>
      <c r="L2203" t="s">
        <v>166</v>
      </c>
      <c r="N2203" t="s">
        <v>294</v>
      </c>
      <c r="O2203" t="s">
        <v>171</v>
      </c>
      <c r="P2203">
        <v>4.168199696660637E-2</v>
      </c>
      <c r="Q2203" t="s">
        <v>166</v>
      </c>
    </row>
    <row r="2204" spans="9:17" x14ac:dyDescent="0.45">
      <c r="I2204" t="s">
        <v>229</v>
      </c>
      <c r="J2204" t="s">
        <v>336</v>
      </c>
      <c r="K2204">
        <v>8.5950390257855305E-3</v>
      </c>
      <c r="L2204" t="s">
        <v>166</v>
      </c>
      <c r="N2204" t="s">
        <v>294</v>
      </c>
      <c r="O2204" t="s">
        <v>336</v>
      </c>
      <c r="P2204">
        <v>7.2882809177731303E-3</v>
      </c>
      <c r="Q2204" t="s">
        <v>166</v>
      </c>
    </row>
    <row r="2205" spans="9:17" x14ac:dyDescent="0.45">
      <c r="I2205" t="s">
        <v>229</v>
      </c>
      <c r="J2205" t="s">
        <v>337</v>
      </c>
      <c r="K2205">
        <v>3.9035189810179539E-3</v>
      </c>
      <c r="L2205" t="s">
        <v>166</v>
      </c>
      <c r="N2205" t="s">
        <v>294</v>
      </c>
      <c r="O2205" t="s">
        <v>337</v>
      </c>
      <c r="P2205">
        <v>7.3693511178718092E-3</v>
      </c>
      <c r="Q2205" t="s">
        <v>166</v>
      </c>
    </row>
    <row r="2206" spans="9:17" x14ac:dyDescent="0.45">
      <c r="I2206" t="s">
        <v>229</v>
      </c>
      <c r="J2206" t="s">
        <v>338</v>
      </c>
      <c r="K2206">
        <v>0</v>
      </c>
      <c r="L2206" t="s">
        <v>166</v>
      </c>
      <c r="N2206" t="s">
        <v>294</v>
      </c>
      <c r="O2206" t="s">
        <v>338</v>
      </c>
      <c r="P2206">
        <v>4.721251591660415E-2</v>
      </c>
      <c r="Q2206" t="s">
        <v>166</v>
      </c>
    </row>
    <row r="2207" spans="9:17" x14ac:dyDescent="0.45">
      <c r="I2207" t="s">
        <v>229</v>
      </c>
      <c r="J2207" t="s">
        <v>172</v>
      </c>
      <c r="K2207">
        <v>2.2456685397984066E-2</v>
      </c>
      <c r="L2207" t="s">
        <v>166</v>
      </c>
      <c r="N2207" t="s">
        <v>294</v>
      </c>
      <c r="O2207" t="s">
        <v>172</v>
      </c>
      <c r="P2207">
        <v>5.6747048118484245E-2</v>
      </c>
      <c r="Q2207" t="s">
        <v>166</v>
      </c>
    </row>
    <row r="2208" spans="9:17" x14ac:dyDescent="0.45">
      <c r="I2208" t="s">
        <v>229</v>
      </c>
      <c r="J2208" t="s">
        <v>173</v>
      </c>
      <c r="K2208">
        <v>8.2444975116933734E-3</v>
      </c>
      <c r="L2208" t="s">
        <v>166</v>
      </c>
      <c r="N2208" t="s">
        <v>294</v>
      </c>
      <c r="O2208" t="s">
        <v>173</v>
      </c>
      <c r="P2208">
        <v>3.9153841487369438E-3</v>
      </c>
      <c r="Q2208" t="s">
        <v>166</v>
      </c>
    </row>
    <row r="2209" spans="9:17" x14ac:dyDescent="0.45">
      <c r="I2209" t="s">
        <v>229</v>
      </c>
      <c r="J2209" t="s">
        <v>174</v>
      </c>
      <c r="K2209">
        <v>4.6444641556776765E-2</v>
      </c>
      <c r="L2209" t="s">
        <v>166</v>
      </c>
      <c r="N2209" t="s">
        <v>294</v>
      </c>
      <c r="O2209" t="s">
        <v>174</v>
      </c>
      <c r="P2209">
        <v>1.8203745389405741E-2</v>
      </c>
      <c r="Q2209" t="s">
        <v>166</v>
      </c>
    </row>
    <row r="2210" spans="9:17" x14ac:dyDescent="0.45">
      <c r="I2210" t="s">
        <v>229</v>
      </c>
      <c r="J2210" t="s">
        <v>339</v>
      </c>
      <c r="K2210">
        <v>4.4503701162602041E-3</v>
      </c>
      <c r="L2210" t="s">
        <v>166</v>
      </c>
      <c r="N2210" t="s">
        <v>294</v>
      </c>
      <c r="O2210" t="s">
        <v>339</v>
      </c>
      <c r="P2210">
        <v>3.2303635018626469E-3</v>
      </c>
      <c r="Q2210" t="s">
        <v>166</v>
      </c>
    </row>
    <row r="2211" spans="9:17" x14ac:dyDescent="0.45">
      <c r="I2211" t="s">
        <v>229</v>
      </c>
      <c r="J2211" t="s">
        <v>340</v>
      </c>
      <c r="K2211">
        <v>2.2689365937912545E-3</v>
      </c>
      <c r="L2211" t="s">
        <v>166</v>
      </c>
      <c r="N2211" t="s">
        <v>294</v>
      </c>
      <c r="O2211" t="s">
        <v>340</v>
      </c>
      <c r="P2211">
        <v>3.5120421765762635E-3</v>
      </c>
      <c r="Q2211" t="s">
        <v>166</v>
      </c>
    </row>
    <row r="2212" spans="9:17" x14ac:dyDescent="0.45">
      <c r="I2212" t="s">
        <v>229</v>
      </c>
      <c r="J2212" t="s">
        <v>341</v>
      </c>
      <c r="K2212">
        <v>0</v>
      </c>
      <c r="L2212" t="s">
        <v>166</v>
      </c>
      <c r="N2212" t="s">
        <v>294</v>
      </c>
      <c r="O2212" t="s">
        <v>341</v>
      </c>
      <c r="P2212">
        <v>2.5569379797676643E-2</v>
      </c>
      <c r="Q2212" t="s">
        <v>166</v>
      </c>
    </row>
    <row r="2213" spans="9:17" x14ac:dyDescent="0.45">
      <c r="I2213" t="s">
        <v>229</v>
      </c>
      <c r="J2213" t="s">
        <v>175</v>
      </c>
      <c r="K2213">
        <v>2.2651866949389417E-2</v>
      </c>
      <c r="L2213" t="s">
        <v>166</v>
      </c>
      <c r="N2213" t="s">
        <v>294</v>
      </c>
      <c r="O2213" t="s">
        <v>175</v>
      </c>
      <c r="P2213">
        <v>5.2567756678977777E-2</v>
      </c>
      <c r="Q2213" t="s">
        <v>166</v>
      </c>
    </row>
    <row r="2214" spans="9:17" x14ac:dyDescent="0.45">
      <c r="I2214" t="s">
        <v>229</v>
      </c>
      <c r="J2214" t="s">
        <v>176</v>
      </c>
      <c r="K2214">
        <v>8.5025029172121989E-3</v>
      </c>
      <c r="L2214" t="s">
        <v>166</v>
      </c>
      <c r="N2214" t="s">
        <v>294</v>
      </c>
      <c r="O2214" t="s">
        <v>176</v>
      </c>
      <c r="P2214">
        <v>2.3838957755626944E-3</v>
      </c>
      <c r="Q2214" t="s">
        <v>166</v>
      </c>
    </row>
    <row r="2215" spans="9:17" x14ac:dyDescent="0.45">
      <c r="I2215" t="s">
        <v>229</v>
      </c>
      <c r="J2215" t="s">
        <v>177</v>
      </c>
      <c r="K2215">
        <v>4.8651699626442051E-2</v>
      </c>
      <c r="L2215" t="s">
        <v>166</v>
      </c>
      <c r="N2215" t="s">
        <v>294</v>
      </c>
      <c r="O2215" t="s">
        <v>177</v>
      </c>
      <c r="P2215">
        <v>8.6587597860350828E-3</v>
      </c>
      <c r="Q2215" t="s">
        <v>166</v>
      </c>
    </row>
    <row r="2216" spans="9:17" x14ac:dyDescent="0.45">
      <c r="I2216" t="s">
        <v>229</v>
      </c>
      <c r="J2216" t="s">
        <v>342</v>
      </c>
      <c r="K2216">
        <v>4.9054932282517017E-3</v>
      </c>
      <c r="L2216" t="s">
        <v>166</v>
      </c>
      <c r="N2216" t="s">
        <v>294</v>
      </c>
      <c r="O2216" t="s">
        <v>342</v>
      </c>
      <c r="P2216">
        <v>1.7104430337838573E-3</v>
      </c>
      <c r="Q2216" t="s">
        <v>166</v>
      </c>
    </row>
    <row r="2217" spans="9:17" x14ac:dyDescent="0.45">
      <c r="I2217" t="s">
        <v>229</v>
      </c>
      <c r="J2217" t="s">
        <v>343</v>
      </c>
      <c r="K2217">
        <v>2.6223277269051743E-3</v>
      </c>
      <c r="L2217" t="s">
        <v>166</v>
      </c>
      <c r="N2217" t="s">
        <v>294</v>
      </c>
      <c r="O2217" t="s">
        <v>343</v>
      </c>
      <c r="P2217">
        <v>2.0807015082580454E-3</v>
      </c>
      <c r="Q2217" t="s">
        <v>166</v>
      </c>
    </row>
    <row r="2218" spans="9:17" x14ac:dyDescent="0.45">
      <c r="I2218" t="s">
        <v>229</v>
      </c>
      <c r="J2218" t="s">
        <v>344</v>
      </c>
      <c r="K2218">
        <v>0</v>
      </c>
      <c r="L2218" t="s">
        <v>166</v>
      </c>
      <c r="N2218" t="s">
        <v>294</v>
      </c>
      <c r="O2218" t="s">
        <v>344</v>
      </c>
      <c r="P2218">
        <v>2.3515916017113409E-2</v>
      </c>
      <c r="Q2218" t="s">
        <v>166</v>
      </c>
    </row>
    <row r="2219" spans="9:17" x14ac:dyDescent="0.45">
      <c r="I2219" t="s">
        <v>229</v>
      </c>
      <c r="J2219" t="s">
        <v>345</v>
      </c>
      <c r="K2219">
        <v>4.5698231441989298E-2</v>
      </c>
      <c r="L2219" t="s">
        <v>166</v>
      </c>
      <c r="N2219" t="s">
        <v>294</v>
      </c>
      <c r="O2219" t="s">
        <v>345</v>
      </c>
      <c r="P2219">
        <v>9.2320489464069344E-2</v>
      </c>
      <c r="Q2219" t="s">
        <v>166</v>
      </c>
    </row>
    <row r="2220" spans="9:17" x14ac:dyDescent="0.45">
      <c r="I2220" t="s">
        <v>229</v>
      </c>
      <c r="J2220" t="s">
        <v>346</v>
      </c>
      <c r="K2220">
        <v>1.7107880312376748E-2</v>
      </c>
      <c r="L2220" t="s">
        <v>166</v>
      </c>
      <c r="N2220" t="s">
        <v>294</v>
      </c>
      <c r="O2220" t="s">
        <v>346</v>
      </c>
      <c r="P2220">
        <v>4.4522843219253127E-3</v>
      </c>
      <c r="Q2220" t="s">
        <v>166</v>
      </c>
    </row>
    <row r="2221" spans="9:17" x14ac:dyDescent="0.45">
      <c r="I2221" t="s">
        <v>229</v>
      </c>
      <c r="J2221" t="s">
        <v>347</v>
      </c>
      <c r="K2221">
        <v>9.3977822083513352E-2</v>
      </c>
      <c r="L2221" t="s">
        <v>166</v>
      </c>
      <c r="N2221" t="s">
        <v>294</v>
      </c>
      <c r="O2221" t="s">
        <v>347</v>
      </c>
      <c r="P2221">
        <v>1.8474280894418327E-2</v>
      </c>
      <c r="Q2221" t="s">
        <v>166</v>
      </c>
    </row>
    <row r="2222" spans="9:17" x14ac:dyDescent="0.45">
      <c r="I2222" t="s">
        <v>229</v>
      </c>
      <c r="J2222" t="s">
        <v>348</v>
      </c>
      <c r="K2222">
        <v>8.2655704812232347E-3</v>
      </c>
      <c r="L2222" t="s">
        <v>166</v>
      </c>
      <c r="N2222" t="s">
        <v>294</v>
      </c>
      <c r="O2222" t="s">
        <v>348</v>
      </c>
      <c r="P2222">
        <v>3.6156420774603043E-3</v>
      </c>
      <c r="Q2222" t="s">
        <v>166</v>
      </c>
    </row>
    <row r="2223" spans="9:17" x14ac:dyDescent="0.45">
      <c r="I2223" t="s">
        <v>229</v>
      </c>
      <c r="J2223" t="s">
        <v>349</v>
      </c>
      <c r="K2223">
        <v>2.8132576136556966E-3</v>
      </c>
      <c r="L2223" t="s">
        <v>166</v>
      </c>
      <c r="N2223" t="s">
        <v>294</v>
      </c>
      <c r="O2223" t="s">
        <v>349</v>
      </c>
      <c r="P2223">
        <v>4.5041512865196393E-3</v>
      </c>
      <c r="Q2223" t="s">
        <v>166</v>
      </c>
    </row>
    <row r="2224" spans="9:17" x14ac:dyDescent="0.45">
      <c r="I2224" t="s">
        <v>229</v>
      </c>
      <c r="J2224" t="s">
        <v>350</v>
      </c>
      <c r="K2224">
        <v>0</v>
      </c>
      <c r="L2224" t="s">
        <v>166</v>
      </c>
      <c r="N2224" t="s">
        <v>294</v>
      </c>
      <c r="O2224" t="s">
        <v>350</v>
      </c>
      <c r="P2224">
        <v>4.2185648197816832E-2</v>
      </c>
      <c r="Q2224" t="s">
        <v>166</v>
      </c>
    </row>
    <row r="2225" spans="9:17" x14ac:dyDescent="0.45">
      <c r="I2225" t="s">
        <v>229</v>
      </c>
      <c r="J2225" t="s">
        <v>351</v>
      </c>
      <c r="K2225">
        <v>2.2555169593924767E-2</v>
      </c>
      <c r="L2225" t="s">
        <v>166</v>
      </c>
      <c r="N2225" t="s">
        <v>294</v>
      </c>
      <c r="O2225" t="s">
        <v>351</v>
      </c>
      <c r="P2225">
        <v>3.3194048199242231E-2</v>
      </c>
      <c r="Q2225" t="s">
        <v>166</v>
      </c>
    </row>
    <row r="2226" spans="9:17" x14ac:dyDescent="0.45">
      <c r="I2226" t="s">
        <v>229</v>
      </c>
      <c r="J2226" t="s">
        <v>352</v>
      </c>
      <c r="K2226">
        <v>8.8964864567162363E-3</v>
      </c>
      <c r="L2226" t="s">
        <v>166</v>
      </c>
      <c r="N2226" t="s">
        <v>294</v>
      </c>
      <c r="O2226" t="s">
        <v>352</v>
      </c>
      <c r="P2226">
        <v>1.9986669902480546E-3</v>
      </c>
      <c r="Q2226" t="s">
        <v>166</v>
      </c>
    </row>
    <row r="2227" spans="9:17" x14ac:dyDescent="0.45">
      <c r="I2227" t="s">
        <v>229</v>
      </c>
      <c r="J2227" t="s">
        <v>353</v>
      </c>
      <c r="K2227">
        <v>4.8760988852581823E-2</v>
      </c>
      <c r="L2227" t="s">
        <v>166</v>
      </c>
      <c r="N2227" t="s">
        <v>294</v>
      </c>
      <c r="O2227" t="s">
        <v>353</v>
      </c>
      <c r="P2227">
        <v>5.2829058111677693E-3</v>
      </c>
      <c r="Q2227" t="s">
        <v>166</v>
      </c>
    </row>
    <row r="2228" spans="9:17" x14ac:dyDescent="0.45">
      <c r="I2228" t="s">
        <v>229</v>
      </c>
      <c r="J2228" t="s">
        <v>354</v>
      </c>
      <c r="K2228">
        <v>3.7331755378451239E-3</v>
      </c>
      <c r="L2228" t="s">
        <v>166</v>
      </c>
      <c r="N2228" t="s">
        <v>294</v>
      </c>
      <c r="O2228" t="s">
        <v>354</v>
      </c>
      <c r="P2228">
        <v>5.7684205328319312E-4</v>
      </c>
      <c r="Q2228" t="s">
        <v>166</v>
      </c>
    </row>
    <row r="2229" spans="9:17" x14ac:dyDescent="0.45">
      <c r="I2229" t="s">
        <v>229</v>
      </c>
      <c r="J2229" t="s">
        <v>355</v>
      </c>
      <c r="K2229">
        <v>0</v>
      </c>
      <c r="L2229" t="s">
        <v>166</v>
      </c>
      <c r="N2229" t="s">
        <v>294</v>
      </c>
      <c r="O2229" t="s">
        <v>355</v>
      </c>
      <c r="P2229">
        <v>9.6704391618518924E-4</v>
      </c>
      <c r="Q2229" t="s">
        <v>166</v>
      </c>
    </row>
    <row r="2230" spans="9:17" x14ac:dyDescent="0.45">
      <c r="I2230" t="s">
        <v>229</v>
      </c>
      <c r="J2230" t="s">
        <v>356</v>
      </c>
      <c r="K2230">
        <v>0</v>
      </c>
      <c r="L2230" t="s">
        <v>166</v>
      </c>
      <c r="N2230" t="s">
        <v>294</v>
      </c>
      <c r="O2230" t="s">
        <v>356</v>
      </c>
      <c r="P2230">
        <v>1.2673397614709115E-2</v>
      </c>
      <c r="Q2230" t="s">
        <v>166</v>
      </c>
    </row>
    <row r="2231" spans="9:17" x14ac:dyDescent="0.45">
      <c r="I2231" t="s">
        <v>229</v>
      </c>
      <c r="J2231" t="s">
        <v>357</v>
      </c>
      <c r="K2231">
        <v>3.8932315205585891E-2</v>
      </c>
      <c r="L2231" t="s">
        <v>166</v>
      </c>
      <c r="N2231" t="s">
        <v>294</v>
      </c>
      <c r="O2231" t="s">
        <v>357</v>
      </c>
      <c r="P2231">
        <v>5.6727180008050937E-2</v>
      </c>
      <c r="Q2231" t="s">
        <v>166</v>
      </c>
    </row>
    <row r="2232" spans="9:17" x14ac:dyDescent="0.45">
      <c r="I2232" t="s">
        <v>229</v>
      </c>
      <c r="J2232" t="s">
        <v>358</v>
      </c>
      <c r="K2232">
        <v>1.7110094548382363E-2</v>
      </c>
      <c r="L2232" t="s">
        <v>166</v>
      </c>
      <c r="N2232" t="s">
        <v>294</v>
      </c>
      <c r="O2232" t="s">
        <v>358</v>
      </c>
      <c r="P2232">
        <v>3.1635640632500872E-3</v>
      </c>
      <c r="Q2232" t="s">
        <v>166</v>
      </c>
    </row>
    <row r="2233" spans="9:17" x14ac:dyDescent="0.45">
      <c r="I2233" t="s">
        <v>229</v>
      </c>
      <c r="J2233" t="s">
        <v>359</v>
      </c>
      <c r="K2233">
        <v>9.04768949064996E-2</v>
      </c>
      <c r="L2233" t="s">
        <v>166</v>
      </c>
      <c r="N2233" t="s">
        <v>294</v>
      </c>
      <c r="O2233" t="s">
        <v>359</v>
      </c>
      <c r="P2233">
        <v>2.0328469698424848E-2</v>
      </c>
      <c r="Q2233" t="s">
        <v>166</v>
      </c>
    </row>
    <row r="2234" spans="9:17" x14ac:dyDescent="0.45">
      <c r="I2234" t="s">
        <v>229</v>
      </c>
      <c r="J2234" t="s">
        <v>360</v>
      </c>
      <c r="K2234">
        <v>6.3453885007014564E-3</v>
      </c>
      <c r="L2234" t="s">
        <v>166</v>
      </c>
      <c r="N2234" t="s">
        <v>294</v>
      </c>
      <c r="O2234" t="s">
        <v>360</v>
      </c>
      <c r="P2234">
        <v>4.374242314935075E-3</v>
      </c>
      <c r="Q2234" t="s">
        <v>166</v>
      </c>
    </row>
    <row r="2235" spans="9:17" x14ac:dyDescent="0.45">
      <c r="I2235" t="s">
        <v>229</v>
      </c>
      <c r="J2235" t="s">
        <v>361</v>
      </c>
      <c r="K2235">
        <v>0</v>
      </c>
      <c r="L2235" t="s">
        <v>166</v>
      </c>
      <c r="N2235" t="s">
        <v>294</v>
      </c>
      <c r="O2235" t="s">
        <v>361</v>
      </c>
      <c r="P2235">
        <v>5.0219824633761113E-3</v>
      </c>
      <c r="Q2235" t="s">
        <v>166</v>
      </c>
    </row>
    <row r="2236" spans="9:17" x14ac:dyDescent="0.45">
      <c r="I2236" t="s">
        <v>229</v>
      </c>
      <c r="J2236" t="s">
        <v>362</v>
      </c>
      <c r="K2236">
        <v>0</v>
      </c>
      <c r="L2236" t="s">
        <v>166</v>
      </c>
      <c r="N2236" t="s">
        <v>294</v>
      </c>
      <c r="O2236" t="s">
        <v>362</v>
      </c>
      <c r="P2236">
        <v>2.9674508044112965E-2</v>
      </c>
      <c r="Q2236" t="s">
        <v>166</v>
      </c>
    </row>
    <row r="2237" spans="9:17" x14ac:dyDescent="0.45">
      <c r="I2237" t="s">
        <v>230</v>
      </c>
      <c r="J2237" t="s">
        <v>165</v>
      </c>
      <c r="K2237">
        <v>5.4671273519074977E-2</v>
      </c>
      <c r="L2237" t="s">
        <v>166</v>
      </c>
      <c r="N2237" t="s">
        <v>295</v>
      </c>
      <c r="O2237" t="s">
        <v>165</v>
      </c>
      <c r="P2237">
        <v>0.12475144674183607</v>
      </c>
      <c r="Q2237" t="s">
        <v>166</v>
      </c>
    </row>
    <row r="2238" spans="9:17" x14ac:dyDescent="0.45">
      <c r="I2238" t="s">
        <v>230</v>
      </c>
      <c r="J2238" t="s">
        <v>167</v>
      </c>
      <c r="K2238">
        <v>2.6252149449269128E-2</v>
      </c>
      <c r="L2238" t="s">
        <v>166</v>
      </c>
      <c r="N2238" t="s">
        <v>295</v>
      </c>
      <c r="O2238" t="s">
        <v>167</v>
      </c>
      <c r="P2238">
        <v>7.9088358211729225E-3</v>
      </c>
      <c r="Q2238" t="s">
        <v>166</v>
      </c>
    </row>
    <row r="2239" spans="9:17" x14ac:dyDescent="0.45">
      <c r="I2239" t="s">
        <v>230</v>
      </c>
      <c r="J2239" t="s">
        <v>168</v>
      </c>
      <c r="K2239">
        <v>0.1460662864291315</v>
      </c>
      <c r="L2239" t="s">
        <v>166</v>
      </c>
      <c r="N2239" t="s">
        <v>295</v>
      </c>
      <c r="O2239" t="s">
        <v>168</v>
      </c>
      <c r="P2239">
        <v>5.3351060047407445E-2</v>
      </c>
      <c r="Q2239" t="s">
        <v>166</v>
      </c>
    </row>
    <row r="2240" spans="9:17" x14ac:dyDescent="0.45">
      <c r="I2240" t="s">
        <v>230</v>
      </c>
      <c r="J2240" t="s">
        <v>333</v>
      </c>
      <c r="K2240">
        <v>1.4358540536651438E-2</v>
      </c>
      <c r="L2240" t="s">
        <v>166</v>
      </c>
      <c r="N2240" t="s">
        <v>295</v>
      </c>
      <c r="O2240" t="s">
        <v>333</v>
      </c>
      <c r="P2240">
        <v>9.1270999120529363E-3</v>
      </c>
      <c r="Q2240" t="s">
        <v>166</v>
      </c>
    </row>
    <row r="2241" spans="9:17" x14ac:dyDescent="0.45">
      <c r="I2241" t="s">
        <v>230</v>
      </c>
      <c r="J2241" t="s">
        <v>334</v>
      </c>
      <c r="K2241">
        <v>2.1237055034586025E-3</v>
      </c>
      <c r="L2241" t="s">
        <v>166</v>
      </c>
      <c r="N2241" t="s">
        <v>295</v>
      </c>
      <c r="O2241" t="s">
        <v>334</v>
      </c>
      <c r="P2241">
        <v>8.8961820214981391E-3</v>
      </c>
      <c r="Q2241" t="s">
        <v>166</v>
      </c>
    </row>
    <row r="2242" spans="9:17" x14ac:dyDescent="0.45">
      <c r="I2242" t="s">
        <v>230</v>
      </c>
      <c r="J2242" t="s">
        <v>335</v>
      </c>
      <c r="K2242">
        <v>0</v>
      </c>
      <c r="L2242" t="s">
        <v>166</v>
      </c>
      <c r="N2242" t="s">
        <v>295</v>
      </c>
      <c r="O2242" t="s">
        <v>335</v>
      </c>
      <c r="P2242">
        <v>5.7823502560578416E-2</v>
      </c>
      <c r="Q2242" t="s">
        <v>166</v>
      </c>
    </row>
    <row r="2243" spans="9:17" x14ac:dyDescent="0.45">
      <c r="I2243" t="s">
        <v>230</v>
      </c>
      <c r="J2243" t="s">
        <v>169</v>
      </c>
      <c r="K2243">
        <v>5.2973204505246119E-2</v>
      </c>
      <c r="L2243" t="s">
        <v>166</v>
      </c>
      <c r="N2243" t="s">
        <v>295</v>
      </c>
      <c r="O2243" t="s">
        <v>169</v>
      </c>
      <c r="P2243">
        <v>9.7195988612282971E-2</v>
      </c>
      <c r="Q2243" t="s">
        <v>166</v>
      </c>
    </row>
    <row r="2244" spans="9:17" x14ac:dyDescent="0.45">
      <c r="I2244" t="s">
        <v>230</v>
      </c>
      <c r="J2244" t="s">
        <v>170</v>
      </c>
      <c r="K2244">
        <v>1.8496805279209435E-2</v>
      </c>
      <c r="L2244" t="s">
        <v>166</v>
      </c>
      <c r="N2244" t="s">
        <v>295</v>
      </c>
      <c r="O2244" t="s">
        <v>170</v>
      </c>
      <c r="P2244">
        <v>6.7758096663135276E-3</v>
      </c>
      <c r="Q2244" t="s">
        <v>166</v>
      </c>
    </row>
    <row r="2245" spans="9:17" x14ac:dyDescent="0.45">
      <c r="I2245" t="s">
        <v>230</v>
      </c>
      <c r="J2245" t="s">
        <v>171</v>
      </c>
      <c r="K2245">
        <v>0.10531700705866934</v>
      </c>
      <c r="L2245" t="s">
        <v>166</v>
      </c>
      <c r="N2245" t="s">
        <v>295</v>
      </c>
      <c r="O2245" t="s">
        <v>171</v>
      </c>
      <c r="P2245">
        <v>4.2428410318670673E-2</v>
      </c>
      <c r="Q2245" t="s">
        <v>166</v>
      </c>
    </row>
    <row r="2246" spans="9:17" x14ac:dyDescent="0.45">
      <c r="I2246" t="s">
        <v>230</v>
      </c>
      <c r="J2246" t="s">
        <v>336</v>
      </c>
      <c r="K2246">
        <v>1.1622897337523046E-2</v>
      </c>
      <c r="L2246" t="s">
        <v>166</v>
      </c>
      <c r="N2246" t="s">
        <v>295</v>
      </c>
      <c r="O2246" t="s">
        <v>336</v>
      </c>
      <c r="P2246">
        <v>7.3598835849830301E-3</v>
      </c>
      <c r="Q2246" t="s">
        <v>166</v>
      </c>
    </row>
    <row r="2247" spans="9:17" x14ac:dyDescent="0.45">
      <c r="I2247" t="s">
        <v>230</v>
      </c>
      <c r="J2247" t="s">
        <v>337</v>
      </c>
      <c r="K2247">
        <v>6.582617092909449E-3</v>
      </c>
      <c r="L2247" t="s">
        <v>166</v>
      </c>
      <c r="N2247" t="s">
        <v>295</v>
      </c>
      <c r="O2247" t="s">
        <v>337</v>
      </c>
      <c r="P2247">
        <v>7.323568850840176E-3</v>
      </c>
      <c r="Q2247" t="s">
        <v>166</v>
      </c>
    </row>
    <row r="2248" spans="9:17" x14ac:dyDescent="0.45">
      <c r="I2248" t="s">
        <v>230</v>
      </c>
      <c r="J2248" t="s">
        <v>338</v>
      </c>
      <c r="K2248">
        <v>0</v>
      </c>
      <c r="L2248" t="s">
        <v>166</v>
      </c>
      <c r="N2248" t="s">
        <v>295</v>
      </c>
      <c r="O2248" t="s">
        <v>338</v>
      </c>
      <c r="P2248">
        <v>4.6030597248147141E-2</v>
      </c>
      <c r="Q2248" t="s">
        <v>166</v>
      </c>
    </row>
    <row r="2249" spans="9:17" x14ac:dyDescent="0.45">
      <c r="I2249" t="s">
        <v>230</v>
      </c>
      <c r="J2249" t="s">
        <v>172</v>
      </c>
      <c r="K2249">
        <v>2.5090190486506552E-2</v>
      </c>
      <c r="L2249" t="s">
        <v>166</v>
      </c>
      <c r="N2249" t="s">
        <v>295</v>
      </c>
      <c r="O2249" t="s">
        <v>172</v>
      </c>
      <c r="P2249">
        <v>5.5134957431648424E-2</v>
      </c>
      <c r="Q2249" t="s">
        <v>166</v>
      </c>
    </row>
    <row r="2250" spans="9:17" x14ac:dyDescent="0.45">
      <c r="I2250" t="s">
        <v>230</v>
      </c>
      <c r="J2250" t="s">
        <v>173</v>
      </c>
      <c r="K2250">
        <v>8.6683217019126041E-3</v>
      </c>
      <c r="L2250" t="s">
        <v>166</v>
      </c>
      <c r="N2250" t="s">
        <v>295</v>
      </c>
      <c r="O2250" t="s">
        <v>173</v>
      </c>
      <c r="P2250">
        <v>3.7329253379863696E-3</v>
      </c>
      <c r="Q2250" t="s">
        <v>166</v>
      </c>
    </row>
    <row r="2251" spans="9:17" x14ac:dyDescent="0.45">
      <c r="I2251" t="s">
        <v>230</v>
      </c>
      <c r="J2251" t="s">
        <v>174</v>
      </c>
      <c r="K2251">
        <v>4.9847802811565367E-2</v>
      </c>
      <c r="L2251" t="s">
        <v>166</v>
      </c>
      <c r="N2251" t="s">
        <v>295</v>
      </c>
      <c r="O2251" t="s">
        <v>174</v>
      </c>
      <c r="P2251">
        <v>1.6856030495433643E-2</v>
      </c>
      <c r="Q2251" t="s">
        <v>166</v>
      </c>
    </row>
    <row r="2252" spans="9:17" x14ac:dyDescent="0.45">
      <c r="I2252" t="s">
        <v>230</v>
      </c>
      <c r="J2252" t="s">
        <v>339</v>
      </c>
      <c r="K2252">
        <v>5.5975310587416307E-3</v>
      </c>
      <c r="L2252" t="s">
        <v>166</v>
      </c>
      <c r="N2252" t="s">
        <v>295</v>
      </c>
      <c r="O2252" t="s">
        <v>339</v>
      </c>
      <c r="P2252">
        <v>3.0486470205654927E-3</v>
      </c>
      <c r="Q2252" t="s">
        <v>166</v>
      </c>
    </row>
    <row r="2253" spans="9:17" x14ac:dyDescent="0.45">
      <c r="I2253" t="s">
        <v>230</v>
      </c>
      <c r="J2253" t="s">
        <v>340</v>
      </c>
      <c r="K2253">
        <v>3.3760692677236551E-3</v>
      </c>
      <c r="L2253" t="s">
        <v>166</v>
      </c>
      <c r="N2253" t="s">
        <v>295</v>
      </c>
      <c r="O2253" t="s">
        <v>340</v>
      </c>
      <c r="P2253">
        <v>3.2697800369382826E-3</v>
      </c>
      <c r="Q2253" t="s">
        <v>166</v>
      </c>
    </row>
    <row r="2254" spans="9:17" x14ac:dyDescent="0.45">
      <c r="I2254" t="s">
        <v>230</v>
      </c>
      <c r="J2254" t="s">
        <v>341</v>
      </c>
      <c r="K2254">
        <v>0</v>
      </c>
      <c r="L2254" t="s">
        <v>166</v>
      </c>
      <c r="N2254" t="s">
        <v>295</v>
      </c>
      <c r="O2254" t="s">
        <v>341</v>
      </c>
      <c r="P2254">
        <v>2.5410821203388632E-2</v>
      </c>
      <c r="Q2254" t="s">
        <v>166</v>
      </c>
    </row>
    <row r="2255" spans="9:17" x14ac:dyDescent="0.45">
      <c r="I2255" t="s">
        <v>230</v>
      </c>
      <c r="J2255" t="s">
        <v>175</v>
      </c>
      <c r="K2255">
        <v>2.3235841106623564E-2</v>
      </c>
      <c r="L2255" t="s">
        <v>166</v>
      </c>
      <c r="N2255" t="s">
        <v>295</v>
      </c>
      <c r="O2255" t="s">
        <v>175</v>
      </c>
      <c r="P2255">
        <v>4.504449863975734E-2</v>
      </c>
      <c r="Q2255" t="s">
        <v>166</v>
      </c>
    </row>
    <row r="2256" spans="9:17" x14ac:dyDescent="0.45">
      <c r="I2256" t="s">
        <v>230</v>
      </c>
      <c r="J2256" t="s">
        <v>176</v>
      </c>
      <c r="K2256">
        <v>8.455391250756188E-3</v>
      </c>
      <c r="L2256" t="s">
        <v>166</v>
      </c>
      <c r="N2256" t="s">
        <v>295</v>
      </c>
      <c r="O2256" t="s">
        <v>176</v>
      </c>
      <c r="P2256">
        <v>2.2165847821094772E-3</v>
      </c>
      <c r="Q2256" t="s">
        <v>166</v>
      </c>
    </row>
    <row r="2257" spans="9:17" x14ac:dyDescent="0.45">
      <c r="I2257" t="s">
        <v>230</v>
      </c>
      <c r="J2257" t="s">
        <v>177</v>
      </c>
      <c r="K2257">
        <v>4.8561025318806968E-2</v>
      </c>
      <c r="L2257" t="s">
        <v>166</v>
      </c>
      <c r="N2257" t="s">
        <v>295</v>
      </c>
      <c r="O2257" t="s">
        <v>177</v>
      </c>
      <c r="P2257">
        <v>1.0842897443229136E-2</v>
      </c>
      <c r="Q2257" t="s">
        <v>166</v>
      </c>
    </row>
    <row r="2258" spans="9:17" x14ac:dyDescent="0.45">
      <c r="I2258" t="s">
        <v>230</v>
      </c>
      <c r="J2258" t="s">
        <v>342</v>
      </c>
      <c r="K2258">
        <v>5.176413445203208E-3</v>
      </c>
      <c r="L2258" t="s">
        <v>166</v>
      </c>
      <c r="N2258" t="s">
        <v>295</v>
      </c>
      <c r="O2258" t="s">
        <v>342</v>
      </c>
      <c r="P2258">
        <v>2.0408793015164713E-3</v>
      </c>
      <c r="Q2258" t="s">
        <v>166</v>
      </c>
    </row>
    <row r="2259" spans="9:17" x14ac:dyDescent="0.45">
      <c r="I2259" t="s">
        <v>230</v>
      </c>
      <c r="J2259" t="s">
        <v>343</v>
      </c>
      <c r="K2259">
        <v>2.8943424657354739E-3</v>
      </c>
      <c r="L2259" t="s">
        <v>166</v>
      </c>
      <c r="N2259" t="s">
        <v>295</v>
      </c>
      <c r="O2259" t="s">
        <v>343</v>
      </c>
      <c r="P2259">
        <v>2.3092163778653833E-3</v>
      </c>
      <c r="Q2259" t="s">
        <v>166</v>
      </c>
    </row>
    <row r="2260" spans="9:17" x14ac:dyDescent="0.45">
      <c r="I2260" t="s">
        <v>230</v>
      </c>
      <c r="J2260" t="s">
        <v>344</v>
      </c>
      <c r="K2260">
        <v>0</v>
      </c>
      <c r="L2260" t="s">
        <v>166</v>
      </c>
      <c r="N2260" t="s">
        <v>295</v>
      </c>
      <c r="O2260" t="s">
        <v>344</v>
      </c>
      <c r="P2260">
        <v>2.1661658273542415E-2</v>
      </c>
      <c r="Q2260" t="s">
        <v>166</v>
      </c>
    </row>
    <row r="2261" spans="9:17" x14ac:dyDescent="0.45">
      <c r="I2261" t="s">
        <v>230</v>
      </c>
      <c r="J2261" t="s">
        <v>345</v>
      </c>
      <c r="K2261">
        <v>4.5202803634697593E-2</v>
      </c>
      <c r="L2261" t="s">
        <v>166</v>
      </c>
      <c r="N2261" t="s">
        <v>295</v>
      </c>
      <c r="O2261" t="s">
        <v>345</v>
      </c>
      <c r="P2261">
        <v>8.5401930378716351E-2</v>
      </c>
      <c r="Q2261" t="s">
        <v>166</v>
      </c>
    </row>
    <row r="2262" spans="9:17" x14ac:dyDescent="0.45">
      <c r="I2262" t="s">
        <v>230</v>
      </c>
      <c r="J2262" t="s">
        <v>346</v>
      </c>
      <c r="K2262">
        <v>1.6677548819936858E-2</v>
      </c>
      <c r="L2262" t="s">
        <v>166</v>
      </c>
      <c r="N2262" t="s">
        <v>295</v>
      </c>
      <c r="O2262" t="s">
        <v>346</v>
      </c>
      <c r="P2262">
        <v>5.3072489807019325E-3</v>
      </c>
      <c r="Q2262" t="s">
        <v>166</v>
      </c>
    </row>
    <row r="2263" spans="9:17" x14ac:dyDescent="0.45">
      <c r="I2263" t="s">
        <v>230</v>
      </c>
      <c r="J2263" t="s">
        <v>347</v>
      </c>
      <c r="K2263">
        <v>9.3783351990173999E-2</v>
      </c>
      <c r="L2263" t="s">
        <v>166</v>
      </c>
      <c r="N2263" t="s">
        <v>295</v>
      </c>
      <c r="O2263" t="s">
        <v>347</v>
      </c>
      <c r="P2263">
        <v>2.7202552788306255E-2</v>
      </c>
      <c r="Q2263" t="s">
        <v>166</v>
      </c>
    </row>
    <row r="2264" spans="9:17" x14ac:dyDescent="0.45">
      <c r="I2264" t="s">
        <v>230</v>
      </c>
      <c r="J2264" t="s">
        <v>348</v>
      </c>
      <c r="K2264">
        <v>9.2331223592934854E-3</v>
      </c>
      <c r="L2264" t="s">
        <v>166</v>
      </c>
      <c r="N2264" t="s">
        <v>295</v>
      </c>
      <c r="O2264" t="s">
        <v>348</v>
      </c>
      <c r="P2264">
        <v>4.8667087180165229E-3</v>
      </c>
      <c r="Q2264" t="s">
        <v>166</v>
      </c>
    </row>
    <row r="2265" spans="9:17" x14ac:dyDescent="0.45">
      <c r="I2265" t="s">
        <v>230</v>
      </c>
      <c r="J2265" t="s">
        <v>349</v>
      </c>
      <c r="K2265">
        <v>3.5433797931302387E-3</v>
      </c>
      <c r="L2265" t="s">
        <v>166</v>
      </c>
      <c r="N2265" t="s">
        <v>295</v>
      </c>
      <c r="O2265" t="s">
        <v>349</v>
      </c>
      <c r="P2265">
        <v>5.2991103638415438E-3</v>
      </c>
      <c r="Q2265" t="s">
        <v>166</v>
      </c>
    </row>
    <row r="2266" spans="9:17" x14ac:dyDescent="0.45">
      <c r="I2266" t="s">
        <v>230</v>
      </c>
      <c r="J2266" t="s">
        <v>350</v>
      </c>
      <c r="K2266">
        <v>0</v>
      </c>
      <c r="L2266" t="s">
        <v>166</v>
      </c>
      <c r="N2266" t="s">
        <v>295</v>
      </c>
      <c r="O2266" t="s">
        <v>350</v>
      </c>
      <c r="P2266">
        <v>4.1944858264681695E-2</v>
      </c>
      <c r="Q2266" t="s">
        <v>166</v>
      </c>
    </row>
    <row r="2267" spans="9:17" x14ac:dyDescent="0.45">
      <c r="I2267" t="s">
        <v>230</v>
      </c>
      <c r="J2267" t="s">
        <v>351</v>
      </c>
      <c r="K2267">
        <v>2.0949129844258486E-2</v>
      </c>
      <c r="L2267" t="s">
        <v>166</v>
      </c>
      <c r="N2267" t="s">
        <v>295</v>
      </c>
      <c r="O2267" t="s">
        <v>351</v>
      </c>
      <c r="P2267">
        <v>2.4628931987395644E-2</v>
      </c>
      <c r="Q2267" t="s">
        <v>166</v>
      </c>
    </row>
    <row r="2268" spans="9:17" x14ac:dyDescent="0.45">
      <c r="I2268" t="s">
        <v>230</v>
      </c>
      <c r="J2268" t="s">
        <v>352</v>
      </c>
      <c r="K2268">
        <v>8.4316630136685305E-3</v>
      </c>
      <c r="L2268" t="s">
        <v>166</v>
      </c>
      <c r="N2268" t="s">
        <v>295</v>
      </c>
      <c r="O2268" t="s">
        <v>352</v>
      </c>
      <c r="P2268">
        <v>1.1782024485624341E-3</v>
      </c>
      <c r="Q2268" t="s">
        <v>166</v>
      </c>
    </row>
    <row r="2269" spans="9:17" x14ac:dyDescent="0.45">
      <c r="I2269" t="s">
        <v>230</v>
      </c>
      <c r="J2269" t="s">
        <v>353</v>
      </c>
      <c r="K2269">
        <v>4.5681399038869405E-2</v>
      </c>
      <c r="L2269" t="s">
        <v>166</v>
      </c>
      <c r="N2269" t="s">
        <v>295</v>
      </c>
      <c r="O2269" t="s">
        <v>353</v>
      </c>
      <c r="P2269">
        <v>4.637648081509611E-3</v>
      </c>
      <c r="Q2269" t="s">
        <v>166</v>
      </c>
    </row>
    <row r="2270" spans="9:17" x14ac:dyDescent="0.45">
      <c r="I2270" t="s">
        <v>230</v>
      </c>
      <c r="J2270" t="s">
        <v>354</v>
      </c>
      <c r="K2270">
        <v>3.6040479855143706E-3</v>
      </c>
      <c r="L2270" t="s">
        <v>166</v>
      </c>
      <c r="N2270" t="s">
        <v>295</v>
      </c>
      <c r="O2270" t="s">
        <v>354</v>
      </c>
      <c r="P2270">
        <v>8.201754814278258E-4</v>
      </c>
      <c r="Q2270" t="s">
        <v>166</v>
      </c>
    </row>
    <row r="2271" spans="9:17" x14ac:dyDescent="0.45">
      <c r="I2271" t="s">
        <v>230</v>
      </c>
      <c r="J2271" t="s">
        <v>355</v>
      </c>
      <c r="K2271">
        <v>0</v>
      </c>
      <c r="L2271" t="s">
        <v>166</v>
      </c>
      <c r="N2271" t="s">
        <v>295</v>
      </c>
      <c r="O2271" t="s">
        <v>355</v>
      </c>
      <c r="P2271">
        <v>1.1793367281172586E-3</v>
      </c>
      <c r="Q2271" t="s">
        <v>166</v>
      </c>
    </row>
    <row r="2272" spans="9:17" x14ac:dyDescent="0.45">
      <c r="I2272" t="s">
        <v>230</v>
      </c>
      <c r="J2272" t="s">
        <v>356</v>
      </c>
      <c r="K2272">
        <v>0</v>
      </c>
      <c r="L2272" t="s">
        <v>166</v>
      </c>
      <c r="N2272" t="s">
        <v>295</v>
      </c>
      <c r="O2272" t="s">
        <v>356</v>
      </c>
      <c r="P2272">
        <v>1.1977813329008345E-2</v>
      </c>
      <c r="Q2272" t="s">
        <v>166</v>
      </c>
    </row>
    <row r="2273" spans="9:17" x14ac:dyDescent="0.45">
      <c r="I2273" t="s">
        <v>230</v>
      </c>
      <c r="J2273" t="s">
        <v>357</v>
      </c>
      <c r="K2273">
        <v>3.3051656357927083E-2</v>
      </c>
      <c r="L2273" t="s">
        <v>166</v>
      </c>
      <c r="N2273" t="s">
        <v>295</v>
      </c>
      <c r="O2273" t="s">
        <v>357</v>
      </c>
      <c r="P2273">
        <v>6.1347406962637491E-2</v>
      </c>
      <c r="Q2273" t="s">
        <v>166</v>
      </c>
    </row>
    <row r="2274" spans="9:17" x14ac:dyDescent="0.45">
      <c r="I2274" t="s">
        <v>230</v>
      </c>
      <c r="J2274" t="s">
        <v>358</v>
      </c>
      <c r="K2274">
        <v>1.5512400171153896E-2</v>
      </c>
      <c r="L2274" t="s">
        <v>166</v>
      </c>
      <c r="N2274" t="s">
        <v>295</v>
      </c>
      <c r="O2274" t="s">
        <v>358</v>
      </c>
      <c r="P2274">
        <v>3.5729425874853693E-3</v>
      </c>
      <c r="Q2274" t="s">
        <v>166</v>
      </c>
    </row>
    <row r="2275" spans="9:17" x14ac:dyDescent="0.45">
      <c r="I2275" t="s">
        <v>230</v>
      </c>
      <c r="J2275" t="s">
        <v>359</v>
      </c>
      <c r="K2275">
        <v>8.2241855322129562E-2</v>
      </c>
      <c r="L2275" t="s">
        <v>166</v>
      </c>
      <c r="N2275" t="s">
        <v>295</v>
      </c>
      <c r="O2275" t="s">
        <v>359</v>
      </c>
      <c r="P2275">
        <v>2.262392990665172E-2</v>
      </c>
      <c r="Q2275" t="s">
        <v>166</v>
      </c>
    </row>
    <row r="2276" spans="9:17" x14ac:dyDescent="0.45">
      <c r="I2276" t="s">
        <v>230</v>
      </c>
      <c r="J2276" t="s">
        <v>360</v>
      </c>
      <c r="K2276">
        <v>2.7202260445317985E-3</v>
      </c>
      <c r="L2276" t="s">
        <v>166</v>
      </c>
      <c r="N2276" t="s">
        <v>295</v>
      </c>
      <c r="O2276" t="s">
        <v>360</v>
      </c>
      <c r="P2276">
        <v>4.2792633263546509E-3</v>
      </c>
      <c r="Q2276" t="s">
        <v>166</v>
      </c>
    </row>
    <row r="2277" spans="9:17" x14ac:dyDescent="0.45">
      <c r="I2277" t="s">
        <v>230</v>
      </c>
      <c r="J2277" t="s">
        <v>361</v>
      </c>
      <c r="K2277">
        <v>0</v>
      </c>
      <c r="L2277" t="s">
        <v>166</v>
      </c>
      <c r="N2277" t="s">
        <v>295</v>
      </c>
      <c r="O2277" t="s">
        <v>361</v>
      </c>
      <c r="P2277">
        <v>4.7798711699496791E-3</v>
      </c>
      <c r="Q2277" t="s">
        <v>166</v>
      </c>
    </row>
    <row r="2278" spans="9:17" x14ac:dyDescent="0.45">
      <c r="I2278" t="s">
        <v>230</v>
      </c>
      <c r="J2278" t="s">
        <v>362</v>
      </c>
      <c r="K2278">
        <v>0</v>
      </c>
      <c r="L2278" t="s">
        <v>166</v>
      </c>
      <c r="N2278" t="s">
        <v>295</v>
      </c>
      <c r="O2278" t="s">
        <v>362</v>
      </c>
      <c r="P2278">
        <v>2.8410786766874536E-2</v>
      </c>
      <c r="Q2278" t="s">
        <v>166</v>
      </c>
    </row>
    <row r="2279" spans="9:17" x14ac:dyDescent="0.45">
      <c r="I2279" t="s">
        <v>231</v>
      </c>
      <c r="J2279" t="s">
        <v>165</v>
      </c>
      <c r="K2279">
        <v>5.8253404457384146E-2</v>
      </c>
      <c r="L2279" t="s">
        <v>166</v>
      </c>
      <c r="N2279" t="s">
        <v>296</v>
      </c>
      <c r="O2279" t="s">
        <v>165</v>
      </c>
      <c r="P2279">
        <v>0.12837434552113836</v>
      </c>
      <c r="Q2279" t="s">
        <v>166</v>
      </c>
    </row>
    <row r="2280" spans="9:17" x14ac:dyDescent="0.45">
      <c r="I2280" t="s">
        <v>231</v>
      </c>
      <c r="J2280" t="s">
        <v>167</v>
      </c>
      <c r="K2280">
        <v>2.6973247479995681E-2</v>
      </c>
      <c r="L2280" t="s">
        <v>166</v>
      </c>
      <c r="N2280" t="s">
        <v>296</v>
      </c>
      <c r="O2280" t="s">
        <v>167</v>
      </c>
      <c r="P2280">
        <v>9.1879575408705793E-3</v>
      </c>
      <c r="Q2280" t="s">
        <v>166</v>
      </c>
    </row>
    <row r="2281" spans="9:17" x14ac:dyDescent="0.45">
      <c r="I2281" t="s">
        <v>231</v>
      </c>
      <c r="J2281" t="s">
        <v>168</v>
      </c>
      <c r="K2281">
        <v>0.14848313225808002</v>
      </c>
      <c r="L2281" t="s">
        <v>166</v>
      </c>
      <c r="N2281" t="s">
        <v>296</v>
      </c>
      <c r="O2281" t="s">
        <v>168</v>
      </c>
      <c r="P2281">
        <v>6.063183412369149E-2</v>
      </c>
      <c r="Q2281" t="s">
        <v>166</v>
      </c>
    </row>
    <row r="2282" spans="9:17" x14ac:dyDescent="0.45">
      <c r="I2282" t="s">
        <v>231</v>
      </c>
      <c r="J2282" t="s">
        <v>333</v>
      </c>
      <c r="K2282">
        <v>1.3854379610426426E-2</v>
      </c>
      <c r="L2282" t="s">
        <v>166</v>
      </c>
      <c r="N2282" t="s">
        <v>296</v>
      </c>
      <c r="O2282" t="s">
        <v>333</v>
      </c>
      <c r="P2282">
        <v>1.0360085194806919E-2</v>
      </c>
      <c r="Q2282" t="s">
        <v>166</v>
      </c>
    </row>
    <row r="2283" spans="9:17" x14ac:dyDescent="0.45">
      <c r="I2283" t="s">
        <v>231</v>
      </c>
      <c r="J2283" t="s">
        <v>334</v>
      </c>
      <c r="K2283">
        <v>1.7109479915743684E-3</v>
      </c>
      <c r="L2283" t="s">
        <v>166</v>
      </c>
      <c r="N2283" t="s">
        <v>296</v>
      </c>
      <c r="O2283" t="s">
        <v>334</v>
      </c>
      <c r="P2283">
        <v>1.0153219638528383E-2</v>
      </c>
      <c r="Q2283" t="s">
        <v>166</v>
      </c>
    </row>
    <row r="2284" spans="9:17" x14ac:dyDescent="0.45">
      <c r="I2284" t="s">
        <v>231</v>
      </c>
      <c r="J2284" t="s">
        <v>335</v>
      </c>
      <c r="K2284">
        <v>0</v>
      </c>
      <c r="L2284" t="s">
        <v>166</v>
      </c>
      <c r="N2284" t="s">
        <v>296</v>
      </c>
      <c r="O2284" t="s">
        <v>335</v>
      </c>
      <c r="P2284">
        <v>6.3447148084883997E-2</v>
      </c>
      <c r="Q2284" t="s">
        <v>166</v>
      </c>
    </row>
    <row r="2285" spans="9:17" x14ac:dyDescent="0.45">
      <c r="I2285" t="s">
        <v>231</v>
      </c>
      <c r="J2285" t="s">
        <v>169</v>
      </c>
      <c r="K2285">
        <v>5.231218353849728E-2</v>
      </c>
      <c r="L2285" t="s">
        <v>166</v>
      </c>
      <c r="N2285" t="s">
        <v>296</v>
      </c>
      <c r="O2285" t="s">
        <v>169</v>
      </c>
      <c r="P2285">
        <v>9.2693780403375114E-2</v>
      </c>
      <c r="Q2285" t="s">
        <v>166</v>
      </c>
    </row>
    <row r="2286" spans="9:17" x14ac:dyDescent="0.45">
      <c r="I2286" t="s">
        <v>231</v>
      </c>
      <c r="J2286" t="s">
        <v>170</v>
      </c>
      <c r="K2286">
        <v>1.8398873819785909E-2</v>
      </c>
      <c r="L2286" t="s">
        <v>166</v>
      </c>
      <c r="N2286" t="s">
        <v>296</v>
      </c>
      <c r="O2286" t="s">
        <v>170</v>
      </c>
      <c r="P2286">
        <v>7.2796589083167365E-3</v>
      </c>
      <c r="Q2286" t="s">
        <v>166</v>
      </c>
    </row>
    <row r="2287" spans="9:17" x14ac:dyDescent="0.45">
      <c r="I2287" t="s">
        <v>231</v>
      </c>
      <c r="J2287" t="s">
        <v>171</v>
      </c>
      <c r="K2287">
        <v>0.1046581906268409</v>
      </c>
      <c r="L2287" t="s">
        <v>166</v>
      </c>
      <c r="N2287" t="s">
        <v>296</v>
      </c>
      <c r="O2287" t="s">
        <v>171</v>
      </c>
      <c r="P2287">
        <v>4.1473606060132034E-2</v>
      </c>
      <c r="Q2287" t="s">
        <v>166</v>
      </c>
    </row>
    <row r="2288" spans="9:17" x14ac:dyDescent="0.45">
      <c r="I2288" t="s">
        <v>231</v>
      </c>
      <c r="J2288" t="s">
        <v>336</v>
      </c>
      <c r="K2288">
        <v>1.1197656679447223E-2</v>
      </c>
      <c r="L2288" t="s">
        <v>166</v>
      </c>
      <c r="N2288" t="s">
        <v>296</v>
      </c>
      <c r="O2288" t="s">
        <v>336</v>
      </c>
      <c r="P2288">
        <v>6.8737701939029618E-3</v>
      </c>
      <c r="Q2288" t="s">
        <v>166</v>
      </c>
    </row>
    <row r="2289" spans="9:17" x14ac:dyDescent="0.45">
      <c r="I2289" t="s">
        <v>231</v>
      </c>
      <c r="J2289" t="s">
        <v>337</v>
      </c>
      <c r="K2289">
        <v>5.9103966130620812E-3</v>
      </c>
      <c r="L2289" t="s">
        <v>166</v>
      </c>
      <c r="N2289" t="s">
        <v>296</v>
      </c>
      <c r="O2289" t="s">
        <v>337</v>
      </c>
      <c r="P2289">
        <v>6.7221556190782128E-3</v>
      </c>
      <c r="Q2289" t="s">
        <v>166</v>
      </c>
    </row>
    <row r="2290" spans="9:17" x14ac:dyDescent="0.45">
      <c r="I2290" t="s">
        <v>231</v>
      </c>
      <c r="J2290" t="s">
        <v>338</v>
      </c>
      <c r="K2290">
        <v>0</v>
      </c>
      <c r="L2290" t="s">
        <v>166</v>
      </c>
      <c r="N2290" t="s">
        <v>296</v>
      </c>
      <c r="O2290" t="s">
        <v>338</v>
      </c>
      <c r="P2290">
        <v>4.4693629562631954E-2</v>
      </c>
      <c r="Q2290" t="s">
        <v>166</v>
      </c>
    </row>
    <row r="2291" spans="9:17" x14ac:dyDescent="0.45">
      <c r="I2291" t="s">
        <v>231</v>
      </c>
      <c r="J2291" t="s">
        <v>172</v>
      </c>
      <c r="K2291">
        <v>2.4519511863502933E-2</v>
      </c>
      <c r="L2291" t="s">
        <v>166</v>
      </c>
      <c r="N2291" t="s">
        <v>296</v>
      </c>
      <c r="O2291" t="s">
        <v>172</v>
      </c>
      <c r="P2291">
        <v>5.3807190830639305E-2</v>
      </c>
      <c r="Q2291" t="s">
        <v>166</v>
      </c>
    </row>
    <row r="2292" spans="9:17" x14ac:dyDescent="0.45">
      <c r="I2292" t="s">
        <v>231</v>
      </c>
      <c r="J2292" t="s">
        <v>173</v>
      </c>
      <c r="K2292">
        <v>8.6133304592668422E-3</v>
      </c>
      <c r="L2292" t="s">
        <v>166</v>
      </c>
      <c r="N2292" t="s">
        <v>296</v>
      </c>
      <c r="O2292" t="s">
        <v>173</v>
      </c>
      <c r="P2292">
        <v>3.9526384846884765E-3</v>
      </c>
      <c r="Q2292" t="s">
        <v>166</v>
      </c>
    </row>
    <row r="2293" spans="9:17" x14ac:dyDescent="0.45">
      <c r="I2293" t="s">
        <v>231</v>
      </c>
      <c r="J2293" t="s">
        <v>174</v>
      </c>
      <c r="K2293">
        <v>4.9120025998770363E-2</v>
      </c>
      <c r="L2293" t="s">
        <v>166</v>
      </c>
      <c r="N2293" t="s">
        <v>296</v>
      </c>
      <c r="O2293" t="s">
        <v>174</v>
      </c>
      <c r="P2293">
        <v>1.9433652242072524E-2</v>
      </c>
      <c r="Q2293" t="s">
        <v>166</v>
      </c>
    </row>
    <row r="2294" spans="9:17" x14ac:dyDescent="0.45">
      <c r="I2294" t="s">
        <v>231</v>
      </c>
      <c r="J2294" t="s">
        <v>339</v>
      </c>
      <c r="K2294">
        <v>5.3481330579008279E-3</v>
      </c>
      <c r="L2294" t="s">
        <v>166</v>
      </c>
      <c r="N2294" t="s">
        <v>296</v>
      </c>
      <c r="O2294" t="s">
        <v>339</v>
      </c>
      <c r="P2294">
        <v>3.399282869801898E-3</v>
      </c>
      <c r="Q2294" t="s">
        <v>166</v>
      </c>
    </row>
    <row r="2295" spans="9:17" x14ac:dyDescent="0.45">
      <c r="I2295" t="s">
        <v>231</v>
      </c>
      <c r="J2295" t="s">
        <v>340</v>
      </c>
      <c r="K2295">
        <v>3.0434351222952431E-3</v>
      </c>
      <c r="L2295" t="s">
        <v>166</v>
      </c>
      <c r="N2295" t="s">
        <v>296</v>
      </c>
      <c r="O2295" t="s">
        <v>340</v>
      </c>
      <c r="P2295">
        <v>3.4386421414748219E-3</v>
      </c>
      <c r="Q2295" t="s">
        <v>166</v>
      </c>
    </row>
    <row r="2296" spans="9:17" x14ac:dyDescent="0.45">
      <c r="I2296" t="s">
        <v>231</v>
      </c>
      <c r="J2296" t="s">
        <v>341</v>
      </c>
      <c r="K2296">
        <v>0</v>
      </c>
      <c r="L2296" t="s">
        <v>166</v>
      </c>
      <c r="N2296" t="s">
        <v>296</v>
      </c>
      <c r="O2296" t="s">
        <v>341</v>
      </c>
      <c r="P2296">
        <v>2.478355299577165E-2</v>
      </c>
      <c r="Q2296" t="s">
        <v>166</v>
      </c>
    </row>
    <row r="2297" spans="9:17" x14ac:dyDescent="0.45">
      <c r="I2297" t="s">
        <v>231</v>
      </c>
      <c r="J2297" t="s">
        <v>175</v>
      </c>
      <c r="K2297">
        <v>2.2391725465814354E-2</v>
      </c>
      <c r="L2297" t="s">
        <v>166</v>
      </c>
      <c r="N2297" t="s">
        <v>296</v>
      </c>
      <c r="O2297" t="s">
        <v>175</v>
      </c>
      <c r="P2297">
        <v>3.5592458188440562E-2</v>
      </c>
      <c r="Q2297" t="s">
        <v>166</v>
      </c>
    </row>
    <row r="2298" spans="9:17" x14ac:dyDescent="0.45">
      <c r="I2298" t="s">
        <v>231</v>
      </c>
      <c r="J2298" t="s">
        <v>176</v>
      </c>
      <c r="K2298">
        <v>8.2987175913230762E-3</v>
      </c>
      <c r="L2298" t="s">
        <v>166</v>
      </c>
      <c r="N2298" t="s">
        <v>296</v>
      </c>
      <c r="O2298" t="s">
        <v>176</v>
      </c>
      <c r="P2298">
        <v>2.0888647716151023E-3</v>
      </c>
      <c r="Q2298" t="s">
        <v>166</v>
      </c>
    </row>
    <row r="2299" spans="9:17" x14ac:dyDescent="0.45">
      <c r="I2299" t="s">
        <v>231</v>
      </c>
      <c r="J2299" t="s">
        <v>177</v>
      </c>
      <c r="K2299">
        <v>4.76774308537814E-2</v>
      </c>
      <c r="L2299" t="s">
        <v>166</v>
      </c>
      <c r="N2299" t="s">
        <v>296</v>
      </c>
      <c r="O2299" t="s">
        <v>177</v>
      </c>
      <c r="P2299">
        <v>1.0878372909722973E-2</v>
      </c>
      <c r="Q2299" t="s">
        <v>166</v>
      </c>
    </row>
    <row r="2300" spans="9:17" x14ac:dyDescent="0.45">
      <c r="I2300" t="s">
        <v>231</v>
      </c>
      <c r="J2300" t="s">
        <v>342</v>
      </c>
      <c r="K2300">
        <v>4.9149867060468526E-3</v>
      </c>
      <c r="L2300" t="s">
        <v>166</v>
      </c>
      <c r="N2300" t="s">
        <v>296</v>
      </c>
      <c r="O2300" t="s">
        <v>342</v>
      </c>
      <c r="P2300">
        <v>1.6651904863898303E-3</v>
      </c>
      <c r="Q2300" t="s">
        <v>166</v>
      </c>
    </row>
    <row r="2301" spans="9:17" x14ac:dyDescent="0.45">
      <c r="I2301" t="s">
        <v>231</v>
      </c>
      <c r="J2301" t="s">
        <v>343</v>
      </c>
      <c r="K2301">
        <v>2.5927800912352119E-3</v>
      </c>
      <c r="L2301" t="s">
        <v>166</v>
      </c>
      <c r="N2301" t="s">
        <v>296</v>
      </c>
      <c r="O2301" t="s">
        <v>343</v>
      </c>
      <c r="P2301">
        <v>2.0009352953550348E-3</v>
      </c>
      <c r="Q2301" t="s">
        <v>166</v>
      </c>
    </row>
    <row r="2302" spans="9:17" x14ac:dyDescent="0.45">
      <c r="I2302" t="s">
        <v>231</v>
      </c>
      <c r="J2302" t="s">
        <v>344</v>
      </c>
      <c r="K2302">
        <v>0</v>
      </c>
      <c r="L2302" t="s">
        <v>166</v>
      </c>
      <c r="N2302" t="s">
        <v>296</v>
      </c>
      <c r="O2302" t="s">
        <v>344</v>
      </c>
      <c r="P2302">
        <v>1.9868765095274799E-2</v>
      </c>
      <c r="Q2302" t="s">
        <v>166</v>
      </c>
    </row>
    <row r="2303" spans="9:17" x14ac:dyDescent="0.45">
      <c r="I2303" t="s">
        <v>231</v>
      </c>
      <c r="J2303" t="s">
        <v>345</v>
      </c>
      <c r="K2303">
        <v>4.4409770198409353E-2</v>
      </c>
      <c r="L2303" t="s">
        <v>166</v>
      </c>
      <c r="N2303" t="s">
        <v>296</v>
      </c>
      <c r="O2303" t="s">
        <v>345</v>
      </c>
      <c r="P2303">
        <v>7.235790914364118E-2</v>
      </c>
      <c r="Q2303" t="s">
        <v>166</v>
      </c>
    </row>
    <row r="2304" spans="9:17" x14ac:dyDescent="0.45">
      <c r="I2304" t="s">
        <v>231</v>
      </c>
      <c r="J2304" t="s">
        <v>346</v>
      </c>
      <c r="K2304">
        <v>1.6609402315270916E-2</v>
      </c>
      <c r="L2304" t="s">
        <v>166</v>
      </c>
      <c r="N2304" t="s">
        <v>296</v>
      </c>
      <c r="O2304" t="s">
        <v>346</v>
      </c>
      <c r="P2304">
        <v>4.5457679595330208E-3</v>
      </c>
      <c r="Q2304" t="s">
        <v>166</v>
      </c>
    </row>
    <row r="2305" spans="9:17" x14ac:dyDescent="0.45">
      <c r="I2305" t="s">
        <v>231</v>
      </c>
      <c r="J2305" t="s">
        <v>347</v>
      </c>
      <c r="K2305">
        <v>9.3005506475777114E-2</v>
      </c>
      <c r="L2305" t="s">
        <v>166</v>
      </c>
      <c r="N2305" t="s">
        <v>296</v>
      </c>
      <c r="O2305" t="s">
        <v>347</v>
      </c>
      <c r="P2305">
        <v>2.5330075376163472E-2</v>
      </c>
      <c r="Q2305" t="s">
        <v>166</v>
      </c>
    </row>
    <row r="2306" spans="9:17" x14ac:dyDescent="0.45">
      <c r="I2306" t="s">
        <v>231</v>
      </c>
      <c r="J2306" t="s">
        <v>348</v>
      </c>
      <c r="K2306">
        <v>8.7959432643493138E-3</v>
      </c>
      <c r="L2306" t="s">
        <v>166</v>
      </c>
      <c r="N2306" t="s">
        <v>296</v>
      </c>
      <c r="O2306" t="s">
        <v>348</v>
      </c>
      <c r="P2306">
        <v>4.339136172146635E-3</v>
      </c>
      <c r="Q2306" t="s">
        <v>166</v>
      </c>
    </row>
    <row r="2307" spans="9:17" x14ac:dyDescent="0.45">
      <c r="I2307" t="s">
        <v>231</v>
      </c>
      <c r="J2307" t="s">
        <v>349</v>
      </c>
      <c r="K2307">
        <v>3.3819851721571923E-3</v>
      </c>
      <c r="L2307" t="s">
        <v>166</v>
      </c>
      <c r="N2307" t="s">
        <v>296</v>
      </c>
      <c r="O2307" t="s">
        <v>349</v>
      </c>
      <c r="P2307">
        <v>4.598963354558898E-3</v>
      </c>
      <c r="Q2307" t="s">
        <v>166</v>
      </c>
    </row>
    <row r="2308" spans="9:17" x14ac:dyDescent="0.45">
      <c r="I2308" t="s">
        <v>231</v>
      </c>
      <c r="J2308" t="s">
        <v>350</v>
      </c>
      <c r="K2308">
        <v>0</v>
      </c>
      <c r="L2308" t="s">
        <v>166</v>
      </c>
      <c r="N2308" t="s">
        <v>296</v>
      </c>
      <c r="O2308" t="s">
        <v>350</v>
      </c>
      <c r="P2308">
        <v>3.848945057935118E-2</v>
      </c>
      <c r="Q2308" t="s">
        <v>166</v>
      </c>
    </row>
    <row r="2309" spans="9:17" x14ac:dyDescent="0.45">
      <c r="I2309" t="s">
        <v>231</v>
      </c>
      <c r="J2309" t="s">
        <v>351</v>
      </c>
      <c r="K2309">
        <v>2.1197968250412948E-2</v>
      </c>
      <c r="L2309" t="s">
        <v>166</v>
      </c>
      <c r="N2309" t="s">
        <v>296</v>
      </c>
      <c r="O2309" t="s">
        <v>351</v>
      </c>
      <c r="P2309">
        <v>2.17675066150218E-2</v>
      </c>
      <c r="Q2309" t="s">
        <v>166</v>
      </c>
    </row>
    <row r="2310" spans="9:17" x14ac:dyDescent="0.45">
      <c r="I2310" t="s">
        <v>231</v>
      </c>
      <c r="J2310" t="s">
        <v>352</v>
      </c>
      <c r="K2310">
        <v>8.4530022277092675E-3</v>
      </c>
      <c r="L2310" t="s">
        <v>166</v>
      </c>
      <c r="N2310" t="s">
        <v>296</v>
      </c>
      <c r="O2310" t="s">
        <v>352</v>
      </c>
      <c r="P2310">
        <v>1.2216321028029158E-3</v>
      </c>
      <c r="Q2310" t="s">
        <v>166</v>
      </c>
    </row>
    <row r="2311" spans="9:17" x14ac:dyDescent="0.45">
      <c r="I2311" t="s">
        <v>231</v>
      </c>
      <c r="J2311" t="s">
        <v>353</v>
      </c>
      <c r="K2311">
        <v>4.5273992195229554E-2</v>
      </c>
      <c r="L2311" t="s">
        <v>166</v>
      </c>
      <c r="N2311" t="s">
        <v>296</v>
      </c>
      <c r="O2311" t="s">
        <v>353</v>
      </c>
      <c r="P2311">
        <v>6.6990413618427409E-3</v>
      </c>
      <c r="Q2311" t="s">
        <v>166</v>
      </c>
    </row>
    <row r="2312" spans="9:17" x14ac:dyDescent="0.45">
      <c r="I2312" t="s">
        <v>231</v>
      </c>
      <c r="J2312" t="s">
        <v>354</v>
      </c>
      <c r="K2312">
        <v>3.4682403138133863E-3</v>
      </c>
      <c r="L2312" t="s">
        <v>166</v>
      </c>
      <c r="N2312" t="s">
        <v>296</v>
      </c>
      <c r="O2312" t="s">
        <v>354</v>
      </c>
      <c r="P2312">
        <v>1.1539646184950962E-3</v>
      </c>
      <c r="Q2312" t="s">
        <v>166</v>
      </c>
    </row>
    <row r="2313" spans="9:17" x14ac:dyDescent="0.45">
      <c r="I2313" t="s">
        <v>231</v>
      </c>
      <c r="J2313" t="s">
        <v>355</v>
      </c>
      <c r="K2313">
        <v>0</v>
      </c>
      <c r="L2313" t="s">
        <v>166</v>
      </c>
      <c r="N2313" t="s">
        <v>296</v>
      </c>
      <c r="O2313" t="s">
        <v>355</v>
      </c>
      <c r="P2313">
        <v>1.5613984645321036E-3</v>
      </c>
      <c r="Q2313" t="s">
        <v>166</v>
      </c>
    </row>
    <row r="2314" spans="9:17" x14ac:dyDescent="0.45">
      <c r="I2314" t="s">
        <v>231</v>
      </c>
      <c r="J2314" t="s">
        <v>356</v>
      </c>
      <c r="K2314">
        <v>0</v>
      </c>
      <c r="L2314" t="s">
        <v>166</v>
      </c>
      <c r="N2314" t="s">
        <v>296</v>
      </c>
      <c r="O2314" t="s">
        <v>356</v>
      </c>
      <c r="P2314">
        <v>1.3614493898123444E-2</v>
      </c>
      <c r="Q2314" t="s">
        <v>166</v>
      </c>
    </row>
    <row r="2315" spans="9:17" x14ac:dyDescent="0.45">
      <c r="I2315" t="s">
        <v>231</v>
      </c>
      <c r="J2315" t="s">
        <v>357</v>
      </c>
      <c r="K2315">
        <v>3.5254776109399887E-2</v>
      </c>
      <c r="L2315" t="s">
        <v>166</v>
      </c>
      <c r="N2315" t="s">
        <v>296</v>
      </c>
      <c r="O2315" t="s">
        <v>357</v>
      </c>
      <c r="P2315">
        <v>7.2343006480475716E-2</v>
      </c>
      <c r="Q2315" t="s">
        <v>166</v>
      </c>
    </row>
    <row r="2316" spans="9:17" x14ac:dyDescent="0.45">
      <c r="I2316" t="s">
        <v>231</v>
      </c>
      <c r="J2316" t="s">
        <v>358</v>
      </c>
      <c r="K2316">
        <v>1.5773904975016413E-2</v>
      </c>
      <c r="L2316" t="s">
        <v>166</v>
      </c>
      <c r="N2316" t="s">
        <v>296</v>
      </c>
      <c r="O2316" t="s">
        <v>358</v>
      </c>
      <c r="P2316">
        <v>4.9679340751448168E-3</v>
      </c>
      <c r="Q2316" t="s">
        <v>166</v>
      </c>
    </row>
    <row r="2317" spans="9:17" x14ac:dyDescent="0.45">
      <c r="I2317" t="s">
        <v>231</v>
      </c>
      <c r="J2317" t="s">
        <v>359</v>
      </c>
      <c r="K2317">
        <v>8.2850202331663986E-2</v>
      </c>
      <c r="L2317" t="s">
        <v>166</v>
      </c>
      <c r="N2317" t="s">
        <v>296</v>
      </c>
      <c r="O2317" t="s">
        <v>359</v>
      </c>
      <c r="P2317">
        <v>2.6708186897770634E-2</v>
      </c>
      <c r="Q2317" t="s">
        <v>166</v>
      </c>
    </row>
    <row r="2318" spans="9:17" x14ac:dyDescent="0.45">
      <c r="I2318" t="s">
        <v>231</v>
      </c>
      <c r="J2318" t="s">
        <v>360</v>
      </c>
      <c r="K2318">
        <v>3.252815885758124E-3</v>
      </c>
      <c r="L2318" t="s">
        <v>166</v>
      </c>
      <c r="N2318" t="s">
        <v>296</v>
      </c>
      <c r="O2318" t="s">
        <v>360</v>
      </c>
      <c r="P2318">
        <v>4.2959372666497358E-3</v>
      </c>
      <c r="Q2318" t="s">
        <v>166</v>
      </c>
    </row>
    <row r="2319" spans="9:17" x14ac:dyDescent="0.45">
      <c r="I2319" t="s">
        <v>231</v>
      </c>
      <c r="J2319" t="s">
        <v>361</v>
      </c>
      <c r="K2319">
        <v>0</v>
      </c>
      <c r="L2319" t="s">
        <v>166</v>
      </c>
      <c r="N2319" t="s">
        <v>296</v>
      </c>
      <c r="O2319" t="s">
        <v>361</v>
      </c>
      <c r="P2319">
        <v>4.7196817943788629E-3</v>
      </c>
      <c r="Q2319" t="s">
        <v>166</v>
      </c>
    </row>
    <row r="2320" spans="9:17" x14ac:dyDescent="0.45">
      <c r="I2320" t="s">
        <v>231</v>
      </c>
      <c r="J2320" t="s">
        <v>362</v>
      </c>
      <c r="K2320">
        <v>0</v>
      </c>
      <c r="L2320" t="s">
        <v>166</v>
      </c>
      <c r="N2320" t="s">
        <v>296</v>
      </c>
      <c r="O2320" t="s">
        <v>362</v>
      </c>
      <c r="P2320">
        <v>2.8485176676768531E-2</v>
      </c>
      <c r="Q2320" t="s">
        <v>166</v>
      </c>
    </row>
    <row r="2321" spans="9:17" x14ac:dyDescent="0.45">
      <c r="I2321" t="s">
        <v>232</v>
      </c>
      <c r="J2321" t="s">
        <v>165</v>
      </c>
      <c r="K2321">
        <v>6.0851356549998424E-2</v>
      </c>
      <c r="L2321" t="s">
        <v>166</v>
      </c>
      <c r="N2321" t="s">
        <v>297</v>
      </c>
      <c r="O2321" t="s">
        <v>165</v>
      </c>
      <c r="P2321">
        <v>0.11466168536344601</v>
      </c>
      <c r="Q2321" t="s">
        <v>166</v>
      </c>
    </row>
    <row r="2322" spans="9:17" x14ac:dyDescent="0.45">
      <c r="I2322" t="s">
        <v>232</v>
      </c>
      <c r="J2322" t="s">
        <v>167</v>
      </c>
      <c r="K2322">
        <v>2.6879606059165086E-2</v>
      </c>
      <c r="L2322" t="s">
        <v>166</v>
      </c>
      <c r="N2322" t="s">
        <v>297</v>
      </c>
      <c r="O2322" t="s">
        <v>167</v>
      </c>
      <c r="P2322">
        <v>1.3016950779623537E-2</v>
      </c>
      <c r="Q2322" t="s">
        <v>166</v>
      </c>
    </row>
    <row r="2323" spans="9:17" x14ac:dyDescent="0.45">
      <c r="I2323" t="s">
        <v>232</v>
      </c>
      <c r="J2323" t="s">
        <v>168</v>
      </c>
      <c r="K2323">
        <v>0.14661575341199479</v>
      </c>
      <c r="L2323" t="s">
        <v>166</v>
      </c>
      <c r="N2323" t="s">
        <v>297</v>
      </c>
      <c r="O2323" t="s">
        <v>168</v>
      </c>
      <c r="P2323">
        <v>0.10527960572450498</v>
      </c>
      <c r="Q2323" t="s">
        <v>166</v>
      </c>
    </row>
    <row r="2324" spans="9:17" x14ac:dyDescent="0.45">
      <c r="I2324" t="s">
        <v>232</v>
      </c>
      <c r="J2324" t="s">
        <v>333</v>
      </c>
      <c r="K2324">
        <v>1.314958423814255E-2</v>
      </c>
      <c r="L2324" t="s">
        <v>166</v>
      </c>
      <c r="N2324" t="s">
        <v>297</v>
      </c>
      <c r="O2324" t="s">
        <v>333</v>
      </c>
      <c r="P2324">
        <v>1.61153538940145E-2</v>
      </c>
      <c r="Q2324" t="s">
        <v>166</v>
      </c>
    </row>
    <row r="2325" spans="9:17" x14ac:dyDescent="0.45">
      <c r="I2325" t="s">
        <v>232</v>
      </c>
      <c r="J2325" t="s">
        <v>334</v>
      </c>
      <c r="K2325">
        <v>7.0279858965091775E-4</v>
      </c>
      <c r="L2325" t="s">
        <v>166</v>
      </c>
      <c r="N2325" t="s">
        <v>297</v>
      </c>
      <c r="O2325" t="s">
        <v>334</v>
      </c>
      <c r="P2325">
        <v>1.4154354740607424E-2</v>
      </c>
      <c r="Q2325" t="s">
        <v>166</v>
      </c>
    </row>
    <row r="2326" spans="9:17" x14ac:dyDescent="0.45">
      <c r="I2326" t="s">
        <v>232</v>
      </c>
      <c r="J2326" t="s">
        <v>335</v>
      </c>
      <c r="K2326">
        <v>0</v>
      </c>
      <c r="L2326" t="s">
        <v>166</v>
      </c>
      <c r="N2326" t="s">
        <v>297</v>
      </c>
      <c r="O2326" t="s">
        <v>335</v>
      </c>
      <c r="P2326">
        <v>6.5516837761208382E-2</v>
      </c>
      <c r="Q2326" t="s">
        <v>166</v>
      </c>
    </row>
    <row r="2327" spans="9:17" x14ac:dyDescent="0.45">
      <c r="I2327" t="s">
        <v>232</v>
      </c>
      <c r="J2327" t="s">
        <v>169</v>
      </c>
      <c r="K2327">
        <v>5.3655292765784499E-2</v>
      </c>
      <c r="L2327" t="s">
        <v>166</v>
      </c>
      <c r="N2327" t="s">
        <v>297</v>
      </c>
      <c r="O2327" t="s">
        <v>169</v>
      </c>
      <c r="P2327">
        <v>8.5142266158456575E-2</v>
      </c>
      <c r="Q2327" t="s">
        <v>166</v>
      </c>
    </row>
    <row r="2328" spans="9:17" x14ac:dyDescent="0.45">
      <c r="I2328" t="s">
        <v>232</v>
      </c>
      <c r="J2328" t="s">
        <v>170</v>
      </c>
      <c r="K2328">
        <v>1.844162420035865E-2</v>
      </c>
      <c r="L2328" t="s">
        <v>166</v>
      </c>
      <c r="N2328" t="s">
        <v>297</v>
      </c>
      <c r="O2328" t="s">
        <v>170</v>
      </c>
      <c r="P2328">
        <v>7.2443147231134406E-3</v>
      </c>
      <c r="Q2328" t="s">
        <v>166</v>
      </c>
    </row>
    <row r="2329" spans="9:17" x14ac:dyDescent="0.45">
      <c r="I2329" t="s">
        <v>232</v>
      </c>
      <c r="J2329" t="s">
        <v>171</v>
      </c>
      <c r="K2329">
        <v>0.10417227954644148</v>
      </c>
      <c r="L2329" t="s">
        <v>166</v>
      </c>
      <c r="N2329" t="s">
        <v>297</v>
      </c>
      <c r="O2329" t="s">
        <v>171</v>
      </c>
      <c r="P2329">
        <v>4.2695334291423977E-2</v>
      </c>
      <c r="Q2329" t="s">
        <v>166</v>
      </c>
    </row>
    <row r="2330" spans="9:17" x14ac:dyDescent="0.45">
      <c r="I2330" t="s">
        <v>232</v>
      </c>
      <c r="J2330" t="s">
        <v>336</v>
      </c>
      <c r="K2330">
        <v>1.0828083609286747E-2</v>
      </c>
      <c r="L2330" t="s">
        <v>166</v>
      </c>
      <c r="N2330" t="s">
        <v>297</v>
      </c>
      <c r="O2330" t="s">
        <v>336</v>
      </c>
      <c r="P2330">
        <v>8.2032937543977374E-3</v>
      </c>
      <c r="Q2330" t="s">
        <v>166</v>
      </c>
    </row>
    <row r="2331" spans="9:17" x14ac:dyDescent="0.45">
      <c r="I2331" t="s">
        <v>232</v>
      </c>
      <c r="J2331" t="s">
        <v>337</v>
      </c>
      <c r="K2331">
        <v>5.7379151357598249E-3</v>
      </c>
      <c r="L2331" t="s">
        <v>166</v>
      </c>
      <c r="N2331" t="s">
        <v>297</v>
      </c>
      <c r="O2331" t="s">
        <v>337</v>
      </c>
      <c r="P2331">
        <v>8.3670912630422305E-3</v>
      </c>
      <c r="Q2331" t="s">
        <v>166</v>
      </c>
    </row>
    <row r="2332" spans="9:17" x14ac:dyDescent="0.45">
      <c r="I2332" t="s">
        <v>232</v>
      </c>
      <c r="J2332" t="s">
        <v>338</v>
      </c>
      <c r="K2332">
        <v>0</v>
      </c>
      <c r="L2332" t="s">
        <v>166</v>
      </c>
      <c r="N2332" t="s">
        <v>297</v>
      </c>
      <c r="O2332" t="s">
        <v>338</v>
      </c>
      <c r="P2332">
        <v>4.76414247292248E-2</v>
      </c>
      <c r="Q2332" t="s">
        <v>166</v>
      </c>
    </row>
    <row r="2333" spans="9:17" x14ac:dyDescent="0.45">
      <c r="I2333" t="s">
        <v>232</v>
      </c>
      <c r="J2333" t="s">
        <v>172</v>
      </c>
      <c r="K2333">
        <v>2.5209508872588732E-2</v>
      </c>
      <c r="L2333" t="s">
        <v>166</v>
      </c>
      <c r="N2333" t="s">
        <v>297</v>
      </c>
      <c r="O2333" t="s">
        <v>172</v>
      </c>
      <c r="P2333">
        <v>4.205634832306028E-2</v>
      </c>
      <c r="Q2333" t="s">
        <v>166</v>
      </c>
    </row>
    <row r="2334" spans="9:17" x14ac:dyDescent="0.45">
      <c r="I2334" t="s">
        <v>232</v>
      </c>
      <c r="J2334" t="s">
        <v>173</v>
      </c>
      <c r="K2334">
        <v>8.6396888846480991E-3</v>
      </c>
      <c r="L2334" t="s">
        <v>166</v>
      </c>
      <c r="N2334" t="s">
        <v>297</v>
      </c>
      <c r="O2334" t="s">
        <v>173</v>
      </c>
      <c r="P2334">
        <v>4.2216209719645225E-3</v>
      </c>
      <c r="Q2334" t="s">
        <v>166</v>
      </c>
    </row>
    <row r="2335" spans="9:17" x14ac:dyDescent="0.45">
      <c r="I2335" t="s">
        <v>232</v>
      </c>
      <c r="J2335" t="s">
        <v>174</v>
      </c>
      <c r="K2335">
        <v>4.8873099167724435E-2</v>
      </c>
      <c r="L2335" t="s">
        <v>166</v>
      </c>
      <c r="N2335" t="s">
        <v>297</v>
      </c>
      <c r="O2335" t="s">
        <v>174</v>
      </c>
      <c r="P2335">
        <v>2.4228655283573045E-2</v>
      </c>
      <c r="Q2335" t="s">
        <v>166</v>
      </c>
    </row>
    <row r="2336" spans="9:17" x14ac:dyDescent="0.45">
      <c r="I2336" t="s">
        <v>232</v>
      </c>
      <c r="J2336" t="s">
        <v>339</v>
      </c>
      <c r="K2336">
        <v>5.2499043588241914E-3</v>
      </c>
      <c r="L2336" t="s">
        <v>166</v>
      </c>
      <c r="N2336" t="s">
        <v>297</v>
      </c>
      <c r="O2336" t="s">
        <v>339</v>
      </c>
      <c r="P2336">
        <v>3.5378581879722962E-3</v>
      </c>
      <c r="Q2336" t="s">
        <v>166</v>
      </c>
    </row>
    <row r="2337" spans="9:17" x14ac:dyDescent="0.45">
      <c r="I2337" t="s">
        <v>232</v>
      </c>
      <c r="J2337" t="s">
        <v>340</v>
      </c>
      <c r="K2337">
        <v>2.9124141784357921E-3</v>
      </c>
      <c r="L2337" t="s">
        <v>166</v>
      </c>
      <c r="N2337" t="s">
        <v>297</v>
      </c>
      <c r="O2337" t="s">
        <v>340</v>
      </c>
      <c r="P2337">
        <v>3.4448172530248972E-3</v>
      </c>
      <c r="Q2337" t="s">
        <v>166</v>
      </c>
    </row>
    <row r="2338" spans="9:17" x14ac:dyDescent="0.45">
      <c r="I2338" t="s">
        <v>232</v>
      </c>
      <c r="J2338" t="s">
        <v>341</v>
      </c>
      <c r="K2338">
        <v>0</v>
      </c>
      <c r="L2338" t="s">
        <v>166</v>
      </c>
      <c r="N2338" t="s">
        <v>297</v>
      </c>
      <c r="O2338" t="s">
        <v>341</v>
      </c>
      <c r="P2338">
        <v>2.153534719637084E-2</v>
      </c>
      <c r="Q2338" t="s">
        <v>166</v>
      </c>
    </row>
    <row r="2339" spans="9:17" x14ac:dyDescent="0.45">
      <c r="I2339" t="s">
        <v>232</v>
      </c>
      <c r="J2339" t="s">
        <v>175</v>
      </c>
      <c r="K2339">
        <v>2.2749617482141826E-2</v>
      </c>
      <c r="L2339" t="s">
        <v>166</v>
      </c>
      <c r="N2339" t="s">
        <v>297</v>
      </c>
      <c r="O2339" t="s">
        <v>175</v>
      </c>
      <c r="P2339">
        <v>2.2062783058499773E-2</v>
      </c>
      <c r="Q2339" t="s">
        <v>166</v>
      </c>
    </row>
    <row r="2340" spans="9:17" x14ac:dyDescent="0.45">
      <c r="I2340" t="s">
        <v>232</v>
      </c>
      <c r="J2340" t="s">
        <v>176</v>
      </c>
      <c r="K2340">
        <v>8.3448117470721565E-3</v>
      </c>
      <c r="L2340" t="s">
        <v>166</v>
      </c>
      <c r="N2340" t="s">
        <v>297</v>
      </c>
      <c r="O2340" t="s">
        <v>176</v>
      </c>
      <c r="P2340">
        <v>1.889801472545671E-3</v>
      </c>
      <c r="Q2340" t="s">
        <v>166</v>
      </c>
    </row>
    <row r="2341" spans="9:17" x14ac:dyDescent="0.45">
      <c r="I2341" t="s">
        <v>232</v>
      </c>
      <c r="J2341" t="s">
        <v>177</v>
      </c>
      <c r="K2341">
        <v>4.750163032104348E-2</v>
      </c>
      <c r="L2341" t="s">
        <v>166</v>
      </c>
      <c r="N2341" t="s">
        <v>297</v>
      </c>
      <c r="O2341" t="s">
        <v>177</v>
      </c>
      <c r="P2341">
        <v>1.9479703210754654E-2</v>
      </c>
      <c r="Q2341" t="s">
        <v>166</v>
      </c>
    </row>
    <row r="2342" spans="9:17" x14ac:dyDescent="0.45">
      <c r="I2342" t="s">
        <v>232</v>
      </c>
      <c r="J2342" t="s">
        <v>342</v>
      </c>
      <c r="K2342">
        <v>4.7107359320450615E-3</v>
      </c>
      <c r="L2342" t="s">
        <v>166</v>
      </c>
      <c r="N2342" t="s">
        <v>297</v>
      </c>
      <c r="O2342" t="s">
        <v>342</v>
      </c>
      <c r="P2342">
        <v>3.0110740247315734E-3</v>
      </c>
      <c r="Q2342" t="s">
        <v>166</v>
      </c>
    </row>
    <row r="2343" spans="9:17" x14ac:dyDescent="0.45">
      <c r="I2343" t="s">
        <v>232</v>
      </c>
      <c r="J2343" t="s">
        <v>343</v>
      </c>
      <c r="K2343">
        <v>2.4169153818241803E-3</v>
      </c>
      <c r="L2343" t="s">
        <v>166</v>
      </c>
      <c r="N2343" t="s">
        <v>297</v>
      </c>
      <c r="O2343" t="s">
        <v>343</v>
      </c>
      <c r="P2343">
        <v>2.7550039143074802E-3</v>
      </c>
      <c r="Q2343" t="s">
        <v>166</v>
      </c>
    </row>
    <row r="2344" spans="9:17" x14ac:dyDescent="0.45">
      <c r="I2344" t="s">
        <v>232</v>
      </c>
      <c r="J2344" t="s">
        <v>344</v>
      </c>
      <c r="K2344">
        <v>0</v>
      </c>
      <c r="L2344" t="s">
        <v>166</v>
      </c>
      <c r="N2344" t="s">
        <v>297</v>
      </c>
      <c r="O2344" t="s">
        <v>344</v>
      </c>
      <c r="P2344">
        <v>1.7306076011062665E-2</v>
      </c>
      <c r="Q2344" t="s">
        <v>166</v>
      </c>
    </row>
    <row r="2345" spans="9:17" x14ac:dyDescent="0.45">
      <c r="I2345" t="s">
        <v>232</v>
      </c>
      <c r="J2345" t="s">
        <v>345</v>
      </c>
      <c r="K2345">
        <v>4.6088727388229195E-2</v>
      </c>
      <c r="L2345" t="s">
        <v>166</v>
      </c>
      <c r="N2345" t="s">
        <v>297</v>
      </c>
      <c r="O2345" t="s">
        <v>345</v>
      </c>
      <c r="P2345">
        <v>3.8925776001937723E-2</v>
      </c>
      <c r="Q2345" t="s">
        <v>166</v>
      </c>
    </row>
    <row r="2346" spans="9:17" x14ac:dyDescent="0.45">
      <c r="I2346" t="s">
        <v>232</v>
      </c>
      <c r="J2346" t="s">
        <v>346</v>
      </c>
      <c r="K2346">
        <v>1.6669099770252358E-2</v>
      </c>
      <c r="L2346" t="s">
        <v>166</v>
      </c>
      <c r="N2346" t="s">
        <v>297</v>
      </c>
      <c r="O2346" t="s">
        <v>346</v>
      </c>
      <c r="P2346">
        <v>3.4347289736431294E-3</v>
      </c>
      <c r="Q2346" t="s">
        <v>166</v>
      </c>
    </row>
    <row r="2347" spans="9:17" x14ac:dyDescent="0.45">
      <c r="I2347" t="s">
        <v>232</v>
      </c>
      <c r="J2347" t="s">
        <v>347</v>
      </c>
      <c r="K2347">
        <v>9.2874961428520295E-2</v>
      </c>
      <c r="L2347" t="s">
        <v>166</v>
      </c>
      <c r="N2347" t="s">
        <v>297</v>
      </c>
      <c r="O2347" t="s">
        <v>347</v>
      </c>
      <c r="P2347">
        <v>3.7986814331757053E-2</v>
      </c>
      <c r="Q2347" t="s">
        <v>166</v>
      </c>
    </row>
    <row r="2348" spans="9:17" x14ac:dyDescent="0.45">
      <c r="I2348" t="s">
        <v>232</v>
      </c>
      <c r="J2348" t="s">
        <v>348</v>
      </c>
      <c r="K2348">
        <v>8.624931298454739E-3</v>
      </c>
      <c r="L2348" t="s">
        <v>166</v>
      </c>
      <c r="N2348" t="s">
        <v>297</v>
      </c>
      <c r="O2348" t="s">
        <v>348</v>
      </c>
      <c r="P2348">
        <v>6.9991510395927756E-3</v>
      </c>
      <c r="Q2348" t="s">
        <v>166</v>
      </c>
    </row>
    <row r="2349" spans="9:17" x14ac:dyDescent="0.45">
      <c r="I2349" t="s">
        <v>232</v>
      </c>
      <c r="J2349" t="s">
        <v>349</v>
      </c>
      <c r="K2349">
        <v>3.0149095333978611E-3</v>
      </c>
      <c r="L2349" t="s">
        <v>166</v>
      </c>
      <c r="N2349" t="s">
        <v>297</v>
      </c>
      <c r="O2349" t="s">
        <v>349</v>
      </c>
      <c r="P2349">
        <v>6.0827633573462487E-3</v>
      </c>
      <c r="Q2349" t="s">
        <v>166</v>
      </c>
    </row>
    <row r="2350" spans="9:17" x14ac:dyDescent="0.45">
      <c r="I2350" t="s">
        <v>232</v>
      </c>
      <c r="J2350" t="s">
        <v>350</v>
      </c>
      <c r="K2350">
        <v>0</v>
      </c>
      <c r="L2350" t="s">
        <v>166</v>
      </c>
      <c r="N2350" t="s">
        <v>297</v>
      </c>
      <c r="O2350" t="s">
        <v>350</v>
      </c>
      <c r="P2350">
        <v>3.2453516172554368E-2</v>
      </c>
      <c r="Q2350" t="s">
        <v>166</v>
      </c>
    </row>
    <row r="2351" spans="9:17" x14ac:dyDescent="0.45">
      <c r="I2351" t="s">
        <v>232</v>
      </c>
      <c r="J2351" t="s">
        <v>351</v>
      </c>
      <c r="K2351">
        <v>2.2296643880093777E-2</v>
      </c>
      <c r="L2351" t="s">
        <v>166</v>
      </c>
      <c r="N2351" t="s">
        <v>297</v>
      </c>
      <c r="O2351" t="s">
        <v>351</v>
      </c>
      <c r="P2351">
        <v>1.4504615525909339E-2</v>
      </c>
      <c r="Q2351" t="s">
        <v>166</v>
      </c>
    </row>
    <row r="2352" spans="9:17" x14ac:dyDescent="0.45">
      <c r="I2352" t="s">
        <v>232</v>
      </c>
      <c r="J2352" t="s">
        <v>352</v>
      </c>
      <c r="K2352">
        <v>8.3928883369070641E-3</v>
      </c>
      <c r="L2352" t="s">
        <v>166</v>
      </c>
      <c r="N2352" t="s">
        <v>297</v>
      </c>
      <c r="O2352" t="s">
        <v>352</v>
      </c>
      <c r="P2352">
        <v>1.1245023166579001E-3</v>
      </c>
      <c r="Q2352" t="s">
        <v>166</v>
      </c>
    </row>
    <row r="2353" spans="9:17" x14ac:dyDescent="0.45">
      <c r="I2353" t="s">
        <v>232</v>
      </c>
      <c r="J2353" t="s">
        <v>353</v>
      </c>
      <c r="K2353">
        <v>4.4791776599078625E-2</v>
      </c>
      <c r="L2353" t="s">
        <v>166</v>
      </c>
      <c r="N2353" t="s">
        <v>297</v>
      </c>
      <c r="O2353" t="s">
        <v>353</v>
      </c>
      <c r="P2353">
        <v>1.7880577323871251E-2</v>
      </c>
      <c r="Q2353" t="s">
        <v>166</v>
      </c>
    </row>
    <row r="2354" spans="9:17" x14ac:dyDescent="0.45">
      <c r="I2354" t="s">
        <v>232</v>
      </c>
      <c r="J2354" t="s">
        <v>354</v>
      </c>
      <c r="K2354">
        <v>3.2479831641813658E-3</v>
      </c>
      <c r="L2354" t="s">
        <v>166</v>
      </c>
      <c r="N2354" t="s">
        <v>297</v>
      </c>
      <c r="O2354" t="s">
        <v>354</v>
      </c>
      <c r="P2354">
        <v>2.9891050373062732E-3</v>
      </c>
      <c r="Q2354" t="s">
        <v>166</v>
      </c>
    </row>
    <row r="2355" spans="9:17" x14ac:dyDescent="0.45">
      <c r="I2355" t="s">
        <v>232</v>
      </c>
      <c r="J2355" t="s">
        <v>355</v>
      </c>
      <c r="K2355">
        <v>0</v>
      </c>
      <c r="L2355" t="s">
        <v>166</v>
      </c>
      <c r="N2355" t="s">
        <v>297</v>
      </c>
      <c r="O2355" t="s">
        <v>355</v>
      </c>
      <c r="P2355">
        <v>2.420517784096137E-3</v>
      </c>
      <c r="Q2355" t="s">
        <v>166</v>
      </c>
    </row>
    <row r="2356" spans="9:17" x14ac:dyDescent="0.45">
      <c r="I2356" t="s">
        <v>232</v>
      </c>
      <c r="J2356" t="s">
        <v>356</v>
      </c>
      <c r="K2356">
        <v>0</v>
      </c>
      <c r="L2356" t="s">
        <v>166</v>
      </c>
      <c r="N2356" t="s">
        <v>297</v>
      </c>
      <c r="O2356" t="s">
        <v>356</v>
      </c>
      <c r="P2356">
        <v>1.0744422203764174E-2</v>
      </c>
      <c r="Q2356" t="s">
        <v>166</v>
      </c>
    </row>
    <row r="2357" spans="9:17" x14ac:dyDescent="0.45">
      <c r="I2357" t="s">
        <v>232</v>
      </c>
      <c r="J2357" t="s">
        <v>357</v>
      </c>
      <c r="K2357">
        <v>3.6591781654487746E-2</v>
      </c>
      <c r="L2357" t="s">
        <v>166</v>
      </c>
      <c r="N2357" t="s">
        <v>297</v>
      </c>
      <c r="O2357" t="s">
        <v>357</v>
      </c>
      <c r="P2357">
        <v>4.8951731599796905E-2</v>
      </c>
      <c r="Q2357" t="s">
        <v>166</v>
      </c>
    </row>
    <row r="2358" spans="9:17" x14ac:dyDescent="0.45">
      <c r="I2358" t="s">
        <v>232</v>
      </c>
      <c r="J2358" t="s">
        <v>358</v>
      </c>
      <c r="K2358">
        <v>1.6105984540332158E-2</v>
      </c>
      <c r="L2358" t="s">
        <v>166</v>
      </c>
      <c r="N2358" t="s">
        <v>297</v>
      </c>
      <c r="O2358" t="s">
        <v>358</v>
      </c>
      <c r="P2358">
        <v>4.6230186424389627E-3</v>
      </c>
      <c r="Q2358" t="s">
        <v>166</v>
      </c>
    </row>
    <row r="2359" spans="9:17" x14ac:dyDescent="0.45">
      <c r="I2359" t="s">
        <v>232</v>
      </c>
      <c r="J2359" t="s">
        <v>359</v>
      </c>
      <c r="K2359">
        <v>8.3359275916406655E-2</v>
      </c>
      <c r="L2359" t="s">
        <v>166</v>
      </c>
      <c r="N2359" t="s">
        <v>297</v>
      </c>
      <c r="O2359" t="s">
        <v>359</v>
      </c>
      <c r="P2359">
        <v>3.6572054018128124E-2</v>
      </c>
      <c r="Q2359" t="s">
        <v>166</v>
      </c>
    </row>
    <row r="2360" spans="9:17" x14ac:dyDescent="0.45">
      <c r="I2360" t="s">
        <v>232</v>
      </c>
      <c r="J2360" t="s">
        <v>360</v>
      </c>
      <c r="K2360">
        <v>2.98416056727077E-4</v>
      </c>
      <c r="L2360" t="s">
        <v>166</v>
      </c>
      <c r="N2360" t="s">
        <v>297</v>
      </c>
      <c r="O2360" t="s">
        <v>360</v>
      </c>
      <c r="P2360">
        <v>5.3882166313516371E-3</v>
      </c>
      <c r="Q2360" t="s">
        <v>166</v>
      </c>
    </row>
    <row r="2361" spans="9:17" x14ac:dyDescent="0.45">
      <c r="I2361" t="s">
        <v>232</v>
      </c>
      <c r="J2361" t="s">
        <v>361</v>
      </c>
      <c r="K2361">
        <v>0</v>
      </c>
      <c r="L2361" t="s">
        <v>166</v>
      </c>
      <c r="N2361" t="s">
        <v>297</v>
      </c>
      <c r="O2361" t="s">
        <v>361</v>
      </c>
      <c r="P2361">
        <v>5.3691896288383953E-3</v>
      </c>
      <c r="Q2361" t="s">
        <v>166</v>
      </c>
    </row>
    <row r="2362" spans="9:17" x14ac:dyDescent="0.45">
      <c r="I2362" t="s">
        <v>232</v>
      </c>
      <c r="J2362" t="s">
        <v>362</v>
      </c>
      <c r="K2362">
        <v>0</v>
      </c>
      <c r="L2362" t="s">
        <v>166</v>
      </c>
      <c r="N2362" t="s">
        <v>297</v>
      </c>
      <c r="O2362" t="s">
        <v>362</v>
      </c>
      <c r="P2362">
        <v>2.9981697320077542E-2</v>
      </c>
      <c r="Q2362" t="s">
        <v>166</v>
      </c>
    </row>
    <row r="2363" spans="9:17" x14ac:dyDescent="0.45">
      <c r="I2363" t="s">
        <v>233</v>
      </c>
      <c r="J2363" t="s">
        <v>165</v>
      </c>
      <c r="K2363">
        <v>6.2181608029655867E-2</v>
      </c>
      <c r="L2363" t="s">
        <v>166</v>
      </c>
      <c r="N2363" t="s">
        <v>298</v>
      </c>
      <c r="O2363" t="s">
        <v>165</v>
      </c>
      <c r="P2363">
        <v>0.10498651579797971</v>
      </c>
      <c r="Q2363" t="s">
        <v>166</v>
      </c>
    </row>
    <row r="2364" spans="9:17" x14ac:dyDescent="0.45">
      <c r="I2364" t="s">
        <v>233</v>
      </c>
      <c r="J2364" t="s">
        <v>167</v>
      </c>
      <c r="K2364">
        <v>2.6666537584842425E-2</v>
      </c>
      <c r="L2364" t="s">
        <v>166</v>
      </c>
      <c r="N2364" t="s">
        <v>298</v>
      </c>
      <c r="O2364" t="s">
        <v>167</v>
      </c>
      <c r="P2364">
        <v>7.249107872188125E-3</v>
      </c>
      <c r="Q2364" t="s">
        <v>166</v>
      </c>
    </row>
    <row r="2365" spans="9:17" x14ac:dyDescent="0.45">
      <c r="I2365" t="s">
        <v>233</v>
      </c>
      <c r="J2365" t="s">
        <v>168</v>
      </c>
      <c r="K2365">
        <v>0.14393242370341408</v>
      </c>
      <c r="L2365" t="s">
        <v>166</v>
      </c>
      <c r="N2365" t="s">
        <v>298</v>
      </c>
      <c r="O2365" t="s">
        <v>168</v>
      </c>
      <c r="P2365">
        <v>6.1628736246241857E-2</v>
      </c>
      <c r="Q2365" t="s">
        <v>166</v>
      </c>
    </row>
    <row r="2366" spans="9:17" x14ac:dyDescent="0.45">
      <c r="I2366" t="s">
        <v>233</v>
      </c>
      <c r="J2366" t="s">
        <v>333</v>
      </c>
      <c r="K2366">
        <v>1.1518438807951621E-2</v>
      </c>
      <c r="L2366" t="s">
        <v>166</v>
      </c>
      <c r="N2366" t="s">
        <v>298</v>
      </c>
      <c r="O2366" t="s">
        <v>333</v>
      </c>
      <c r="P2366">
        <v>1.0797541655352636E-2</v>
      </c>
      <c r="Q2366" t="s">
        <v>166</v>
      </c>
    </row>
    <row r="2367" spans="9:17" x14ac:dyDescent="0.45">
      <c r="I2367" t="s">
        <v>233</v>
      </c>
      <c r="J2367" t="s">
        <v>334</v>
      </c>
      <c r="K2367">
        <v>7.8137278801753915E-5</v>
      </c>
      <c r="L2367" t="s">
        <v>166</v>
      </c>
      <c r="N2367" t="s">
        <v>298</v>
      </c>
      <c r="O2367" t="s">
        <v>334</v>
      </c>
      <c r="P2367">
        <v>1.0192966353157249E-2</v>
      </c>
      <c r="Q2367" t="s">
        <v>166</v>
      </c>
    </row>
    <row r="2368" spans="9:17" x14ac:dyDescent="0.45">
      <c r="I2368" t="s">
        <v>233</v>
      </c>
      <c r="J2368" t="s">
        <v>335</v>
      </c>
      <c r="K2368">
        <v>0</v>
      </c>
      <c r="L2368" t="s">
        <v>166</v>
      </c>
      <c r="N2368" t="s">
        <v>298</v>
      </c>
      <c r="O2368" t="s">
        <v>335</v>
      </c>
      <c r="P2368">
        <v>5.8852104637592009E-2</v>
      </c>
      <c r="Q2368" t="s">
        <v>166</v>
      </c>
    </row>
    <row r="2369" spans="9:17" x14ac:dyDescent="0.45">
      <c r="I2369" t="s">
        <v>233</v>
      </c>
      <c r="J2369" t="s">
        <v>169</v>
      </c>
      <c r="K2369">
        <v>5.5454392131748534E-2</v>
      </c>
      <c r="L2369" t="s">
        <v>166</v>
      </c>
      <c r="N2369" t="s">
        <v>298</v>
      </c>
      <c r="O2369" t="s">
        <v>169</v>
      </c>
      <c r="P2369">
        <v>0.10932124469141236</v>
      </c>
      <c r="Q2369" t="s">
        <v>166</v>
      </c>
    </row>
    <row r="2370" spans="9:17" x14ac:dyDescent="0.45">
      <c r="I2370" t="s">
        <v>233</v>
      </c>
      <c r="J2370" t="s">
        <v>170</v>
      </c>
      <c r="K2370">
        <v>1.8456617230310595E-2</v>
      </c>
      <c r="L2370" t="s">
        <v>166</v>
      </c>
      <c r="N2370" t="s">
        <v>298</v>
      </c>
      <c r="O2370" t="s">
        <v>170</v>
      </c>
      <c r="P2370">
        <v>7.1364395129989077E-3</v>
      </c>
      <c r="Q2370" t="s">
        <v>166</v>
      </c>
    </row>
    <row r="2371" spans="9:17" x14ac:dyDescent="0.45">
      <c r="I2371" t="s">
        <v>233</v>
      </c>
      <c r="J2371" t="s">
        <v>171</v>
      </c>
      <c r="K2371">
        <v>0.10326739025443166</v>
      </c>
      <c r="L2371" t="s">
        <v>166</v>
      </c>
      <c r="N2371" t="s">
        <v>298</v>
      </c>
      <c r="O2371" t="s">
        <v>171</v>
      </c>
      <c r="P2371">
        <v>3.2996185297184781E-2</v>
      </c>
      <c r="Q2371" t="s">
        <v>166</v>
      </c>
    </row>
    <row r="2372" spans="9:17" x14ac:dyDescent="0.45">
      <c r="I2372" t="s">
        <v>233</v>
      </c>
      <c r="J2372" t="s">
        <v>336</v>
      </c>
      <c r="K2372">
        <v>1.051341241485E-2</v>
      </c>
      <c r="L2372" t="s">
        <v>166</v>
      </c>
      <c r="N2372" t="s">
        <v>298</v>
      </c>
      <c r="O2372" t="s">
        <v>336</v>
      </c>
      <c r="P2372">
        <v>5.949715229516408E-3</v>
      </c>
      <c r="Q2372" t="s">
        <v>166</v>
      </c>
    </row>
    <row r="2373" spans="9:17" x14ac:dyDescent="0.45">
      <c r="I2373" t="s">
        <v>233</v>
      </c>
      <c r="J2373" t="s">
        <v>337</v>
      </c>
      <c r="K2373">
        <v>5.3883378621448139E-3</v>
      </c>
      <c r="L2373" t="s">
        <v>166</v>
      </c>
      <c r="N2373" t="s">
        <v>298</v>
      </c>
      <c r="O2373" t="s">
        <v>337</v>
      </c>
      <c r="P2373">
        <v>6.3669501700098904E-3</v>
      </c>
      <c r="Q2373" t="s">
        <v>166</v>
      </c>
    </row>
    <row r="2374" spans="9:17" x14ac:dyDescent="0.45">
      <c r="I2374" t="s">
        <v>233</v>
      </c>
      <c r="J2374" t="s">
        <v>338</v>
      </c>
      <c r="K2374">
        <v>0</v>
      </c>
      <c r="L2374" t="s">
        <v>166</v>
      </c>
      <c r="N2374" t="s">
        <v>298</v>
      </c>
      <c r="O2374" t="s">
        <v>338</v>
      </c>
      <c r="P2374">
        <v>4.8384770339703523E-2</v>
      </c>
      <c r="Q2374" t="s">
        <v>166</v>
      </c>
    </row>
    <row r="2375" spans="9:17" x14ac:dyDescent="0.45">
      <c r="I2375" t="s">
        <v>233</v>
      </c>
      <c r="J2375" t="s">
        <v>172</v>
      </c>
      <c r="K2375">
        <v>2.7136790400690565E-2</v>
      </c>
      <c r="L2375" t="s">
        <v>166</v>
      </c>
      <c r="N2375" t="s">
        <v>298</v>
      </c>
      <c r="O2375" t="s">
        <v>172</v>
      </c>
      <c r="P2375">
        <v>6.2218479179273277E-2</v>
      </c>
      <c r="Q2375" t="s">
        <v>166</v>
      </c>
    </row>
    <row r="2376" spans="9:17" x14ac:dyDescent="0.45">
      <c r="I2376" t="s">
        <v>233</v>
      </c>
      <c r="J2376" t="s">
        <v>173</v>
      </c>
      <c r="K2376">
        <v>8.6738411058711763E-3</v>
      </c>
      <c r="L2376" t="s">
        <v>166</v>
      </c>
      <c r="N2376" t="s">
        <v>298</v>
      </c>
      <c r="O2376" t="s">
        <v>173</v>
      </c>
      <c r="P2376">
        <v>4.5234780573181919E-3</v>
      </c>
      <c r="Q2376" t="s">
        <v>166</v>
      </c>
    </row>
    <row r="2377" spans="9:17" x14ac:dyDescent="0.45">
      <c r="I2377" t="s">
        <v>233</v>
      </c>
      <c r="J2377" t="s">
        <v>174</v>
      </c>
      <c r="K2377">
        <v>4.8978440673926829E-2</v>
      </c>
      <c r="L2377" t="s">
        <v>166</v>
      </c>
      <c r="N2377" t="s">
        <v>298</v>
      </c>
      <c r="O2377" t="s">
        <v>174</v>
      </c>
      <c r="P2377">
        <v>2.0208850145627576E-2</v>
      </c>
      <c r="Q2377" t="s">
        <v>166</v>
      </c>
    </row>
    <row r="2378" spans="9:17" x14ac:dyDescent="0.45">
      <c r="I2378" t="s">
        <v>233</v>
      </c>
      <c r="J2378" t="s">
        <v>339</v>
      </c>
      <c r="K2378">
        <v>5.1724738008243985E-3</v>
      </c>
      <c r="L2378" t="s">
        <v>166</v>
      </c>
      <c r="N2378" t="s">
        <v>298</v>
      </c>
      <c r="O2378" t="s">
        <v>339</v>
      </c>
      <c r="P2378">
        <v>2.7520634889511542E-3</v>
      </c>
      <c r="Q2378" t="s">
        <v>166</v>
      </c>
    </row>
    <row r="2379" spans="9:17" x14ac:dyDescent="0.45">
      <c r="I2379" t="s">
        <v>233</v>
      </c>
      <c r="J2379" t="s">
        <v>340</v>
      </c>
      <c r="K2379">
        <v>2.8260427809113993E-3</v>
      </c>
      <c r="L2379" t="s">
        <v>166</v>
      </c>
      <c r="N2379" t="s">
        <v>298</v>
      </c>
      <c r="O2379" t="s">
        <v>340</v>
      </c>
      <c r="P2379">
        <v>2.8018556922665282E-3</v>
      </c>
      <c r="Q2379" t="s">
        <v>166</v>
      </c>
    </row>
    <row r="2380" spans="9:17" x14ac:dyDescent="0.45">
      <c r="I2380" t="s">
        <v>233</v>
      </c>
      <c r="J2380" t="s">
        <v>341</v>
      </c>
      <c r="K2380">
        <v>0</v>
      </c>
      <c r="L2380" t="s">
        <v>166</v>
      </c>
      <c r="N2380" t="s">
        <v>298</v>
      </c>
      <c r="O2380" t="s">
        <v>341</v>
      </c>
      <c r="P2380">
        <v>2.2072905437094628E-2</v>
      </c>
      <c r="Q2380" t="s">
        <v>166</v>
      </c>
    </row>
    <row r="2381" spans="9:17" x14ac:dyDescent="0.45">
      <c r="I2381" t="s">
        <v>233</v>
      </c>
      <c r="J2381" t="s">
        <v>175</v>
      </c>
      <c r="K2381">
        <v>2.3807632878826132E-2</v>
      </c>
      <c r="L2381" t="s">
        <v>166</v>
      </c>
      <c r="N2381" t="s">
        <v>298</v>
      </c>
      <c r="O2381" t="s">
        <v>175</v>
      </c>
      <c r="P2381">
        <v>4.084723688057583E-2</v>
      </c>
      <c r="Q2381" t="s">
        <v>166</v>
      </c>
    </row>
    <row r="2382" spans="9:17" x14ac:dyDescent="0.45">
      <c r="I2382" t="s">
        <v>233</v>
      </c>
      <c r="J2382" t="s">
        <v>176</v>
      </c>
      <c r="K2382">
        <v>8.399836270709761E-3</v>
      </c>
      <c r="L2382" t="s">
        <v>166</v>
      </c>
      <c r="N2382" t="s">
        <v>298</v>
      </c>
      <c r="O2382" t="s">
        <v>176</v>
      </c>
      <c r="P2382">
        <v>2.2562393320767404E-3</v>
      </c>
      <c r="Q2382" t="s">
        <v>166</v>
      </c>
    </row>
    <row r="2383" spans="9:17" x14ac:dyDescent="0.45">
      <c r="I2383" t="s">
        <v>233</v>
      </c>
      <c r="J2383" t="s">
        <v>177</v>
      </c>
      <c r="K2383">
        <v>4.7293849528580588E-2</v>
      </c>
      <c r="L2383" t="s">
        <v>166</v>
      </c>
      <c r="N2383" t="s">
        <v>298</v>
      </c>
      <c r="O2383" t="s">
        <v>177</v>
      </c>
      <c r="P2383">
        <v>1.5016750442433091E-2</v>
      </c>
      <c r="Q2383" t="s">
        <v>166</v>
      </c>
    </row>
    <row r="2384" spans="9:17" x14ac:dyDescent="0.45">
      <c r="I2384" t="s">
        <v>233</v>
      </c>
      <c r="J2384" t="s">
        <v>342</v>
      </c>
      <c r="K2384">
        <v>4.5914563897928714E-3</v>
      </c>
      <c r="L2384" t="s">
        <v>166</v>
      </c>
      <c r="N2384" t="s">
        <v>298</v>
      </c>
      <c r="O2384" t="s">
        <v>342</v>
      </c>
      <c r="P2384">
        <v>2.7418434132371627E-3</v>
      </c>
      <c r="Q2384" t="s">
        <v>166</v>
      </c>
    </row>
    <row r="2385" spans="9:17" x14ac:dyDescent="0.45">
      <c r="I2385" t="s">
        <v>233</v>
      </c>
      <c r="J2385" t="s">
        <v>343</v>
      </c>
      <c r="K2385">
        <v>2.3381802588102124E-3</v>
      </c>
      <c r="L2385" t="s">
        <v>166</v>
      </c>
      <c r="N2385" t="s">
        <v>298</v>
      </c>
      <c r="O2385" t="s">
        <v>343</v>
      </c>
      <c r="P2385">
        <v>2.6496601105424167E-3</v>
      </c>
      <c r="Q2385" t="s">
        <v>166</v>
      </c>
    </row>
    <row r="2386" spans="9:17" x14ac:dyDescent="0.45">
      <c r="I2386" t="s">
        <v>233</v>
      </c>
      <c r="J2386" t="s">
        <v>344</v>
      </c>
      <c r="K2386">
        <v>0</v>
      </c>
      <c r="L2386" t="s">
        <v>166</v>
      </c>
      <c r="N2386" t="s">
        <v>298</v>
      </c>
      <c r="O2386" t="s">
        <v>344</v>
      </c>
      <c r="P2386">
        <v>1.9995908985440406E-2</v>
      </c>
      <c r="Q2386" t="s">
        <v>166</v>
      </c>
    </row>
    <row r="2387" spans="9:17" x14ac:dyDescent="0.45">
      <c r="I2387" t="s">
        <v>233</v>
      </c>
      <c r="J2387" t="s">
        <v>345</v>
      </c>
      <c r="K2387">
        <v>4.670535371732084E-2</v>
      </c>
      <c r="L2387" t="s">
        <v>166</v>
      </c>
      <c r="N2387" t="s">
        <v>298</v>
      </c>
      <c r="O2387" t="s">
        <v>345</v>
      </c>
      <c r="P2387">
        <v>6.0174814548474308E-2</v>
      </c>
      <c r="Q2387" t="s">
        <v>166</v>
      </c>
    </row>
    <row r="2388" spans="9:17" x14ac:dyDescent="0.45">
      <c r="I2388" t="s">
        <v>233</v>
      </c>
      <c r="J2388" t="s">
        <v>346</v>
      </c>
      <c r="K2388">
        <v>1.6639512794912908E-2</v>
      </c>
      <c r="L2388" t="s">
        <v>166</v>
      </c>
      <c r="N2388" t="s">
        <v>298</v>
      </c>
      <c r="O2388" t="s">
        <v>346</v>
      </c>
      <c r="P2388">
        <v>4.2335012121790276E-3</v>
      </c>
      <c r="Q2388" t="s">
        <v>166</v>
      </c>
    </row>
    <row r="2389" spans="9:17" x14ac:dyDescent="0.45">
      <c r="I2389" t="s">
        <v>233</v>
      </c>
      <c r="J2389" t="s">
        <v>347</v>
      </c>
      <c r="K2389">
        <v>9.1697874125048567E-2</v>
      </c>
      <c r="L2389" t="s">
        <v>166</v>
      </c>
      <c r="N2389" t="s">
        <v>298</v>
      </c>
      <c r="O2389" t="s">
        <v>347</v>
      </c>
      <c r="P2389">
        <v>3.6408065603107595E-2</v>
      </c>
      <c r="Q2389" t="s">
        <v>166</v>
      </c>
    </row>
    <row r="2390" spans="9:17" x14ac:dyDescent="0.45">
      <c r="I2390" t="s">
        <v>233</v>
      </c>
      <c r="J2390" t="s">
        <v>348</v>
      </c>
      <c r="K2390">
        <v>8.3308867072859772E-3</v>
      </c>
      <c r="L2390" t="s">
        <v>166</v>
      </c>
      <c r="N2390" t="s">
        <v>298</v>
      </c>
      <c r="O2390" t="s">
        <v>348</v>
      </c>
      <c r="P2390">
        <v>7.119208463622022E-3</v>
      </c>
      <c r="Q2390" t="s">
        <v>166</v>
      </c>
    </row>
    <row r="2391" spans="9:17" x14ac:dyDescent="0.45">
      <c r="I2391" t="s">
        <v>233</v>
      </c>
      <c r="J2391" t="s">
        <v>349</v>
      </c>
      <c r="K2391">
        <v>2.6968258263947898E-3</v>
      </c>
      <c r="L2391" t="s">
        <v>166</v>
      </c>
      <c r="N2391" t="s">
        <v>298</v>
      </c>
      <c r="O2391" t="s">
        <v>349</v>
      </c>
      <c r="P2391">
        <v>6.8228207262540173E-3</v>
      </c>
      <c r="Q2391" t="s">
        <v>166</v>
      </c>
    </row>
    <row r="2392" spans="9:17" x14ac:dyDescent="0.45">
      <c r="I2392" t="s">
        <v>233</v>
      </c>
      <c r="J2392" t="s">
        <v>350</v>
      </c>
      <c r="K2392">
        <v>0</v>
      </c>
      <c r="L2392" t="s">
        <v>166</v>
      </c>
      <c r="N2392" t="s">
        <v>298</v>
      </c>
      <c r="O2392" t="s">
        <v>350</v>
      </c>
      <c r="P2392">
        <v>3.9555069339124144E-2</v>
      </c>
      <c r="Q2392" t="s">
        <v>166</v>
      </c>
    </row>
    <row r="2393" spans="9:17" x14ac:dyDescent="0.45">
      <c r="I2393" t="s">
        <v>233</v>
      </c>
      <c r="J2393" t="s">
        <v>351</v>
      </c>
      <c r="K2393">
        <v>2.3554818121408999E-2</v>
      </c>
      <c r="L2393" t="s">
        <v>166</v>
      </c>
      <c r="N2393" t="s">
        <v>298</v>
      </c>
      <c r="O2393" t="s">
        <v>351</v>
      </c>
      <c r="P2393">
        <v>2.5215129324508229E-2</v>
      </c>
      <c r="Q2393" t="s">
        <v>166</v>
      </c>
    </row>
    <row r="2394" spans="9:17" x14ac:dyDescent="0.45">
      <c r="I2394" t="s">
        <v>233</v>
      </c>
      <c r="J2394" t="s">
        <v>352</v>
      </c>
      <c r="K2394">
        <v>8.3790013346839998E-3</v>
      </c>
      <c r="L2394" t="s">
        <v>166</v>
      </c>
      <c r="N2394" t="s">
        <v>298</v>
      </c>
      <c r="O2394" t="s">
        <v>352</v>
      </c>
      <c r="P2394">
        <v>1.311015960502765E-3</v>
      </c>
      <c r="Q2394" t="s">
        <v>166</v>
      </c>
    </row>
    <row r="2395" spans="9:17" x14ac:dyDescent="0.45">
      <c r="I2395" t="s">
        <v>233</v>
      </c>
      <c r="J2395" t="s">
        <v>353</v>
      </c>
      <c r="K2395">
        <v>4.4399533386060445E-2</v>
      </c>
      <c r="L2395" t="s">
        <v>166</v>
      </c>
      <c r="N2395" t="s">
        <v>298</v>
      </c>
      <c r="O2395" t="s">
        <v>353</v>
      </c>
      <c r="P2395">
        <v>1.8309398658627251E-2</v>
      </c>
      <c r="Q2395" t="s">
        <v>166</v>
      </c>
    </row>
    <row r="2396" spans="9:17" x14ac:dyDescent="0.45">
      <c r="I2396" t="s">
        <v>233</v>
      </c>
      <c r="J2396" t="s">
        <v>354</v>
      </c>
      <c r="K2396">
        <v>2.9164230859052326E-3</v>
      </c>
      <c r="L2396" t="s">
        <v>166</v>
      </c>
      <c r="N2396" t="s">
        <v>298</v>
      </c>
      <c r="O2396" t="s">
        <v>354</v>
      </c>
      <c r="P2396">
        <v>3.7958418270617579E-3</v>
      </c>
      <c r="Q2396" t="s">
        <v>166</v>
      </c>
    </row>
    <row r="2397" spans="9:17" x14ac:dyDescent="0.45">
      <c r="I2397" t="s">
        <v>233</v>
      </c>
      <c r="J2397" t="s">
        <v>355</v>
      </c>
      <c r="K2397">
        <v>0</v>
      </c>
      <c r="L2397" t="s">
        <v>166</v>
      </c>
      <c r="N2397" t="s">
        <v>298</v>
      </c>
      <c r="O2397" t="s">
        <v>355</v>
      </c>
      <c r="P2397">
        <v>3.1527276835233704E-3</v>
      </c>
      <c r="Q2397" t="s">
        <v>166</v>
      </c>
    </row>
    <row r="2398" spans="9:17" x14ac:dyDescent="0.45">
      <c r="I2398" t="s">
        <v>233</v>
      </c>
      <c r="J2398" t="s">
        <v>356</v>
      </c>
      <c r="K2398">
        <v>0</v>
      </c>
      <c r="L2398" t="s">
        <v>166</v>
      </c>
      <c r="N2398" t="s">
        <v>298</v>
      </c>
      <c r="O2398" t="s">
        <v>356</v>
      </c>
      <c r="P2398">
        <v>1.7255148879637749E-2</v>
      </c>
      <c r="Q2398" t="s">
        <v>166</v>
      </c>
    </row>
    <row r="2399" spans="9:17" x14ac:dyDescent="0.45">
      <c r="I2399" t="s">
        <v>233</v>
      </c>
      <c r="J2399" t="s">
        <v>357</v>
      </c>
      <c r="K2399">
        <v>3.7582112601925455E-2</v>
      </c>
      <c r="L2399" t="s">
        <v>166</v>
      </c>
      <c r="N2399" t="s">
        <v>298</v>
      </c>
      <c r="O2399" t="s">
        <v>357</v>
      </c>
      <c r="P2399">
        <v>4.8076793816063772E-2</v>
      </c>
      <c r="Q2399" t="s">
        <v>166</v>
      </c>
    </row>
    <row r="2400" spans="9:17" x14ac:dyDescent="0.45">
      <c r="I2400" t="s">
        <v>233</v>
      </c>
      <c r="J2400" t="s">
        <v>358</v>
      </c>
      <c r="K2400">
        <v>1.6157868339022011E-2</v>
      </c>
      <c r="L2400" t="s">
        <v>166</v>
      </c>
      <c r="N2400" t="s">
        <v>298</v>
      </c>
      <c r="O2400" t="s">
        <v>358</v>
      </c>
      <c r="P2400">
        <v>3.4927894491055276E-3</v>
      </c>
      <c r="Q2400" t="s">
        <v>166</v>
      </c>
    </row>
    <row r="2401" spans="9:17" x14ac:dyDescent="0.45">
      <c r="I2401" t="s">
        <v>233</v>
      </c>
      <c r="J2401" t="s">
        <v>359</v>
      </c>
      <c r="K2401">
        <v>8.426395057293809E-2</v>
      </c>
      <c r="L2401" t="s">
        <v>166</v>
      </c>
      <c r="N2401" t="s">
        <v>298</v>
      </c>
      <c r="O2401" t="s">
        <v>359</v>
      </c>
      <c r="P2401">
        <v>2.5591123742549408E-2</v>
      </c>
      <c r="Q2401" t="s">
        <v>166</v>
      </c>
    </row>
    <row r="2402" spans="9:17" x14ac:dyDescent="0.45">
      <c r="I2402" t="s">
        <v>233</v>
      </c>
      <c r="J2402" t="s">
        <v>360</v>
      </c>
      <c r="K2402">
        <v>0</v>
      </c>
      <c r="L2402" t="s">
        <v>166</v>
      </c>
      <c r="N2402" t="s">
        <v>298</v>
      </c>
      <c r="O2402" t="s">
        <v>360</v>
      </c>
      <c r="P2402">
        <v>4.2078630717906022E-3</v>
      </c>
      <c r="Q2402" t="s">
        <v>166</v>
      </c>
    </row>
    <row r="2403" spans="9:17" x14ac:dyDescent="0.45">
      <c r="I2403" t="s">
        <v>233</v>
      </c>
      <c r="J2403" t="s">
        <v>361</v>
      </c>
      <c r="K2403">
        <v>0</v>
      </c>
      <c r="L2403" t="s">
        <v>166</v>
      </c>
      <c r="N2403" t="s">
        <v>298</v>
      </c>
      <c r="O2403" t="s">
        <v>361</v>
      </c>
      <c r="P2403">
        <v>4.6689396417255143E-3</v>
      </c>
      <c r="Q2403" t="s">
        <v>166</v>
      </c>
    </row>
    <row r="2404" spans="9:17" x14ac:dyDescent="0.45">
      <c r="I2404" t="s">
        <v>233</v>
      </c>
      <c r="J2404" t="s">
        <v>362</v>
      </c>
      <c r="K2404">
        <v>0</v>
      </c>
      <c r="L2404" t="s">
        <v>166</v>
      </c>
      <c r="N2404" t="s">
        <v>298</v>
      </c>
      <c r="O2404" t="s">
        <v>362</v>
      </c>
      <c r="P2404">
        <v>2.8662199083968262E-2</v>
      </c>
      <c r="Q2404" t="s">
        <v>166</v>
      </c>
    </row>
    <row r="2405" spans="9:17" x14ac:dyDescent="0.45">
      <c r="I2405" t="s">
        <v>234</v>
      </c>
      <c r="J2405" t="s">
        <v>165</v>
      </c>
      <c r="K2405">
        <v>6.1956789525679401E-2</v>
      </c>
      <c r="L2405" t="s">
        <v>166</v>
      </c>
      <c r="N2405" t="s">
        <v>299</v>
      </c>
      <c r="O2405" t="s">
        <v>165</v>
      </c>
      <c r="P2405">
        <v>0.11902908901348846</v>
      </c>
      <c r="Q2405" t="s">
        <v>166</v>
      </c>
    </row>
    <row r="2406" spans="9:17" x14ac:dyDescent="0.45">
      <c r="I2406" t="s">
        <v>234</v>
      </c>
      <c r="J2406" t="s">
        <v>167</v>
      </c>
      <c r="K2406">
        <v>2.7294574627065752E-2</v>
      </c>
      <c r="L2406" t="s">
        <v>166</v>
      </c>
      <c r="N2406" t="s">
        <v>299</v>
      </c>
      <c r="O2406" t="s">
        <v>167</v>
      </c>
      <c r="P2406">
        <v>9.0813800869753089E-3</v>
      </c>
      <c r="Q2406" t="s">
        <v>166</v>
      </c>
    </row>
    <row r="2407" spans="9:17" x14ac:dyDescent="0.45">
      <c r="I2407" t="s">
        <v>234</v>
      </c>
      <c r="J2407" t="s">
        <v>168</v>
      </c>
      <c r="K2407">
        <v>0.14926808557651086</v>
      </c>
      <c r="L2407" t="s">
        <v>166</v>
      </c>
      <c r="N2407" t="s">
        <v>299</v>
      </c>
      <c r="O2407" t="s">
        <v>168</v>
      </c>
      <c r="P2407">
        <v>6.707060483522588E-2</v>
      </c>
      <c r="Q2407" t="s">
        <v>166</v>
      </c>
    </row>
    <row r="2408" spans="9:17" x14ac:dyDescent="0.45">
      <c r="I2408" t="s">
        <v>234</v>
      </c>
      <c r="J2408" t="s">
        <v>333</v>
      </c>
      <c r="K2408">
        <v>1.2076894984453098E-2</v>
      </c>
      <c r="L2408" t="s">
        <v>166</v>
      </c>
      <c r="N2408" t="s">
        <v>299</v>
      </c>
      <c r="O2408" t="s">
        <v>333</v>
      </c>
      <c r="P2408">
        <v>1.1668864926407459E-2</v>
      </c>
      <c r="Q2408" t="s">
        <v>166</v>
      </c>
    </row>
    <row r="2409" spans="9:17" x14ac:dyDescent="0.45">
      <c r="I2409" t="s">
        <v>234</v>
      </c>
      <c r="J2409" t="s">
        <v>334</v>
      </c>
      <c r="K2409">
        <v>5.5265329162647897E-5</v>
      </c>
      <c r="L2409" t="s">
        <v>166</v>
      </c>
      <c r="N2409" t="s">
        <v>299</v>
      </c>
      <c r="O2409" t="s">
        <v>334</v>
      </c>
      <c r="P2409">
        <v>1.1139633499370917E-2</v>
      </c>
      <c r="Q2409" t="s">
        <v>166</v>
      </c>
    </row>
    <row r="2410" spans="9:17" x14ac:dyDescent="0.45">
      <c r="I2410" t="s">
        <v>234</v>
      </c>
      <c r="J2410" t="s">
        <v>335</v>
      </c>
      <c r="K2410">
        <v>0</v>
      </c>
      <c r="L2410" t="s">
        <v>166</v>
      </c>
      <c r="N2410" t="s">
        <v>299</v>
      </c>
      <c r="O2410" t="s">
        <v>335</v>
      </c>
      <c r="P2410">
        <v>6.4079147539922734E-2</v>
      </c>
      <c r="Q2410" t="s">
        <v>166</v>
      </c>
    </row>
    <row r="2411" spans="9:17" x14ac:dyDescent="0.45">
      <c r="I2411" t="s">
        <v>234</v>
      </c>
      <c r="J2411" t="s">
        <v>169</v>
      </c>
      <c r="K2411">
        <v>5.3449006835022114E-2</v>
      </c>
      <c r="L2411" t="s">
        <v>166</v>
      </c>
      <c r="N2411" t="s">
        <v>299</v>
      </c>
      <c r="O2411" t="s">
        <v>169</v>
      </c>
      <c r="P2411">
        <v>9.3734371387613286E-2</v>
      </c>
      <c r="Q2411" t="s">
        <v>166</v>
      </c>
    </row>
    <row r="2412" spans="9:17" x14ac:dyDescent="0.45">
      <c r="I2412" t="s">
        <v>234</v>
      </c>
      <c r="J2412" t="s">
        <v>170</v>
      </c>
      <c r="K2412">
        <v>1.8531281993682171E-2</v>
      </c>
      <c r="L2412" t="s">
        <v>166</v>
      </c>
      <c r="N2412" t="s">
        <v>299</v>
      </c>
      <c r="O2412" t="s">
        <v>170</v>
      </c>
      <c r="P2412">
        <v>6.6951079292964771E-3</v>
      </c>
      <c r="Q2412" t="s">
        <v>166</v>
      </c>
    </row>
    <row r="2413" spans="9:17" x14ac:dyDescent="0.45">
      <c r="I2413" t="s">
        <v>234</v>
      </c>
      <c r="J2413" t="s">
        <v>171</v>
      </c>
      <c r="K2413">
        <v>0.1037175157300763</v>
      </c>
      <c r="L2413" t="s">
        <v>166</v>
      </c>
      <c r="N2413" t="s">
        <v>299</v>
      </c>
      <c r="O2413" t="s">
        <v>171</v>
      </c>
      <c r="P2413">
        <v>3.4201252240518155E-2</v>
      </c>
      <c r="Q2413" t="s">
        <v>166</v>
      </c>
    </row>
    <row r="2414" spans="9:17" x14ac:dyDescent="0.45">
      <c r="I2414" t="s">
        <v>234</v>
      </c>
      <c r="J2414" t="s">
        <v>336</v>
      </c>
      <c r="K2414">
        <v>9.9333545151775969E-3</v>
      </c>
      <c r="L2414" t="s">
        <v>166</v>
      </c>
      <c r="N2414" t="s">
        <v>299</v>
      </c>
      <c r="O2414" t="s">
        <v>336</v>
      </c>
      <c r="P2414">
        <v>6.3276981683532182E-3</v>
      </c>
      <c r="Q2414" t="s">
        <v>166</v>
      </c>
    </row>
    <row r="2415" spans="9:17" x14ac:dyDescent="0.45">
      <c r="I2415" t="s">
        <v>234</v>
      </c>
      <c r="J2415" t="s">
        <v>337</v>
      </c>
      <c r="K2415">
        <v>4.4410025893046878E-3</v>
      </c>
      <c r="L2415" t="s">
        <v>166</v>
      </c>
      <c r="N2415" t="s">
        <v>299</v>
      </c>
      <c r="O2415" t="s">
        <v>337</v>
      </c>
      <c r="P2415">
        <v>6.5350884297059476E-3</v>
      </c>
      <c r="Q2415" t="s">
        <v>166</v>
      </c>
    </row>
    <row r="2416" spans="9:17" x14ac:dyDescent="0.45">
      <c r="I2416" t="s">
        <v>234</v>
      </c>
      <c r="J2416" t="s">
        <v>338</v>
      </c>
      <c r="K2416">
        <v>0</v>
      </c>
      <c r="L2416" t="s">
        <v>166</v>
      </c>
      <c r="N2416" t="s">
        <v>299</v>
      </c>
      <c r="O2416" t="s">
        <v>338</v>
      </c>
      <c r="P2416">
        <v>4.3807772421704083E-2</v>
      </c>
      <c r="Q2416" t="s">
        <v>166</v>
      </c>
    </row>
    <row r="2417" spans="9:17" x14ac:dyDescent="0.45">
      <c r="I2417" t="s">
        <v>234</v>
      </c>
      <c r="J2417" t="s">
        <v>172</v>
      </c>
      <c r="K2417">
        <v>2.4573691442532176E-2</v>
      </c>
      <c r="L2417" t="s">
        <v>166</v>
      </c>
      <c r="N2417" t="s">
        <v>299</v>
      </c>
      <c r="O2417" t="s">
        <v>172</v>
      </c>
      <c r="P2417">
        <v>5.7014056516984594E-2</v>
      </c>
      <c r="Q2417" t="s">
        <v>166</v>
      </c>
    </row>
    <row r="2418" spans="9:17" x14ac:dyDescent="0.45">
      <c r="I2418" t="s">
        <v>234</v>
      </c>
      <c r="J2418" t="s">
        <v>173</v>
      </c>
      <c r="K2418">
        <v>8.4869997297033241E-3</v>
      </c>
      <c r="L2418" t="s">
        <v>166</v>
      </c>
      <c r="N2418" t="s">
        <v>299</v>
      </c>
      <c r="O2418" t="s">
        <v>173</v>
      </c>
      <c r="P2418">
        <v>4.0986157822538631E-3</v>
      </c>
      <c r="Q2418" t="s">
        <v>166</v>
      </c>
    </row>
    <row r="2419" spans="9:17" x14ac:dyDescent="0.45">
      <c r="I2419" t="s">
        <v>234</v>
      </c>
      <c r="J2419" t="s">
        <v>174</v>
      </c>
      <c r="K2419">
        <v>4.720687575694188E-2</v>
      </c>
      <c r="L2419" t="s">
        <v>166</v>
      </c>
      <c r="N2419" t="s">
        <v>299</v>
      </c>
      <c r="O2419" t="s">
        <v>174</v>
      </c>
      <c r="P2419">
        <v>1.9285170433708129E-2</v>
      </c>
      <c r="Q2419" t="s">
        <v>166</v>
      </c>
    </row>
    <row r="2420" spans="9:17" x14ac:dyDescent="0.45">
      <c r="I2420" t="s">
        <v>234</v>
      </c>
      <c r="J2420" t="s">
        <v>339</v>
      </c>
      <c r="K2420">
        <v>4.5910178945549433E-3</v>
      </c>
      <c r="L2420" t="s">
        <v>166</v>
      </c>
      <c r="N2420" t="s">
        <v>299</v>
      </c>
      <c r="O2420" t="s">
        <v>339</v>
      </c>
      <c r="P2420">
        <v>2.9317933468258344E-3</v>
      </c>
      <c r="Q2420" t="s">
        <v>166</v>
      </c>
    </row>
    <row r="2421" spans="9:17" x14ac:dyDescent="0.45">
      <c r="I2421" t="s">
        <v>234</v>
      </c>
      <c r="J2421" t="s">
        <v>340</v>
      </c>
      <c r="K2421">
        <v>2.3068195964315E-3</v>
      </c>
      <c r="L2421" t="s">
        <v>166</v>
      </c>
      <c r="N2421" t="s">
        <v>299</v>
      </c>
      <c r="O2421" t="s">
        <v>340</v>
      </c>
      <c r="P2421">
        <v>2.9773028568362983E-3</v>
      </c>
      <c r="Q2421" t="s">
        <v>166</v>
      </c>
    </row>
    <row r="2422" spans="9:17" x14ac:dyDescent="0.45">
      <c r="I2422" t="s">
        <v>234</v>
      </c>
      <c r="J2422" t="s">
        <v>341</v>
      </c>
      <c r="K2422">
        <v>0</v>
      </c>
      <c r="L2422" t="s">
        <v>166</v>
      </c>
      <c r="N2422" t="s">
        <v>299</v>
      </c>
      <c r="O2422" t="s">
        <v>341</v>
      </c>
      <c r="P2422">
        <v>2.2936247281354172E-2</v>
      </c>
      <c r="Q2422" t="s">
        <v>166</v>
      </c>
    </row>
    <row r="2423" spans="9:17" x14ac:dyDescent="0.45">
      <c r="I2423" t="s">
        <v>234</v>
      </c>
      <c r="J2423" t="s">
        <v>175</v>
      </c>
      <c r="K2423">
        <v>2.2759347560133973E-2</v>
      </c>
      <c r="L2423" t="s">
        <v>166</v>
      </c>
      <c r="N2423" t="s">
        <v>299</v>
      </c>
      <c r="O2423" t="s">
        <v>175</v>
      </c>
      <c r="P2423">
        <v>3.8254934023190509E-2</v>
      </c>
      <c r="Q2423" t="s">
        <v>166</v>
      </c>
    </row>
    <row r="2424" spans="9:17" x14ac:dyDescent="0.45">
      <c r="I2424" t="s">
        <v>234</v>
      </c>
      <c r="J2424" t="s">
        <v>176</v>
      </c>
      <c r="K2424">
        <v>8.4008388613813125E-3</v>
      </c>
      <c r="L2424" t="s">
        <v>166</v>
      </c>
      <c r="N2424" t="s">
        <v>299</v>
      </c>
      <c r="O2424" t="s">
        <v>176</v>
      </c>
      <c r="P2424">
        <v>2.2377300087428847E-3</v>
      </c>
      <c r="Q2424" t="s">
        <v>166</v>
      </c>
    </row>
    <row r="2425" spans="9:17" x14ac:dyDescent="0.45">
      <c r="I2425" t="s">
        <v>234</v>
      </c>
      <c r="J2425" t="s">
        <v>177</v>
      </c>
      <c r="K2425">
        <v>4.5956040240588823E-2</v>
      </c>
      <c r="L2425" t="s">
        <v>166</v>
      </c>
      <c r="N2425" t="s">
        <v>299</v>
      </c>
      <c r="O2425" t="s">
        <v>177</v>
      </c>
      <c r="P2425">
        <v>1.258557227540643E-2</v>
      </c>
      <c r="Q2425" t="s">
        <v>166</v>
      </c>
    </row>
    <row r="2426" spans="9:17" x14ac:dyDescent="0.45">
      <c r="I2426" t="s">
        <v>234</v>
      </c>
      <c r="J2426" t="s">
        <v>342</v>
      </c>
      <c r="K2426">
        <v>3.9654192493128034E-3</v>
      </c>
      <c r="L2426" t="s">
        <v>166</v>
      </c>
      <c r="N2426" t="s">
        <v>299</v>
      </c>
      <c r="O2426" t="s">
        <v>342</v>
      </c>
      <c r="P2426">
        <v>1.5604733396064707E-3</v>
      </c>
      <c r="Q2426" t="s">
        <v>166</v>
      </c>
    </row>
    <row r="2427" spans="9:17" x14ac:dyDescent="0.45">
      <c r="I2427" t="s">
        <v>234</v>
      </c>
      <c r="J2427" t="s">
        <v>343</v>
      </c>
      <c r="K2427">
        <v>1.8660717848853097E-3</v>
      </c>
      <c r="L2427" t="s">
        <v>166</v>
      </c>
      <c r="N2427" t="s">
        <v>299</v>
      </c>
      <c r="O2427" t="s">
        <v>343</v>
      </c>
      <c r="P2427">
        <v>1.6380592920283079E-3</v>
      </c>
      <c r="Q2427" t="s">
        <v>166</v>
      </c>
    </row>
    <row r="2428" spans="9:17" x14ac:dyDescent="0.45">
      <c r="I2428" t="s">
        <v>234</v>
      </c>
      <c r="J2428" t="s">
        <v>344</v>
      </c>
      <c r="K2428">
        <v>0</v>
      </c>
      <c r="L2428" t="s">
        <v>166</v>
      </c>
      <c r="N2428" t="s">
        <v>299</v>
      </c>
      <c r="O2428" t="s">
        <v>344</v>
      </c>
      <c r="P2428">
        <v>1.7918349688839624E-2</v>
      </c>
      <c r="Q2428" t="s">
        <v>166</v>
      </c>
    </row>
    <row r="2429" spans="9:17" x14ac:dyDescent="0.45">
      <c r="I2429" t="s">
        <v>234</v>
      </c>
      <c r="J2429" t="s">
        <v>345</v>
      </c>
      <c r="K2429">
        <v>4.703580995452241E-2</v>
      </c>
      <c r="L2429" t="s">
        <v>166</v>
      </c>
      <c r="N2429" t="s">
        <v>299</v>
      </c>
      <c r="O2429" t="s">
        <v>345</v>
      </c>
      <c r="P2429">
        <v>7.3335765749964407E-2</v>
      </c>
      <c r="Q2429" t="s">
        <v>166</v>
      </c>
    </row>
    <row r="2430" spans="9:17" x14ac:dyDescent="0.45">
      <c r="I2430" t="s">
        <v>234</v>
      </c>
      <c r="J2430" t="s">
        <v>346</v>
      </c>
      <c r="K2430">
        <v>1.7049514464189282E-2</v>
      </c>
      <c r="L2430" t="s">
        <v>166</v>
      </c>
      <c r="N2430" t="s">
        <v>299</v>
      </c>
      <c r="O2430" t="s">
        <v>346</v>
      </c>
      <c r="P2430">
        <v>4.0571976161232516E-3</v>
      </c>
      <c r="Q2430" t="s">
        <v>166</v>
      </c>
    </row>
    <row r="2431" spans="9:17" x14ac:dyDescent="0.45">
      <c r="I2431" t="s">
        <v>234</v>
      </c>
      <c r="J2431" t="s">
        <v>347</v>
      </c>
      <c r="K2431">
        <v>9.4219680282515678E-2</v>
      </c>
      <c r="L2431" t="s">
        <v>166</v>
      </c>
      <c r="N2431" t="s">
        <v>299</v>
      </c>
      <c r="O2431" t="s">
        <v>347</v>
      </c>
      <c r="P2431">
        <v>2.5298177184642747E-2</v>
      </c>
      <c r="Q2431" t="s">
        <v>166</v>
      </c>
    </row>
    <row r="2432" spans="9:17" x14ac:dyDescent="0.45">
      <c r="I2432" t="s">
        <v>234</v>
      </c>
      <c r="J2432" t="s">
        <v>348</v>
      </c>
      <c r="K2432">
        <v>8.0573783900245461E-3</v>
      </c>
      <c r="L2432" t="s">
        <v>166</v>
      </c>
      <c r="N2432" t="s">
        <v>299</v>
      </c>
      <c r="O2432" t="s">
        <v>348</v>
      </c>
      <c r="P2432">
        <v>4.5952666726270059E-3</v>
      </c>
      <c r="Q2432" t="s">
        <v>166</v>
      </c>
    </row>
    <row r="2433" spans="9:17" x14ac:dyDescent="0.45">
      <c r="I2433" t="s">
        <v>234</v>
      </c>
      <c r="J2433" t="s">
        <v>349</v>
      </c>
      <c r="K2433">
        <v>2.2929183422056932E-3</v>
      </c>
      <c r="L2433" t="s">
        <v>166</v>
      </c>
      <c r="N2433" t="s">
        <v>299</v>
      </c>
      <c r="O2433" t="s">
        <v>349</v>
      </c>
      <c r="P2433">
        <v>4.4507290890968641E-3</v>
      </c>
      <c r="Q2433" t="s">
        <v>166</v>
      </c>
    </row>
    <row r="2434" spans="9:17" x14ac:dyDescent="0.45">
      <c r="I2434" t="s">
        <v>234</v>
      </c>
      <c r="J2434" t="s">
        <v>350</v>
      </c>
      <c r="K2434">
        <v>0</v>
      </c>
      <c r="L2434" t="s">
        <v>166</v>
      </c>
      <c r="N2434" t="s">
        <v>299</v>
      </c>
      <c r="O2434" t="s">
        <v>350</v>
      </c>
      <c r="P2434">
        <v>3.563637386870884E-2</v>
      </c>
      <c r="Q2434" t="s">
        <v>166</v>
      </c>
    </row>
    <row r="2435" spans="9:17" x14ac:dyDescent="0.45">
      <c r="I2435" t="s">
        <v>234</v>
      </c>
      <c r="J2435" t="s">
        <v>351</v>
      </c>
      <c r="K2435">
        <v>2.3675606154352605E-2</v>
      </c>
      <c r="L2435" t="s">
        <v>166</v>
      </c>
      <c r="N2435" t="s">
        <v>299</v>
      </c>
      <c r="O2435" t="s">
        <v>351</v>
      </c>
      <c r="P2435">
        <v>2.5185354118536001E-2</v>
      </c>
      <c r="Q2435" t="s">
        <v>166</v>
      </c>
    </row>
    <row r="2436" spans="9:17" x14ac:dyDescent="0.45">
      <c r="I2436" t="s">
        <v>234</v>
      </c>
      <c r="J2436" t="s">
        <v>352</v>
      </c>
      <c r="K2436">
        <v>8.5063076676384092E-3</v>
      </c>
      <c r="L2436" t="s">
        <v>166</v>
      </c>
      <c r="N2436" t="s">
        <v>299</v>
      </c>
      <c r="O2436" t="s">
        <v>352</v>
      </c>
      <c r="P2436">
        <v>1.0352675180835046E-3</v>
      </c>
      <c r="Q2436" t="s">
        <v>166</v>
      </c>
    </row>
    <row r="2437" spans="9:17" x14ac:dyDescent="0.45">
      <c r="I2437" t="s">
        <v>234</v>
      </c>
      <c r="J2437" t="s">
        <v>353</v>
      </c>
      <c r="K2437">
        <v>4.4211521009381291E-2</v>
      </c>
      <c r="L2437" t="s">
        <v>166</v>
      </c>
      <c r="N2437" t="s">
        <v>299</v>
      </c>
      <c r="O2437" t="s">
        <v>353</v>
      </c>
      <c r="P2437">
        <v>8.9647179591692636E-3</v>
      </c>
      <c r="Q2437" t="s">
        <v>166</v>
      </c>
    </row>
    <row r="2438" spans="9:17" x14ac:dyDescent="0.45">
      <c r="I2438" t="s">
        <v>234</v>
      </c>
      <c r="J2438" t="s">
        <v>354</v>
      </c>
      <c r="K2438">
        <v>2.8212570515653971E-3</v>
      </c>
      <c r="L2438" t="s">
        <v>166</v>
      </c>
      <c r="N2438" t="s">
        <v>299</v>
      </c>
      <c r="O2438" t="s">
        <v>354</v>
      </c>
      <c r="P2438">
        <v>1.7948804270332861E-3</v>
      </c>
      <c r="Q2438" t="s">
        <v>166</v>
      </c>
    </row>
    <row r="2439" spans="9:17" x14ac:dyDescent="0.45">
      <c r="I2439" t="s">
        <v>234</v>
      </c>
      <c r="J2439" t="s">
        <v>355</v>
      </c>
      <c r="K2439">
        <v>0</v>
      </c>
      <c r="L2439" t="s">
        <v>166</v>
      </c>
      <c r="N2439" t="s">
        <v>299</v>
      </c>
      <c r="O2439" t="s">
        <v>355</v>
      </c>
      <c r="P2439">
        <v>1.9738301737839562E-3</v>
      </c>
      <c r="Q2439" t="s">
        <v>166</v>
      </c>
    </row>
    <row r="2440" spans="9:17" x14ac:dyDescent="0.45">
      <c r="I2440" t="s">
        <v>234</v>
      </c>
      <c r="J2440" t="s">
        <v>356</v>
      </c>
      <c r="K2440">
        <v>0</v>
      </c>
      <c r="L2440" t="s">
        <v>166</v>
      </c>
      <c r="N2440" t="s">
        <v>299</v>
      </c>
      <c r="O2440" t="s">
        <v>356</v>
      </c>
      <c r="P2440">
        <v>1.5161964766286996E-2</v>
      </c>
      <c r="Q2440" t="s">
        <v>166</v>
      </c>
    </row>
    <row r="2441" spans="9:17" x14ac:dyDescent="0.45">
      <c r="I2441" t="s">
        <v>234</v>
      </c>
      <c r="J2441" t="s">
        <v>357</v>
      </c>
      <c r="K2441">
        <v>3.8351687372955925E-2</v>
      </c>
      <c r="L2441" t="s">
        <v>166</v>
      </c>
      <c r="N2441" t="s">
        <v>299</v>
      </c>
      <c r="O2441" t="s">
        <v>357</v>
      </c>
      <c r="P2441">
        <v>7.1390364474822512E-2</v>
      </c>
      <c r="Q2441" t="s">
        <v>166</v>
      </c>
    </row>
    <row r="2442" spans="9:17" x14ac:dyDescent="0.45">
      <c r="I2442" t="s">
        <v>234</v>
      </c>
      <c r="J2442" t="s">
        <v>358</v>
      </c>
      <c r="K2442">
        <v>1.6524412240352202E-2</v>
      </c>
      <c r="L2442" t="s">
        <v>166</v>
      </c>
      <c r="N2442" t="s">
        <v>299</v>
      </c>
      <c r="O2442" t="s">
        <v>358</v>
      </c>
      <c r="P2442">
        <v>4.8251653702814758E-3</v>
      </c>
      <c r="Q2442" t="s">
        <v>166</v>
      </c>
    </row>
    <row r="2443" spans="9:17" x14ac:dyDescent="0.45">
      <c r="I2443" t="s">
        <v>234</v>
      </c>
      <c r="J2443" t="s">
        <v>359</v>
      </c>
      <c r="K2443">
        <v>8.6101168836995229E-2</v>
      </c>
      <c r="L2443" t="s">
        <v>166</v>
      </c>
      <c r="N2443" t="s">
        <v>299</v>
      </c>
      <c r="O2443" t="s">
        <v>359</v>
      </c>
      <c r="P2443">
        <v>2.5874320680346872E-2</v>
      </c>
      <c r="Q2443" t="s">
        <v>166</v>
      </c>
    </row>
    <row r="2444" spans="9:17" x14ac:dyDescent="0.45">
      <c r="I2444" t="s">
        <v>234</v>
      </c>
      <c r="J2444" t="s">
        <v>360</v>
      </c>
      <c r="K2444">
        <v>3.1584441069944783E-4</v>
      </c>
      <c r="L2444" t="s">
        <v>166</v>
      </c>
      <c r="N2444" t="s">
        <v>299</v>
      </c>
      <c r="O2444" t="s">
        <v>360</v>
      </c>
      <c r="P2444">
        <v>3.9841095632194706E-3</v>
      </c>
      <c r="Q2444" t="s">
        <v>166</v>
      </c>
    </row>
    <row r="2445" spans="9:17" x14ac:dyDescent="0.45">
      <c r="I2445" t="s">
        <v>234</v>
      </c>
      <c r="J2445" t="s">
        <v>361</v>
      </c>
      <c r="K2445">
        <v>0</v>
      </c>
      <c r="L2445" t="s">
        <v>166</v>
      </c>
      <c r="N2445" t="s">
        <v>299</v>
      </c>
      <c r="O2445" t="s">
        <v>361</v>
      </c>
      <c r="P2445">
        <v>4.3425945308926553E-3</v>
      </c>
      <c r="Q2445" t="s">
        <v>166</v>
      </c>
    </row>
    <row r="2446" spans="9:17" x14ac:dyDescent="0.45">
      <c r="I2446" t="s">
        <v>234</v>
      </c>
      <c r="J2446" t="s">
        <v>362</v>
      </c>
      <c r="K2446">
        <v>0</v>
      </c>
      <c r="L2446" t="s">
        <v>166</v>
      </c>
      <c r="N2446" t="s">
        <v>299</v>
      </c>
      <c r="O2446" t="s">
        <v>362</v>
      </c>
      <c r="P2446">
        <v>3.128560491202477E-2</v>
      </c>
      <c r="Q2446" t="s">
        <v>166</v>
      </c>
    </row>
    <row r="2447" spans="9:17" x14ac:dyDescent="0.45">
      <c r="I2447" t="s">
        <v>235</v>
      </c>
      <c r="J2447" t="s">
        <v>165</v>
      </c>
      <c r="K2447">
        <v>5.4911974455864314E-2</v>
      </c>
      <c r="L2447" t="s">
        <v>166</v>
      </c>
      <c r="N2447" t="s">
        <v>300</v>
      </c>
      <c r="O2447" t="s">
        <v>165</v>
      </c>
      <c r="P2447">
        <v>0.11603561353219193</v>
      </c>
      <c r="Q2447" t="s">
        <v>166</v>
      </c>
    </row>
    <row r="2448" spans="9:17" x14ac:dyDescent="0.45">
      <c r="I2448" t="s">
        <v>235</v>
      </c>
      <c r="J2448" t="s">
        <v>167</v>
      </c>
      <c r="K2448">
        <v>2.6936386859991144E-2</v>
      </c>
      <c r="L2448" t="s">
        <v>166</v>
      </c>
      <c r="N2448" t="s">
        <v>300</v>
      </c>
      <c r="O2448" t="s">
        <v>167</v>
      </c>
      <c r="P2448">
        <v>7.3614811801483594E-3</v>
      </c>
      <c r="Q2448" t="s">
        <v>166</v>
      </c>
    </row>
    <row r="2449" spans="9:17" x14ac:dyDescent="0.45">
      <c r="I2449" t="s">
        <v>235</v>
      </c>
      <c r="J2449" t="s">
        <v>168</v>
      </c>
      <c r="K2449">
        <v>0.14945272355042452</v>
      </c>
      <c r="L2449" t="s">
        <v>166</v>
      </c>
      <c r="N2449" t="s">
        <v>300</v>
      </c>
      <c r="O2449" t="s">
        <v>168</v>
      </c>
      <c r="P2449">
        <v>4.8783237799606582E-2</v>
      </c>
      <c r="Q2449" t="s">
        <v>166</v>
      </c>
    </row>
    <row r="2450" spans="9:17" x14ac:dyDescent="0.45">
      <c r="I2450" t="s">
        <v>235</v>
      </c>
      <c r="J2450" t="s">
        <v>333</v>
      </c>
      <c r="K2450">
        <v>1.2687693271189647E-2</v>
      </c>
      <c r="L2450" t="s">
        <v>166</v>
      </c>
      <c r="N2450" t="s">
        <v>300</v>
      </c>
      <c r="O2450" t="s">
        <v>333</v>
      </c>
      <c r="P2450">
        <v>8.0768657666524957E-3</v>
      </c>
      <c r="Q2450" t="s">
        <v>166</v>
      </c>
    </row>
    <row r="2451" spans="9:17" x14ac:dyDescent="0.45">
      <c r="I2451" t="s">
        <v>235</v>
      </c>
      <c r="J2451" t="s">
        <v>334</v>
      </c>
      <c r="K2451">
        <v>9.8058495675202055E-4</v>
      </c>
      <c r="L2451" t="s">
        <v>166</v>
      </c>
      <c r="N2451" t="s">
        <v>300</v>
      </c>
      <c r="O2451" t="s">
        <v>334</v>
      </c>
      <c r="P2451">
        <v>7.6298468075639767E-3</v>
      </c>
      <c r="Q2451" t="s">
        <v>166</v>
      </c>
    </row>
    <row r="2452" spans="9:17" x14ac:dyDescent="0.45">
      <c r="I2452" t="s">
        <v>235</v>
      </c>
      <c r="J2452" t="s">
        <v>335</v>
      </c>
      <c r="K2452">
        <v>0</v>
      </c>
      <c r="L2452" t="s">
        <v>166</v>
      </c>
      <c r="N2452" t="s">
        <v>300</v>
      </c>
      <c r="O2452" t="s">
        <v>335</v>
      </c>
      <c r="P2452">
        <v>5.090367595690392E-2</v>
      </c>
      <c r="Q2452" t="s">
        <v>166</v>
      </c>
    </row>
    <row r="2453" spans="9:17" x14ac:dyDescent="0.45">
      <c r="I2453" t="s">
        <v>235</v>
      </c>
      <c r="J2453" t="s">
        <v>169</v>
      </c>
      <c r="K2453">
        <v>5.0196446347656687E-2</v>
      </c>
      <c r="L2453" t="s">
        <v>166</v>
      </c>
      <c r="N2453" t="s">
        <v>300</v>
      </c>
      <c r="O2453" t="s">
        <v>169</v>
      </c>
      <c r="P2453">
        <v>9.9750486794910942E-2</v>
      </c>
      <c r="Q2453" t="s">
        <v>166</v>
      </c>
    </row>
    <row r="2454" spans="9:17" x14ac:dyDescent="0.45">
      <c r="I2454" t="s">
        <v>235</v>
      </c>
      <c r="J2454" t="s">
        <v>170</v>
      </c>
      <c r="K2454">
        <v>1.8248101297752641E-2</v>
      </c>
      <c r="L2454" t="s">
        <v>166</v>
      </c>
      <c r="N2454" t="s">
        <v>300</v>
      </c>
      <c r="O2454" t="s">
        <v>170</v>
      </c>
      <c r="P2454">
        <v>7.7848543422750979E-3</v>
      </c>
      <c r="Q2454" t="s">
        <v>166</v>
      </c>
    </row>
    <row r="2455" spans="9:17" x14ac:dyDescent="0.45">
      <c r="I2455" t="s">
        <v>235</v>
      </c>
      <c r="J2455" t="s">
        <v>171</v>
      </c>
      <c r="K2455">
        <v>0.10185457194563162</v>
      </c>
      <c r="L2455" t="s">
        <v>166</v>
      </c>
      <c r="N2455" t="s">
        <v>300</v>
      </c>
      <c r="O2455" t="s">
        <v>171</v>
      </c>
      <c r="P2455">
        <v>3.4709669737900933E-2</v>
      </c>
      <c r="Q2455" t="s">
        <v>166</v>
      </c>
    </row>
    <row r="2456" spans="9:17" x14ac:dyDescent="0.45">
      <c r="I2456" t="s">
        <v>235</v>
      </c>
      <c r="J2456" t="s">
        <v>336</v>
      </c>
      <c r="K2456">
        <v>9.9082468785310265E-3</v>
      </c>
      <c r="L2456" t="s">
        <v>166</v>
      </c>
      <c r="N2456" t="s">
        <v>300</v>
      </c>
      <c r="O2456" t="s">
        <v>336</v>
      </c>
      <c r="P2456">
        <v>5.6535379128051788E-3</v>
      </c>
      <c r="Q2456" t="s">
        <v>166</v>
      </c>
    </row>
    <row r="2457" spans="9:17" x14ac:dyDescent="0.45">
      <c r="I2457" t="s">
        <v>235</v>
      </c>
      <c r="J2457" t="s">
        <v>337</v>
      </c>
      <c r="K2457">
        <v>4.6473651251099568E-3</v>
      </c>
      <c r="L2457" t="s">
        <v>166</v>
      </c>
      <c r="N2457" t="s">
        <v>300</v>
      </c>
      <c r="O2457" t="s">
        <v>337</v>
      </c>
      <c r="P2457">
        <v>5.4482810303776944E-3</v>
      </c>
      <c r="Q2457" t="s">
        <v>166</v>
      </c>
    </row>
    <row r="2458" spans="9:17" x14ac:dyDescent="0.45">
      <c r="I2458" t="s">
        <v>235</v>
      </c>
      <c r="J2458" t="s">
        <v>338</v>
      </c>
      <c r="K2458">
        <v>0</v>
      </c>
      <c r="L2458" t="s">
        <v>166</v>
      </c>
      <c r="N2458" t="s">
        <v>300</v>
      </c>
      <c r="O2458" t="s">
        <v>338</v>
      </c>
      <c r="P2458">
        <v>3.6951386715638253E-2</v>
      </c>
      <c r="Q2458" t="s">
        <v>166</v>
      </c>
    </row>
    <row r="2459" spans="9:17" x14ac:dyDescent="0.45">
      <c r="I2459" t="s">
        <v>235</v>
      </c>
      <c r="J2459" t="s">
        <v>172</v>
      </c>
      <c r="K2459">
        <v>2.64986864045062E-2</v>
      </c>
      <c r="L2459" t="s">
        <v>166</v>
      </c>
      <c r="N2459" t="s">
        <v>300</v>
      </c>
      <c r="O2459" t="s">
        <v>172</v>
      </c>
      <c r="P2459">
        <v>6.1733962192102476E-2</v>
      </c>
      <c r="Q2459" t="s">
        <v>166</v>
      </c>
    </row>
    <row r="2460" spans="9:17" x14ac:dyDescent="0.45">
      <c r="I2460" t="s">
        <v>235</v>
      </c>
      <c r="J2460" t="s">
        <v>173</v>
      </c>
      <c r="K2460">
        <v>8.9939502741723295E-3</v>
      </c>
      <c r="L2460" t="s">
        <v>166</v>
      </c>
      <c r="N2460" t="s">
        <v>300</v>
      </c>
      <c r="O2460" t="s">
        <v>173</v>
      </c>
      <c r="P2460">
        <v>4.6912911668023456E-3</v>
      </c>
      <c r="Q2460" t="s">
        <v>166</v>
      </c>
    </row>
    <row r="2461" spans="9:17" x14ac:dyDescent="0.45">
      <c r="I2461" t="s">
        <v>235</v>
      </c>
      <c r="J2461" t="s">
        <v>174</v>
      </c>
      <c r="K2461">
        <v>5.1600513753041921E-2</v>
      </c>
      <c r="L2461" t="s">
        <v>166</v>
      </c>
      <c r="N2461" t="s">
        <v>300</v>
      </c>
      <c r="O2461" t="s">
        <v>174</v>
      </c>
      <c r="P2461">
        <v>2.1611762463362983E-2</v>
      </c>
      <c r="Q2461" t="s">
        <v>166</v>
      </c>
    </row>
    <row r="2462" spans="9:17" x14ac:dyDescent="0.45">
      <c r="I2462" t="s">
        <v>235</v>
      </c>
      <c r="J2462" t="s">
        <v>339</v>
      </c>
      <c r="K2462">
        <v>5.6131584525335237E-3</v>
      </c>
      <c r="L2462" t="s">
        <v>166</v>
      </c>
      <c r="N2462" t="s">
        <v>300</v>
      </c>
      <c r="O2462" t="s">
        <v>339</v>
      </c>
      <c r="P2462">
        <v>3.2313359724206441E-3</v>
      </c>
      <c r="Q2462" t="s">
        <v>166</v>
      </c>
    </row>
    <row r="2463" spans="9:17" x14ac:dyDescent="0.45">
      <c r="I2463" t="s">
        <v>235</v>
      </c>
      <c r="J2463" t="s">
        <v>340</v>
      </c>
      <c r="K2463">
        <v>3.141908302435303E-3</v>
      </c>
      <c r="L2463" t="s">
        <v>166</v>
      </c>
      <c r="N2463" t="s">
        <v>300</v>
      </c>
      <c r="O2463" t="s">
        <v>340</v>
      </c>
      <c r="P2463">
        <v>3.187821159733891E-3</v>
      </c>
      <c r="Q2463" t="s">
        <v>166</v>
      </c>
    </row>
    <row r="2464" spans="9:17" x14ac:dyDescent="0.45">
      <c r="I2464" t="s">
        <v>235</v>
      </c>
      <c r="J2464" t="s">
        <v>341</v>
      </c>
      <c r="K2464">
        <v>1.1958052368872078E-5</v>
      </c>
      <c r="L2464" t="s">
        <v>166</v>
      </c>
      <c r="N2464" t="s">
        <v>300</v>
      </c>
      <c r="O2464" t="s">
        <v>341</v>
      </c>
      <c r="P2464">
        <v>2.1656402444843615E-2</v>
      </c>
      <c r="Q2464" t="s">
        <v>166</v>
      </c>
    </row>
    <row r="2465" spans="9:17" x14ac:dyDescent="0.45">
      <c r="I2465" t="s">
        <v>235</v>
      </c>
      <c r="J2465" t="s">
        <v>175</v>
      </c>
      <c r="K2465">
        <v>2.5761507935159602E-2</v>
      </c>
      <c r="L2465" t="s">
        <v>166</v>
      </c>
      <c r="N2465" t="s">
        <v>300</v>
      </c>
      <c r="O2465" t="s">
        <v>175</v>
      </c>
      <c r="P2465">
        <v>4.7242910301559832E-2</v>
      </c>
      <c r="Q2465" t="s">
        <v>166</v>
      </c>
    </row>
    <row r="2466" spans="9:17" x14ac:dyDescent="0.45">
      <c r="I2466" t="s">
        <v>235</v>
      </c>
      <c r="J2466" t="s">
        <v>176</v>
      </c>
      <c r="K2466">
        <v>9.0769727488028262E-3</v>
      </c>
      <c r="L2466" t="s">
        <v>166</v>
      </c>
      <c r="N2466" t="s">
        <v>300</v>
      </c>
      <c r="O2466" t="s">
        <v>176</v>
      </c>
      <c r="P2466">
        <v>3.1775037438034341E-3</v>
      </c>
      <c r="Q2466" t="s">
        <v>166</v>
      </c>
    </row>
    <row r="2467" spans="9:17" x14ac:dyDescent="0.45">
      <c r="I2467" t="s">
        <v>235</v>
      </c>
      <c r="J2467" t="s">
        <v>177</v>
      </c>
      <c r="K2467">
        <v>5.2552624073761357E-2</v>
      </c>
      <c r="L2467" t="s">
        <v>166</v>
      </c>
      <c r="N2467" t="s">
        <v>300</v>
      </c>
      <c r="O2467" t="s">
        <v>177</v>
      </c>
      <c r="P2467">
        <v>1.4725073999014997E-2</v>
      </c>
      <c r="Q2467" t="s">
        <v>166</v>
      </c>
    </row>
    <row r="2468" spans="9:17" x14ac:dyDescent="0.45">
      <c r="I2468" t="s">
        <v>235</v>
      </c>
      <c r="J2468" t="s">
        <v>342</v>
      </c>
      <c r="K2468">
        <v>5.8471098186687383E-3</v>
      </c>
      <c r="L2468" t="s">
        <v>166</v>
      </c>
      <c r="N2468" t="s">
        <v>300</v>
      </c>
      <c r="O2468" t="s">
        <v>342</v>
      </c>
      <c r="P2468">
        <v>1.5197884932910855E-3</v>
      </c>
      <c r="Q2468" t="s">
        <v>166</v>
      </c>
    </row>
    <row r="2469" spans="9:17" x14ac:dyDescent="0.45">
      <c r="I2469" t="s">
        <v>235</v>
      </c>
      <c r="J2469" t="s">
        <v>343</v>
      </c>
      <c r="K2469">
        <v>3.3166771679861468E-3</v>
      </c>
      <c r="L2469" t="s">
        <v>166</v>
      </c>
      <c r="N2469" t="s">
        <v>300</v>
      </c>
      <c r="O2469" t="s">
        <v>343</v>
      </c>
      <c r="P2469">
        <v>1.5240743983853029E-3</v>
      </c>
      <c r="Q2469" t="s">
        <v>166</v>
      </c>
    </row>
    <row r="2470" spans="9:17" x14ac:dyDescent="0.45">
      <c r="I2470" t="s">
        <v>235</v>
      </c>
      <c r="J2470" t="s">
        <v>344</v>
      </c>
      <c r="K2470">
        <v>1.0590570738117869E-5</v>
      </c>
      <c r="L2470" t="s">
        <v>166</v>
      </c>
      <c r="N2470" t="s">
        <v>300</v>
      </c>
      <c r="O2470" t="s">
        <v>344</v>
      </c>
      <c r="P2470">
        <v>1.5414516047409467E-2</v>
      </c>
      <c r="Q2470" t="s">
        <v>166</v>
      </c>
    </row>
    <row r="2471" spans="9:17" x14ac:dyDescent="0.45">
      <c r="I2471" t="s">
        <v>235</v>
      </c>
      <c r="J2471" t="s">
        <v>345</v>
      </c>
      <c r="K2471">
        <v>4.8188946915178478E-2</v>
      </c>
      <c r="L2471" t="s">
        <v>166</v>
      </c>
      <c r="N2471" t="s">
        <v>300</v>
      </c>
      <c r="O2471" t="s">
        <v>345</v>
      </c>
      <c r="P2471">
        <v>8.196339074657942E-2</v>
      </c>
      <c r="Q2471" t="s">
        <v>166</v>
      </c>
    </row>
    <row r="2472" spans="9:17" x14ac:dyDescent="0.45">
      <c r="I2472" t="s">
        <v>235</v>
      </c>
      <c r="J2472" t="s">
        <v>346</v>
      </c>
      <c r="K2472">
        <v>1.7698316070885116E-2</v>
      </c>
      <c r="L2472" t="s">
        <v>166</v>
      </c>
      <c r="N2472" t="s">
        <v>300</v>
      </c>
      <c r="O2472" t="s">
        <v>346</v>
      </c>
      <c r="P2472">
        <v>4.8410240217540892E-3</v>
      </c>
      <c r="Q2472" t="s">
        <v>166</v>
      </c>
    </row>
    <row r="2473" spans="9:17" x14ac:dyDescent="0.45">
      <c r="I2473" t="s">
        <v>235</v>
      </c>
      <c r="J2473" t="s">
        <v>347</v>
      </c>
      <c r="K2473">
        <v>0.10046958154395549</v>
      </c>
      <c r="L2473" t="s">
        <v>166</v>
      </c>
      <c r="N2473" t="s">
        <v>300</v>
      </c>
      <c r="O2473" t="s">
        <v>347</v>
      </c>
      <c r="P2473">
        <v>2.8904142127037267E-2</v>
      </c>
      <c r="Q2473" t="s">
        <v>166</v>
      </c>
    </row>
    <row r="2474" spans="9:17" x14ac:dyDescent="0.45">
      <c r="I2474" t="s">
        <v>235</v>
      </c>
      <c r="J2474" t="s">
        <v>348</v>
      </c>
      <c r="K2474">
        <v>9.7487809184516171E-3</v>
      </c>
      <c r="L2474" t="s">
        <v>166</v>
      </c>
      <c r="N2474" t="s">
        <v>300</v>
      </c>
      <c r="O2474" t="s">
        <v>348</v>
      </c>
      <c r="P2474">
        <v>4.825689191287807E-3</v>
      </c>
      <c r="Q2474" t="s">
        <v>166</v>
      </c>
    </row>
    <row r="2475" spans="9:17" x14ac:dyDescent="0.45">
      <c r="I2475" t="s">
        <v>235</v>
      </c>
      <c r="J2475" t="s">
        <v>349</v>
      </c>
      <c r="K2475">
        <v>3.4338484131156101E-3</v>
      </c>
      <c r="L2475" t="s">
        <v>166</v>
      </c>
      <c r="N2475" t="s">
        <v>300</v>
      </c>
      <c r="O2475" t="s">
        <v>349</v>
      </c>
      <c r="P2475">
        <v>4.6062993744487571E-3</v>
      </c>
      <c r="Q2475" t="s">
        <v>166</v>
      </c>
    </row>
    <row r="2476" spans="9:17" x14ac:dyDescent="0.45">
      <c r="I2476" t="s">
        <v>235</v>
      </c>
      <c r="J2476" t="s">
        <v>350</v>
      </c>
      <c r="K2476">
        <v>0</v>
      </c>
      <c r="L2476" t="s">
        <v>166</v>
      </c>
      <c r="N2476" t="s">
        <v>300</v>
      </c>
      <c r="O2476" t="s">
        <v>350</v>
      </c>
      <c r="P2476">
        <v>3.4035579052319652E-2</v>
      </c>
      <c r="Q2476" t="s">
        <v>166</v>
      </c>
    </row>
    <row r="2477" spans="9:17" x14ac:dyDescent="0.45">
      <c r="I2477" t="s">
        <v>235</v>
      </c>
      <c r="J2477" t="s">
        <v>351</v>
      </c>
      <c r="K2477">
        <v>2.1268506316247972E-2</v>
      </c>
      <c r="L2477" t="s">
        <v>166</v>
      </c>
      <c r="N2477" t="s">
        <v>300</v>
      </c>
      <c r="O2477" t="s">
        <v>351</v>
      </c>
      <c r="P2477">
        <v>3.2142048985806485E-2</v>
      </c>
      <c r="Q2477" t="s">
        <v>166</v>
      </c>
    </row>
    <row r="2478" spans="9:17" x14ac:dyDescent="0.45">
      <c r="I2478" t="s">
        <v>235</v>
      </c>
      <c r="J2478" t="s">
        <v>352</v>
      </c>
      <c r="K2478">
        <v>8.6559283768976106E-3</v>
      </c>
      <c r="L2478" t="s">
        <v>166</v>
      </c>
      <c r="N2478" t="s">
        <v>300</v>
      </c>
      <c r="O2478" t="s">
        <v>352</v>
      </c>
      <c r="P2478">
        <v>1.4162362306541208E-3</v>
      </c>
      <c r="Q2478" t="s">
        <v>166</v>
      </c>
    </row>
    <row r="2479" spans="9:17" x14ac:dyDescent="0.45">
      <c r="I2479" t="s">
        <v>235</v>
      </c>
      <c r="J2479" t="s">
        <v>353</v>
      </c>
      <c r="K2479">
        <v>4.6567606462402773E-2</v>
      </c>
      <c r="L2479" t="s">
        <v>166</v>
      </c>
      <c r="N2479" t="s">
        <v>300</v>
      </c>
      <c r="O2479" t="s">
        <v>353</v>
      </c>
      <c r="P2479">
        <v>9.4717586049787028E-3</v>
      </c>
      <c r="Q2479" t="s">
        <v>166</v>
      </c>
    </row>
    <row r="2480" spans="9:17" x14ac:dyDescent="0.45">
      <c r="I2480" t="s">
        <v>235</v>
      </c>
      <c r="J2480" t="s">
        <v>354</v>
      </c>
      <c r="K2480">
        <v>2.8237218280088216E-3</v>
      </c>
      <c r="L2480" t="s">
        <v>166</v>
      </c>
      <c r="N2480" t="s">
        <v>300</v>
      </c>
      <c r="O2480" t="s">
        <v>354</v>
      </c>
      <c r="P2480">
        <v>1.4717641521513607E-3</v>
      </c>
      <c r="Q2480" t="s">
        <v>166</v>
      </c>
    </row>
    <row r="2481" spans="9:17" x14ac:dyDescent="0.45">
      <c r="I2481" t="s">
        <v>235</v>
      </c>
      <c r="J2481" t="s">
        <v>355</v>
      </c>
      <c r="K2481">
        <v>0</v>
      </c>
      <c r="L2481" t="s">
        <v>166</v>
      </c>
      <c r="N2481" t="s">
        <v>300</v>
      </c>
      <c r="O2481" t="s">
        <v>355</v>
      </c>
      <c r="P2481">
        <v>1.6310073615068642E-3</v>
      </c>
      <c r="Q2481" t="s">
        <v>166</v>
      </c>
    </row>
    <row r="2482" spans="9:17" x14ac:dyDescent="0.45">
      <c r="I2482" t="s">
        <v>235</v>
      </c>
      <c r="J2482" t="s">
        <v>356</v>
      </c>
      <c r="K2482">
        <v>0</v>
      </c>
      <c r="L2482" t="s">
        <v>166</v>
      </c>
      <c r="N2482" t="s">
        <v>300</v>
      </c>
      <c r="O2482" t="s">
        <v>356</v>
      </c>
      <c r="P2482">
        <v>1.4958470752764099E-2</v>
      </c>
      <c r="Q2482" t="s">
        <v>166</v>
      </c>
    </row>
    <row r="2483" spans="9:17" x14ac:dyDescent="0.45">
      <c r="I2483" t="s">
        <v>235</v>
      </c>
      <c r="J2483" t="s">
        <v>357</v>
      </c>
      <c r="K2483">
        <v>2.8525211271252571E-2</v>
      </c>
      <c r="L2483" t="s">
        <v>166</v>
      </c>
      <c r="N2483" t="s">
        <v>300</v>
      </c>
      <c r="O2483" t="s">
        <v>357</v>
      </c>
      <c r="P2483">
        <v>7.9196278802873804E-2</v>
      </c>
      <c r="Q2483" t="s">
        <v>166</v>
      </c>
    </row>
    <row r="2484" spans="9:17" x14ac:dyDescent="0.45">
      <c r="I2484" t="s">
        <v>235</v>
      </c>
      <c r="J2484" t="s">
        <v>358</v>
      </c>
      <c r="K2484">
        <v>1.4497176386666429E-2</v>
      </c>
      <c r="L2484" t="s">
        <v>166</v>
      </c>
      <c r="N2484" t="s">
        <v>300</v>
      </c>
      <c r="O2484" t="s">
        <v>358</v>
      </c>
      <c r="P2484">
        <v>5.2930948399995525E-3</v>
      </c>
      <c r="Q2484" t="s">
        <v>166</v>
      </c>
    </row>
    <row r="2485" spans="9:17" x14ac:dyDescent="0.45">
      <c r="I2485" t="s">
        <v>235</v>
      </c>
      <c r="J2485" t="s">
        <v>359</v>
      </c>
      <c r="K2485">
        <v>7.5820713494913108E-2</v>
      </c>
      <c r="L2485" t="s">
        <v>166</v>
      </c>
      <c r="N2485" t="s">
        <v>300</v>
      </c>
      <c r="O2485" t="s">
        <v>359</v>
      </c>
      <c r="P2485">
        <v>2.7451323816766088E-2</v>
      </c>
      <c r="Q2485" t="s">
        <v>166</v>
      </c>
    </row>
    <row r="2486" spans="9:17" x14ac:dyDescent="0.45">
      <c r="I2486" t="s">
        <v>235</v>
      </c>
      <c r="J2486" t="s">
        <v>360</v>
      </c>
      <c r="K2486">
        <v>5.1909758944287082E-5</v>
      </c>
      <c r="L2486" t="s">
        <v>166</v>
      </c>
      <c r="N2486" t="s">
        <v>300</v>
      </c>
      <c r="O2486" t="s">
        <v>360</v>
      </c>
      <c r="P2486">
        <v>4.1839755252110105E-3</v>
      </c>
      <c r="Q2486" t="s">
        <v>166</v>
      </c>
    </row>
    <row r="2487" spans="9:17" x14ac:dyDescent="0.45">
      <c r="I2487" t="s">
        <v>235</v>
      </c>
      <c r="J2487" t="s">
        <v>361</v>
      </c>
      <c r="K2487">
        <v>0</v>
      </c>
      <c r="L2487" t="s">
        <v>166</v>
      </c>
      <c r="N2487" t="s">
        <v>300</v>
      </c>
      <c r="O2487" t="s">
        <v>361</v>
      </c>
      <c r="P2487">
        <v>4.5479162684933083E-3</v>
      </c>
      <c r="Q2487" t="s">
        <v>166</v>
      </c>
    </row>
    <row r="2488" spans="9:17" x14ac:dyDescent="0.45">
      <c r="I2488" t="s">
        <v>235</v>
      </c>
      <c r="J2488" t="s">
        <v>362</v>
      </c>
      <c r="K2488">
        <v>0</v>
      </c>
      <c r="L2488" t="s">
        <v>166</v>
      </c>
      <c r="N2488" t="s">
        <v>300</v>
      </c>
      <c r="O2488" t="s">
        <v>362</v>
      </c>
      <c r="P2488">
        <v>3.025462018566373E-2</v>
      </c>
      <c r="Q2488" t="s">
        <v>166</v>
      </c>
    </row>
    <row r="2489" spans="9:17" x14ac:dyDescent="0.45">
      <c r="I2489" t="s">
        <v>236</v>
      </c>
      <c r="J2489" t="s">
        <v>165</v>
      </c>
      <c r="K2489">
        <v>4.9601936936899883E-2</v>
      </c>
      <c r="L2489" t="s">
        <v>166</v>
      </c>
      <c r="N2489" t="s">
        <v>301</v>
      </c>
      <c r="O2489" t="s">
        <v>165</v>
      </c>
      <c r="P2489">
        <v>0.1289294447634047</v>
      </c>
      <c r="Q2489" t="s">
        <v>166</v>
      </c>
    </row>
    <row r="2490" spans="9:17" x14ac:dyDescent="0.45">
      <c r="I2490" t="s">
        <v>236</v>
      </c>
      <c r="J2490" t="s">
        <v>167</v>
      </c>
      <c r="K2490">
        <v>2.6338498085735511E-2</v>
      </c>
      <c r="L2490" t="s">
        <v>166</v>
      </c>
      <c r="N2490" t="s">
        <v>301</v>
      </c>
      <c r="O2490" t="s">
        <v>167</v>
      </c>
      <c r="P2490">
        <v>9.5381427740277372E-3</v>
      </c>
      <c r="Q2490" t="s">
        <v>166</v>
      </c>
    </row>
    <row r="2491" spans="9:17" x14ac:dyDescent="0.45">
      <c r="I2491" t="s">
        <v>236</v>
      </c>
      <c r="J2491" t="s">
        <v>168</v>
      </c>
      <c r="K2491">
        <v>0.14961973536016296</v>
      </c>
      <c r="L2491" t="s">
        <v>166</v>
      </c>
      <c r="N2491" t="s">
        <v>301</v>
      </c>
      <c r="O2491" t="s">
        <v>168</v>
      </c>
      <c r="P2491">
        <v>7.0758034728682362E-2</v>
      </c>
      <c r="Q2491" t="s">
        <v>166</v>
      </c>
    </row>
    <row r="2492" spans="9:17" x14ac:dyDescent="0.45">
      <c r="I2492" t="s">
        <v>236</v>
      </c>
      <c r="J2492" t="s">
        <v>333</v>
      </c>
      <c r="K2492">
        <v>1.4261675884283427E-2</v>
      </c>
      <c r="L2492" t="s">
        <v>166</v>
      </c>
      <c r="N2492" t="s">
        <v>301</v>
      </c>
      <c r="O2492" t="s">
        <v>333</v>
      </c>
      <c r="P2492">
        <v>1.2269721595481488E-2</v>
      </c>
      <c r="Q2492" t="s">
        <v>166</v>
      </c>
    </row>
    <row r="2493" spans="9:17" x14ac:dyDescent="0.45">
      <c r="I2493" t="s">
        <v>236</v>
      </c>
      <c r="J2493" t="s">
        <v>334</v>
      </c>
      <c r="K2493">
        <v>2.4332819711101513E-3</v>
      </c>
      <c r="L2493" t="s">
        <v>166</v>
      </c>
      <c r="N2493" t="s">
        <v>301</v>
      </c>
      <c r="O2493" t="s">
        <v>334</v>
      </c>
      <c r="P2493">
        <v>1.2339118731623024E-2</v>
      </c>
      <c r="Q2493" t="s">
        <v>166</v>
      </c>
    </row>
    <row r="2494" spans="9:17" x14ac:dyDescent="0.45">
      <c r="I2494" t="s">
        <v>236</v>
      </c>
      <c r="J2494" t="s">
        <v>335</v>
      </c>
      <c r="K2494">
        <v>0</v>
      </c>
      <c r="L2494" t="s">
        <v>166</v>
      </c>
      <c r="N2494" t="s">
        <v>301</v>
      </c>
      <c r="O2494" t="s">
        <v>335</v>
      </c>
      <c r="P2494">
        <v>6.9165158570266172E-2</v>
      </c>
      <c r="Q2494" t="s">
        <v>166</v>
      </c>
    </row>
    <row r="2495" spans="9:17" x14ac:dyDescent="0.45">
      <c r="I2495" t="s">
        <v>236</v>
      </c>
      <c r="J2495" t="s">
        <v>169</v>
      </c>
      <c r="K2495">
        <v>4.827089759783737E-2</v>
      </c>
      <c r="L2495" t="s">
        <v>166</v>
      </c>
      <c r="N2495" t="s">
        <v>301</v>
      </c>
      <c r="O2495" t="s">
        <v>169</v>
      </c>
      <c r="P2495">
        <v>9.93876716268806E-2</v>
      </c>
      <c r="Q2495" t="s">
        <v>166</v>
      </c>
    </row>
    <row r="2496" spans="9:17" x14ac:dyDescent="0.45">
      <c r="I2496" t="s">
        <v>236</v>
      </c>
      <c r="J2496" t="s">
        <v>170</v>
      </c>
      <c r="K2496">
        <v>1.7926154919861107E-2</v>
      </c>
      <c r="L2496" t="s">
        <v>166</v>
      </c>
      <c r="N2496" t="s">
        <v>301</v>
      </c>
      <c r="O2496" t="s">
        <v>170</v>
      </c>
      <c r="P2496">
        <v>6.6212307003107214E-3</v>
      </c>
      <c r="Q2496" t="s">
        <v>166</v>
      </c>
    </row>
    <row r="2497" spans="9:17" x14ac:dyDescent="0.45">
      <c r="I2497" t="s">
        <v>236</v>
      </c>
      <c r="J2497" t="s">
        <v>171</v>
      </c>
      <c r="K2497">
        <v>0.10324127711153187</v>
      </c>
      <c r="L2497" t="s">
        <v>166</v>
      </c>
      <c r="N2497" t="s">
        <v>301</v>
      </c>
      <c r="O2497" t="s">
        <v>171</v>
      </c>
      <c r="P2497">
        <v>4.0952533744955479E-2</v>
      </c>
      <c r="Q2497" t="s">
        <v>166</v>
      </c>
    </row>
    <row r="2498" spans="9:17" x14ac:dyDescent="0.45">
      <c r="I2498" t="s">
        <v>236</v>
      </c>
      <c r="J2498" t="s">
        <v>336</v>
      </c>
      <c r="K2498">
        <v>1.0887738068112759E-2</v>
      </c>
      <c r="L2498" t="s">
        <v>166</v>
      </c>
      <c r="N2498" t="s">
        <v>301</v>
      </c>
      <c r="O2498" t="s">
        <v>336</v>
      </c>
      <c r="P2498">
        <v>7.8860647993759178E-3</v>
      </c>
      <c r="Q2498" t="s">
        <v>166</v>
      </c>
    </row>
    <row r="2499" spans="9:17" x14ac:dyDescent="0.45">
      <c r="I2499" t="s">
        <v>236</v>
      </c>
      <c r="J2499" t="s">
        <v>337</v>
      </c>
      <c r="K2499">
        <v>5.7670794767936181E-3</v>
      </c>
      <c r="L2499" t="s">
        <v>166</v>
      </c>
      <c r="N2499" t="s">
        <v>301</v>
      </c>
      <c r="O2499" t="s">
        <v>337</v>
      </c>
      <c r="P2499">
        <v>8.0980172764842442E-3</v>
      </c>
      <c r="Q2499" t="s">
        <v>166</v>
      </c>
    </row>
    <row r="2500" spans="9:17" x14ac:dyDescent="0.45">
      <c r="I2500" t="s">
        <v>236</v>
      </c>
      <c r="J2500" t="s">
        <v>338</v>
      </c>
      <c r="K2500">
        <v>1.1994085372442507E-8</v>
      </c>
      <c r="L2500" t="s">
        <v>166</v>
      </c>
      <c r="N2500" t="s">
        <v>301</v>
      </c>
      <c r="O2500" t="s">
        <v>338</v>
      </c>
      <c r="P2500">
        <v>5.0110220643386813E-2</v>
      </c>
      <c r="Q2500" t="s">
        <v>166</v>
      </c>
    </row>
    <row r="2501" spans="9:17" x14ac:dyDescent="0.45">
      <c r="I2501" t="s">
        <v>236</v>
      </c>
      <c r="J2501" t="s">
        <v>172</v>
      </c>
      <c r="K2501">
        <v>2.4409035289276883E-2</v>
      </c>
      <c r="L2501" t="s">
        <v>166</v>
      </c>
      <c r="N2501" t="s">
        <v>301</v>
      </c>
      <c r="O2501" t="s">
        <v>172</v>
      </c>
      <c r="P2501">
        <v>6.1954712888470993E-2</v>
      </c>
      <c r="Q2501" t="s">
        <v>166</v>
      </c>
    </row>
    <row r="2502" spans="9:17" x14ac:dyDescent="0.45">
      <c r="I2502" t="s">
        <v>236</v>
      </c>
      <c r="J2502" t="s">
        <v>173</v>
      </c>
      <c r="K2502">
        <v>8.7712709084691379E-3</v>
      </c>
      <c r="L2502" t="s">
        <v>166</v>
      </c>
      <c r="N2502" t="s">
        <v>301</v>
      </c>
      <c r="O2502" t="s">
        <v>173</v>
      </c>
      <c r="P2502">
        <v>4.0637232263783431E-3</v>
      </c>
      <c r="Q2502" t="s">
        <v>166</v>
      </c>
    </row>
    <row r="2503" spans="9:17" x14ac:dyDescent="0.45">
      <c r="I2503" t="s">
        <v>236</v>
      </c>
      <c r="J2503" t="s">
        <v>174</v>
      </c>
      <c r="K2503">
        <v>5.0976491492067719E-2</v>
      </c>
      <c r="L2503" t="s">
        <v>166</v>
      </c>
      <c r="N2503" t="s">
        <v>301</v>
      </c>
      <c r="O2503" t="s">
        <v>174</v>
      </c>
      <c r="P2503">
        <v>1.9710096351541733E-2</v>
      </c>
      <c r="Q2503" t="s">
        <v>166</v>
      </c>
    </row>
    <row r="2504" spans="9:17" x14ac:dyDescent="0.45">
      <c r="I2504" t="s">
        <v>236</v>
      </c>
      <c r="J2504" t="s">
        <v>339</v>
      </c>
      <c r="K2504">
        <v>5.7932200306545813E-3</v>
      </c>
      <c r="L2504" t="s">
        <v>166</v>
      </c>
      <c r="N2504" t="s">
        <v>301</v>
      </c>
      <c r="O2504" t="s">
        <v>339</v>
      </c>
      <c r="P2504">
        <v>3.60409986014717E-3</v>
      </c>
      <c r="Q2504" t="s">
        <v>166</v>
      </c>
    </row>
    <row r="2505" spans="9:17" x14ac:dyDescent="0.45">
      <c r="I2505" t="s">
        <v>236</v>
      </c>
      <c r="J2505" t="s">
        <v>340</v>
      </c>
      <c r="K2505">
        <v>3.5330320237168668E-3</v>
      </c>
      <c r="L2505" t="s">
        <v>166</v>
      </c>
      <c r="N2505" t="s">
        <v>301</v>
      </c>
      <c r="O2505" t="s">
        <v>340</v>
      </c>
      <c r="P2505">
        <v>3.8520167420459379E-3</v>
      </c>
      <c r="Q2505" t="s">
        <v>166</v>
      </c>
    </row>
    <row r="2506" spans="9:17" x14ac:dyDescent="0.45">
      <c r="I2506" t="s">
        <v>236</v>
      </c>
      <c r="J2506" t="s">
        <v>341</v>
      </c>
      <c r="K2506">
        <v>7.9993777179898575E-4</v>
      </c>
      <c r="L2506" t="s">
        <v>166</v>
      </c>
      <c r="N2506" t="s">
        <v>301</v>
      </c>
      <c r="O2506" t="s">
        <v>341</v>
      </c>
      <c r="P2506">
        <v>2.810250082914794E-2</v>
      </c>
      <c r="Q2506" t="s">
        <v>166</v>
      </c>
    </row>
    <row r="2507" spans="9:17" x14ac:dyDescent="0.45">
      <c r="I2507" t="s">
        <v>236</v>
      </c>
      <c r="J2507" t="s">
        <v>175</v>
      </c>
      <c r="K2507">
        <v>2.3474506052119679E-2</v>
      </c>
      <c r="L2507" t="s">
        <v>166</v>
      </c>
      <c r="N2507" t="s">
        <v>301</v>
      </c>
      <c r="O2507" t="s">
        <v>175</v>
      </c>
      <c r="P2507">
        <v>4.8688654414666722E-2</v>
      </c>
      <c r="Q2507" t="s">
        <v>166</v>
      </c>
    </row>
    <row r="2508" spans="9:17" x14ac:dyDescent="0.45">
      <c r="I2508" t="s">
        <v>236</v>
      </c>
      <c r="J2508" t="s">
        <v>176</v>
      </c>
      <c r="K2508">
        <v>8.7483870212527702E-3</v>
      </c>
      <c r="L2508" t="s">
        <v>166</v>
      </c>
      <c r="N2508" t="s">
        <v>301</v>
      </c>
      <c r="O2508" t="s">
        <v>176</v>
      </c>
      <c r="P2508">
        <v>2.0063670882838835E-3</v>
      </c>
      <c r="Q2508" t="s">
        <v>166</v>
      </c>
    </row>
    <row r="2509" spans="9:17" x14ac:dyDescent="0.45">
      <c r="I2509" t="s">
        <v>236</v>
      </c>
      <c r="J2509" t="s">
        <v>177</v>
      </c>
      <c r="K2509">
        <v>5.1332744466950464E-2</v>
      </c>
      <c r="L2509" t="s">
        <v>166</v>
      </c>
      <c r="N2509" t="s">
        <v>301</v>
      </c>
      <c r="O2509" t="s">
        <v>177</v>
      </c>
      <c r="P2509">
        <v>5.6545859002447513E-3</v>
      </c>
      <c r="Q2509" t="s">
        <v>166</v>
      </c>
    </row>
    <row r="2510" spans="9:17" x14ac:dyDescent="0.45">
      <c r="I2510" t="s">
        <v>236</v>
      </c>
      <c r="J2510" t="s">
        <v>342</v>
      </c>
      <c r="K2510">
        <v>5.8350610183280265E-3</v>
      </c>
      <c r="L2510" t="s">
        <v>166</v>
      </c>
      <c r="N2510" t="s">
        <v>301</v>
      </c>
      <c r="O2510" t="s">
        <v>342</v>
      </c>
      <c r="P2510">
        <v>7.9993695139174057E-4</v>
      </c>
      <c r="Q2510" t="s">
        <v>166</v>
      </c>
    </row>
    <row r="2511" spans="9:17" x14ac:dyDescent="0.45">
      <c r="I2511" t="s">
        <v>236</v>
      </c>
      <c r="J2511" t="s">
        <v>343</v>
      </c>
      <c r="K2511">
        <v>3.53125789032681E-3</v>
      </c>
      <c r="L2511" t="s">
        <v>166</v>
      </c>
      <c r="N2511" t="s">
        <v>301</v>
      </c>
      <c r="O2511" t="s">
        <v>343</v>
      </c>
      <c r="P2511">
        <v>1.0954783446886175E-3</v>
      </c>
      <c r="Q2511" t="s">
        <v>166</v>
      </c>
    </row>
    <row r="2512" spans="9:17" x14ac:dyDescent="0.45">
      <c r="I2512" t="s">
        <v>236</v>
      </c>
      <c r="J2512" t="s">
        <v>344</v>
      </c>
      <c r="K2512">
        <v>6.8206133055829902E-4</v>
      </c>
      <c r="L2512" t="s">
        <v>166</v>
      </c>
      <c r="N2512" t="s">
        <v>301</v>
      </c>
      <c r="O2512" t="s">
        <v>344</v>
      </c>
      <c r="P2512">
        <v>1.7847642054636074E-2</v>
      </c>
      <c r="Q2512" t="s">
        <v>166</v>
      </c>
    </row>
    <row r="2513" spans="9:17" x14ac:dyDescent="0.45">
      <c r="I2513" t="s">
        <v>236</v>
      </c>
      <c r="J2513" t="s">
        <v>345</v>
      </c>
      <c r="K2513">
        <v>4.5475703551183626E-2</v>
      </c>
      <c r="L2513" t="s">
        <v>166</v>
      </c>
      <c r="N2513" t="s">
        <v>301</v>
      </c>
      <c r="O2513" t="s">
        <v>345</v>
      </c>
      <c r="P2513">
        <v>7.113928506055231E-2</v>
      </c>
      <c r="Q2513" t="s">
        <v>166</v>
      </c>
    </row>
    <row r="2514" spans="9:17" x14ac:dyDescent="0.45">
      <c r="I2514" t="s">
        <v>236</v>
      </c>
      <c r="J2514" t="s">
        <v>346</v>
      </c>
      <c r="K2514">
        <v>1.7567416297614276E-2</v>
      </c>
      <c r="L2514" t="s">
        <v>166</v>
      </c>
      <c r="N2514" t="s">
        <v>301</v>
      </c>
      <c r="O2514" t="s">
        <v>346</v>
      </c>
      <c r="P2514">
        <v>3.6506578525033321E-3</v>
      </c>
      <c r="Q2514" t="s">
        <v>166</v>
      </c>
    </row>
    <row r="2515" spans="9:17" x14ac:dyDescent="0.45">
      <c r="I2515" t="s">
        <v>236</v>
      </c>
      <c r="J2515" t="s">
        <v>347</v>
      </c>
      <c r="K2515">
        <v>0.10050067681033441</v>
      </c>
      <c r="L2515" t="s">
        <v>166</v>
      </c>
      <c r="N2515" t="s">
        <v>301</v>
      </c>
      <c r="O2515" t="s">
        <v>347</v>
      </c>
      <c r="P2515">
        <v>1.6002032546214691E-2</v>
      </c>
      <c r="Q2515" t="s">
        <v>166</v>
      </c>
    </row>
    <row r="2516" spans="9:17" x14ac:dyDescent="0.45">
      <c r="I2516" t="s">
        <v>236</v>
      </c>
      <c r="J2516" t="s">
        <v>348</v>
      </c>
      <c r="K2516">
        <v>1.0580491527909021E-2</v>
      </c>
      <c r="L2516" t="s">
        <v>166</v>
      </c>
      <c r="N2516" t="s">
        <v>301</v>
      </c>
      <c r="O2516" t="s">
        <v>348</v>
      </c>
      <c r="P2516">
        <v>2.8102074101688003E-3</v>
      </c>
      <c r="Q2516" t="s">
        <v>166</v>
      </c>
    </row>
    <row r="2517" spans="9:17" x14ac:dyDescent="0.45">
      <c r="I2517" t="s">
        <v>236</v>
      </c>
      <c r="J2517" t="s">
        <v>349</v>
      </c>
      <c r="K2517">
        <v>4.5581795731623152E-3</v>
      </c>
      <c r="L2517" t="s">
        <v>166</v>
      </c>
      <c r="N2517" t="s">
        <v>301</v>
      </c>
      <c r="O2517" t="s">
        <v>349</v>
      </c>
      <c r="P2517">
        <v>3.1909460016872658E-3</v>
      </c>
      <c r="Q2517" t="s">
        <v>166</v>
      </c>
    </row>
    <row r="2518" spans="9:17" x14ac:dyDescent="0.45">
      <c r="I2518" t="s">
        <v>236</v>
      </c>
      <c r="J2518" t="s">
        <v>350</v>
      </c>
      <c r="K2518">
        <v>0</v>
      </c>
      <c r="L2518" t="s">
        <v>166</v>
      </c>
      <c r="N2518" t="s">
        <v>301</v>
      </c>
      <c r="O2518" t="s">
        <v>350</v>
      </c>
      <c r="P2518">
        <v>2.9986879953987224E-2</v>
      </c>
      <c r="Q2518" t="s">
        <v>166</v>
      </c>
    </row>
    <row r="2519" spans="9:17" x14ac:dyDescent="0.45">
      <c r="I2519" t="s">
        <v>236</v>
      </c>
      <c r="J2519" t="s">
        <v>351</v>
      </c>
      <c r="K2519">
        <v>2.0356478258219315E-2</v>
      </c>
      <c r="L2519" t="s">
        <v>166</v>
      </c>
      <c r="N2519" t="s">
        <v>301</v>
      </c>
      <c r="O2519" t="s">
        <v>351</v>
      </c>
      <c r="P2519">
        <v>2.1916365848215946E-2</v>
      </c>
      <c r="Q2519" t="s">
        <v>166</v>
      </c>
    </row>
    <row r="2520" spans="9:17" x14ac:dyDescent="0.45">
      <c r="I2520" t="s">
        <v>236</v>
      </c>
      <c r="J2520" t="s">
        <v>352</v>
      </c>
      <c r="K2520">
        <v>8.6716914362434637E-3</v>
      </c>
      <c r="L2520" t="s">
        <v>166</v>
      </c>
      <c r="N2520" t="s">
        <v>301</v>
      </c>
      <c r="O2520" t="s">
        <v>352</v>
      </c>
      <c r="P2520">
        <v>1.0849223677312078E-3</v>
      </c>
      <c r="Q2520" t="s">
        <v>166</v>
      </c>
    </row>
    <row r="2521" spans="9:17" x14ac:dyDescent="0.45">
      <c r="I2521" t="s">
        <v>236</v>
      </c>
      <c r="J2521" t="s">
        <v>353</v>
      </c>
      <c r="K2521">
        <v>4.6810703512577503E-2</v>
      </c>
      <c r="L2521" t="s">
        <v>166</v>
      </c>
      <c r="N2521" t="s">
        <v>301</v>
      </c>
      <c r="O2521" t="s">
        <v>353</v>
      </c>
      <c r="P2521">
        <v>4.2773864051014578E-3</v>
      </c>
      <c r="Q2521" t="s">
        <v>166</v>
      </c>
    </row>
    <row r="2522" spans="9:17" x14ac:dyDescent="0.45">
      <c r="I2522" t="s">
        <v>236</v>
      </c>
      <c r="J2522" t="s">
        <v>354</v>
      </c>
      <c r="K2522">
        <v>3.4342899183313906E-3</v>
      </c>
      <c r="L2522" t="s">
        <v>166</v>
      </c>
      <c r="N2522" t="s">
        <v>301</v>
      </c>
      <c r="O2522" t="s">
        <v>354</v>
      </c>
      <c r="P2522">
        <v>7.7173028257995833E-4</v>
      </c>
      <c r="Q2522" t="s">
        <v>166</v>
      </c>
    </row>
    <row r="2523" spans="9:17" x14ac:dyDescent="0.45">
      <c r="I2523" t="s">
        <v>236</v>
      </c>
      <c r="J2523" t="s">
        <v>355</v>
      </c>
      <c r="K2523">
        <v>0</v>
      </c>
      <c r="L2523" t="s">
        <v>166</v>
      </c>
      <c r="N2523" t="s">
        <v>301</v>
      </c>
      <c r="O2523" t="s">
        <v>355</v>
      </c>
      <c r="P2523">
        <v>1.0480897756379838E-3</v>
      </c>
      <c r="Q2523" t="s">
        <v>166</v>
      </c>
    </row>
    <row r="2524" spans="9:17" x14ac:dyDescent="0.45">
      <c r="I2524" t="s">
        <v>236</v>
      </c>
      <c r="J2524" t="s">
        <v>356</v>
      </c>
      <c r="K2524">
        <v>0</v>
      </c>
      <c r="L2524" t="s">
        <v>166</v>
      </c>
      <c r="N2524" t="s">
        <v>301</v>
      </c>
      <c r="O2524" t="s">
        <v>356</v>
      </c>
      <c r="P2524">
        <v>1.1180899691817984E-2</v>
      </c>
      <c r="Q2524" t="s">
        <v>166</v>
      </c>
    </row>
    <row r="2525" spans="9:17" x14ac:dyDescent="0.45">
      <c r="I2525" t="s">
        <v>236</v>
      </c>
      <c r="J2525" t="s">
        <v>357</v>
      </c>
      <c r="K2525">
        <v>2.7425150168822167E-2</v>
      </c>
      <c r="L2525" t="s">
        <v>166</v>
      </c>
      <c r="N2525" t="s">
        <v>301</v>
      </c>
      <c r="O2525" t="s">
        <v>357</v>
      </c>
      <c r="P2525">
        <v>5.4189146799668027E-2</v>
      </c>
      <c r="Q2525" t="s">
        <v>166</v>
      </c>
    </row>
    <row r="2526" spans="9:17" x14ac:dyDescent="0.45">
      <c r="I2526" t="s">
        <v>236</v>
      </c>
      <c r="J2526" t="s">
        <v>358</v>
      </c>
      <c r="K2526">
        <v>1.5068437695505662E-2</v>
      </c>
      <c r="L2526" t="s">
        <v>166</v>
      </c>
      <c r="N2526" t="s">
        <v>301</v>
      </c>
      <c r="O2526" t="s">
        <v>358</v>
      </c>
      <c r="P2526">
        <v>4.2744919861783881E-3</v>
      </c>
      <c r="Q2526" t="s">
        <v>166</v>
      </c>
    </row>
    <row r="2527" spans="9:17" x14ac:dyDescent="0.45">
      <c r="I2527" t="s">
        <v>236</v>
      </c>
      <c r="J2527" t="s">
        <v>359</v>
      </c>
      <c r="K2527">
        <v>8.1059590152432789E-2</v>
      </c>
      <c r="L2527" t="s">
        <v>166</v>
      </c>
      <c r="N2527" t="s">
        <v>301</v>
      </c>
      <c r="O2527" t="s">
        <v>359</v>
      </c>
      <c r="P2527">
        <v>2.6691138038488046E-2</v>
      </c>
      <c r="Q2527" t="s">
        <v>166</v>
      </c>
    </row>
    <row r="2528" spans="9:17" x14ac:dyDescent="0.45">
      <c r="I2528" t="s">
        <v>236</v>
      </c>
      <c r="J2528" t="s">
        <v>360</v>
      </c>
      <c r="K2528">
        <v>2.2558983957292264E-3</v>
      </c>
      <c r="L2528" t="s">
        <v>166</v>
      </c>
      <c r="N2528" t="s">
        <v>301</v>
      </c>
      <c r="O2528" t="s">
        <v>360</v>
      </c>
      <c r="P2528">
        <v>4.3443473478031727E-3</v>
      </c>
      <c r="Q2528" t="s">
        <v>166</v>
      </c>
    </row>
    <row r="2529" spans="9:17" x14ac:dyDescent="0.45">
      <c r="I2529" t="s">
        <v>236</v>
      </c>
      <c r="J2529" t="s">
        <v>361</v>
      </c>
      <c r="K2529">
        <v>0</v>
      </c>
      <c r="L2529" t="s">
        <v>166</v>
      </c>
      <c r="N2529" t="s">
        <v>301</v>
      </c>
      <c r="O2529" t="s">
        <v>361</v>
      </c>
      <c r="P2529">
        <v>4.6027725160525702E-3</v>
      </c>
      <c r="Q2529" t="s">
        <v>166</v>
      </c>
    </row>
    <row r="2530" spans="9:17" x14ac:dyDescent="0.45">
      <c r="I2530" t="s">
        <v>236</v>
      </c>
      <c r="J2530" t="s">
        <v>362</v>
      </c>
      <c r="K2530">
        <v>0</v>
      </c>
      <c r="L2530" t="s">
        <v>166</v>
      </c>
      <c r="N2530" t="s">
        <v>301</v>
      </c>
      <c r="O2530" t="s">
        <v>362</v>
      </c>
      <c r="P2530">
        <v>2.5403525509086828E-2</v>
      </c>
      <c r="Q2530" t="s">
        <v>166</v>
      </c>
    </row>
    <row r="2531" spans="9:17" x14ac:dyDescent="0.45">
      <c r="I2531" t="s">
        <v>237</v>
      </c>
      <c r="J2531" t="s">
        <v>165</v>
      </c>
      <c r="K2531">
        <v>5.0967462307441133E-2</v>
      </c>
      <c r="L2531" t="s">
        <v>166</v>
      </c>
      <c r="N2531" t="s">
        <v>302</v>
      </c>
      <c r="O2531" t="s">
        <v>165</v>
      </c>
      <c r="P2531">
        <v>0.13784578311977203</v>
      </c>
      <c r="Q2531" t="s">
        <v>166</v>
      </c>
    </row>
    <row r="2532" spans="9:17" x14ac:dyDescent="0.45">
      <c r="I2532" t="s">
        <v>237</v>
      </c>
      <c r="J2532" t="s">
        <v>167</v>
      </c>
      <c r="K2532">
        <v>2.6439718169633503E-2</v>
      </c>
      <c r="L2532" t="s">
        <v>166</v>
      </c>
      <c r="N2532" t="s">
        <v>302</v>
      </c>
      <c r="O2532" t="s">
        <v>167</v>
      </c>
      <c r="P2532">
        <v>9.9538674427108002E-3</v>
      </c>
      <c r="Q2532" t="s">
        <v>166</v>
      </c>
    </row>
    <row r="2533" spans="9:17" x14ac:dyDescent="0.45">
      <c r="I2533" t="s">
        <v>237</v>
      </c>
      <c r="J2533" t="s">
        <v>168</v>
      </c>
      <c r="K2533">
        <v>0.14715144955012607</v>
      </c>
      <c r="L2533" t="s">
        <v>166</v>
      </c>
      <c r="N2533" t="s">
        <v>302</v>
      </c>
      <c r="O2533" t="s">
        <v>168</v>
      </c>
      <c r="P2533">
        <v>6.2754742808714806E-2</v>
      </c>
      <c r="Q2533" t="s">
        <v>166</v>
      </c>
    </row>
    <row r="2534" spans="9:17" x14ac:dyDescent="0.45">
      <c r="I2534" t="s">
        <v>237</v>
      </c>
      <c r="J2534" t="s">
        <v>333</v>
      </c>
      <c r="K2534">
        <v>1.3084762173943438E-2</v>
      </c>
      <c r="L2534" t="s">
        <v>166</v>
      </c>
      <c r="N2534" t="s">
        <v>302</v>
      </c>
      <c r="O2534" t="s">
        <v>333</v>
      </c>
      <c r="P2534">
        <v>9.6781239197169314E-3</v>
      </c>
      <c r="Q2534" t="s">
        <v>166</v>
      </c>
    </row>
    <row r="2535" spans="9:17" x14ac:dyDescent="0.45">
      <c r="I2535" t="s">
        <v>237</v>
      </c>
      <c r="J2535" t="s">
        <v>334</v>
      </c>
      <c r="K2535">
        <v>1.8334174741012879E-3</v>
      </c>
      <c r="L2535" t="s">
        <v>166</v>
      </c>
      <c r="N2535" t="s">
        <v>302</v>
      </c>
      <c r="O2535" t="s">
        <v>334</v>
      </c>
      <c r="P2535">
        <v>9.6091026610706665E-3</v>
      </c>
      <c r="Q2535" t="s">
        <v>166</v>
      </c>
    </row>
    <row r="2536" spans="9:17" x14ac:dyDescent="0.45">
      <c r="I2536" t="s">
        <v>237</v>
      </c>
      <c r="J2536" t="s">
        <v>335</v>
      </c>
      <c r="K2536">
        <v>0</v>
      </c>
      <c r="L2536" t="s">
        <v>166</v>
      </c>
      <c r="N2536" t="s">
        <v>302</v>
      </c>
      <c r="O2536" t="s">
        <v>335</v>
      </c>
      <c r="P2536">
        <v>6.1179245889414487E-2</v>
      </c>
      <c r="Q2536" t="s">
        <v>166</v>
      </c>
    </row>
    <row r="2537" spans="9:17" x14ac:dyDescent="0.45">
      <c r="I2537" t="s">
        <v>237</v>
      </c>
      <c r="J2537" t="s">
        <v>169</v>
      </c>
      <c r="K2537">
        <v>5.1530597858947834E-2</v>
      </c>
      <c r="L2537" t="s">
        <v>166</v>
      </c>
      <c r="N2537" t="s">
        <v>302</v>
      </c>
      <c r="O2537" t="s">
        <v>169</v>
      </c>
      <c r="P2537">
        <v>9.8044108310360423E-2</v>
      </c>
      <c r="Q2537" t="s">
        <v>166</v>
      </c>
    </row>
    <row r="2538" spans="9:17" x14ac:dyDescent="0.45">
      <c r="I2538" t="s">
        <v>237</v>
      </c>
      <c r="J2538" t="s">
        <v>170</v>
      </c>
      <c r="K2538">
        <v>1.8445479821973903E-2</v>
      </c>
      <c r="L2538" t="s">
        <v>166</v>
      </c>
      <c r="N2538" t="s">
        <v>302</v>
      </c>
      <c r="O2538" t="s">
        <v>170</v>
      </c>
      <c r="P2538">
        <v>7.0220521174483765E-3</v>
      </c>
      <c r="Q2538" t="s">
        <v>166</v>
      </c>
    </row>
    <row r="2539" spans="9:17" x14ac:dyDescent="0.45">
      <c r="I2539" t="s">
        <v>237</v>
      </c>
      <c r="J2539" t="s">
        <v>171</v>
      </c>
      <c r="K2539">
        <v>0.10450221872653065</v>
      </c>
      <c r="L2539" t="s">
        <v>166</v>
      </c>
      <c r="N2539" t="s">
        <v>302</v>
      </c>
      <c r="O2539" t="s">
        <v>171</v>
      </c>
      <c r="P2539">
        <v>4.1041649574440384E-2</v>
      </c>
      <c r="Q2539" t="s">
        <v>166</v>
      </c>
    </row>
    <row r="2540" spans="9:17" x14ac:dyDescent="0.45">
      <c r="I2540" t="s">
        <v>237</v>
      </c>
      <c r="J2540" t="s">
        <v>336</v>
      </c>
      <c r="K2540">
        <v>1.1195183778885603E-2</v>
      </c>
      <c r="L2540" t="s">
        <v>166</v>
      </c>
      <c r="N2540" t="s">
        <v>302</v>
      </c>
      <c r="O2540" t="s">
        <v>336</v>
      </c>
      <c r="P2540">
        <v>7.0888937848915118E-3</v>
      </c>
      <c r="Q2540" t="s">
        <v>166</v>
      </c>
    </row>
    <row r="2541" spans="9:17" x14ac:dyDescent="0.45">
      <c r="I2541" t="s">
        <v>237</v>
      </c>
      <c r="J2541" t="s">
        <v>337</v>
      </c>
      <c r="K2541">
        <v>5.9503778245035043E-3</v>
      </c>
      <c r="L2541" t="s">
        <v>166</v>
      </c>
      <c r="N2541" t="s">
        <v>302</v>
      </c>
      <c r="O2541" t="s">
        <v>337</v>
      </c>
      <c r="P2541">
        <v>7.2410760397852176E-3</v>
      </c>
      <c r="Q2541" t="s">
        <v>166</v>
      </c>
    </row>
    <row r="2542" spans="9:17" x14ac:dyDescent="0.45">
      <c r="I2542" t="s">
        <v>237</v>
      </c>
      <c r="J2542" t="s">
        <v>338</v>
      </c>
      <c r="K2542">
        <v>3.1335315556325671E-6</v>
      </c>
      <c r="L2542" t="s">
        <v>166</v>
      </c>
      <c r="N2542" t="s">
        <v>302</v>
      </c>
      <c r="O2542" t="s">
        <v>338</v>
      </c>
      <c r="P2542">
        <v>4.5043589879309294E-2</v>
      </c>
      <c r="Q2542" t="s">
        <v>166</v>
      </c>
    </row>
    <row r="2543" spans="9:17" x14ac:dyDescent="0.45">
      <c r="I2543" t="s">
        <v>237</v>
      </c>
      <c r="J2543" t="s">
        <v>172</v>
      </c>
      <c r="K2543">
        <v>2.5824525200580345E-2</v>
      </c>
      <c r="L2543" t="s">
        <v>166</v>
      </c>
      <c r="N2543" t="s">
        <v>302</v>
      </c>
      <c r="O2543" t="s">
        <v>172</v>
      </c>
      <c r="P2543">
        <v>5.5745344430350986E-2</v>
      </c>
      <c r="Q2543" t="s">
        <v>166</v>
      </c>
    </row>
    <row r="2544" spans="9:17" x14ac:dyDescent="0.45">
      <c r="I2544" t="s">
        <v>237</v>
      </c>
      <c r="J2544" t="s">
        <v>173</v>
      </c>
      <c r="K2544">
        <v>8.9563851263154623E-3</v>
      </c>
      <c r="L2544" t="s">
        <v>166</v>
      </c>
      <c r="N2544" t="s">
        <v>302</v>
      </c>
      <c r="O2544" t="s">
        <v>173</v>
      </c>
      <c r="P2544">
        <v>4.0104080354118748E-3</v>
      </c>
      <c r="Q2544" t="s">
        <v>166</v>
      </c>
    </row>
    <row r="2545" spans="9:17" x14ac:dyDescent="0.45">
      <c r="I2545" t="s">
        <v>237</v>
      </c>
      <c r="J2545" t="s">
        <v>174</v>
      </c>
      <c r="K2545">
        <v>5.1813078015420767E-2</v>
      </c>
      <c r="L2545" t="s">
        <v>166</v>
      </c>
      <c r="N2545" t="s">
        <v>302</v>
      </c>
      <c r="O2545" t="s">
        <v>174</v>
      </c>
      <c r="P2545">
        <v>1.9785232993990601E-2</v>
      </c>
      <c r="Q2545" t="s">
        <v>166</v>
      </c>
    </row>
    <row r="2546" spans="9:17" x14ac:dyDescent="0.45">
      <c r="I2546" t="s">
        <v>237</v>
      </c>
      <c r="J2546" t="s">
        <v>339</v>
      </c>
      <c r="K2546">
        <v>5.8445834054551976E-3</v>
      </c>
      <c r="L2546" t="s">
        <v>166</v>
      </c>
      <c r="N2546" t="s">
        <v>302</v>
      </c>
      <c r="O2546" t="s">
        <v>339</v>
      </c>
      <c r="P2546">
        <v>3.1800008087835927E-3</v>
      </c>
      <c r="Q2546" t="s">
        <v>166</v>
      </c>
    </row>
    <row r="2547" spans="9:17" x14ac:dyDescent="0.45">
      <c r="I2547" t="s">
        <v>237</v>
      </c>
      <c r="J2547" t="s">
        <v>340</v>
      </c>
      <c r="K2547">
        <v>3.5337302937297264E-3</v>
      </c>
      <c r="L2547" t="s">
        <v>166</v>
      </c>
      <c r="N2547" t="s">
        <v>302</v>
      </c>
      <c r="O2547" t="s">
        <v>340</v>
      </c>
      <c r="P2547">
        <v>3.3822055252721544E-3</v>
      </c>
      <c r="Q2547" t="s">
        <v>166</v>
      </c>
    </row>
    <row r="2548" spans="9:17" x14ac:dyDescent="0.45">
      <c r="I2548" t="s">
        <v>237</v>
      </c>
      <c r="J2548" t="s">
        <v>341</v>
      </c>
      <c r="K2548">
        <v>7.4819672684197031E-4</v>
      </c>
      <c r="L2548" t="s">
        <v>166</v>
      </c>
      <c r="N2548" t="s">
        <v>302</v>
      </c>
      <c r="O2548" t="s">
        <v>341</v>
      </c>
      <c r="P2548">
        <v>2.457126582536091E-2</v>
      </c>
      <c r="Q2548" t="s">
        <v>166</v>
      </c>
    </row>
    <row r="2549" spans="9:17" x14ac:dyDescent="0.45">
      <c r="I2549" t="s">
        <v>237</v>
      </c>
      <c r="J2549" t="s">
        <v>175</v>
      </c>
      <c r="K2549">
        <v>2.4765558343459997E-2</v>
      </c>
      <c r="L2549" t="s">
        <v>166</v>
      </c>
      <c r="N2549" t="s">
        <v>302</v>
      </c>
      <c r="O2549" t="s">
        <v>175</v>
      </c>
      <c r="P2549">
        <v>4.487800756393872E-2</v>
      </c>
      <c r="Q2549" t="s">
        <v>166</v>
      </c>
    </row>
    <row r="2550" spans="9:17" x14ac:dyDescent="0.45">
      <c r="I2550" t="s">
        <v>237</v>
      </c>
      <c r="J2550" t="s">
        <v>176</v>
      </c>
      <c r="K2550">
        <v>8.9540594536083248E-3</v>
      </c>
      <c r="L2550" t="s">
        <v>166</v>
      </c>
      <c r="N2550" t="s">
        <v>302</v>
      </c>
      <c r="O2550" t="s">
        <v>176</v>
      </c>
      <c r="P2550">
        <v>2.1299296606965305E-3</v>
      </c>
      <c r="Q2550" t="s">
        <v>166</v>
      </c>
    </row>
    <row r="2551" spans="9:17" x14ac:dyDescent="0.45">
      <c r="I2551" t="s">
        <v>237</v>
      </c>
      <c r="J2551" t="s">
        <v>177</v>
      </c>
      <c r="K2551">
        <v>5.2123277238380152E-2</v>
      </c>
      <c r="L2551" t="s">
        <v>166</v>
      </c>
      <c r="N2551" t="s">
        <v>302</v>
      </c>
      <c r="O2551" t="s">
        <v>177</v>
      </c>
      <c r="P2551">
        <v>7.8107318864814911E-3</v>
      </c>
      <c r="Q2551" t="s">
        <v>166</v>
      </c>
    </row>
    <row r="2552" spans="9:17" x14ac:dyDescent="0.45">
      <c r="I2552" t="s">
        <v>237</v>
      </c>
      <c r="J2552" t="s">
        <v>342</v>
      </c>
      <c r="K2552">
        <v>5.939117009147515E-3</v>
      </c>
      <c r="L2552" t="s">
        <v>166</v>
      </c>
      <c r="N2552" t="s">
        <v>302</v>
      </c>
      <c r="O2552" t="s">
        <v>342</v>
      </c>
      <c r="P2552">
        <v>1.2953145187644026E-3</v>
      </c>
      <c r="Q2552" t="s">
        <v>166</v>
      </c>
    </row>
    <row r="2553" spans="9:17" x14ac:dyDescent="0.45">
      <c r="I2553" t="s">
        <v>237</v>
      </c>
      <c r="J2553" t="s">
        <v>343</v>
      </c>
      <c r="K2553">
        <v>3.5941750501591045E-3</v>
      </c>
      <c r="L2553" t="s">
        <v>166</v>
      </c>
      <c r="N2553" t="s">
        <v>302</v>
      </c>
      <c r="O2553" t="s">
        <v>343</v>
      </c>
      <c r="P2553">
        <v>1.6072533496005509E-3</v>
      </c>
      <c r="Q2553" t="s">
        <v>166</v>
      </c>
    </row>
    <row r="2554" spans="9:17" x14ac:dyDescent="0.45">
      <c r="I2554" t="s">
        <v>237</v>
      </c>
      <c r="J2554" t="s">
        <v>344</v>
      </c>
      <c r="K2554">
        <v>6.6928397689625086E-4</v>
      </c>
      <c r="L2554" t="s">
        <v>166</v>
      </c>
      <c r="N2554" t="s">
        <v>302</v>
      </c>
      <c r="O2554" t="s">
        <v>344</v>
      </c>
      <c r="P2554">
        <v>1.9861558039194319E-2</v>
      </c>
      <c r="Q2554" t="s">
        <v>166</v>
      </c>
    </row>
    <row r="2555" spans="9:17" x14ac:dyDescent="0.45">
      <c r="I2555" t="s">
        <v>237</v>
      </c>
      <c r="J2555" t="s">
        <v>345</v>
      </c>
      <c r="K2555">
        <v>4.7127950700954171E-2</v>
      </c>
      <c r="L2555" t="s">
        <v>166</v>
      </c>
      <c r="N2555" t="s">
        <v>302</v>
      </c>
      <c r="O2555" t="s">
        <v>345</v>
      </c>
      <c r="P2555">
        <v>8.235646499614209E-2</v>
      </c>
      <c r="Q2555" t="s">
        <v>166</v>
      </c>
    </row>
    <row r="2556" spans="9:17" x14ac:dyDescent="0.45">
      <c r="I2556" t="s">
        <v>237</v>
      </c>
      <c r="J2556" t="s">
        <v>346</v>
      </c>
      <c r="K2556">
        <v>1.7726046531372774E-2</v>
      </c>
      <c r="L2556" t="s">
        <v>166</v>
      </c>
      <c r="N2556" t="s">
        <v>302</v>
      </c>
      <c r="O2556" t="s">
        <v>346</v>
      </c>
      <c r="P2556">
        <v>4.7125175540786756E-3</v>
      </c>
      <c r="Q2556" t="s">
        <v>166</v>
      </c>
    </row>
    <row r="2557" spans="9:17" x14ac:dyDescent="0.45">
      <c r="I2557" t="s">
        <v>237</v>
      </c>
      <c r="J2557" t="s">
        <v>347</v>
      </c>
      <c r="K2557">
        <v>9.9617019025702122E-2</v>
      </c>
      <c r="L2557" t="s">
        <v>166</v>
      </c>
      <c r="N2557" t="s">
        <v>302</v>
      </c>
      <c r="O2557" t="s">
        <v>347</v>
      </c>
      <c r="P2557">
        <v>2.013324725479736E-2</v>
      </c>
      <c r="Q2557" t="s">
        <v>166</v>
      </c>
    </row>
    <row r="2558" spans="9:17" x14ac:dyDescent="0.45">
      <c r="I2558" t="s">
        <v>237</v>
      </c>
      <c r="J2558" t="s">
        <v>348</v>
      </c>
      <c r="K2558">
        <v>1.0056337614966831E-2</v>
      </c>
      <c r="L2558" t="s">
        <v>166</v>
      </c>
      <c r="N2558" t="s">
        <v>302</v>
      </c>
      <c r="O2558" t="s">
        <v>348</v>
      </c>
      <c r="P2558">
        <v>3.258130885878389E-3</v>
      </c>
      <c r="Q2558" t="s">
        <v>166</v>
      </c>
    </row>
    <row r="2559" spans="9:17" x14ac:dyDescent="0.45">
      <c r="I2559" t="s">
        <v>237</v>
      </c>
      <c r="J2559" t="s">
        <v>349</v>
      </c>
      <c r="K2559">
        <v>4.0885321735452985E-3</v>
      </c>
      <c r="L2559" t="s">
        <v>166</v>
      </c>
      <c r="N2559" t="s">
        <v>302</v>
      </c>
      <c r="O2559" t="s">
        <v>349</v>
      </c>
      <c r="P2559">
        <v>3.7252719813437008E-3</v>
      </c>
      <c r="Q2559" t="s">
        <v>166</v>
      </c>
    </row>
    <row r="2560" spans="9:17" x14ac:dyDescent="0.45">
      <c r="I2560" t="s">
        <v>237</v>
      </c>
      <c r="J2560" t="s">
        <v>350</v>
      </c>
      <c r="K2560">
        <v>0</v>
      </c>
      <c r="L2560" t="s">
        <v>166</v>
      </c>
      <c r="N2560" t="s">
        <v>302</v>
      </c>
      <c r="O2560" t="s">
        <v>350</v>
      </c>
      <c r="P2560">
        <v>3.3351348110239057E-2</v>
      </c>
      <c r="Q2560" t="s">
        <v>166</v>
      </c>
    </row>
    <row r="2561" spans="9:17" x14ac:dyDescent="0.45">
      <c r="I2561" t="s">
        <v>237</v>
      </c>
      <c r="J2561" t="s">
        <v>351</v>
      </c>
      <c r="K2561">
        <v>2.0033455956195819E-2</v>
      </c>
      <c r="L2561" t="s">
        <v>166</v>
      </c>
      <c r="N2561" t="s">
        <v>302</v>
      </c>
      <c r="O2561" t="s">
        <v>351</v>
      </c>
      <c r="P2561">
        <v>2.8533480932050659E-2</v>
      </c>
      <c r="Q2561" t="s">
        <v>166</v>
      </c>
    </row>
    <row r="2562" spans="9:17" x14ac:dyDescent="0.45">
      <c r="I2562" t="s">
        <v>237</v>
      </c>
      <c r="J2562" t="s">
        <v>352</v>
      </c>
      <c r="K2562">
        <v>8.5594938196751885E-3</v>
      </c>
      <c r="L2562" t="s">
        <v>166</v>
      </c>
      <c r="N2562" t="s">
        <v>302</v>
      </c>
      <c r="O2562" t="s">
        <v>352</v>
      </c>
      <c r="P2562">
        <v>1.4455180020733888E-3</v>
      </c>
      <c r="Q2562" t="s">
        <v>166</v>
      </c>
    </row>
    <row r="2563" spans="9:17" x14ac:dyDescent="0.45">
      <c r="I2563" t="s">
        <v>237</v>
      </c>
      <c r="J2563" t="s">
        <v>353</v>
      </c>
      <c r="K2563">
        <v>4.6317964205761501E-2</v>
      </c>
      <c r="L2563" t="s">
        <v>166</v>
      </c>
      <c r="N2563" t="s">
        <v>302</v>
      </c>
      <c r="O2563" t="s">
        <v>353</v>
      </c>
      <c r="P2563">
        <v>5.4292409304925199E-3</v>
      </c>
      <c r="Q2563" t="s">
        <v>166</v>
      </c>
    </row>
    <row r="2564" spans="9:17" x14ac:dyDescent="0.45">
      <c r="I2564" t="s">
        <v>237</v>
      </c>
      <c r="J2564" t="s">
        <v>354</v>
      </c>
      <c r="K2564">
        <v>3.2629972716903444E-3</v>
      </c>
      <c r="L2564" t="s">
        <v>166</v>
      </c>
      <c r="N2564" t="s">
        <v>302</v>
      </c>
      <c r="O2564" t="s">
        <v>354</v>
      </c>
      <c r="P2564">
        <v>7.6210588359092808E-4</v>
      </c>
      <c r="Q2564" t="s">
        <v>166</v>
      </c>
    </row>
    <row r="2565" spans="9:17" x14ac:dyDescent="0.45">
      <c r="I2565" t="s">
        <v>237</v>
      </c>
      <c r="J2565" t="s">
        <v>355</v>
      </c>
      <c r="K2565">
        <v>0</v>
      </c>
      <c r="L2565" t="s">
        <v>166</v>
      </c>
      <c r="N2565" t="s">
        <v>302</v>
      </c>
      <c r="O2565" t="s">
        <v>355</v>
      </c>
      <c r="P2565">
        <v>1.1266962864139489E-3</v>
      </c>
      <c r="Q2565" t="s">
        <v>166</v>
      </c>
    </row>
    <row r="2566" spans="9:17" x14ac:dyDescent="0.45">
      <c r="I2566" t="s">
        <v>237</v>
      </c>
      <c r="J2566" t="s">
        <v>356</v>
      </c>
      <c r="K2566">
        <v>0</v>
      </c>
      <c r="L2566" t="s">
        <v>166</v>
      </c>
      <c r="N2566" t="s">
        <v>302</v>
      </c>
      <c r="O2566" t="s">
        <v>356</v>
      </c>
      <c r="P2566">
        <v>1.2390836938887522E-2</v>
      </c>
      <c r="Q2566" t="s">
        <v>166</v>
      </c>
    </row>
    <row r="2567" spans="9:17" x14ac:dyDescent="0.45">
      <c r="I2567" t="s">
        <v>237</v>
      </c>
      <c r="J2567" t="s">
        <v>357</v>
      </c>
      <c r="K2567">
        <v>2.7268479180873752E-2</v>
      </c>
      <c r="L2567" t="s">
        <v>166</v>
      </c>
      <c r="N2567" t="s">
        <v>302</v>
      </c>
      <c r="O2567" t="s">
        <v>357</v>
      </c>
      <c r="P2567">
        <v>5.7192782916336067E-2</v>
      </c>
      <c r="Q2567" t="s">
        <v>166</v>
      </c>
    </row>
    <row r="2568" spans="9:17" x14ac:dyDescent="0.45">
      <c r="I2568" t="s">
        <v>237</v>
      </c>
      <c r="J2568" t="s">
        <v>358</v>
      </c>
      <c r="K2568">
        <v>1.4531593520744561E-2</v>
      </c>
      <c r="L2568" t="s">
        <v>166</v>
      </c>
      <c r="N2568" t="s">
        <v>302</v>
      </c>
      <c r="O2568" t="s">
        <v>358</v>
      </c>
      <c r="P2568">
        <v>3.6689915594445444E-3</v>
      </c>
      <c r="Q2568" t="s">
        <v>166</v>
      </c>
    </row>
    <row r="2569" spans="9:17" x14ac:dyDescent="0.45">
      <c r="I2569" t="s">
        <v>237</v>
      </c>
      <c r="J2569" t="s">
        <v>359</v>
      </c>
      <c r="K2569">
        <v>7.7110040778451683E-2</v>
      </c>
      <c r="L2569" t="s">
        <v>166</v>
      </c>
      <c r="N2569" t="s">
        <v>302</v>
      </c>
      <c r="O2569" t="s">
        <v>359</v>
      </c>
      <c r="P2569">
        <v>2.2368115626406455E-2</v>
      </c>
      <c r="Q2569" t="s">
        <v>166</v>
      </c>
    </row>
    <row r="2570" spans="9:17" x14ac:dyDescent="0.45">
      <c r="I2570" t="s">
        <v>237</v>
      </c>
      <c r="J2570" t="s">
        <v>360</v>
      </c>
      <c r="K2570">
        <v>4.3031816242497723E-4</v>
      </c>
      <c r="L2570" t="s">
        <v>166</v>
      </c>
      <c r="N2570" t="s">
        <v>302</v>
      </c>
      <c r="O2570" t="s">
        <v>360</v>
      </c>
      <c r="P2570">
        <v>3.8292964090256894E-3</v>
      </c>
      <c r="Q2570" t="s">
        <v>166</v>
      </c>
    </row>
    <row r="2571" spans="9:17" x14ac:dyDescent="0.45">
      <c r="I2571" t="s">
        <v>237</v>
      </c>
      <c r="J2571" t="s">
        <v>361</v>
      </c>
      <c r="K2571">
        <v>0</v>
      </c>
      <c r="L2571" t="s">
        <v>166</v>
      </c>
      <c r="N2571" t="s">
        <v>302</v>
      </c>
      <c r="O2571" t="s">
        <v>361</v>
      </c>
      <c r="P2571">
        <v>4.2029290777170943E-3</v>
      </c>
      <c r="Q2571" t="s">
        <v>166</v>
      </c>
    </row>
    <row r="2572" spans="9:17" x14ac:dyDescent="0.45">
      <c r="I2572" t="s">
        <v>237</v>
      </c>
      <c r="J2572" t="s">
        <v>362</v>
      </c>
      <c r="K2572">
        <v>0</v>
      </c>
      <c r="L2572" t="s">
        <v>166</v>
      </c>
      <c r="N2572" t="s">
        <v>302</v>
      </c>
      <c r="O2572" t="s">
        <v>362</v>
      </c>
      <c r="P2572">
        <v>2.6753536469598414E-2</v>
      </c>
      <c r="Q2572" t="s">
        <v>166</v>
      </c>
    </row>
    <row r="2573" spans="9:17" x14ac:dyDescent="0.45">
      <c r="I2573" t="s">
        <v>238</v>
      </c>
      <c r="J2573" t="s">
        <v>165</v>
      </c>
      <c r="K2573">
        <v>5.8484210051697828E-2</v>
      </c>
      <c r="L2573" t="s">
        <v>166</v>
      </c>
      <c r="N2573" t="s">
        <v>303</v>
      </c>
      <c r="O2573" t="s">
        <v>165</v>
      </c>
      <c r="P2573">
        <v>0.15040815446255229</v>
      </c>
      <c r="Q2573" t="s">
        <v>166</v>
      </c>
    </row>
    <row r="2574" spans="9:17" x14ac:dyDescent="0.45">
      <c r="I2574" t="s">
        <v>238</v>
      </c>
      <c r="J2574" t="s">
        <v>167</v>
      </c>
      <c r="K2574">
        <v>2.7141112341602897E-2</v>
      </c>
      <c r="L2574" t="s">
        <v>166</v>
      </c>
      <c r="N2574" t="s">
        <v>303</v>
      </c>
      <c r="O2574" t="s">
        <v>167</v>
      </c>
      <c r="P2574">
        <v>1.1099279135542182E-2</v>
      </c>
      <c r="Q2574" t="s">
        <v>166</v>
      </c>
    </row>
    <row r="2575" spans="9:17" x14ac:dyDescent="0.45">
      <c r="I2575" t="s">
        <v>238</v>
      </c>
      <c r="J2575" t="s">
        <v>168</v>
      </c>
      <c r="K2575">
        <v>0.15035717118331651</v>
      </c>
      <c r="L2575" t="s">
        <v>166</v>
      </c>
      <c r="N2575" t="s">
        <v>303</v>
      </c>
      <c r="O2575" t="s">
        <v>168</v>
      </c>
      <c r="P2575">
        <v>6.7859415935845754E-2</v>
      </c>
      <c r="Q2575" t="s">
        <v>166</v>
      </c>
    </row>
    <row r="2576" spans="9:17" x14ac:dyDescent="0.45">
      <c r="I2576" t="s">
        <v>238</v>
      </c>
      <c r="J2576" t="s">
        <v>333</v>
      </c>
      <c r="K2576">
        <v>1.2821793747849768E-2</v>
      </c>
      <c r="L2576" t="s">
        <v>166</v>
      </c>
      <c r="N2576" t="s">
        <v>303</v>
      </c>
      <c r="O2576" t="s">
        <v>333</v>
      </c>
      <c r="P2576">
        <v>1.103155080952577E-2</v>
      </c>
      <c r="Q2576" t="s">
        <v>166</v>
      </c>
    </row>
    <row r="2577" spans="9:17" x14ac:dyDescent="0.45">
      <c r="I2577" t="s">
        <v>238</v>
      </c>
      <c r="J2577" t="s">
        <v>334</v>
      </c>
      <c r="K2577">
        <v>7.4744360763745531E-4</v>
      </c>
      <c r="L2577" t="s">
        <v>166</v>
      </c>
      <c r="N2577" t="s">
        <v>303</v>
      </c>
      <c r="O2577" t="s">
        <v>334</v>
      </c>
      <c r="P2577">
        <v>1.1146584233540272E-2</v>
      </c>
      <c r="Q2577" t="s">
        <v>166</v>
      </c>
    </row>
    <row r="2578" spans="9:17" x14ac:dyDescent="0.45">
      <c r="I2578" t="s">
        <v>238</v>
      </c>
      <c r="J2578" t="s">
        <v>335</v>
      </c>
      <c r="K2578">
        <v>0</v>
      </c>
      <c r="L2578" t="s">
        <v>166</v>
      </c>
      <c r="N2578" t="s">
        <v>303</v>
      </c>
      <c r="O2578" t="s">
        <v>335</v>
      </c>
      <c r="P2578">
        <v>7.2517599377268649E-2</v>
      </c>
      <c r="Q2578" t="s">
        <v>166</v>
      </c>
    </row>
    <row r="2579" spans="9:17" x14ac:dyDescent="0.45">
      <c r="I2579" t="s">
        <v>238</v>
      </c>
      <c r="J2579" t="s">
        <v>169</v>
      </c>
      <c r="K2579">
        <v>4.8198609067030204E-2</v>
      </c>
      <c r="L2579" t="s">
        <v>166</v>
      </c>
      <c r="N2579" t="s">
        <v>303</v>
      </c>
      <c r="O2579" t="s">
        <v>169</v>
      </c>
      <c r="P2579">
        <v>9.1536865862999403E-2</v>
      </c>
      <c r="Q2579" t="s">
        <v>166</v>
      </c>
    </row>
    <row r="2580" spans="9:17" x14ac:dyDescent="0.45">
      <c r="I2580" t="s">
        <v>238</v>
      </c>
      <c r="J2580" t="s">
        <v>170</v>
      </c>
      <c r="K2580">
        <v>1.7798608637182575E-2</v>
      </c>
      <c r="L2580" t="s">
        <v>166</v>
      </c>
      <c r="N2580" t="s">
        <v>303</v>
      </c>
      <c r="O2580" t="s">
        <v>170</v>
      </c>
      <c r="P2580">
        <v>6.52581781418397E-3</v>
      </c>
      <c r="Q2580" t="s">
        <v>166</v>
      </c>
    </row>
    <row r="2581" spans="9:17" x14ac:dyDescent="0.45">
      <c r="I2581" t="s">
        <v>238</v>
      </c>
      <c r="J2581" t="s">
        <v>171</v>
      </c>
      <c r="K2581">
        <v>9.8695219392365502E-2</v>
      </c>
      <c r="L2581" t="s">
        <v>166</v>
      </c>
      <c r="N2581" t="s">
        <v>303</v>
      </c>
      <c r="O2581" t="s">
        <v>171</v>
      </c>
      <c r="P2581">
        <v>3.6130488996999124E-2</v>
      </c>
      <c r="Q2581" t="s">
        <v>166</v>
      </c>
    </row>
    <row r="2582" spans="9:17" x14ac:dyDescent="0.45">
      <c r="I2582" t="s">
        <v>238</v>
      </c>
      <c r="J2582" t="s">
        <v>336</v>
      </c>
      <c r="K2582">
        <v>8.9712427546220115E-3</v>
      </c>
      <c r="L2582" t="s">
        <v>166</v>
      </c>
      <c r="N2582" t="s">
        <v>303</v>
      </c>
      <c r="O2582" t="s">
        <v>336</v>
      </c>
      <c r="P2582">
        <v>6.1809569129964541E-3</v>
      </c>
      <c r="Q2582" t="s">
        <v>166</v>
      </c>
    </row>
    <row r="2583" spans="9:17" x14ac:dyDescent="0.45">
      <c r="I2583" t="s">
        <v>238</v>
      </c>
      <c r="J2583" t="s">
        <v>337</v>
      </c>
      <c r="K2583">
        <v>3.9853891678860876E-3</v>
      </c>
      <c r="L2583" t="s">
        <v>166</v>
      </c>
      <c r="N2583" t="s">
        <v>303</v>
      </c>
      <c r="O2583" t="s">
        <v>337</v>
      </c>
      <c r="P2583">
        <v>6.3647178504440492E-3</v>
      </c>
      <c r="Q2583" t="s">
        <v>166</v>
      </c>
    </row>
    <row r="2584" spans="9:17" x14ac:dyDescent="0.45">
      <c r="I2584" t="s">
        <v>238</v>
      </c>
      <c r="J2584" t="s">
        <v>338</v>
      </c>
      <c r="K2584">
        <v>0</v>
      </c>
      <c r="L2584" t="s">
        <v>166</v>
      </c>
      <c r="N2584" t="s">
        <v>303</v>
      </c>
      <c r="O2584" t="s">
        <v>338</v>
      </c>
      <c r="P2584">
        <v>4.6001462490227699E-2</v>
      </c>
      <c r="Q2584" t="s">
        <v>166</v>
      </c>
    </row>
    <row r="2585" spans="9:17" x14ac:dyDescent="0.45">
      <c r="I2585" t="s">
        <v>238</v>
      </c>
      <c r="J2585" t="s">
        <v>172</v>
      </c>
      <c r="K2585">
        <v>2.4692798046545304E-2</v>
      </c>
      <c r="L2585" t="s">
        <v>166</v>
      </c>
      <c r="N2585" t="s">
        <v>303</v>
      </c>
      <c r="O2585" t="s">
        <v>172</v>
      </c>
      <c r="P2585">
        <v>5.1498702866536204E-2</v>
      </c>
      <c r="Q2585" t="s">
        <v>166</v>
      </c>
    </row>
    <row r="2586" spans="9:17" x14ac:dyDescent="0.45">
      <c r="I2586" t="s">
        <v>238</v>
      </c>
      <c r="J2586" t="s">
        <v>173</v>
      </c>
      <c r="K2586">
        <v>8.670032210337842E-3</v>
      </c>
      <c r="L2586" t="s">
        <v>166</v>
      </c>
      <c r="N2586" t="s">
        <v>303</v>
      </c>
      <c r="O2586" t="s">
        <v>173</v>
      </c>
      <c r="P2586">
        <v>3.5879577961159185E-3</v>
      </c>
      <c r="Q2586" t="s">
        <v>166</v>
      </c>
    </row>
    <row r="2587" spans="9:17" x14ac:dyDescent="0.45">
      <c r="I2587" t="s">
        <v>238</v>
      </c>
      <c r="J2587" t="s">
        <v>174</v>
      </c>
      <c r="K2587">
        <v>4.948036707510179E-2</v>
      </c>
      <c r="L2587" t="s">
        <v>166</v>
      </c>
      <c r="N2587" t="s">
        <v>303</v>
      </c>
      <c r="O2587" t="s">
        <v>174</v>
      </c>
      <c r="P2587">
        <v>1.8070489414068358E-2</v>
      </c>
      <c r="Q2587" t="s">
        <v>166</v>
      </c>
    </row>
    <row r="2588" spans="9:17" x14ac:dyDescent="0.45">
      <c r="I2588" t="s">
        <v>238</v>
      </c>
      <c r="J2588" t="s">
        <v>339</v>
      </c>
      <c r="K2588">
        <v>5.1000927803130161E-3</v>
      </c>
      <c r="L2588" t="s">
        <v>166</v>
      </c>
      <c r="N2588" t="s">
        <v>303</v>
      </c>
      <c r="O2588" t="s">
        <v>339</v>
      </c>
      <c r="P2588">
        <v>2.8805485248242259E-3</v>
      </c>
      <c r="Q2588" t="s">
        <v>166</v>
      </c>
    </row>
    <row r="2589" spans="9:17" x14ac:dyDescent="0.45">
      <c r="I2589" t="s">
        <v>238</v>
      </c>
      <c r="J2589" t="s">
        <v>340</v>
      </c>
      <c r="K2589">
        <v>2.7024870794949917E-3</v>
      </c>
      <c r="L2589" t="s">
        <v>166</v>
      </c>
      <c r="N2589" t="s">
        <v>303</v>
      </c>
      <c r="O2589" t="s">
        <v>340</v>
      </c>
      <c r="P2589">
        <v>2.9226113274201026E-3</v>
      </c>
      <c r="Q2589" t="s">
        <v>166</v>
      </c>
    </row>
    <row r="2590" spans="9:17" x14ac:dyDescent="0.45">
      <c r="I2590" t="s">
        <v>238</v>
      </c>
      <c r="J2590" t="s">
        <v>341</v>
      </c>
      <c r="K2590">
        <v>0</v>
      </c>
      <c r="L2590" t="s">
        <v>166</v>
      </c>
      <c r="N2590" t="s">
        <v>303</v>
      </c>
      <c r="O2590" t="s">
        <v>341</v>
      </c>
      <c r="P2590">
        <v>2.2855502410509505E-2</v>
      </c>
      <c r="Q2590" t="s">
        <v>166</v>
      </c>
    </row>
    <row r="2591" spans="9:17" x14ac:dyDescent="0.45">
      <c r="I2591" t="s">
        <v>238</v>
      </c>
      <c r="J2591" t="s">
        <v>175</v>
      </c>
      <c r="K2591">
        <v>2.485156059978276E-2</v>
      </c>
      <c r="L2591" t="s">
        <v>166</v>
      </c>
      <c r="N2591" t="s">
        <v>303</v>
      </c>
      <c r="O2591" t="s">
        <v>175</v>
      </c>
      <c r="P2591">
        <v>3.1854952570727096E-2</v>
      </c>
      <c r="Q2591" t="s">
        <v>166</v>
      </c>
    </row>
    <row r="2592" spans="9:17" x14ac:dyDescent="0.45">
      <c r="I2592" t="s">
        <v>238</v>
      </c>
      <c r="J2592" t="s">
        <v>176</v>
      </c>
      <c r="K2592">
        <v>8.9077095418129571E-3</v>
      </c>
      <c r="L2592" t="s">
        <v>166</v>
      </c>
      <c r="N2592" t="s">
        <v>303</v>
      </c>
      <c r="O2592" t="s">
        <v>176</v>
      </c>
      <c r="P2592">
        <v>1.3762533023178448E-3</v>
      </c>
      <c r="Q2592" t="s">
        <v>166</v>
      </c>
    </row>
    <row r="2593" spans="9:17" x14ac:dyDescent="0.45">
      <c r="I2593" t="s">
        <v>238</v>
      </c>
      <c r="J2593" t="s">
        <v>177</v>
      </c>
      <c r="K2593">
        <v>5.1528942537008009E-2</v>
      </c>
      <c r="L2593" t="s">
        <v>166</v>
      </c>
      <c r="N2593" t="s">
        <v>303</v>
      </c>
      <c r="O2593" t="s">
        <v>177</v>
      </c>
      <c r="P2593">
        <v>6.4816318838934513E-3</v>
      </c>
      <c r="Q2593" t="s">
        <v>166</v>
      </c>
    </row>
    <row r="2594" spans="9:17" x14ac:dyDescent="0.45">
      <c r="I2594" t="s">
        <v>238</v>
      </c>
      <c r="J2594" t="s">
        <v>342</v>
      </c>
      <c r="K2594">
        <v>5.5007164673264893E-3</v>
      </c>
      <c r="L2594" t="s">
        <v>166</v>
      </c>
      <c r="N2594" t="s">
        <v>303</v>
      </c>
      <c r="O2594" t="s">
        <v>342</v>
      </c>
      <c r="P2594">
        <v>1.1780259165852828E-3</v>
      </c>
      <c r="Q2594" t="s">
        <v>166</v>
      </c>
    </row>
    <row r="2595" spans="9:17" x14ac:dyDescent="0.45">
      <c r="I2595" t="s">
        <v>238</v>
      </c>
      <c r="J2595" t="s">
        <v>343</v>
      </c>
      <c r="K2595">
        <v>2.9288323136857598E-3</v>
      </c>
      <c r="L2595" t="s">
        <v>166</v>
      </c>
      <c r="N2595" t="s">
        <v>303</v>
      </c>
      <c r="O2595" t="s">
        <v>343</v>
      </c>
      <c r="P2595">
        <v>1.379982370786524E-3</v>
      </c>
      <c r="Q2595" t="s">
        <v>166</v>
      </c>
    </row>
    <row r="2596" spans="9:17" x14ac:dyDescent="0.45">
      <c r="I2596" t="s">
        <v>238</v>
      </c>
      <c r="J2596" t="s">
        <v>344</v>
      </c>
      <c r="K2596">
        <v>0</v>
      </c>
      <c r="L2596" t="s">
        <v>166</v>
      </c>
      <c r="N2596" t="s">
        <v>303</v>
      </c>
      <c r="O2596" t="s">
        <v>344</v>
      </c>
      <c r="P2596">
        <v>1.540799190136565E-2</v>
      </c>
      <c r="Q2596" t="s">
        <v>166</v>
      </c>
    </row>
    <row r="2597" spans="9:17" x14ac:dyDescent="0.45">
      <c r="I2597" t="s">
        <v>238</v>
      </c>
      <c r="J2597" t="s">
        <v>345</v>
      </c>
      <c r="K2597">
        <v>4.7770725463761564E-2</v>
      </c>
      <c r="L2597" t="s">
        <v>166</v>
      </c>
      <c r="N2597" t="s">
        <v>303</v>
      </c>
      <c r="O2597" t="s">
        <v>345</v>
      </c>
      <c r="P2597">
        <v>6.8801503070564887E-2</v>
      </c>
      <c r="Q2597" t="s">
        <v>166</v>
      </c>
    </row>
    <row r="2598" spans="9:17" x14ac:dyDescent="0.45">
      <c r="I2598" t="s">
        <v>238</v>
      </c>
      <c r="J2598" t="s">
        <v>346</v>
      </c>
      <c r="K2598">
        <v>1.7517692907802116E-2</v>
      </c>
      <c r="L2598" t="s">
        <v>166</v>
      </c>
      <c r="N2598" t="s">
        <v>303</v>
      </c>
      <c r="O2598" t="s">
        <v>346</v>
      </c>
      <c r="P2598">
        <v>3.6472887415408485E-3</v>
      </c>
      <c r="Q2598" t="s">
        <v>166</v>
      </c>
    </row>
    <row r="2599" spans="9:17" x14ac:dyDescent="0.45">
      <c r="I2599" t="s">
        <v>238</v>
      </c>
      <c r="J2599" t="s">
        <v>347</v>
      </c>
      <c r="K2599">
        <v>9.8593787284447718E-2</v>
      </c>
      <c r="L2599" t="s">
        <v>166</v>
      </c>
      <c r="N2599" t="s">
        <v>303</v>
      </c>
      <c r="O2599" t="s">
        <v>347</v>
      </c>
      <c r="P2599">
        <v>1.928836097786325E-2</v>
      </c>
      <c r="Q2599" t="s">
        <v>166</v>
      </c>
    </row>
    <row r="2600" spans="9:17" x14ac:dyDescent="0.45">
      <c r="I2600" t="s">
        <v>238</v>
      </c>
      <c r="J2600" t="s">
        <v>348</v>
      </c>
      <c r="K2600">
        <v>9.2611150034212688E-3</v>
      </c>
      <c r="L2600" t="s">
        <v>166</v>
      </c>
      <c r="N2600" t="s">
        <v>303</v>
      </c>
      <c r="O2600" t="s">
        <v>348</v>
      </c>
      <c r="P2600">
        <v>3.3621730064090326E-3</v>
      </c>
      <c r="Q2600" t="s">
        <v>166</v>
      </c>
    </row>
    <row r="2601" spans="9:17" x14ac:dyDescent="0.45">
      <c r="I2601" t="s">
        <v>238</v>
      </c>
      <c r="J2601" t="s">
        <v>349</v>
      </c>
      <c r="K2601">
        <v>2.9789143363681851E-3</v>
      </c>
      <c r="L2601" t="s">
        <v>166</v>
      </c>
      <c r="N2601" t="s">
        <v>303</v>
      </c>
      <c r="O2601" t="s">
        <v>349</v>
      </c>
      <c r="P2601">
        <v>3.7912470393097523E-3</v>
      </c>
      <c r="Q2601" t="s">
        <v>166</v>
      </c>
    </row>
    <row r="2602" spans="9:17" x14ac:dyDescent="0.45">
      <c r="I2602" t="s">
        <v>238</v>
      </c>
      <c r="J2602" t="s">
        <v>350</v>
      </c>
      <c r="K2602">
        <v>0</v>
      </c>
      <c r="L2602" t="s">
        <v>166</v>
      </c>
      <c r="N2602" t="s">
        <v>303</v>
      </c>
      <c r="O2602" t="s">
        <v>350</v>
      </c>
      <c r="P2602">
        <v>3.5025854305497726E-2</v>
      </c>
      <c r="Q2602" t="s">
        <v>166</v>
      </c>
    </row>
    <row r="2603" spans="9:17" x14ac:dyDescent="0.45">
      <c r="I2603" t="s">
        <v>238</v>
      </c>
      <c r="J2603" t="s">
        <v>351</v>
      </c>
      <c r="K2603">
        <v>2.2231710558067413E-2</v>
      </c>
      <c r="L2603" t="s">
        <v>166</v>
      </c>
      <c r="N2603" t="s">
        <v>303</v>
      </c>
      <c r="O2603" t="s">
        <v>351</v>
      </c>
      <c r="P2603">
        <v>2.0926717981771845E-2</v>
      </c>
      <c r="Q2603" t="s">
        <v>166</v>
      </c>
    </row>
    <row r="2604" spans="9:17" x14ac:dyDescent="0.45">
      <c r="I2604" t="s">
        <v>238</v>
      </c>
      <c r="J2604" t="s">
        <v>352</v>
      </c>
      <c r="K2604">
        <v>8.7812120047968123E-3</v>
      </c>
      <c r="L2604" t="s">
        <v>166</v>
      </c>
      <c r="N2604" t="s">
        <v>303</v>
      </c>
      <c r="O2604" t="s">
        <v>352</v>
      </c>
      <c r="P2604">
        <v>1.0391753765551009E-3</v>
      </c>
      <c r="Q2604" t="s">
        <v>166</v>
      </c>
    </row>
    <row r="2605" spans="9:17" x14ac:dyDescent="0.45">
      <c r="I2605" t="s">
        <v>238</v>
      </c>
      <c r="J2605" t="s">
        <v>353</v>
      </c>
      <c r="K2605">
        <v>4.7408397557832931E-2</v>
      </c>
      <c r="L2605" t="s">
        <v>166</v>
      </c>
      <c r="N2605" t="s">
        <v>303</v>
      </c>
      <c r="O2605" t="s">
        <v>353</v>
      </c>
      <c r="P2605">
        <v>6.1336590358212397E-3</v>
      </c>
      <c r="Q2605" t="s">
        <v>166</v>
      </c>
    </row>
    <row r="2606" spans="9:17" x14ac:dyDescent="0.45">
      <c r="I2606" t="s">
        <v>238</v>
      </c>
      <c r="J2606" t="s">
        <v>354</v>
      </c>
      <c r="K2606">
        <v>2.9826542808186673E-3</v>
      </c>
      <c r="L2606" t="s">
        <v>166</v>
      </c>
      <c r="N2606" t="s">
        <v>303</v>
      </c>
      <c r="O2606" t="s">
        <v>354</v>
      </c>
      <c r="P2606">
        <v>1.3043479862195392E-3</v>
      </c>
      <c r="Q2606" t="s">
        <v>166</v>
      </c>
    </row>
    <row r="2607" spans="9:17" x14ac:dyDescent="0.45">
      <c r="I2607" t="s">
        <v>238</v>
      </c>
      <c r="J2607" t="s">
        <v>355</v>
      </c>
      <c r="K2607">
        <v>0</v>
      </c>
      <c r="L2607" t="s">
        <v>166</v>
      </c>
      <c r="N2607" t="s">
        <v>303</v>
      </c>
      <c r="O2607" t="s">
        <v>355</v>
      </c>
      <c r="P2607">
        <v>1.8862286111419586E-3</v>
      </c>
      <c r="Q2607" t="s">
        <v>166</v>
      </c>
    </row>
    <row r="2608" spans="9:17" x14ac:dyDescent="0.45">
      <c r="I2608" t="s">
        <v>238</v>
      </c>
      <c r="J2608" t="s">
        <v>356</v>
      </c>
      <c r="K2608">
        <v>0</v>
      </c>
      <c r="L2608" t="s">
        <v>166</v>
      </c>
      <c r="N2608" t="s">
        <v>303</v>
      </c>
      <c r="O2608" t="s">
        <v>356</v>
      </c>
      <c r="P2608">
        <v>1.4793048879571887E-2</v>
      </c>
      <c r="Q2608" t="s">
        <v>166</v>
      </c>
    </row>
    <row r="2609" spans="9:17" x14ac:dyDescent="0.45">
      <c r="I2609" t="s">
        <v>238</v>
      </c>
      <c r="J2609" t="s">
        <v>357</v>
      </c>
      <c r="K2609">
        <v>3.2804089633510412E-2</v>
      </c>
      <c r="L2609" t="s">
        <v>166</v>
      </c>
      <c r="N2609" t="s">
        <v>303</v>
      </c>
      <c r="O2609" t="s">
        <v>357</v>
      </c>
      <c r="P2609">
        <v>7.2513281527236226E-2</v>
      </c>
      <c r="Q2609" t="s">
        <v>166</v>
      </c>
    </row>
    <row r="2610" spans="9:17" x14ac:dyDescent="0.45">
      <c r="I2610" t="s">
        <v>238</v>
      </c>
      <c r="J2610" t="s">
        <v>358</v>
      </c>
      <c r="K2610">
        <v>1.5480007072240348E-2</v>
      </c>
      <c r="L2610" t="s">
        <v>166</v>
      </c>
      <c r="N2610" t="s">
        <v>303</v>
      </c>
      <c r="O2610" t="s">
        <v>358</v>
      </c>
      <c r="P2610">
        <v>5.3564026850576119E-3</v>
      </c>
      <c r="Q2610" t="s">
        <v>166</v>
      </c>
    </row>
    <row r="2611" spans="9:17" x14ac:dyDescent="0.45">
      <c r="I2611" t="s">
        <v>238</v>
      </c>
      <c r="J2611" t="s">
        <v>359</v>
      </c>
      <c r="K2611">
        <v>8.2262888215084762E-2</v>
      </c>
      <c r="L2611" t="s">
        <v>166</v>
      </c>
      <c r="N2611" t="s">
        <v>303</v>
      </c>
      <c r="O2611" t="s">
        <v>359</v>
      </c>
      <c r="P2611">
        <v>2.7731231103073999E-2</v>
      </c>
      <c r="Q2611" t="s">
        <v>166</v>
      </c>
    </row>
    <row r="2612" spans="9:17" x14ac:dyDescent="0.45">
      <c r="I2612" t="s">
        <v>238</v>
      </c>
      <c r="J2612" t="s">
        <v>360</v>
      </c>
      <c r="K2612">
        <v>3.6246707924945487E-4</v>
      </c>
      <c r="L2612" t="s">
        <v>166</v>
      </c>
      <c r="N2612" t="s">
        <v>303</v>
      </c>
      <c r="O2612" t="s">
        <v>360</v>
      </c>
      <c r="P2612">
        <v>4.1039049568756753E-3</v>
      </c>
      <c r="Q2612" t="s">
        <v>166</v>
      </c>
    </row>
    <row r="2613" spans="9:17" x14ac:dyDescent="0.45">
      <c r="I2613" t="s">
        <v>238</v>
      </c>
      <c r="J2613" t="s">
        <v>361</v>
      </c>
      <c r="K2613">
        <v>0</v>
      </c>
      <c r="L2613" t="s">
        <v>166</v>
      </c>
      <c r="N2613" t="s">
        <v>303</v>
      </c>
      <c r="O2613" t="s">
        <v>361</v>
      </c>
      <c r="P2613">
        <v>4.4356298241687124E-3</v>
      </c>
      <c r="Q2613" t="s">
        <v>166</v>
      </c>
    </row>
    <row r="2614" spans="9:17" x14ac:dyDescent="0.45">
      <c r="I2614" t="s">
        <v>238</v>
      </c>
      <c r="J2614" t="s">
        <v>362</v>
      </c>
      <c r="K2614">
        <v>0</v>
      </c>
      <c r="L2614" t="s">
        <v>166</v>
      </c>
      <c r="N2614" t="s">
        <v>303</v>
      </c>
      <c r="O2614" t="s">
        <v>362</v>
      </c>
      <c r="P2614">
        <v>2.9562400724045826E-2</v>
      </c>
      <c r="Q2614" t="s">
        <v>166</v>
      </c>
    </row>
    <row r="2615" spans="9:17" x14ac:dyDescent="0.45">
      <c r="I2615" t="s">
        <v>239</v>
      </c>
      <c r="J2615" t="s">
        <v>165</v>
      </c>
      <c r="K2615">
        <v>5.3449032260893772E-2</v>
      </c>
      <c r="L2615" t="s">
        <v>166</v>
      </c>
      <c r="N2615" t="s">
        <v>304</v>
      </c>
      <c r="O2615" t="s">
        <v>165</v>
      </c>
      <c r="P2615">
        <v>0.14667853310207785</v>
      </c>
      <c r="Q2615" t="s">
        <v>166</v>
      </c>
    </row>
    <row r="2616" spans="9:17" x14ac:dyDescent="0.45">
      <c r="I2616" t="s">
        <v>239</v>
      </c>
      <c r="J2616" t="s">
        <v>167</v>
      </c>
      <c r="K2616">
        <v>2.7191674229258587E-2</v>
      </c>
      <c r="L2616" t="s">
        <v>166</v>
      </c>
      <c r="N2616" t="s">
        <v>304</v>
      </c>
      <c r="O2616" t="s">
        <v>167</v>
      </c>
      <c r="P2616">
        <v>1.4343461438844875E-2</v>
      </c>
      <c r="Q2616" t="s">
        <v>166</v>
      </c>
    </row>
    <row r="2617" spans="9:17" x14ac:dyDescent="0.45">
      <c r="I2617" t="s">
        <v>239</v>
      </c>
      <c r="J2617" t="s">
        <v>168</v>
      </c>
      <c r="K2617">
        <v>0.15275516061251707</v>
      </c>
      <c r="L2617" t="s">
        <v>166</v>
      </c>
      <c r="N2617" t="s">
        <v>304</v>
      </c>
      <c r="O2617" t="s">
        <v>168</v>
      </c>
      <c r="P2617">
        <v>9.2391612385019778E-2</v>
      </c>
      <c r="Q2617" t="s">
        <v>166</v>
      </c>
    </row>
    <row r="2618" spans="9:17" x14ac:dyDescent="0.45">
      <c r="I2618" t="s">
        <v>239</v>
      </c>
      <c r="J2618" t="s">
        <v>333</v>
      </c>
      <c r="K2618">
        <v>1.4757013066904322E-2</v>
      </c>
      <c r="L2618" t="s">
        <v>166</v>
      </c>
      <c r="N2618" t="s">
        <v>304</v>
      </c>
      <c r="O2618" t="s">
        <v>333</v>
      </c>
      <c r="P2618">
        <v>1.4599608432788581E-2</v>
      </c>
      <c r="Q2618" t="s">
        <v>166</v>
      </c>
    </row>
    <row r="2619" spans="9:17" x14ac:dyDescent="0.45">
      <c r="I2619" t="s">
        <v>239</v>
      </c>
      <c r="J2619" t="s">
        <v>334</v>
      </c>
      <c r="K2619">
        <v>2.5026872272925654E-3</v>
      </c>
      <c r="L2619" t="s">
        <v>166</v>
      </c>
      <c r="N2619" t="s">
        <v>304</v>
      </c>
      <c r="O2619" t="s">
        <v>334</v>
      </c>
      <c r="P2619">
        <v>1.400513287089237E-2</v>
      </c>
      <c r="Q2619" t="s">
        <v>166</v>
      </c>
    </row>
    <row r="2620" spans="9:17" x14ac:dyDescent="0.45">
      <c r="I2620" t="s">
        <v>239</v>
      </c>
      <c r="J2620" t="s">
        <v>335</v>
      </c>
      <c r="K2620">
        <v>0</v>
      </c>
      <c r="L2620" t="s">
        <v>166</v>
      </c>
      <c r="N2620" t="s">
        <v>304</v>
      </c>
      <c r="O2620" t="s">
        <v>335</v>
      </c>
      <c r="P2620">
        <v>7.3252713533585923E-2</v>
      </c>
      <c r="Q2620" t="s">
        <v>166</v>
      </c>
    </row>
    <row r="2621" spans="9:17" x14ac:dyDescent="0.45">
      <c r="I2621" t="s">
        <v>239</v>
      </c>
      <c r="J2621" t="s">
        <v>169</v>
      </c>
      <c r="K2621">
        <v>4.585366170355528E-2</v>
      </c>
      <c r="L2621" t="s">
        <v>166</v>
      </c>
      <c r="N2621" t="s">
        <v>304</v>
      </c>
      <c r="O2621" t="s">
        <v>169</v>
      </c>
      <c r="P2621">
        <v>7.8875653074910027E-2</v>
      </c>
      <c r="Q2621" t="s">
        <v>166</v>
      </c>
    </row>
    <row r="2622" spans="9:17" x14ac:dyDescent="0.45">
      <c r="I2622" t="s">
        <v>239</v>
      </c>
      <c r="J2622" t="s">
        <v>170</v>
      </c>
      <c r="K2622">
        <v>1.7511613371528262E-2</v>
      </c>
      <c r="L2622" t="s">
        <v>166</v>
      </c>
      <c r="N2622" t="s">
        <v>304</v>
      </c>
      <c r="O2622" t="s">
        <v>170</v>
      </c>
      <c r="P2622">
        <v>6.2829923686985034E-3</v>
      </c>
      <c r="Q2622" t="s">
        <v>166</v>
      </c>
    </row>
    <row r="2623" spans="9:17" x14ac:dyDescent="0.45">
      <c r="I2623" t="s">
        <v>239</v>
      </c>
      <c r="J2623" t="s">
        <v>171</v>
      </c>
      <c r="K2623">
        <v>9.8445847088973373E-2</v>
      </c>
      <c r="L2623" t="s">
        <v>166</v>
      </c>
      <c r="N2623" t="s">
        <v>304</v>
      </c>
      <c r="O2623" t="s">
        <v>171</v>
      </c>
      <c r="P2623">
        <v>3.7854658036613913E-2</v>
      </c>
      <c r="Q2623" t="s">
        <v>166</v>
      </c>
    </row>
    <row r="2624" spans="9:17" x14ac:dyDescent="0.45">
      <c r="I2624" t="s">
        <v>239</v>
      </c>
      <c r="J2624" t="s">
        <v>336</v>
      </c>
      <c r="K2624">
        <v>9.6113997483228374E-3</v>
      </c>
      <c r="L2624" t="s">
        <v>166</v>
      </c>
      <c r="N2624" t="s">
        <v>304</v>
      </c>
      <c r="O2624" t="s">
        <v>336</v>
      </c>
      <c r="P2624">
        <v>7.0268889362619978E-3</v>
      </c>
      <c r="Q2624" t="s">
        <v>166</v>
      </c>
    </row>
    <row r="2625" spans="9:17" x14ac:dyDescent="0.45">
      <c r="I2625" t="s">
        <v>239</v>
      </c>
      <c r="J2625" t="s">
        <v>337</v>
      </c>
      <c r="K2625">
        <v>4.7329238015185659E-3</v>
      </c>
      <c r="L2625" t="s">
        <v>166</v>
      </c>
      <c r="N2625" t="s">
        <v>304</v>
      </c>
      <c r="O2625" t="s">
        <v>337</v>
      </c>
      <c r="P2625">
        <v>7.3296366948264122E-3</v>
      </c>
      <c r="Q2625" t="s">
        <v>166</v>
      </c>
    </row>
    <row r="2626" spans="9:17" x14ac:dyDescent="0.45">
      <c r="I2626" t="s">
        <v>239</v>
      </c>
      <c r="J2626" t="s">
        <v>338</v>
      </c>
      <c r="K2626">
        <v>0</v>
      </c>
      <c r="L2626" t="s">
        <v>166</v>
      </c>
      <c r="N2626" t="s">
        <v>304</v>
      </c>
      <c r="O2626" t="s">
        <v>338</v>
      </c>
      <c r="P2626">
        <v>4.5386990023808138E-2</v>
      </c>
      <c r="Q2626" t="s">
        <v>166</v>
      </c>
    </row>
    <row r="2627" spans="9:17" x14ac:dyDescent="0.45">
      <c r="I2627" t="s">
        <v>239</v>
      </c>
      <c r="J2627" t="s">
        <v>172</v>
      </c>
      <c r="K2627">
        <v>2.1970708118715175E-2</v>
      </c>
      <c r="L2627" t="s">
        <v>166</v>
      </c>
      <c r="N2627" t="s">
        <v>304</v>
      </c>
      <c r="O2627" t="s">
        <v>172</v>
      </c>
      <c r="P2627">
        <v>3.9469604428773147E-2</v>
      </c>
      <c r="Q2627" t="s">
        <v>166</v>
      </c>
    </row>
    <row r="2628" spans="9:17" x14ac:dyDescent="0.45">
      <c r="I2628" t="s">
        <v>239</v>
      </c>
      <c r="J2628" t="s">
        <v>173</v>
      </c>
      <c r="K2628">
        <v>8.2571936751113535E-3</v>
      </c>
      <c r="L2628" t="s">
        <v>166</v>
      </c>
      <c r="N2628" t="s">
        <v>304</v>
      </c>
      <c r="O2628" t="s">
        <v>173</v>
      </c>
      <c r="P2628">
        <v>2.8855248910308173E-3</v>
      </c>
      <c r="Q2628" t="s">
        <v>166</v>
      </c>
    </row>
    <row r="2629" spans="9:17" x14ac:dyDescent="0.45">
      <c r="I2629" t="s">
        <v>239</v>
      </c>
      <c r="J2629" t="s">
        <v>174</v>
      </c>
      <c r="K2629">
        <v>4.7335037268136038E-2</v>
      </c>
      <c r="L2629" t="s">
        <v>166</v>
      </c>
      <c r="N2629" t="s">
        <v>304</v>
      </c>
      <c r="O2629" t="s">
        <v>174</v>
      </c>
      <c r="P2629">
        <v>1.4968593289947528E-2</v>
      </c>
      <c r="Q2629" t="s">
        <v>166</v>
      </c>
    </row>
    <row r="2630" spans="9:17" x14ac:dyDescent="0.45">
      <c r="I2630" t="s">
        <v>239</v>
      </c>
      <c r="J2630" t="s">
        <v>339</v>
      </c>
      <c r="K2630">
        <v>4.7597207590311715E-3</v>
      </c>
      <c r="L2630" t="s">
        <v>166</v>
      </c>
      <c r="N2630" t="s">
        <v>304</v>
      </c>
      <c r="O2630" t="s">
        <v>339</v>
      </c>
      <c r="P2630">
        <v>2.4418790617916986E-3</v>
      </c>
      <c r="Q2630" t="s">
        <v>166</v>
      </c>
    </row>
    <row r="2631" spans="9:17" x14ac:dyDescent="0.45">
      <c r="I2631" t="s">
        <v>239</v>
      </c>
      <c r="J2631" t="s">
        <v>340</v>
      </c>
      <c r="K2631">
        <v>2.6885253474407279E-3</v>
      </c>
      <c r="L2631" t="s">
        <v>166</v>
      </c>
      <c r="N2631" t="s">
        <v>304</v>
      </c>
      <c r="O2631" t="s">
        <v>340</v>
      </c>
      <c r="P2631">
        <v>2.5375071482215657E-3</v>
      </c>
      <c r="Q2631" t="s">
        <v>166</v>
      </c>
    </row>
    <row r="2632" spans="9:17" x14ac:dyDescent="0.45">
      <c r="I2632" t="s">
        <v>239</v>
      </c>
      <c r="J2632" t="s">
        <v>341</v>
      </c>
      <c r="K2632">
        <v>3.5782040645278051E-6</v>
      </c>
      <c r="L2632" t="s">
        <v>166</v>
      </c>
      <c r="N2632" t="s">
        <v>304</v>
      </c>
      <c r="O2632" t="s">
        <v>341</v>
      </c>
      <c r="P2632">
        <v>1.937048450023952E-2</v>
      </c>
      <c r="Q2632" t="s">
        <v>166</v>
      </c>
    </row>
    <row r="2633" spans="9:17" x14ac:dyDescent="0.45">
      <c r="I2633" t="s">
        <v>239</v>
      </c>
      <c r="J2633" t="s">
        <v>175</v>
      </c>
      <c r="K2633">
        <v>2.2317167604728856E-2</v>
      </c>
      <c r="L2633" t="s">
        <v>166</v>
      </c>
      <c r="N2633" t="s">
        <v>304</v>
      </c>
      <c r="O2633" t="s">
        <v>175</v>
      </c>
      <c r="P2633">
        <v>2.4253783057877582E-2</v>
      </c>
      <c r="Q2633" t="s">
        <v>166</v>
      </c>
    </row>
    <row r="2634" spans="9:17" x14ac:dyDescent="0.45">
      <c r="I2634" t="s">
        <v>239</v>
      </c>
      <c r="J2634" t="s">
        <v>176</v>
      </c>
      <c r="K2634">
        <v>8.5114330782673549E-3</v>
      </c>
      <c r="L2634" t="s">
        <v>166</v>
      </c>
      <c r="N2634" t="s">
        <v>304</v>
      </c>
      <c r="O2634" t="s">
        <v>176</v>
      </c>
      <c r="P2634">
        <v>1.6020801616163038E-3</v>
      </c>
      <c r="Q2634" t="s">
        <v>166</v>
      </c>
    </row>
    <row r="2635" spans="9:17" x14ac:dyDescent="0.45">
      <c r="I2635" t="s">
        <v>239</v>
      </c>
      <c r="J2635" t="s">
        <v>177</v>
      </c>
      <c r="K2635">
        <v>4.9590560747892316E-2</v>
      </c>
      <c r="L2635" t="s">
        <v>166</v>
      </c>
      <c r="N2635" t="s">
        <v>304</v>
      </c>
      <c r="O2635" t="s">
        <v>177</v>
      </c>
      <c r="P2635">
        <v>1.126884280284381E-2</v>
      </c>
      <c r="Q2635" t="s">
        <v>166</v>
      </c>
    </row>
    <row r="2636" spans="9:17" x14ac:dyDescent="0.45">
      <c r="I2636" t="s">
        <v>239</v>
      </c>
      <c r="J2636" t="s">
        <v>342</v>
      </c>
      <c r="K2636">
        <v>5.303060692321779E-3</v>
      </c>
      <c r="L2636" t="s">
        <v>166</v>
      </c>
      <c r="N2636" t="s">
        <v>304</v>
      </c>
      <c r="O2636" t="s">
        <v>342</v>
      </c>
      <c r="P2636">
        <v>1.9693869517855233E-3</v>
      </c>
      <c r="Q2636" t="s">
        <v>166</v>
      </c>
    </row>
    <row r="2637" spans="9:17" x14ac:dyDescent="0.45">
      <c r="I2637" t="s">
        <v>239</v>
      </c>
      <c r="J2637" t="s">
        <v>343</v>
      </c>
      <c r="K2637">
        <v>3.0158990338839801E-3</v>
      </c>
      <c r="L2637" t="s">
        <v>166</v>
      </c>
      <c r="N2637" t="s">
        <v>304</v>
      </c>
      <c r="O2637" t="s">
        <v>343</v>
      </c>
      <c r="P2637">
        <v>2.007006493273285E-3</v>
      </c>
      <c r="Q2637" t="s">
        <v>166</v>
      </c>
    </row>
    <row r="2638" spans="9:17" x14ac:dyDescent="0.45">
      <c r="I2638" t="s">
        <v>239</v>
      </c>
      <c r="J2638" t="s">
        <v>344</v>
      </c>
      <c r="K2638">
        <v>6.2630745019696079E-6</v>
      </c>
      <c r="L2638" t="s">
        <v>166</v>
      </c>
      <c r="N2638" t="s">
        <v>304</v>
      </c>
      <c r="O2638" t="s">
        <v>344</v>
      </c>
      <c r="P2638">
        <v>1.5194139661415917E-2</v>
      </c>
      <c r="Q2638" t="s">
        <v>166</v>
      </c>
    </row>
    <row r="2639" spans="9:17" x14ac:dyDescent="0.45">
      <c r="I2639" t="s">
        <v>239</v>
      </c>
      <c r="J2639" t="s">
        <v>345</v>
      </c>
      <c r="K2639">
        <v>4.3494417708799228E-2</v>
      </c>
      <c r="L2639" t="s">
        <v>166</v>
      </c>
      <c r="N2639" t="s">
        <v>304</v>
      </c>
      <c r="O2639" t="s">
        <v>345</v>
      </c>
      <c r="P2639">
        <v>5.092976588068323E-2</v>
      </c>
      <c r="Q2639" t="s">
        <v>166</v>
      </c>
    </row>
    <row r="2640" spans="9:17" x14ac:dyDescent="0.45">
      <c r="I2640" t="s">
        <v>239</v>
      </c>
      <c r="J2640" t="s">
        <v>346</v>
      </c>
      <c r="K2640">
        <v>1.7132523430677175E-2</v>
      </c>
      <c r="L2640" t="s">
        <v>166</v>
      </c>
      <c r="N2640" t="s">
        <v>304</v>
      </c>
      <c r="O2640" t="s">
        <v>346</v>
      </c>
      <c r="P2640">
        <v>3.741990090582915E-3</v>
      </c>
      <c r="Q2640" t="s">
        <v>166</v>
      </c>
    </row>
    <row r="2641" spans="9:17" x14ac:dyDescent="0.45">
      <c r="I2641" t="s">
        <v>239</v>
      </c>
      <c r="J2641" t="s">
        <v>347</v>
      </c>
      <c r="K2641">
        <v>9.7430034759811976E-2</v>
      </c>
      <c r="L2641" t="s">
        <v>166</v>
      </c>
      <c r="N2641" t="s">
        <v>304</v>
      </c>
      <c r="O2641" t="s">
        <v>347</v>
      </c>
      <c r="P2641">
        <v>2.6963314835281818E-2</v>
      </c>
      <c r="Q2641" t="s">
        <v>166</v>
      </c>
    </row>
    <row r="2642" spans="9:17" x14ac:dyDescent="0.45">
      <c r="I2642" t="s">
        <v>239</v>
      </c>
      <c r="J2642" t="s">
        <v>348</v>
      </c>
      <c r="K2642">
        <v>9.5037024669969803E-3</v>
      </c>
      <c r="L2642" t="s">
        <v>166</v>
      </c>
      <c r="N2642" t="s">
        <v>304</v>
      </c>
      <c r="O2642" t="s">
        <v>348</v>
      </c>
      <c r="P2642">
        <v>4.7933937664271743E-3</v>
      </c>
      <c r="Q2642" t="s">
        <v>166</v>
      </c>
    </row>
    <row r="2643" spans="9:17" x14ac:dyDescent="0.45">
      <c r="I2643" t="s">
        <v>239</v>
      </c>
      <c r="J2643" t="s">
        <v>349</v>
      </c>
      <c r="K2643">
        <v>3.8933342340325538E-3</v>
      </c>
      <c r="L2643" t="s">
        <v>166</v>
      </c>
      <c r="N2643" t="s">
        <v>304</v>
      </c>
      <c r="O2643" t="s">
        <v>349</v>
      </c>
      <c r="P2643">
        <v>4.8154691122498068E-3</v>
      </c>
      <c r="Q2643" t="s">
        <v>166</v>
      </c>
    </row>
    <row r="2644" spans="9:17" x14ac:dyDescent="0.45">
      <c r="I2644" t="s">
        <v>239</v>
      </c>
      <c r="J2644" t="s">
        <v>350</v>
      </c>
      <c r="K2644">
        <v>0</v>
      </c>
      <c r="L2644" t="s">
        <v>166</v>
      </c>
      <c r="N2644" t="s">
        <v>304</v>
      </c>
      <c r="O2644" t="s">
        <v>350</v>
      </c>
      <c r="P2644">
        <v>3.2174740993532548E-2</v>
      </c>
      <c r="Q2644" t="s">
        <v>166</v>
      </c>
    </row>
    <row r="2645" spans="9:17" x14ac:dyDescent="0.45">
      <c r="I2645" t="s">
        <v>239</v>
      </c>
      <c r="J2645" t="s">
        <v>351</v>
      </c>
      <c r="K2645">
        <v>2.1114836227642705E-2</v>
      </c>
      <c r="L2645" t="s">
        <v>166</v>
      </c>
      <c r="N2645" t="s">
        <v>304</v>
      </c>
      <c r="O2645" t="s">
        <v>351</v>
      </c>
      <c r="P2645">
        <v>1.7083894701420035E-2</v>
      </c>
      <c r="Q2645" t="s">
        <v>166</v>
      </c>
    </row>
    <row r="2646" spans="9:17" x14ac:dyDescent="0.45">
      <c r="I2646" t="s">
        <v>239</v>
      </c>
      <c r="J2646" t="s">
        <v>352</v>
      </c>
      <c r="K2646">
        <v>8.7712796854417623E-3</v>
      </c>
      <c r="L2646" t="s">
        <v>166</v>
      </c>
      <c r="N2646" t="s">
        <v>304</v>
      </c>
      <c r="O2646" t="s">
        <v>352</v>
      </c>
      <c r="P2646">
        <v>1.1814668156724883E-3</v>
      </c>
      <c r="Q2646" t="s">
        <v>166</v>
      </c>
    </row>
    <row r="2647" spans="9:17" x14ac:dyDescent="0.45">
      <c r="I2647" t="s">
        <v>239</v>
      </c>
      <c r="J2647" t="s">
        <v>353</v>
      </c>
      <c r="K2647">
        <v>4.8046306516012119E-2</v>
      </c>
      <c r="L2647" t="s">
        <v>166</v>
      </c>
      <c r="N2647" t="s">
        <v>304</v>
      </c>
      <c r="O2647" t="s">
        <v>353</v>
      </c>
      <c r="P2647">
        <v>1.0407322121861014E-2</v>
      </c>
      <c r="Q2647" t="s">
        <v>166</v>
      </c>
    </row>
    <row r="2648" spans="9:17" x14ac:dyDescent="0.45">
      <c r="I2648" t="s">
        <v>239</v>
      </c>
      <c r="J2648" t="s">
        <v>354</v>
      </c>
      <c r="K2648">
        <v>3.7559635290314022E-3</v>
      </c>
      <c r="L2648" t="s">
        <v>166</v>
      </c>
      <c r="N2648" t="s">
        <v>304</v>
      </c>
      <c r="O2648" t="s">
        <v>354</v>
      </c>
      <c r="P2648">
        <v>1.8164670947223554E-3</v>
      </c>
      <c r="Q2648" t="s">
        <v>166</v>
      </c>
    </row>
    <row r="2649" spans="9:17" x14ac:dyDescent="0.45">
      <c r="I2649" t="s">
        <v>239</v>
      </c>
      <c r="J2649" t="s">
        <v>355</v>
      </c>
      <c r="K2649">
        <v>0</v>
      </c>
      <c r="L2649" t="s">
        <v>166</v>
      </c>
      <c r="N2649" t="s">
        <v>304</v>
      </c>
      <c r="O2649" t="s">
        <v>355</v>
      </c>
      <c r="P2649">
        <v>1.9522445963605563E-3</v>
      </c>
      <c r="Q2649" t="s">
        <v>166</v>
      </c>
    </row>
    <row r="2650" spans="9:17" x14ac:dyDescent="0.45">
      <c r="I2650" t="s">
        <v>239</v>
      </c>
      <c r="J2650" t="s">
        <v>356</v>
      </c>
      <c r="K2650">
        <v>0</v>
      </c>
      <c r="L2650" t="s">
        <v>166</v>
      </c>
      <c r="N2650" t="s">
        <v>304</v>
      </c>
      <c r="O2650" t="s">
        <v>356</v>
      </c>
      <c r="P2650">
        <v>1.1966985001052446E-2</v>
      </c>
      <c r="Q2650" t="s">
        <v>166</v>
      </c>
    </row>
    <row r="2651" spans="9:17" x14ac:dyDescent="0.45">
      <c r="I2651" t="s">
        <v>239</v>
      </c>
      <c r="J2651" t="s">
        <v>357</v>
      </c>
      <c r="K2651">
        <v>3.5156688897580668E-2</v>
      </c>
      <c r="L2651" t="s">
        <v>166</v>
      </c>
      <c r="N2651" t="s">
        <v>304</v>
      </c>
      <c r="O2651" t="s">
        <v>357</v>
      </c>
      <c r="P2651">
        <v>6.8737725491614915E-2</v>
      </c>
      <c r="Q2651" t="s">
        <v>166</v>
      </c>
    </row>
    <row r="2652" spans="9:17" x14ac:dyDescent="0.45">
      <c r="I2652" t="s">
        <v>239</v>
      </c>
      <c r="J2652" t="s">
        <v>358</v>
      </c>
      <c r="K2652">
        <v>1.6684021420613385E-2</v>
      </c>
      <c r="L2652" t="s">
        <v>166</v>
      </c>
      <c r="N2652" t="s">
        <v>304</v>
      </c>
      <c r="O2652" t="s">
        <v>358</v>
      </c>
      <c r="P2652">
        <v>6.117319431847886E-3</v>
      </c>
      <c r="Q2652" t="s">
        <v>166</v>
      </c>
    </row>
    <row r="2653" spans="9:17" x14ac:dyDescent="0.45">
      <c r="I2653" t="s">
        <v>239</v>
      </c>
      <c r="J2653" t="s">
        <v>359</v>
      </c>
      <c r="K2653">
        <v>8.8628817348839734E-2</v>
      </c>
      <c r="L2653" t="s">
        <v>166</v>
      </c>
      <c r="N2653" t="s">
        <v>304</v>
      </c>
      <c r="O2653" t="s">
        <v>359</v>
      </c>
      <c r="P2653">
        <v>3.606181962119652E-2</v>
      </c>
      <c r="Q2653" t="s">
        <v>166</v>
      </c>
    </row>
    <row r="2654" spans="9:17" x14ac:dyDescent="0.45">
      <c r="I2654" t="s">
        <v>239</v>
      </c>
      <c r="J2654" t="s">
        <v>360</v>
      </c>
      <c r="K2654">
        <v>5.8179130596579297E-3</v>
      </c>
      <c r="L2654" t="s">
        <v>166</v>
      </c>
      <c r="N2654" t="s">
        <v>304</v>
      </c>
      <c r="O2654" t="s">
        <v>360</v>
      </c>
      <c r="P2654">
        <v>5.6646199480788915E-3</v>
      </c>
      <c r="Q2654" t="s">
        <v>166</v>
      </c>
    </row>
    <row r="2655" spans="9:17" x14ac:dyDescent="0.45">
      <c r="I2655" t="s">
        <v>239</v>
      </c>
      <c r="J2655" t="s">
        <v>361</v>
      </c>
      <c r="K2655">
        <v>0</v>
      </c>
      <c r="L2655" t="s">
        <v>166</v>
      </c>
      <c r="N2655" t="s">
        <v>304</v>
      </c>
      <c r="O2655" t="s">
        <v>361</v>
      </c>
      <c r="P2655">
        <v>5.8869887458968045E-3</v>
      </c>
      <c r="Q2655" t="s">
        <v>166</v>
      </c>
    </row>
    <row r="2656" spans="9:17" x14ac:dyDescent="0.45">
      <c r="I2656" t="s">
        <v>239</v>
      </c>
      <c r="J2656" t="s">
        <v>362</v>
      </c>
      <c r="K2656">
        <v>0</v>
      </c>
      <c r="L2656" t="s">
        <v>166</v>
      </c>
      <c r="N2656" t="s">
        <v>304</v>
      </c>
      <c r="O2656" t="s">
        <v>362</v>
      </c>
      <c r="P2656">
        <v>3.3707758404372609E-2</v>
      </c>
      <c r="Q2656" t="s">
        <v>166</v>
      </c>
    </row>
    <row r="2657" spans="9:17" x14ac:dyDescent="0.45">
      <c r="I2657" t="s">
        <v>240</v>
      </c>
      <c r="J2657" t="s">
        <v>165</v>
      </c>
      <c r="K2657">
        <v>5.3689453761921892E-2</v>
      </c>
      <c r="L2657" t="s">
        <v>166</v>
      </c>
      <c r="N2657" t="s">
        <v>305</v>
      </c>
      <c r="O2657" t="s">
        <v>165</v>
      </c>
      <c r="P2657">
        <v>0.13702494627064149</v>
      </c>
      <c r="Q2657" t="s">
        <v>166</v>
      </c>
    </row>
    <row r="2658" spans="9:17" x14ac:dyDescent="0.45">
      <c r="I2658" t="s">
        <v>240</v>
      </c>
      <c r="J2658" t="s">
        <v>167</v>
      </c>
      <c r="K2658">
        <v>2.6996585836002972E-2</v>
      </c>
      <c r="L2658" t="s">
        <v>166</v>
      </c>
      <c r="N2658" t="s">
        <v>305</v>
      </c>
      <c r="O2658" t="s">
        <v>167</v>
      </c>
      <c r="P2658">
        <v>1.3623533674253388E-2</v>
      </c>
      <c r="Q2658" t="s">
        <v>166</v>
      </c>
    </row>
    <row r="2659" spans="9:17" x14ac:dyDescent="0.45">
      <c r="I2659" t="s">
        <v>240</v>
      </c>
      <c r="J2659" t="s">
        <v>168</v>
      </c>
      <c r="K2659">
        <v>0.15000575528134319</v>
      </c>
      <c r="L2659" t="s">
        <v>166</v>
      </c>
      <c r="N2659" t="s">
        <v>305</v>
      </c>
      <c r="O2659" t="s">
        <v>168</v>
      </c>
      <c r="P2659">
        <v>0.10512245299642752</v>
      </c>
      <c r="Q2659" t="s">
        <v>166</v>
      </c>
    </row>
    <row r="2660" spans="9:17" x14ac:dyDescent="0.45">
      <c r="I2660" t="s">
        <v>240</v>
      </c>
      <c r="J2660" t="s">
        <v>333</v>
      </c>
      <c r="K2660">
        <v>1.377352005776989E-2</v>
      </c>
      <c r="L2660" t="s">
        <v>166</v>
      </c>
      <c r="N2660" t="s">
        <v>305</v>
      </c>
      <c r="O2660" t="s">
        <v>333</v>
      </c>
      <c r="P2660">
        <v>1.5029741284490281E-2</v>
      </c>
      <c r="Q2660" t="s">
        <v>166</v>
      </c>
    </row>
    <row r="2661" spans="9:17" x14ac:dyDescent="0.45">
      <c r="I2661" t="s">
        <v>240</v>
      </c>
      <c r="J2661" t="s">
        <v>334</v>
      </c>
      <c r="K2661">
        <v>1.6807887310613719E-3</v>
      </c>
      <c r="L2661" t="s">
        <v>166</v>
      </c>
      <c r="N2661" t="s">
        <v>305</v>
      </c>
      <c r="O2661" t="s">
        <v>334</v>
      </c>
      <c r="P2661">
        <v>1.4510081090344736E-2</v>
      </c>
      <c r="Q2661" t="s">
        <v>166</v>
      </c>
    </row>
    <row r="2662" spans="9:17" x14ac:dyDescent="0.45">
      <c r="I2662" t="s">
        <v>240</v>
      </c>
      <c r="J2662" t="s">
        <v>335</v>
      </c>
      <c r="K2662">
        <v>0</v>
      </c>
      <c r="L2662" t="s">
        <v>166</v>
      </c>
      <c r="N2662" t="s">
        <v>305</v>
      </c>
      <c r="O2662" t="s">
        <v>335</v>
      </c>
      <c r="P2662">
        <v>7.0340922919843951E-2</v>
      </c>
      <c r="Q2662" t="s">
        <v>166</v>
      </c>
    </row>
    <row r="2663" spans="9:17" x14ac:dyDescent="0.45">
      <c r="I2663" t="s">
        <v>240</v>
      </c>
      <c r="J2663" t="s">
        <v>169</v>
      </c>
      <c r="K2663">
        <v>4.8011184360926086E-2</v>
      </c>
      <c r="L2663" t="s">
        <v>166</v>
      </c>
      <c r="N2663" t="s">
        <v>305</v>
      </c>
      <c r="O2663" t="s">
        <v>169</v>
      </c>
      <c r="P2663">
        <v>6.85229983764893E-2</v>
      </c>
      <c r="Q2663" t="s">
        <v>166</v>
      </c>
    </row>
    <row r="2664" spans="9:17" x14ac:dyDescent="0.45">
      <c r="I2664" t="s">
        <v>240</v>
      </c>
      <c r="J2664" t="s">
        <v>170</v>
      </c>
      <c r="K2664">
        <v>1.7865230188979241E-2</v>
      </c>
      <c r="L2664" t="s">
        <v>166</v>
      </c>
      <c r="N2664" t="s">
        <v>305</v>
      </c>
      <c r="O2664" t="s">
        <v>170</v>
      </c>
      <c r="P2664">
        <v>7.8354694411850792E-3</v>
      </c>
      <c r="Q2664" t="s">
        <v>166</v>
      </c>
    </row>
    <row r="2665" spans="9:17" x14ac:dyDescent="0.45">
      <c r="I2665" t="s">
        <v>240</v>
      </c>
      <c r="J2665" t="s">
        <v>171</v>
      </c>
      <c r="K2665">
        <v>0.10080455891171003</v>
      </c>
      <c r="L2665" t="s">
        <v>166</v>
      </c>
      <c r="N2665" t="s">
        <v>305</v>
      </c>
      <c r="O2665" t="s">
        <v>171</v>
      </c>
      <c r="P2665">
        <v>6.7652760597591968E-2</v>
      </c>
      <c r="Q2665" t="s">
        <v>166</v>
      </c>
    </row>
    <row r="2666" spans="9:17" x14ac:dyDescent="0.45">
      <c r="I2666" t="s">
        <v>240</v>
      </c>
      <c r="J2666" t="s">
        <v>336</v>
      </c>
      <c r="K2666">
        <v>9.8830046832027417E-3</v>
      </c>
      <c r="L2666" t="s">
        <v>166</v>
      </c>
      <c r="N2666" t="s">
        <v>305</v>
      </c>
      <c r="O2666" t="s">
        <v>336</v>
      </c>
      <c r="P2666">
        <v>1.0657193654926816E-2</v>
      </c>
      <c r="Q2666" t="s">
        <v>166</v>
      </c>
    </row>
    <row r="2667" spans="9:17" x14ac:dyDescent="0.45">
      <c r="I2667" t="s">
        <v>240</v>
      </c>
      <c r="J2667" t="s">
        <v>337</v>
      </c>
      <c r="K2667">
        <v>4.7663217901178509E-3</v>
      </c>
      <c r="L2667" t="s">
        <v>166</v>
      </c>
      <c r="N2667" t="s">
        <v>305</v>
      </c>
      <c r="O2667" t="s">
        <v>337</v>
      </c>
      <c r="P2667">
        <v>9.458409303145357E-3</v>
      </c>
      <c r="Q2667" t="s">
        <v>166</v>
      </c>
    </row>
    <row r="2668" spans="9:17" x14ac:dyDescent="0.45">
      <c r="I2668" t="s">
        <v>240</v>
      </c>
      <c r="J2668" t="s">
        <v>338</v>
      </c>
      <c r="K2668">
        <v>0</v>
      </c>
      <c r="L2668" t="s">
        <v>166</v>
      </c>
      <c r="N2668" t="s">
        <v>305</v>
      </c>
      <c r="O2668" t="s">
        <v>338</v>
      </c>
      <c r="P2668">
        <v>4.3126262549584585E-2</v>
      </c>
      <c r="Q2668" t="s">
        <v>166</v>
      </c>
    </row>
    <row r="2669" spans="9:17" x14ac:dyDescent="0.45">
      <c r="I2669" t="s">
        <v>240</v>
      </c>
      <c r="J2669" t="s">
        <v>172</v>
      </c>
      <c r="K2669">
        <v>2.4486903442866609E-2</v>
      </c>
      <c r="L2669" t="s">
        <v>166</v>
      </c>
      <c r="N2669" t="s">
        <v>305</v>
      </c>
      <c r="O2669" t="s">
        <v>172</v>
      </c>
      <c r="P2669">
        <v>3.2164925183756812E-2</v>
      </c>
      <c r="Q2669" t="s">
        <v>166</v>
      </c>
    </row>
    <row r="2670" spans="9:17" x14ac:dyDescent="0.45">
      <c r="I2670" t="s">
        <v>240</v>
      </c>
      <c r="J2670" t="s">
        <v>173</v>
      </c>
      <c r="K2670">
        <v>8.6780181926786985E-3</v>
      </c>
      <c r="L2670" t="s">
        <v>166</v>
      </c>
      <c r="N2670" t="s">
        <v>305</v>
      </c>
      <c r="O2670" t="s">
        <v>173</v>
      </c>
      <c r="P2670">
        <v>2.5804282978879158E-3</v>
      </c>
      <c r="Q2670" t="s">
        <v>166</v>
      </c>
    </row>
    <row r="2671" spans="9:17" x14ac:dyDescent="0.45">
      <c r="I2671" t="s">
        <v>240</v>
      </c>
      <c r="J2671" t="s">
        <v>174</v>
      </c>
      <c r="K2671">
        <v>5.0154157695306567E-2</v>
      </c>
      <c r="L2671" t="s">
        <v>166</v>
      </c>
      <c r="N2671" t="s">
        <v>305</v>
      </c>
      <c r="O2671" t="s">
        <v>174</v>
      </c>
      <c r="P2671">
        <v>1.9286113131093602E-2</v>
      </c>
      <c r="Q2671" t="s">
        <v>166</v>
      </c>
    </row>
    <row r="2672" spans="9:17" x14ac:dyDescent="0.45">
      <c r="I2672" t="s">
        <v>240</v>
      </c>
      <c r="J2672" t="s">
        <v>339</v>
      </c>
      <c r="K2672">
        <v>5.3831263750571895E-3</v>
      </c>
      <c r="L2672" t="s">
        <v>166</v>
      </c>
      <c r="N2672" t="s">
        <v>305</v>
      </c>
      <c r="O2672" t="s">
        <v>339</v>
      </c>
      <c r="P2672">
        <v>3.3138200184638089E-3</v>
      </c>
      <c r="Q2672" t="s">
        <v>166</v>
      </c>
    </row>
    <row r="2673" spans="9:17" x14ac:dyDescent="0.45">
      <c r="I2673" t="s">
        <v>240</v>
      </c>
      <c r="J2673" t="s">
        <v>340</v>
      </c>
      <c r="K2673">
        <v>3.1179360867119557E-3</v>
      </c>
      <c r="L2673" t="s">
        <v>166</v>
      </c>
      <c r="N2673" t="s">
        <v>305</v>
      </c>
      <c r="O2673" t="s">
        <v>340</v>
      </c>
      <c r="P2673">
        <v>3.0361855705533236E-3</v>
      </c>
      <c r="Q2673" t="s">
        <v>166</v>
      </c>
    </row>
    <row r="2674" spans="9:17" x14ac:dyDescent="0.45">
      <c r="I2674" t="s">
        <v>240</v>
      </c>
      <c r="J2674" t="s">
        <v>341</v>
      </c>
      <c r="K2674">
        <v>1.754851328725272E-5</v>
      </c>
      <c r="L2674" t="s">
        <v>166</v>
      </c>
      <c r="N2674" t="s">
        <v>305</v>
      </c>
      <c r="O2674" t="s">
        <v>341</v>
      </c>
      <c r="P2674">
        <v>1.8208432096746458E-2</v>
      </c>
      <c r="Q2674" t="s">
        <v>166</v>
      </c>
    </row>
    <row r="2675" spans="9:17" x14ac:dyDescent="0.45">
      <c r="I2675" t="s">
        <v>240</v>
      </c>
      <c r="J2675" t="s">
        <v>175</v>
      </c>
      <c r="K2675">
        <v>2.3907451984195412E-2</v>
      </c>
      <c r="L2675" t="s">
        <v>166</v>
      </c>
      <c r="N2675" t="s">
        <v>305</v>
      </c>
      <c r="O2675" t="s">
        <v>175</v>
      </c>
      <c r="P2675">
        <v>9.0919921612770318E-3</v>
      </c>
      <c r="Q2675" t="s">
        <v>166</v>
      </c>
    </row>
    <row r="2676" spans="9:17" x14ac:dyDescent="0.45">
      <c r="I2676" t="s">
        <v>240</v>
      </c>
      <c r="J2676" t="s">
        <v>176</v>
      </c>
      <c r="K2676">
        <v>8.7579335921009072E-3</v>
      </c>
      <c r="L2676" t="s">
        <v>166</v>
      </c>
      <c r="N2676" t="s">
        <v>305</v>
      </c>
      <c r="O2676" t="s">
        <v>176</v>
      </c>
      <c r="P2676">
        <v>1.1551940840968525E-3</v>
      </c>
      <c r="Q2676" t="s">
        <v>166</v>
      </c>
    </row>
    <row r="2677" spans="9:17" x14ac:dyDescent="0.45">
      <c r="I2677" t="s">
        <v>240</v>
      </c>
      <c r="J2677" t="s">
        <v>177</v>
      </c>
      <c r="K2677">
        <v>5.1284825085434839E-2</v>
      </c>
      <c r="L2677" t="s">
        <v>166</v>
      </c>
      <c r="N2677" t="s">
        <v>305</v>
      </c>
      <c r="O2677" t="s">
        <v>177</v>
      </c>
      <c r="P2677">
        <v>1.1143356928200622E-2</v>
      </c>
      <c r="Q2677" t="s">
        <v>166</v>
      </c>
    </row>
    <row r="2678" spans="9:17" x14ac:dyDescent="0.45">
      <c r="I2678" t="s">
        <v>240</v>
      </c>
      <c r="J2678" t="s">
        <v>342</v>
      </c>
      <c r="K2678">
        <v>5.7387010198206153E-3</v>
      </c>
      <c r="L2678" t="s">
        <v>166</v>
      </c>
      <c r="N2678" t="s">
        <v>305</v>
      </c>
      <c r="O2678" t="s">
        <v>342</v>
      </c>
      <c r="P2678">
        <v>1.5113800981857788E-3</v>
      </c>
      <c r="Q2678" t="s">
        <v>166</v>
      </c>
    </row>
    <row r="2679" spans="9:17" x14ac:dyDescent="0.45">
      <c r="I2679" t="s">
        <v>240</v>
      </c>
      <c r="J2679" t="s">
        <v>343</v>
      </c>
      <c r="K2679">
        <v>3.2133625371179079E-3</v>
      </c>
      <c r="L2679" t="s">
        <v>166</v>
      </c>
      <c r="N2679" t="s">
        <v>305</v>
      </c>
      <c r="O2679" t="s">
        <v>343</v>
      </c>
      <c r="P2679">
        <v>1.3354485431975747E-3</v>
      </c>
      <c r="Q2679" t="s">
        <v>166</v>
      </c>
    </row>
    <row r="2680" spans="9:17" x14ac:dyDescent="0.45">
      <c r="I2680" t="s">
        <v>240</v>
      </c>
      <c r="J2680" t="s">
        <v>344</v>
      </c>
      <c r="K2680">
        <v>1.7633435086899711E-5</v>
      </c>
      <c r="L2680" t="s">
        <v>166</v>
      </c>
      <c r="N2680" t="s">
        <v>305</v>
      </c>
      <c r="O2680" t="s">
        <v>344</v>
      </c>
      <c r="P2680">
        <v>9.5608750988609246E-3</v>
      </c>
      <c r="Q2680" t="s">
        <v>166</v>
      </c>
    </row>
    <row r="2681" spans="9:17" x14ac:dyDescent="0.45">
      <c r="I2681" t="s">
        <v>240</v>
      </c>
      <c r="J2681" t="s">
        <v>345</v>
      </c>
      <c r="K2681">
        <v>4.6602085184578909E-2</v>
      </c>
      <c r="L2681" t="s">
        <v>166</v>
      </c>
      <c r="N2681" t="s">
        <v>305</v>
      </c>
      <c r="O2681" t="s">
        <v>345</v>
      </c>
      <c r="P2681">
        <v>3.9701393018545153E-2</v>
      </c>
      <c r="Q2681" t="s">
        <v>166</v>
      </c>
    </row>
    <row r="2682" spans="9:17" x14ac:dyDescent="0.45">
      <c r="I2682" t="s">
        <v>240</v>
      </c>
      <c r="J2682" t="s">
        <v>346</v>
      </c>
      <c r="K2682">
        <v>1.7466508266688715E-2</v>
      </c>
      <c r="L2682" t="s">
        <v>166</v>
      </c>
      <c r="N2682" t="s">
        <v>305</v>
      </c>
      <c r="O2682" t="s">
        <v>346</v>
      </c>
      <c r="P2682">
        <v>4.0904877120715531E-3</v>
      </c>
      <c r="Q2682" t="s">
        <v>166</v>
      </c>
    </row>
    <row r="2683" spans="9:17" x14ac:dyDescent="0.45">
      <c r="I2683" t="s">
        <v>240</v>
      </c>
      <c r="J2683" t="s">
        <v>347</v>
      </c>
      <c r="K2683">
        <v>0.10033265894091568</v>
      </c>
      <c r="L2683" t="s">
        <v>166</v>
      </c>
      <c r="N2683" t="s">
        <v>305</v>
      </c>
      <c r="O2683" t="s">
        <v>347</v>
      </c>
      <c r="P2683">
        <v>3.2413629278532592E-2</v>
      </c>
      <c r="Q2683" t="s">
        <v>166</v>
      </c>
    </row>
    <row r="2684" spans="9:17" x14ac:dyDescent="0.45">
      <c r="I2684" t="s">
        <v>240</v>
      </c>
      <c r="J2684" t="s">
        <v>348</v>
      </c>
      <c r="K2684">
        <v>1.020119563702028E-2</v>
      </c>
      <c r="L2684" t="s">
        <v>166</v>
      </c>
      <c r="N2684" t="s">
        <v>305</v>
      </c>
      <c r="O2684" t="s">
        <v>348</v>
      </c>
      <c r="P2684">
        <v>4.6692216020900691E-3</v>
      </c>
      <c r="Q2684" t="s">
        <v>166</v>
      </c>
    </row>
    <row r="2685" spans="9:17" x14ac:dyDescent="0.45">
      <c r="I2685" t="s">
        <v>240</v>
      </c>
      <c r="J2685" t="s">
        <v>349</v>
      </c>
      <c r="K2685">
        <v>3.9122336884764002E-3</v>
      </c>
      <c r="L2685" t="s">
        <v>166</v>
      </c>
      <c r="N2685" t="s">
        <v>305</v>
      </c>
      <c r="O2685" t="s">
        <v>349</v>
      </c>
      <c r="P2685">
        <v>4.7862055614924645E-3</v>
      </c>
      <c r="Q2685" t="s">
        <v>166</v>
      </c>
    </row>
    <row r="2686" spans="9:17" x14ac:dyDescent="0.45">
      <c r="I2686" t="s">
        <v>240</v>
      </c>
      <c r="J2686" t="s">
        <v>350</v>
      </c>
      <c r="K2686">
        <v>0</v>
      </c>
      <c r="L2686" t="s">
        <v>166</v>
      </c>
      <c r="N2686" t="s">
        <v>305</v>
      </c>
      <c r="O2686" t="s">
        <v>350</v>
      </c>
      <c r="P2686">
        <v>2.1956315999225595E-2</v>
      </c>
      <c r="Q2686" t="s">
        <v>166</v>
      </c>
    </row>
    <row r="2687" spans="9:17" x14ac:dyDescent="0.45">
      <c r="I2687" t="s">
        <v>240</v>
      </c>
      <c r="J2687" t="s">
        <v>351</v>
      </c>
      <c r="K2687">
        <v>2.089417424457048E-2</v>
      </c>
      <c r="L2687" t="s">
        <v>166</v>
      </c>
      <c r="N2687" t="s">
        <v>305</v>
      </c>
      <c r="O2687" t="s">
        <v>351</v>
      </c>
      <c r="P2687">
        <v>1.2545397416030293E-2</v>
      </c>
      <c r="Q2687" t="s">
        <v>166</v>
      </c>
    </row>
    <row r="2688" spans="9:17" x14ac:dyDescent="0.45">
      <c r="I2688" t="s">
        <v>240</v>
      </c>
      <c r="J2688" t="s">
        <v>352</v>
      </c>
      <c r="K2688">
        <v>8.7055120550188162E-3</v>
      </c>
      <c r="L2688" t="s">
        <v>166</v>
      </c>
      <c r="N2688" t="s">
        <v>305</v>
      </c>
      <c r="O2688" t="s">
        <v>352</v>
      </c>
      <c r="P2688">
        <v>1.4996092277573749E-3</v>
      </c>
      <c r="Q2688" t="s">
        <v>166</v>
      </c>
    </row>
    <row r="2689" spans="9:17" x14ac:dyDescent="0.45">
      <c r="I2689" t="s">
        <v>240</v>
      </c>
      <c r="J2689" t="s">
        <v>353</v>
      </c>
      <c r="K2689">
        <v>4.7307907733694789E-2</v>
      </c>
      <c r="L2689" t="s">
        <v>166</v>
      </c>
      <c r="N2689" t="s">
        <v>305</v>
      </c>
      <c r="O2689" t="s">
        <v>353</v>
      </c>
      <c r="P2689">
        <v>1.1299576284283274E-2</v>
      </c>
      <c r="Q2689" t="s">
        <v>166</v>
      </c>
    </row>
    <row r="2690" spans="9:17" x14ac:dyDescent="0.45">
      <c r="I2690" t="s">
        <v>240</v>
      </c>
      <c r="J2690" t="s">
        <v>354</v>
      </c>
      <c r="K2690">
        <v>3.2857145871593709E-3</v>
      </c>
      <c r="L2690" t="s">
        <v>166</v>
      </c>
      <c r="N2690" t="s">
        <v>305</v>
      </c>
      <c r="O2690" t="s">
        <v>354</v>
      </c>
      <c r="P2690">
        <v>1.7182509247138391E-3</v>
      </c>
      <c r="Q2690" t="s">
        <v>166</v>
      </c>
    </row>
    <row r="2691" spans="9:17" x14ac:dyDescent="0.45">
      <c r="I2691" t="s">
        <v>240</v>
      </c>
      <c r="J2691" t="s">
        <v>355</v>
      </c>
      <c r="K2691">
        <v>0</v>
      </c>
      <c r="L2691" t="s">
        <v>166</v>
      </c>
      <c r="N2691" t="s">
        <v>305</v>
      </c>
      <c r="O2691" t="s">
        <v>355</v>
      </c>
      <c r="P2691">
        <v>1.5738511024082406E-3</v>
      </c>
      <c r="Q2691" t="s">
        <v>166</v>
      </c>
    </row>
    <row r="2692" spans="9:17" x14ac:dyDescent="0.45">
      <c r="I2692" t="s">
        <v>240</v>
      </c>
      <c r="J2692" t="s">
        <v>356</v>
      </c>
      <c r="K2692">
        <v>0</v>
      </c>
      <c r="L2692" t="s">
        <v>166</v>
      </c>
      <c r="N2692" t="s">
        <v>305</v>
      </c>
      <c r="O2692" t="s">
        <v>356</v>
      </c>
      <c r="P2692">
        <v>7.6818285711864765E-3</v>
      </c>
      <c r="Q2692" t="s">
        <v>166</v>
      </c>
    </row>
    <row r="2693" spans="9:17" x14ac:dyDescent="0.45">
      <c r="I2693" t="s">
        <v>240</v>
      </c>
      <c r="J2693" t="s">
        <v>357</v>
      </c>
      <c r="K2693">
        <v>2.9982672994080049E-2</v>
      </c>
      <c r="L2693" t="s">
        <v>166</v>
      </c>
      <c r="N2693" t="s">
        <v>305</v>
      </c>
      <c r="O2693" t="s">
        <v>357</v>
      </c>
      <c r="P2693">
        <v>8.1093743685575495E-2</v>
      </c>
      <c r="Q2693" t="s">
        <v>166</v>
      </c>
    </row>
    <row r="2694" spans="9:17" x14ac:dyDescent="0.45">
      <c r="I2694" t="s">
        <v>240</v>
      </c>
      <c r="J2694" t="s">
        <v>358</v>
      </c>
      <c r="K2694">
        <v>1.5328738685196385E-2</v>
      </c>
      <c r="L2694" t="s">
        <v>166</v>
      </c>
      <c r="N2694" t="s">
        <v>305</v>
      </c>
      <c r="O2694" t="s">
        <v>358</v>
      </c>
      <c r="P2694">
        <v>8.0664924517018649E-3</v>
      </c>
      <c r="Q2694" t="s">
        <v>166</v>
      </c>
    </row>
    <row r="2695" spans="9:17" x14ac:dyDescent="0.45">
      <c r="I2695" t="s">
        <v>240</v>
      </c>
      <c r="J2695" t="s">
        <v>359</v>
      </c>
      <c r="K2695">
        <v>8.2357742064333078E-2</v>
      </c>
      <c r="L2695" t="s">
        <v>166</v>
      </c>
      <c r="N2695" t="s">
        <v>305</v>
      </c>
      <c r="O2695" t="s">
        <v>359</v>
      </c>
      <c r="P2695">
        <v>4.4630026395025432E-2</v>
      </c>
      <c r="Q2695" t="s">
        <v>166</v>
      </c>
    </row>
    <row r="2696" spans="9:17" x14ac:dyDescent="0.45">
      <c r="I2696" t="s">
        <v>240</v>
      </c>
      <c r="J2696" t="s">
        <v>360</v>
      </c>
      <c r="K2696">
        <v>1.3888543555647338E-3</v>
      </c>
      <c r="L2696" t="s">
        <v>166</v>
      </c>
      <c r="N2696" t="s">
        <v>305</v>
      </c>
      <c r="O2696" t="s">
        <v>360</v>
      </c>
      <c r="P2696">
        <v>6.3034587350683114E-3</v>
      </c>
      <c r="Q2696" t="s">
        <v>166</v>
      </c>
    </row>
    <row r="2697" spans="9:17" x14ac:dyDescent="0.45">
      <c r="I2697" t="s">
        <v>240</v>
      </c>
      <c r="J2697" t="s">
        <v>361</v>
      </c>
      <c r="K2697">
        <v>0</v>
      </c>
      <c r="L2697" t="s">
        <v>166</v>
      </c>
      <c r="N2697" t="s">
        <v>305</v>
      </c>
      <c r="O2697" t="s">
        <v>361</v>
      </c>
      <c r="P2697">
        <v>6.3449450250821129E-3</v>
      </c>
      <c r="Q2697" t="s">
        <v>166</v>
      </c>
    </row>
    <row r="2698" spans="9:17" x14ac:dyDescent="0.45">
      <c r="I2698" t="s">
        <v>240</v>
      </c>
      <c r="J2698" t="s">
        <v>362</v>
      </c>
      <c r="K2698">
        <v>0</v>
      </c>
      <c r="L2698" t="s">
        <v>166</v>
      </c>
      <c r="N2698" t="s">
        <v>305</v>
      </c>
      <c r="O2698" t="s">
        <v>362</v>
      </c>
      <c r="P2698">
        <v>3.4332643637969687E-2</v>
      </c>
      <c r="Q2698" t="s">
        <v>166</v>
      </c>
    </row>
    <row r="2699" spans="9:17" x14ac:dyDescent="0.45">
      <c r="I2699" t="s">
        <v>241</v>
      </c>
      <c r="J2699" t="s">
        <v>165</v>
      </c>
      <c r="K2699">
        <v>5.095895531485363E-2</v>
      </c>
      <c r="L2699" t="s">
        <v>166</v>
      </c>
      <c r="N2699" t="s">
        <v>306</v>
      </c>
      <c r="O2699" t="s">
        <v>165</v>
      </c>
      <c r="P2699">
        <v>0.14815414668381824</v>
      </c>
      <c r="Q2699" t="s">
        <v>166</v>
      </c>
    </row>
    <row r="2700" spans="9:17" x14ac:dyDescent="0.45">
      <c r="I2700" t="s">
        <v>241</v>
      </c>
      <c r="J2700" t="s">
        <v>167</v>
      </c>
      <c r="K2700">
        <v>2.6775488448868682E-2</v>
      </c>
      <c r="L2700" t="s">
        <v>166</v>
      </c>
      <c r="N2700" t="s">
        <v>306</v>
      </c>
      <c r="O2700" t="s">
        <v>167</v>
      </c>
      <c r="P2700">
        <v>1.4562519176419519E-2</v>
      </c>
      <c r="Q2700" t="s">
        <v>166</v>
      </c>
    </row>
    <row r="2701" spans="9:17" x14ac:dyDescent="0.45">
      <c r="I2701" t="s">
        <v>241</v>
      </c>
      <c r="J2701" t="s">
        <v>168</v>
      </c>
      <c r="K2701">
        <v>0.15049414536795533</v>
      </c>
      <c r="L2701" t="s">
        <v>166</v>
      </c>
      <c r="N2701" t="s">
        <v>306</v>
      </c>
      <c r="O2701" t="s">
        <v>168</v>
      </c>
      <c r="P2701">
        <v>0.10541648815360279</v>
      </c>
      <c r="Q2701" t="s">
        <v>166</v>
      </c>
    </row>
    <row r="2702" spans="9:17" x14ac:dyDescent="0.45">
      <c r="I2702" t="s">
        <v>241</v>
      </c>
      <c r="J2702" t="s">
        <v>333</v>
      </c>
      <c r="K2702">
        <v>1.4564332619848287E-2</v>
      </c>
      <c r="L2702" t="s">
        <v>166</v>
      </c>
      <c r="N2702" t="s">
        <v>306</v>
      </c>
      <c r="O2702" t="s">
        <v>333</v>
      </c>
      <c r="P2702">
        <v>1.6576074036363981E-2</v>
      </c>
      <c r="Q2702" t="s">
        <v>166</v>
      </c>
    </row>
    <row r="2703" spans="9:17" x14ac:dyDescent="0.45">
      <c r="I2703" t="s">
        <v>241</v>
      </c>
      <c r="J2703" t="s">
        <v>334</v>
      </c>
      <c r="K2703">
        <v>2.5874593425555896E-3</v>
      </c>
      <c r="L2703" t="s">
        <v>166</v>
      </c>
      <c r="N2703" t="s">
        <v>306</v>
      </c>
      <c r="O2703" t="s">
        <v>334</v>
      </c>
      <c r="P2703">
        <v>1.6117640585875736E-2</v>
      </c>
      <c r="Q2703" t="s">
        <v>166</v>
      </c>
    </row>
    <row r="2704" spans="9:17" x14ac:dyDescent="0.45">
      <c r="I2704" t="s">
        <v>241</v>
      </c>
      <c r="J2704" t="s">
        <v>335</v>
      </c>
      <c r="K2704">
        <v>0</v>
      </c>
      <c r="L2704" t="s">
        <v>166</v>
      </c>
      <c r="N2704" t="s">
        <v>306</v>
      </c>
      <c r="O2704" t="s">
        <v>335</v>
      </c>
      <c r="P2704">
        <v>8.1016773871796621E-2</v>
      </c>
      <c r="Q2704" t="s">
        <v>166</v>
      </c>
    </row>
    <row r="2705" spans="9:17" x14ac:dyDescent="0.45">
      <c r="I2705" t="s">
        <v>241</v>
      </c>
      <c r="J2705" t="s">
        <v>169</v>
      </c>
      <c r="K2705">
        <v>4.5915789950506228E-2</v>
      </c>
      <c r="L2705" t="s">
        <v>166</v>
      </c>
      <c r="N2705" t="s">
        <v>306</v>
      </c>
      <c r="O2705" t="s">
        <v>169</v>
      </c>
      <c r="P2705">
        <v>7.255644965328506E-2</v>
      </c>
      <c r="Q2705" t="s">
        <v>166</v>
      </c>
    </row>
    <row r="2706" spans="9:17" x14ac:dyDescent="0.45">
      <c r="I2706" t="s">
        <v>241</v>
      </c>
      <c r="J2706" t="s">
        <v>170</v>
      </c>
      <c r="K2706">
        <v>1.760022870667997E-2</v>
      </c>
      <c r="L2706" t="s">
        <v>166</v>
      </c>
      <c r="N2706" t="s">
        <v>306</v>
      </c>
      <c r="O2706" t="s">
        <v>170</v>
      </c>
      <c r="P2706">
        <v>5.8680159716587663E-3</v>
      </c>
      <c r="Q2706" t="s">
        <v>166</v>
      </c>
    </row>
    <row r="2707" spans="9:17" x14ac:dyDescent="0.45">
      <c r="I2707" t="s">
        <v>241</v>
      </c>
      <c r="J2707" t="s">
        <v>171</v>
      </c>
      <c r="K2707">
        <v>0.1003060338957629</v>
      </c>
      <c r="L2707" t="s">
        <v>166</v>
      </c>
      <c r="N2707" t="s">
        <v>306</v>
      </c>
      <c r="O2707" t="s">
        <v>171</v>
      </c>
      <c r="P2707">
        <v>3.9543891623814012E-2</v>
      </c>
      <c r="Q2707" t="s">
        <v>166</v>
      </c>
    </row>
    <row r="2708" spans="9:17" x14ac:dyDescent="0.45">
      <c r="I2708" t="s">
        <v>241</v>
      </c>
      <c r="J2708" t="s">
        <v>336</v>
      </c>
      <c r="K2708">
        <v>1.0291833290423321E-2</v>
      </c>
      <c r="L2708" t="s">
        <v>166</v>
      </c>
      <c r="N2708" t="s">
        <v>306</v>
      </c>
      <c r="O2708" t="s">
        <v>336</v>
      </c>
      <c r="P2708">
        <v>8.1323054384393884E-3</v>
      </c>
      <c r="Q2708" t="s">
        <v>166</v>
      </c>
    </row>
    <row r="2709" spans="9:17" x14ac:dyDescent="0.45">
      <c r="I2709" t="s">
        <v>241</v>
      </c>
      <c r="J2709" t="s">
        <v>337</v>
      </c>
      <c r="K2709">
        <v>5.2744755764945429E-3</v>
      </c>
      <c r="L2709" t="s">
        <v>166</v>
      </c>
      <c r="N2709" t="s">
        <v>306</v>
      </c>
      <c r="O2709" t="s">
        <v>337</v>
      </c>
      <c r="P2709">
        <v>8.6283019050038198E-3</v>
      </c>
      <c r="Q2709" t="s">
        <v>166</v>
      </c>
    </row>
    <row r="2710" spans="9:17" x14ac:dyDescent="0.45">
      <c r="I2710" t="s">
        <v>241</v>
      </c>
      <c r="J2710" t="s">
        <v>338</v>
      </c>
      <c r="K2710">
        <v>0</v>
      </c>
      <c r="L2710" t="s">
        <v>166</v>
      </c>
      <c r="N2710" t="s">
        <v>306</v>
      </c>
      <c r="O2710" t="s">
        <v>338</v>
      </c>
      <c r="P2710">
        <v>4.8972907951960784E-2</v>
      </c>
      <c r="Q2710" t="s">
        <v>166</v>
      </c>
    </row>
    <row r="2711" spans="9:17" x14ac:dyDescent="0.45">
      <c r="I2711" t="s">
        <v>241</v>
      </c>
      <c r="J2711" t="s">
        <v>172</v>
      </c>
      <c r="K2711">
        <v>2.3027143771056167E-2</v>
      </c>
      <c r="L2711" t="s">
        <v>166</v>
      </c>
      <c r="N2711" t="s">
        <v>306</v>
      </c>
      <c r="O2711" t="s">
        <v>172</v>
      </c>
      <c r="P2711">
        <v>3.3229471875721332E-2</v>
      </c>
      <c r="Q2711" t="s">
        <v>166</v>
      </c>
    </row>
    <row r="2712" spans="9:17" x14ac:dyDescent="0.45">
      <c r="I2712" t="s">
        <v>241</v>
      </c>
      <c r="J2712" t="s">
        <v>173</v>
      </c>
      <c r="K2712">
        <v>8.4573334072887228E-3</v>
      </c>
      <c r="L2712" t="s">
        <v>166</v>
      </c>
      <c r="N2712" t="s">
        <v>306</v>
      </c>
      <c r="O2712" t="s">
        <v>173</v>
      </c>
      <c r="P2712">
        <v>2.2201530535683467E-3</v>
      </c>
      <c r="Q2712" t="s">
        <v>166</v>
      </c>
    </row>
    <row r="2713" spans="9:17" x14ac:dyDescent="0.45">
      <c r="I2713" t="s">
        <v>241</v>
      </c>
      <c r="J2713" t="s">
        <v>174</v>
      </c>
      <c r="K2713">
        <v>4.880672512905862E-2</v>
      </c>
      <c r="L2713" t="s">
        <v>166</v>
      </c>
      <c r="N2713" t="s">
        <v>306</v>
      </c>
      <c r="O2713" t="s">
        <v>174</v>
      </c>
      <c r="P2713">
        <v>1.4151761783378345E-2</v>
      </c>
      <c r="Q2713" t="s">
        <v>166</v>
      </c>
    </row>
    <row r="2714" spans="9:17" x14ac:dyDescent="0.45">
      <c r="I2714" t="s">
        <v>241</v>
      </c>
      <c r="J2714" t="s">
        <v>339</v>
      </c>
      <c r="K2714">
        <v>5.2478425949905837E-3</v>
      </c>
      <c r="L2714" t="s">
        <v>166</v>
      </c>
      <c r="N2714" t="s">
        <v>306</v>
      </c>
      <c r="O2714" t="s">
        <v>339</v>
      </c>
      <c r="P2714">
        <v>2.8398272349742307E-3</v>
      </c>
      <c r="Q2714" t="s">
        <v>166</v>
      </c>
    </row>
    <row r="2715" spans="9:17" x14ac:dyDescent="0.45">
      <c r="I2715" t="s">
        <v>241</v>
      </c>
      <c r="J2715" t="s">
        <v>340</v>
      </c>
      <c r="K2715">
        <v>3.1079218711537191E-3</v>
      </c>
      <c r="L2715" t="s">
        <v>166</v>
      </c>
      <c r="N2715" t="s">
        <v>306</v>
      </c>
      <c r="O2715" t="s">
        <v>340</v>
      </c>
      <c r="P2715">
        <v>3.173436890272904E-3</v>
      </c>
      <c r="Q2715" t="s">
        <v>166</v>
      </c>
    </row>
    <row r="2716" spans="9:17" x14ac:dyDescent="0.45">
      <c r="I2716" t="s">
        <v>241</v>
      </c>
      <c r="J2716" t="s">
        <v>341</v>
      </c>
      <c r="K2716">
        <v>3.354435883035098E-4</v>
      </c>
      <c r="L2716" t="s">
        <v>166</v>
      </c>
      <c r="N2716" t="s">
        <v>306</v>
      </c>
      <c r="O2716" t="s">
        <v>341</v>
      </c>
      <c r="P2716">
        <v>2.2519500713102818E-2</v>
      </c>
      <c r="Q2716" t="s">
        <v>166</v>
      </c>
    </row>
    <row r="2717" spans="9:17" x14ac:dyDescent="0.45">
      <c r="I2717" t="s">
        <v>241</v>
      </c>
      <c r="J2717" t="s">
        <v>175</v>
      </c>
      <c r="K2717">
        <v>2.24242452924431E-2</v>
      </c>
      <c r="L2717" t="s">
        <v>166</v>
      </c>
      <c r="N2717" t="s">
        <v>306</v>
      </c>
      <c r="O2717" t="s">
        <v>175</v>
      </c>
      <c r="P2717">
        <v>1.825871951445477E-2</v>
      </c>
      <c r="Q2717" t="s">
        <v>166</v>
      </c>
    </row>
    <row r="2718" spans="9:17" x14ac:dyDescent="0.45">
      <c r="I2718" t="s">
        <v>241</v>
      </c>
      <c r="J2718" t="s">
        <v>176</v>
      </c>
      <c r="K2718">
        <v>8.5269012182883751E-3</v>
      </c>
      <c r="L2718" t="s">
        <v>166</v>
      </c>
      <c r="N2718" t="s">
        <v>306</v>
      </c>
      <c r="O2718" t="s">
        <v>176</v>
      </c>
      <c r="P2718">
        <v>1.3370050547674883E-3</v>
      </c>
      <c r="Q2718" t="s">
        <v>166</v>
      </c>
    </row>
    <row r="2719" spans="9:17" x14ac:dyDescent="0.45">
      <c r="I2719" t="s">
        <v>241</v>
      </c>
      <c r="J2719" t="s">
        <v>177</v>
      </c>
      <c r="K2719">
        <v>5.0388630115012129E-2</v>
      </c>
      <c r="L2719" t="s">
        <v>166</v>
      </c>
      <c r="N2719" t="s">
        <v>306</v>
      </c>
      <c r="O2719" t="s">
        <v>177</v>
      </c>
      <c r="P2719">
        <v>7.2262028447176675E-3</v>
      </c>
      <c r="Q2719" t="s">
        <v>166</v>
      </c>
    </row>
    <row r="2720" spans="9:17" x14ac:dyDescent="0.45">
      <c r="I2720" t="s">
        <v>241</v>
      </c>
      <c r="J2720" t="s">
        <v>342</v>
      </c>
      <c r="K2720">
        <v>5.7297418799951089E-3</v>
      </c>
      <c r="L2720" t="s">
        <v>166</v>
      </c>
      <c r="N2720" t="s">
        <v>306</v>
      </c>
      <c r="O2720" t="s">
        <v>342</v>
      </c>
      <c r="P2720">
        <v>1.4442762074339704E-3</v>
      </c>
      <c r="Q2720" t="s">
        <v>166</v>
      </c>
    </row>
    <row r="2721" spans="9:17" x14ac:dyDescent="0.45">
      <c r="I2721" t="s">
        <v>241</v>
      </c>
      <c r="J2721" t="s">
        <v>343</v>
      </c>
      <c r="K2721">
        <v>3.3288066898826819E-3</v>
      </c>
      <c r="L2721" t="s">
        <v>166</v>
      </c>
      <c r="N2721" t="s">
        <v>306</v>
      </c>
      <c r="O2721" t="s">
        <v>343</v>
      </c>
      <c r="P2721">
        <v>1.7201160349917775E-3</v>
      </c>
      <c r="Q2721" t="s">
        <v>166</v>
      </c>
    </row>
    <row r="2722" spans="9:17" x14ac:dyDescent="0.45">
      <c r="I2722" t="s">
        <v>241</v>
      </c>
      <c r="J2722" t="s">
        <v>344</v>
      </c>
      <c r="K2722">
        <v>3.5007218886794076E-4</v>
      </c>
      <c r="L2722" t="s">
        <v>166</v>
      </c>
      <c r="N2722" t="s">
        <v>306</v>
      </c>
      <c r="O2722" t="s">
        <v>344</v>
      </c>
      <c r="P2722">
        <v>1.5062786024909913E-2</v>
      </c>
      <c r="Q2722" t="s">
        <v>166</v>
      </c>
    </row>
    <row r="2723" spans="9:17" x14ac:dyDescent="0.45">
      <c r="I2723" t="s">
        <v>241</v>
      </c>
      <c r="J2723" t="s">
        <v>345</v>
      </c>
      <c r="K2723">
        <v>4.4214253384795212E-2</v>
      </c>
      <c r="L2723" t="s">
        <v>166</v>
      </c>
      <c r="N2723" t="s">
        <v>306</v>
      </c>
      <c r="O2723" t="s">
        <v>345</v>
      </c>
      <c r="P2723">
        <v>4.2408100441401267E-2</v>
      </c>
      <c r="Q2723" t="s">
        <v>166</v>
      </c>
    </row>
    <row r="2724" spans="9:17" x14ac:dyDescent="0.45">
      <c r="I2724" t="s">
        <v>241</v>
      </c>
      <c r="J2724" t="s">
        <v>346</v>
      </c>
      <c r="K2724">
        <v>1.7324548766773862E-2</v>
      </c>
      <c r="L2724" t="s">
        <v>166</v>
      </c>
      <c r="N2724" t="s">
        <v>306</v>
      </c>
      <c r="O2724" t="s">
        <v>346</v>
      </c>
      <c r="P2724">
        <v>3.0558741551745361E-3</v>
      </c>
      <c r="Q2724" t="s">
        <v>166</v>
      </c>
    </row>
    <row r="2725" spans="9:17" x14ac:dyDescent="0.45">
      <c r="I2725" t="s">
        <v>241</v>
      </c>
      <c r="J2725" t="s">
        <v>347</v>
      </c>
      <c r="K2725">
        <v>9.9738824200280268E-2</v>
      </c>
      <c r="L2725" t="s">
        <v>166</v>
      </c>
      <c r="N2725" t="s">
        <v>306</v>
      </c>
      <c r="O2725" t="s">
        <v>347</v>
      </c>
      <c r="P2725">
        <v>2.0938067347239211E-2</v>
      </c>
      <c r="Q2725" t="s">
        <v>166</v>
      </c>
    </row>
    <row r="2726" spans="9:17" x14ac:dyDescent="0.45">
      <c r="I2726" t="s">
        <v>241</v>
      </c>
      <c r="J2726" t="s">
        <v>348</v>
      </c>
      <c r="K2726">
        <v>1.0649449787372015E-2</v>
      </c>
      <c r="L2726" t="s">
        <v>166</v>
      </c>
      <c r="N2726" t="s">
        <v>306</v>
      </c>
      <c r="O2726" t="s">
        <v>348</v>
      </c>
      <c r="P2726">
        <v>4.1662780908773914E-3</v>
      </c>
      <c r="Q2726" t="s">
        <v>166</v>
      </c>
    </row>
    <row r="2727" spans="9:17" x14ac:dyDescent="0.45">
      <c r="I2727" t="s">
        <v>241</v>
      </c>
      <c r="J2727" t="s">
        <v>349</v>
      </c>
      <c r="K2727">
        <v>4.5643532893644995E-3</v>
      </c>
      <c r="L2727" t="s">
        <v>166</v>
      </c>
      <c r="N2727" t="s">
        <v>306</v>
      </c>
      <c r="O2727" t="s">
        <v>349</v>
      </c>
      <c r="P2727">
        <v>4.5900430084891046E-3</v>
      </c>
      <c r="Q2727" t="s">
        <v>166</v>
      </c>
    </row>
    <row r="2728" spans="9:17" x14ac:dyDescent="0.45">
      <c r="I2728" t="s">
        <v>241</v>
      </c>
      <c r="J2728" t="s">
        <v>350</v>
      </c>
      <c r="K2728">
        <v>0</v>
      </c>
      <c r="L2728" t="s">
        <v>166</v>
      </c>
      <c r="N2728" t="s">
        <v>306</v>
      </c>
      <c r="O2728" t="s">
        <v>350</v>
      </c>
      <c r="P2728">
        <v>3.2080862532761677E-2</v>
      </c>
      <c r="Q2728" t="s">
        <v>166</v>
      </c>
    </row>
    <row r="2729" spans="9:17" x14ac:dyDescent="0.45">
      <c r="I2729" t="s">
        <v>241</v>
      </c>
      <c r="J2729" t="s">
        <v>351</v>
      </c>
      <c r="K2729">
        <v>2.0684497767524981E-2</v>
      </c>
      <c r="L2729" t="s">
        <v>166</v>
      </c>
      <c r="N2729" t="s">
        <v>306</v>
      </c>
      <c r="O2729" t="s">
        <v>351</v>
      </c>
      <c r="P2729">
        <v>1.3251410261767484E-2</v>
      </c>
      <c r="Q2729" t="s">
        <v>166</v>
      </c>
    </row>
    <row r="2730" spans="9:17" x14ac:dyDescent="0.45">
      <c r="I2730" t="s">
        <v>241</v>
      </c>
      <c r="J2730" t="s">
        <v>352</v>
      </c>
      <c r="K2730">
        <v>8.7457871213630235E-3</v>
      </c>
      <c r="L2730" t="s">
        <v>166</v>
      </c>
      <c r="N2730" t="s">
        <v>306</v>
      </c>
      <c r="O2730" t="s">
        <v>352</v>
      </c>
      <c r="P2730">
        <v>1.0395801399309406E-3</v>
      </c>
      <c r="Q2730" t="s">
        <v>166</v>
      </c>
    </row>
    <row r="2731" spans="9:17" x14ac:dyDescent="0.45">
      <c r="I2731" t="s">
        <v>241</v>
      </c>
      <c r="J2731" t="s">
        <v>353</v>
      </c>
      <c r="K2731">
        <v>4.7845439751786754E-2</v>
      </c>
      <c r="L2731" t="s">
        <v>166</v>
      </c>
      <c r="N2731" t="s">
        <v>306</v>
      </c>
      <c r="O2731" t="s">
        <v>353</v>
      </c>
      <c r="P2731">
        <v>6.7647086887590753E-3</v>
      </c>
      <c r="Q2731" t="s">
        <v>166</v>
      </c>
    </row>
    <row r="2732" spans="9:17" x14ac:dyDescent="0.45">
      <c r="I2732" t="s">
        <v>241</v>
      </c>
      <c r="J2732" t="s">
        <v>354</v>
      </c>
      <c r="K2732">
        <v>3.7635498823871973E-3</v>
      </c>
      <c r="L2732" t="s">
        <v>166</v>
      </c>
      <c r="N2732" t="s">
        <v>306</v>
      </c>
      <c r="O2732" t="s">
        <v>354</v>
      </c>
      <c r="P2732">
        <v>1.7383058818745615E-3</v>
      </c>
      <c r="Q2732" t="s">
        <v>166</v>
      </c>
    </row>
    <row r="2733" spans="9:17" x14ac:dyDescent="0.45">
      <c r="I2733" t="s">
        <v>241</v>
      </c>
      <c r="J2733" t="s">
        <v>355</v>
      </c>
      <c r="K2733">
        <v>0</v>
      </c>
      <c r="L2733" t="s">
        <v>166</v>
      </c>
      <c r="N2733" t="s">
        <v>306</v>
      </c>
      <c r="O2733" t="s">
        <v>355</v>
      </c>
      <c r="P2733">
        <v>2.0296495476079964E-3</v>
      </c>
      <c r="Q2733" t="s">
        <v>166</v>
      </c>
    </row>
    <row r="2734" spans="9:17" x14ac:dyDescent="0.45">
      <c r="I2734" t="s">
        <v>241</v>
      </c>
      <c r="J2734" t="s">
        <v>356</v>
      </c>
      <c r="K2734">
        <v>0</v>
      </c>
      <c r="L2734" t="s">
        <v>166</v>
      </c>
      <c r="N2734" t="s">
        <v>306</v>
      </c>
      <c r="O2734" t="s">
        <v>356</v>
      </c>
      <c r="P2734">
        <v>1.058960042289271E-2</v>
      </c>
      <c r="Q2734" t="s">
        <v>166</v>
      </c>
    </row>
    <row r="2735" spans="9:17" x14ac:dyDescent="0.45">
      <c r="I2735" t="s">
        <v>241</v>
      </c>
      <c r="J2735" t="s">
        <v>357</v>
      </c>
      <c r="K2735">
        <v>3.1146344026035933E-2</v>
      </c>
      <c r="L2735" t="s">
        <v>166</v>
      </c>
      <c r="N2735" t="s">
        <v>306</v>
      </c>
      <c r="O2735" t="s">
        <v>357</v>
      </c>
      <c r="P2735">
        <v>7.2195577725632246E-2</v>
      </c>
      <c r="Q2735" t="s">
        <v>166</v>
      </c>
    </row>
    <row r="2736" spans="9:17" x14ac:dyDescent="0.45">
      <c r="I2736" t="s">
        <v>241</v>
      </c>
      <c r="J2736" t="s">
        <v>358</v>
      </c>
      <c r="K2736">
        <v>1.5904739864777546E-2</v>
      </c>
      <c r="L2736" t="s">
        <v>166</v>
      </c>
      <c r="N2736" t="s">
        <v>306</v>
      </c>
      <c r="O2736" t="s">
        <v>358</v>
      </c>
      <c r="P2736">
        <v>6.797261236699847E-3</v>
      </c>
      <c r="Q2736" t="s">
        <v>166</v>
      </c>
    </row>
    <row r="2737" spans="9:17" x14ac:dyDescent="0.45">
      <c r="I2737" t="s">
        <v>241</v>
      </c>
      <c r="J2737" t="s">
        <v>359</v>
      </c>
      <c r="K2737">
        <v>8.5703094872110003E-2</v>
      </c>
      <c r="L2737" t="s">
        <v>166</v>
      </c>
      <c r="N2737" t="s">
        <v>306</v>
      </c>
      <c r="O2737" t="s">
        <v>359</v>
      </c>
      <c r="P2737">
        <v>4.0549136591509938E-2</v>
      </c>
      <c r="Q2737" t="s">
        <v>166</v>
      </c>
    </row>
    <row r="2738" spans="9:17" x14ac:dyDescent="0.45">
      <c r="I2738" t="s">
        <v>241</v>
      </c>
      <c r="J2738" t="s">
        <v>360</v>
      </c>
      <c r="K2738">
        <v>5.2155670251378457E-3</v>
      </c>
      <c r="L2738" t="s">
        <v>166</v>
      </c>
      <c r="N2738" t="s">
        <v>306</v>
      </c>
      <c r="O2738" t="s">
        <v>360</v>
      </c>
      <c r="P2738">
        <v>6.3932583001711047E-3</v>
      </c>
      <c r="Q2738" t="s">
        <v>166</v>
      </c>
    </row>
    <row r="2739" spans="9:17" x14ac:dyDescent="0.45">
      <c r="I2739" t="s">
        <v>241</v>
      </c>
      <c r="J2739" t="s">
        <v>361</v>
      </c>
      <c r="K2739">
        <v>0</v>
      </c>
      <c r="L2739" t="s">
        <v>166</v>
      </c>
      <c r="N2739" t="s">
        <v>306</v>
      </c>
      <c r="O2739" t="s">
        <v>361</v>
      </c>
      <c r="P2739">
        <v>6.767506708066225E-3</v>
      </c>
      <c r="Q2739" t="s">
        <v>166</v>
      </c>
    </row>
    <row r="2740" spans="9:17" x14ac:dyDescent="0.45">
      <c r="I2740" t="s">
        <v>241</v>
      </c>
      <c r="J2740" t="s">
        <v>362</v>
      </c>
      <c r="K2740">
        <v>0</v>
      </c>
      <c r="L2740" t="s">
        <v>166</v>
      </c>
      <c r="N2740" t="s">
        <v>306</v>
      </c>
      <c r="O2740" t="s">
        <v>362</v>
      </c>
      <c r="P2740">
        <v>3.5916006634807443E-2</v>
      </c>
      <c r="Q2740" t="s">
        <v>166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1796F-38A4-4531-B69F-5F333F7B0908}">
  <dimension ref="A9:AN75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107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163</v>
      </c>
      <c r="L10" t="s">
        <v>30</v>
      </c>
      <c r="N10" t="s">
        <v>13</v>
      </c>
      <c r="O10" t="s">
        <v>122</v>
      </c>
      <c r="P10" t="s">
        <v>163</v>
      </c>
      <c r="Q10" t="s">
        <v>30</v>
      </c>
      <c r="S10" t="s">
        <v>13</v>
      </c>
      <c r="T10" t="s">
        <v>122</v>
      </c>
      <c r="U10" t="s">
        <v>163</v>
      </c>
      <c r="V10" t="s">
        <v>30</v>
      </c>
      <c r="X10" t="s">
        <v>317</v>
      </c>
      <c r="Y10" t="s">
        <v>163</v>
      </c>
      <c r="Z10" t="s">
        <v>122</v>
      </c>
      <c r="AA10" t="s">
        <v>13</v>
      </c>
      <c r="AC10" t="s">
        <v>13</v>
      </c>
      <c r="AD10" t="s">
        <v>122</v>
      </c>
      <c r="AE10" t="s">
        <v>163</v>
      </c>
      <c r="AG10" t="s">
        <v>13</v>
      </c>
      <c r="AH10" t="s">
        <v>122</v>
      </c>
      <c r="AI10" t="s">
        <v>323</v>
      </c>
      <c r="AK10" t="s">
        <v>47</v>
      </c>
      <c r="AL10" t="s">
        <v>122</v>
      </c>
      <c r="AM10" t="s">
        <v>324</v>
      </c>
      <c r="AN10" t="s">
        <v>325</v>
      </c>
    </row>
    <row r="11" spans="1:40" x14ac:dyDescent="0.45">
      <c r="A11" t="str">
        <f>IFERROR(IF(Veda!D5=A10,"ok","x"),"")</f>
        <v>ok</v>
      </c>
      <c r="C11" t="s">
        <v>365</v>
      </c>
      <c r="D11" t="s">
        <v>155</v>
      </c>
      <c r="E11" t="s">
        <v>366</v>
      </c>
      <c r="F11" t="s">
        <v>365</v>
      </c>
      <c r="G11" t="s">
        <v>155</v>
      </c>
      <c r="I11" t="s">
        <v>164</v>
      </c>
      <c r="J11" t="s">
        <v>367</v>
      </c>
      <c r="K11">
        <v>0.99999999999999867</v>
      </c>
      <c r="L11" t="s">
        <v>166</v>
      </c>
      <c r="N11" t="s">
        <v>242</v>
      </c>
      <c r="O11" t="s">
        <v>367</v>
      </c>
      <c r="P11">
        <v>1.0000000000000029</v>
      </c>
      <c r="Q11" t="s">
        <v>166</v>
      </c>
      <c r="S11" t="s">
        <v>307</v>
      </c>
      <c r="T11" t="s">
        <v>367</v>
      </c>
      <c r="U11">
        <v>0.99999999999999467</v>
      </c>
      <c r="V11" t="s">
        <v>166</v>
      </c>
      <c r="X11">
        <v>1</v>
      </c>
      <c r="Y11">
        <v>1.0000000000000002</v>
      </c>
      <c r="Z11" t="s">
        <v>367</v>
      </c>
      <c r="AA11" t="s">
        <v>25</v>
      </c>
      <c r="AC11" t="s">
        <v>22</v>
      </c>
      <c r="AD11" t="s">
        <v>367</v>
      </c>
      <c r="AE11">
        <v>1</v>
      </c>
      <c r="AG11" t="s">
        <v>97</v>
      </c>
      <c r="AH11" t="s">
        <v>367</v>
      </c>
      <c r="AI11">
        <v>0.23556410256287008</v>
      </c>
    </row>
    <row r="12" spans="1:40" x14ac:dyDescent="0.45">
      <c r="I12" t="s">
        <v>178</v>
      </c>
      <c r="J12" t="s">
        <v>367</v>
      </c>
      <c r="K12">
        <v>1.0000000000000007</v>
      </c>
      <c r="L12" t="s">
        <v>166</v>
      </c>
      <c r="N12" t="s">
        <v>243</v>
      </c>
      <c r="O12" t="s">
        <v>367</v>
      </c>
      <c r="P12">
        <v>0.99999999999999922</v>
      </c>
      <c r="Q12" t="s">
        <v>166</v>
      </c>
      <c r="S12" t="s">
        <v>308</v>
      </c>
      <c r="T12" t="s">
        <v>367</v>
      </c>
      <c r="U12">
        <v>1.0000000000000018</v>
      </c>
      <c r="V12" t="s">
        <v>166</v>
      </c>
      <c r="AC12" t="s">
        <v>19</v>
      </c>
      <c r="AD12" t="s">
        <v>367</v>
      </c>
      <c r="AE12">
        <v>1</v>
      </c>
    </row>
    <row r="13" spans="1:40" x14ac:dyDescent="0.45">
      <c r="I13" t="s">
        <v>179</v>
      </c>
      <c r="J13" t="s">
        <v>367</v>
      </c>
      <c r="K13">
        <v>0.99999999999999911</v>
      </c>
      <c r="L13" t="s">
        <v>166</v>
      </c>
      <c r="N13" t="s">
        <v>244</v>
      </c>
      <c r="O13" t="s">
        <v>367</v>
      </c>
      <c r="P13">
        <v>1.0000000000000013</v>
      </c>
      <c r="Q13" t="s">
        <v>166</v>
      </c>
      <c r="S13" t="s">
        <v>309</v>
      </c>
      <c r="T13" t="s">
        <v>367</v>
      </c>
      <c r="U13">
        <v>0.99999999999999911</v>
      </c>
      <c r="V13" t="s">
        <v>166</v>
      </c>
    </row>
    <row r="14" spans="1:40" x14ac:dyDescent="0.45">
      <c r="I14" t="s">
        <v>180</v>
      </c>
      <c r="J14" t="s">
        <v>367</v>
      </c>
      <c r="K14">
        <v>1.000000000000002</v>
      </c>
      <c r="L14" t="s">
        <v>166</v>
      </c>
      <c r="N14" t="s">
        <v>245</v>
      </c>
      <c r="O14" t="s">
        <v>367</v>
      </c>
      <c r="P14">
        <v>0.99999999999999956</v>
      </c>
      <c r="Q14" t="s">
        <v>166</v>
      </c>
      <c r="S14" t="s">
        <v>310</v>
      </c>
      <c r="T14" t="s">
        <v>367</v>
      </c>
      <c r="U14">
        <v>0.99999999999999956</v>
      </c>
      <c r="V14" t="s">
        <v>166</v>
      </c>
    </row>
    <row r="15" spans="1:40" x14ac:dyDescent="0.45">
      <c r="I15" t="s">
        <v>181</v>
      </c>
      <c r="J15" t="s">
        <v>367</v>
      </c>
      <c r="K15">
        <v>0.99999999999999889</v>
      </c>
      <c r="L15" t="s">
        <v>166</v>
      </c>
      <c r="N15" t="s">
        <v>246</v>
      </c>
      <c r="O15" t="s">
        <v>367</v>
      </c>
      <c r="P15">
        <v>1.0000000000000016</v>
      </c>
      <c r="Q15" t="s">
        <v>166</v>
      </c>
      <c r="S15" t="s">
        <v>311</v>
      </c>
      <c r="T15" t="s">
        <v>367</v>
      </c>
      <c r="U15">
        <v>1</v>
      </c>
      <c r="V15" t="s">
        <v>166</v>
      </c>
    </row>
    <row r="16" spans="1:40" x14ac:dyDescent="0.45">
      <c r="I16" t="s">
        <v>182</v>
      </c>
      <c r="J16" t="s">
        <v>367</v>
      </c>
      <c r="K16">
        <v>1.0000000000000011</v>
      </c>
      <c r="L16" t="s">
        <v>166</v>
      </c>
      <c r="N16" t="s">
        <v>247</v>
      </c>
      <c r="O16" t="s">
        <v>367</v>
      </c>
      <c r="P16">
        <v>1.000000000000002</v>
      </c>
      <c r="Q16" t="s">
        <v>166</v>
      </c>
      <c r="S16" t="s">
        <v>312</v>
      </c>
      <c r="T16" t="s">
        <v>367</v>
      </c>
      <c r="U16">
        <v>0.99999999999999634</v>
      </c>
      <c r="V16" t="s">
        <v>166</v>
      </c>
    </row>
    <row r="17" spans="9:22" x14ac:dyDescent="0.45">
      <c r="I17" t="s">
        <v>183</v>
      </c>
      <c r="J17" t="s">
        <v>367</v>
      </c>
      <c r="K17">
        <v>1.0000000000000036</v>
      </c>
      <c r="L17" t="s">
        <v>166</v>
      </c>
      <c r="N17" t="s">
        <v>248</v>
      </c>
      <c r="O17" t="s">
        <v>367</v>
      </c>
      <c r="P17">
        <v>0.99999999999999889</v>
      </c>
      <c r="Q17" t="s">
        <v>166</v>
      </c>
      <c r="S17" t="s">
        <v>313</v>
      </c>
      <c r="T17" t="s">
        <v>367</v>
      </c>
      <c r="U17">
        <v>1.000000000000002</v>
      </c>
      <c r="V17" t="s">
        <v>166</v>
      </c>
    </row>
    <row r="18" spans="9:22" x14ac:dyDescent="0.45">
      <c r="I18" t="s">
        <v>184</v>
      </c>
      <c r="J18" t="s">
        <v>367</v>
      </c>
      <c r="K18">
        <v>1.0000000000000004</v>
      </c>
      <c r="L18" t="s">
        <v>166</v>
      </c>
      <c r="N18" t="s">
        <v>249</v>
      </c>
      <c r="O18" t="s">
        <v>367</v>
      </c>
      <c r="P18">
        <v>1.0000000000000013</v>
      </c>
      <c r="Q18" t="s">
        <v>166</v>
      </c>
      <c r="S18" t="s">
        <v>314</v>
      </c>
      <c r="T18" t="s">
        <v>367</v>
      </c>
      <c r="U18">
        <v>1.0000000000000036</v>
      </c>
      <c r="V18" t="s">
        <v>166</v>
      </c>
    </row>
    <row r="19" spans="9:22" x14ac:dyDescent="0.45">
      <c r="I19" t="s">
        <v>185</v>
      </c>
      <c r="J19" t="s">
        <v>367</v>
      </c>
      <c r="K19">
        <v>1.0000000000000024</v>
      </c>
      <c r="L19" t="s">
        <v>166</v>
      </c>
      <c r="N19" t="s">
        <v>250</v>
      </c>
      <c r="O19" t="s">
        <v>367</v>
      </c>
      <c r="P19">
        <v>0.99999999999999534</v>
      </c>
      <c r="Q19" t="s">
        <v>166</v>
      </c>
      <c r="S19" t="s">
        <v>315</v>
      </c>
      <c r="T19" t="s">
        <v>367</v>
      </c>
      <c r="U19">
        <v>0.99999999999999478</v>
      </c>
      <c r="V19" t="s">
        <v>166</v>
      </c>
    </row>
    <row r="20" spans="9:22" x14ac:dyDescent="0.45">
      <c r="I20" t="s">
        <v>186</v>
      </c>
      <c r="J20" t="s">
        <v>367</v>
      </c>
      <c r="K20">
        <v>0.99999999999999933</v>
      </c>
      <c r="L20" t="s">
        <v>166</v>
      </c>
      <c r="N20" t="s">
        <v>251</v>
      </c>
      <c r="O20" t="s">
        <v>367</v>
      </c>
      <c r="P20">
        <v>1.0000000000000013</v>
      </c>
      <c r="Q20" t="s">
        <v>166</v>
      </c>
      <c r="S20" t="s">
        <v>316</v>
      </c>
      <c r="T20" t="s">
        <v>367</v>
      </c>
      <c r="U20">
        <v>1.0000000000000013</v>
      </c>
      <c r="V20" t="s">
        <v>166</v>
      </c>
    </row>
    <row r="21" spans="9:22" x14ac:dyDescent="0.45">
      <c r="I21" t="s">
        <v>187</v>
      </c>
      <c r="J21" t="s">
        <v>367</v>
      </c>
      <c r="K21">
        <v>0.99999999999999867</v>
      </c>
      <c r="L21" t="s">
        <v>166</v>
      </c>
      <c r="N21" t="s">
        <v>252</v>
      </c>
      <c r="O21" t="s">
        <v>367</v>
      </c>
      <c r="P21">
        <v>0.99999999999999856</v>
      </c>
      <c r="Q21" t="s">
        <v>166</v>
      </c>
    </row>
    <row r="22" spans="9:22" x14ac:dyDescent="0.45">
      <c r="I22" t="s">
        <v>188</v>
      </c>
      <c r="J22" t="s">
        <v>367</v>
      </c>
      <c r="K22">
        <v>1.0000000000000013</v>
      </c>
      <c r="L22" t="s">
        <v>166</v>
      </c>
      <c r="N22" t="s">
        <v>253</v>
      </c>
      <c r="O22" t="s">
        <v>367</v>
      </c>
      <c r="P22">
        <v>0.99999999999999611</v>
      </c>
      <c r="Q22" t="s">
        <v>166</v>
      </c>
    </row>
    <row r="23" spans="9:22" x14ac:dyDescent="0.45">
      <c r="I23" t="s">
        <v>189</v>
      </c>
      <c r="J23" t="s">
        <v>367</v>
      </c>
      <c r="K23">
        <v>1.0000000000000002</v>
      </c>
      <c r="L23" t="s">
        <v>166</v>
      </c>
      <c r="N23" t="s">
        <v>254</v>
      </c>
      <c r="O23" t="s">
        <v>367</v>
      </c>
      <c r="P23">
        <v>1.0000000000000031</v>
      </c>
      <c r="Q23" t="s">
        <v>166</v>
      </c>
    </row>
    <row r="24" spans="9:22" x14ac:dyDescent="0.45">
      <c r="I24" t="s">
        <v>190</v>
      </c>
      <c r="J24" t="s">
        <v>367</v>
      </c>
      <c r="K24">
        <v>1.0000000000000007</v>
      </c>
      <c r="L24" t="s">
        <v>166</v>
      </c>
      <c r="N24" t="s">
        <v>255</v>
      </c>
      <c r="O24" t="s">
        <v>367</v>
      </c>
      <c r="P24">
        <v>1.0000000000000022</v>
      </c>
      <c r="Q24" t="s">
        <v>166</v>
      </c>
    </row>
    <row r="25" spans="9:22" x14ac:dyDescent="0.45">
      <c r="I25" t="s">
        <v>191</v>
      </c>
      <c r="J25" t="s">
        <v>367</v>
      </c>
      <c r="K25">
        <v>0.99999999999999922</v>
      </c>
      <c r="L25" t="s">
        <v>166</v>
      </c>
      <c r="N25" t="s">
        <v>256</v>
      </c>
      <c r="O25" t="s">
        <v>367</v>
      </c>
      <c r="P25">
        <v>1.0000000000000007</v>
      </c>
      <c r="Q25" t="s">
        <v>166</v>
      </c>
    </row>
    <row r="26" spans="9:22" x14ac:dyDescent="0.45">
      <c r="I26" t="s">
        <v>192</v>
      </c>
      <c r="J26" t="s">
        <v>367</v>
      </c>
      <c r="K26">
        <v>1.0000000000000009</v>
      </c>
      <c r="L26" t="s">
        <v>166</v>
      </c>
      <c r="N26" t="s">
        <v>257</v>
      </c>
      <c r="O26" t="s">
        <v>367</v>
      </c>
      <c r="P26">
        <v>0.99999999999999756</v>
      </c>
      <c r="Q26" t="s">
        <v>166</v>
      </c>
    </row>
    <row r="27" spans="9:22" x14ac:dyDescent="0.45">
      <c r="I27" t="s">
        <v>193</v>
      </c>
      <c r="J27" t="s">
        <v>367</v>
      </c>
      <c r="K27">
        <v>0.999999999999999</v>
      </c>
      <c r="L27" t="s">
        <v>166</v>
      </c>
      <c r="N27" t="s">
        <v>258</v>
      </c>
      <c r="O27" t="s">
        <v>367</v>
      </c>
      <c r="P27">
        <v>1.0000000000000024</v>
      </c>
      <c r="Q27" t="s">
        <v>166</v>
      </c>
    </row>
    <row r="28" spans="9:22" x14ac:dyDescent="0.45">
      <c r="I28" t="s">
        <v>194</v>
      </c>
      <c r="J28" t="s">
        <v>367</v>
      </c>
      <c r="K28">
        <v>1.0000000000000011</v>
      </c>
      <c r="L28" t="s">
        <v>166</v>
      </c>
      <c r="N28" t="s">
        <v>259</v>
      </c>
      <c r="O28" t="s">
        <v>367</v>
      </c>
      <c r="P28">
        <v>0.99999999999999678</v>
      </c>
      <c r="Q28" t="s">
        <v>166</v>
      </c>
    </row>
    <row r="29" spans="9:22" x14ac:dyDescent="0.45">
      <c r="I29" t="s">
        <v>195</v>
      </c>
      <c r="J29" t="s">
        <v>367</v>
      </c>
      <c r="K29">
        <v>1.0000000000000016</v>
      </c>
      <c r="L29" t="s">
        <v>166</v>
      </c>
      <c r="N29" t="s">
        <v>260</v>
      </c>
      <c r="O29" t="s">
        <v>367</v>
      </c>
      <c r="P29">
        <v>0.99999999999999967</v>
      </c>
      <c r="Q29" t="s">
        <v>166</v>
      </c>
    </row>
    <row r="30" spans="9:22" x14ac:dyDescent="0.45">
      <c r="I30" t="s">
        <v>196</v>
      </c>
      <c r="J30" t="s">
        <v>367</v>
      </c>
      <c r="K30">
        <v>1.0000000000000016</v>
      </c>
      <c r="L30" t="s">
        <v>166</v>
      </c>
      <c r="N30" t="s">
        <v>261</v>
      </c>
      <c r="O30" t="s">
        <v>367</v>
      </c>
      <c r="P30">
        <v>1.0000000000000033</v>
      </c>
      <c r="Q30" t="s">
        <v>166</v>
      </c>
    </row>
    <row r="31" spans="9:22" x14ac:dyDescent="0.45">
      <c r="I31" t="s">
        <v>197</v>
      </c>
      <c r="J31" t="s">
        <v>367</v>
      </c>
      <c r="K31">
        <v>1.0000000000000031</v>
      </c>
      <c r="L31" t="s">
        <v>166</v>
      </c>
      <c r="N31" t="s">
        <v>262</v>
      </c>
      <c r="O31" t="s">
        <v>367</v>
      </c>
      <c r="P31">
        <v>0.99999999999999811</v>
      </c>
      <c r="Q31" t="s">
        <v>166</v>
      </c>
    </row>
    <row r="32" spans="9:22" x14ac:dyDescent="0.45">
      <c r="I32" t="s">
        <v>198</v>
      </c>
      <c r="J32" t="s">
        <v>367</v>
      </c>
      <c r="K32">
        <v>1.0000000000000016</v>
      </c>
      <c r="L32" t="s">
        <v>166</v>
      </c>
      <c r="N32" t="s">
        <v>263</v>
      </c>
      <c r="O32" t="s">
        <v>367</v>
      </c>
      <c r="P32">
        <v>1.0000000000000044</v>
      </c>
      <c r="Q32" t="s">
        <v>166</v>
      </c>
    </row>
    <row r="33" spans="9:17" x14ac:dyDescent="0.45">
      <c r="I33" t="s">
        <v>199</v>
      </c>
      <c r="J33" t="s">
        <v>367</v>
      </c>
      <c r="K33">
        <v>0.99999999999999956</v>
      </c>
      <c r="L33" t="s">
        <v>166</v>
      </c>
      <c r="N33" t="s">
        <v>264</v>
      </c>
      <c r="O33" t="s">
        <v>367</v>
      </c>
      <c r="P33">
        <v>0.99999999999999978</v>
      </c>
      <c r="Q33" t="s">
        <v>166</v>
      </c>
    </row>
    <row r="34" spans="9:17" x14ac:dyDescent="0.45">
      <c r="I34" t="s">
        <v>200</v>
      </c>
      <c r="J34" t="s">
        <v>367</v>
      </c>
      <c r="K34">
        <v>0.99999999999999822</v>
      </c>
      <c r="L34" t="s">
        <v>166</v>
      </c>
      <c r="N34" t="s">
        <v>265</v>
      </c>
      <c r="O34" t="s">
        <v>367</v>
      </c>
      <c r="P34">
        <v>0.99999999999999911</v>
      </c>
      <c r="Q34" t="s">
        <v>166</v>
      </c>
    </row>
    <row r="35" spans="9:17" x14ac:dyDescent="0.45">
      <c r="I35" t="s">
        <v>201</v>
      </c>
      <c r="J35" t="s">
        <v>367</v>
      </c>
      <c r="K35">
        <v>1</v>
      </c>
      <c r="L35" t="s">
        <v>166</v>
      </c>
      <c r="N35" t="s">
        <v>266</v>
      </c>
      <c r="O35" t="s">
        <v>367</v>
      </c>
      <c r="P35">
        <v>1.0000000000000022</v>
      </c>
      <c r="Q35" t="s">
        <v>166</v>
      </c>
    </row>
    <row r="36" spans="9:17" x14ac:dyDescent="0.45">
      <c r="I36" t="s">
        <v>202</v>
      </c>
      <c r="J36" t="s">
        <v>367</v>
      </c>
      <c r="K36">
        <v>1.0000000000000002</v>
      </c>
      <c r="L36" t="s">
        <v>166</v>
      </c>
      <c r="N36" t="s">
        <v>267</v>
      </c>
      <c r="O36" t="s">
        <v>367</v>
      </c>
      <c r="P36">
        <v>1.0000000000000042</v>
      </c>
      <c r="Q36" t="s">
        <v>166</v>
      </c>
    </row>
    <row r="37" spans="9:17" x14ac:dyDescent="0.45">
      <c r="I37" t="s">
        <v>203</v>
      </c>
      <c r="J37" t="s">
        <v>367</v>
      </c>
      <c r="K37">
        <v>1.0000000000000013</v>
      </c>
      <c r="L37" t="s">
        <v>166</v>
      </c>
      <c r="N37" t="s">
        <v>268</v>
      </c>
      <c r="O37" t="s">
        <v>367</v>
      </c>
      <c r="P37">
        <v>0.99999999999999822</v>
      </c>
      <c r="Q37" t="s">
        <v>166</v>
      </c>
    </row>
    <row r="38" spans="9:17" x14ac:dyDescent="0.45">
      <c r="I38" t="s">
        <v>204</v>
      </c>
      <c r="J38" t="s">
        <v>367</v>
      </c>
      <c r="K38">
        <v>1.0000000000000009</v>
      </c>
      <c r="L38" t="s">
        <v>166</v>
      </c>
      <c r="N38" t="s">
        <v>269</v>
      </c>
      <c r="O38" t="s">
        <v>367</v>
      </c>
      <c r="P38">
        <v>1</v>
      </c>
      <c r="Q38" t="s">
        <v>166</v>
      </c>
    </row>
    <row r="39" spans="9:17" x14ac:dyDescent="0.45">
      <c r="I39" t="s">
        <v>205</v>
      </c>
      <c r="J39" t="s">
        <v>367</v>
      </c>
      <c r="K39">
        <v>1.0000000000000011</v>
      </c>
      <c r="L39" t="s">
        <v>166</v>
      </c>
      <c r="N39" t="s">
        <v>270</v>
      </c>
      <c r="O39" t="s">
        <v>367</v>
      </c>
      <c r="P39">
        <v>1.0000000000000002</v>
      </c>
      <c r="Q39" t="s">
        <v>166</v>
      </c>
    </row>
    <row r="40" spans="9:17" x14ac:dyDescent="0.45">
      <c r="I40" t="s">
        <v>206</v>
      </c>
      <c r="J40" t="s">
        <v>367</v>
      </c>
      <c r="K40">
        <v>0.999999999999998</v>
      </c>
      <c r="L40" t="s">
        <v>166</v>
      </c>
      <c r="N40" t="s">
        <v>271</v>
      </c>
      <c r="O40" t="s">
        <v>367</v>
      </c>
      <c r="P40">
        <v>0.99999999999999767</v>
      </c>
      <c r="Q40" t="s">
        <v>166</v>
      </c>
    </row>
    <row r="41" spans="9:17" x14ac:dyDescent="0.45">
      <c r="I41" t="s">
        <v>207</v>
      </c>
      <c r="J41" t="s">
        <v>367</v>
      </c>
      <c r="K41">
        <v>1.0000000000000033</v>
      </c>
      <c r="L41" t="s">
        <v>166</v>
      </c>
      <c r="N41" t="s">
        <v>272</v>
      </c>
      <c r="O41" t="s">
        <v>367</v>
      </c>
      <c r="P41">
        <v>0.99999999999999734</v>
      </c>
      <c r="Q41" t="s">
        <v>166</v>
      </c>
    </row>
    <row r="42" spans="9:17" x14ac:dyDescent="0.45">
      <c r="I42" t="s">
        <v>208</v>
      </c>
      <c r="J42" t="s">
        <v>367</v>
      </c>
      <c r="K42">
        <v>0.99999999999999878</v>
      </c>
      <c r="L42" t="s">
        <v>166</v>
      </c>
      <c r="N42" t="s">
        <v>273</v>
      </c>
      <c r="O42" t="s">
        <v>367</v>
      </c>
      <c r="P42">
        <v>1.0000000000000027</v>
      </c>
      <c r="Q42" t="s">
        <v>166</v>
      </c>
    </row>
    <row r="43" spans="9:17" x14ac:dyDescent="0.45">
      <c r="I43" t="s">
        <v>209</v>
      </c>
      <c r="J43" t="s">
        <v>367</v>
      </c>
      <c r="K43">
        <v>1.0000000000000007</v>
      </c>
      <c r="L43" t="s">
        <v>166</v>
      </c>
      <c r="N43" t="s">
        <v>274</v>
      </c>
      <c r="O43" t="s">
        <v>367</v>
      </c>
      <c r="P43">
        <v>1.0000000000000058</v>
      </c>
      <c r="Q43" t="s">
        <v>166</v>
      </c>
    </row>
    <row r="44" spans="9:17" x14ac:dyDescent="0.45">
      <c r="I44" t="s">
        <v>210</v>
      </c>
      <c r="J44" t="s">
        <v>367</v>
      </c>
      <c r="K44">
        <v>0.99999999999999856</v>
      </c>
      <c r="L44" t="s">
        <v>166</v>
      </c>
      <c r="N44" t="s">
        <v>275</v>
      </c>
      <c r="O44" t="s">
        <v>367</v>
      </c>
      <c r="P44">
        <v>0.99999999999999667</v>
      </c>
      <c r="Q44" t="s">
        <v>166</v>
      </c>
    </row>
    <row r="45" spans="9:17" x14ac:dyDescent="0.45">
      <c r="I45" t="s">
        <v>211</v>
      </c>
      <c r="J45" t="s">
        <v>367</v>
      </c>
      <c r="K45">
        <v>0.999999999999998</v>
      </c>
      <c r="L45" t="s">
        <v>166</v>
      </c>
      <c r="N45" t="s">
        <v>276</v>
      </c>
      <c r="O45" t="s">
        <v>367</v>
      </c>
      <c r="P45">
        <v>0.99999999999999722</v>
      </c>
      <c r="Q45" t="s">
        <v>166</v>
      </c>
    </row>
    <row r="46" spans="9:17" x14ac:dyDescent="0.45">
      <c r="I46" t="s">
        <v>212</v>
      </c>
      <c r="J46" t="s">
        <v>367</v>
      </c>
      <c r="K46">
        <v>1.0000000000000029</v>
      </c>
      <c r="L46" t="s">
        <v>166</v>
      </c>
      <c r="N46" t="s">
        <v>277</v>
      </c>
      <c r="O46" t="s">
        <v>367</v>
      </c>
      <c r="P46">
        <v>1.0000000000000013</v>
      </c>
      <c r="Q46" t="s">
        <v>166</v>
      </c>
    </row>
    <row r="47" spans="9:17" x14ac:dyDescent="0.45">
      <c r="I47" t="s">
        <v>213</v>
      </c>
      <c r="J47" t="s">
        <v>367</v>
      </c>
      <c r="K47">
        <v>0.99999999999999889</v>
      </c>
      <c r="L47" t="s">
        <v>166</v>
      </c>
      <c r="N47" t="s">
        <v>278</v>
      </c>
      <c r="O47" t="s">
        <v>367</v>
      </c>
      <c r="P47">
        <v>0.99999999999999911</v>
      </c>
      <c r="Q47" t="s">
        <v>166</v>
      </c>
    </row>
    <row r="48" spans="9:17" x14ac:dyDescent="0.45">
      <c r="I48" t="s">
        <v>214</v>
      </c>
      <c r="J48" t="s">
        <v>367</v>
      </c>
      <c r="K48">
        <v>1.0000000000000018</v>
      </c>
      <c r="L48" t="s">
        <v>166</v>
      </c>
      <c r="N48" t="s">
        <v>279</v>
      </c>
      <c r="O48" t="s">
        <v>367</v>
      </c>
      <c r="P48">
        <v>1</v>
      </c>
      <c r="Q48" t="s">
        <v>166</v>
      </c>
    </row>
    <row r="49" spans="9:17" x14ac:dyDescent="0.45">
      <c r="I49" t="s">
        <v>215</v>
      </c>
      <c r="J49" t="s">
        <v>367</v>
      </c>
      <c r="K49">
        <v>0.99999999999999989</v>
      </c>
      <c r="L49" t="s">
        <v>166</v>
      </c>
      <c r="N49" t="s">
        <v>280</v>
      </c>
      <c r="O49" t="s">
        <v>367</v>
      </c>
      <c r="P49">
        <v>0.99999999999999722</v>
      </c>
      <c r="Q49" t="s">
        <v>166</v>
      </c>
    </row>
    <row r="50" spans="9:17" x14ac:dyDescent="0.45">
      <c r="I50" t="s">
        <v>216</v>
      </c>
      <c r="J50" t="s">
        <v>367</v>
      </c>
      <c r="K50">
        <v>0.99999999999999911</v>
      </c>
      <c r="L50" t="s">
        <v>166</v>
      </c>
      <c r="N50" t="s">
        <v>281</v>
      </c>
      <c r="O50" t="s">
        <v>367</v>
      </c>
      <c r="P50">
        <v>1.0000000000000018</v>
      </c>
      <c r="Q50" t="s">
        <v>166</v>
      </c>
    </row>
    <row r="51" spans="9:17" x14ac:dyDescent="0.45">
      <c r="I51" t="s">
        <v>217</v>
      </c>
      <c r="J51" t="s">
        <v>367</v>
      </c>
      <c r="K51">
        <v>1.0000000000000011</v>
      </c>
      <c r="L51" t="s">
        <v>166</v>
      </c>
      <c r="N51" t="s">
        <v>282</v>
      </c>
      <c r="O51" t="s">
        <v>367</v>
      </c>
      <c r="P51">
        <v>0.99999999999999645</v>
      </c>
      <c r="Q51" t="s">
        <v>166</v>
      </c>
    </row>
    <row r="52" spans="9:17" x14ac:dyDescent="0.45">
      <c r="I52" t="s">
        <v>218</v>
      </c>
      <c r="J52" t="s">
        <v>367</v>
      </c>
      <c r="K52">
        <v>0.99999999999999778</v>
      </c>
      <c r="L52" t="s">
        <v>166</v>
      </c>
      <c r="N52" t="s">
        <v>283</v>
      </c>
      <c r="O52" t="s">
        <v>367</v>
      </c>
      <c r="P52">
        <v>1.000000000000004</v>
      </c>
      <c r="Q52" t="s">
        <v>166</v>
      </c>
    </row>
    <row r="53" spans="9:17" x14ac:dyDescent="0.45">
      <c r="I53" t="s">
        <v>219</v>
      </c>
      <c r="J53" t="s">
        <v>367</v>
      </c>
      <c r="K53">
        <v>0.99999999999999856</v>
      </c>
      <c r="L53" t="s">
        <v>166</v>
      </c>
      <c r="N53" t="s">
        <v>284</v>
      </c>
      <c r="O53" t="s">
        <v>367</v>
      </c>
      <c r="P53">
        <v>0.99999999999999767</v>
      </c>
      <c r="Q53" t="s">
        <v>166</v>
      </c>
    </row>
    <row r="54" spans="9:17" x14ac:dyDescent="0.45">
      <c r="I54" t="s">
        <v>220</v>
      </c>
      <c r="J54" t="s">
        <v>367</v>
      </c>
      <c r="K54">
        <v>1.0000000000000011</v>
      </c>
      <c r="L54" t="s">
        <v>166</v>
      </c>
      <c r="N54" t="s">
        <v>285</v>
      </c>
      <c r="O54" t="s">
        <v>367</v>
      </c>
      <c r="P54">
        <v>1.0000000000000018</v>
      </c>
      <c r="Q54" t="s">
        <v>166</v>
      </c>
    </row>
    <row r="55" spans="9:17" x14ac:dyDescent="0.45">
      <c r="I55" t="s">
        <v>221</v>
      </c>
      <c r="J55" t="s">
        <v>367</v>
      </c>
      <c r="K55">
        <v>0.99999999999999911</v>
      </c>
      <c r="L55" t="s">
        <v>166</v>
      </c>
      <c r="N55" t="s">
        <v>286</v>
      </c>
      <c r="O55" t="s">
        <v>367</v>
      </c>
      <c r="P55">
        <v>0.99999999999999734</v>
      </c>
      <c r="Q55" t="s">
        <v>166</v>
      </c>
    </row>
    <row r="56" spans="9:17" x14ac:dyDescent="0.45">
      <c r="I56" t="s">
        <v>222</v>
      </c>
      <c r="J56" t="s">
        <v>367</v>
      </c>
      <c r="K56">
        <v>0.99999999999999944</v>
      </c>
      <c r="L56" t="s">
        <v>166</v>
      </c>
      <c r="N56" t="s">
        <v>287</v>
      </c>
      <c r="O56" t="s">
        <v>367</v>
      </c>
      <c r="P56">
        <v>1.0000000000000016</v>
      </c>
      <c r="Q56" t="s">
        <v>166</v>
      </c>
    </row>
    <row r="57" spans="9:17" x14ac:dyDescent="0.45">
      <c r="I57" t="s">
        <v>223</v>
      </c>
      <c r="J57" t="s">
        <v>367</v>
      </c>
      <c r="K57">
        <v>0.99999999999999989</v>
      </c>
      <c r="L57" t="s">
        <v>166</v>
      </c>
      <c r="N57" t="s">
        <v>288</v>
      </c>
      <c r="O57" t="s">
        <v>367</v>
      </c>
      <c r="P57">
        <v>0.99999999999999889</v>
      </c>
      <c r="Q57" t="s">
        <v>166</v>
      </c>
    </row>
    <row r="58" spans="9:17" x14ac:dyDescent="0.45">
      <c r="I58" t="s">
        <v>224</v>
      </c>
      <c r="J58" t="s">
        <v>367</v>
      </c>
      <c r="K58">
        <v>0.99999999999999933</v>
      </c>
      <c r="L58" t="s">
        <v>166</v>
      </c>
      <c r="N58" t="s">
        <v>289</v>
      </c>
      <c r="O58" t="s">
        <v>367</v>
      </c>
      <c r="P58">
        <v>1.0000000000000007</v>
      </c>
      <c r="Q58" t="s">
        <v>166</v>
      </c>
    </row>
    <row r="59" spans="9:17" x14ac:dyDescent="0.45">
      <c r="I59" t="s">
        <v>225</v>
      </c>
      <c r="J59" t="s">
        <v>367</v>
      </c>
      <c r="K59">
        <v>1</v>
      </c>
      <c r="L59" t="s">
        <v>166</v>
      </c>
      <c r="N59" t="s">
        <v>290</v>
      </c>
      <c r="O59" t="s">
        <v>367</v>
      </c>
      <c r="P59">
        <v>1.0000000000000038</v>
      </c>
      <c r="Q59" t="s">
        <v>166</v>
      </c>
    </row>
    <row r="60" spans="9:17" x14ac:dyDescent="0.45">
      <c r="I60" t="s">
        <v>226</v>
      </c>
      <c r="J60" t="s">
        <v>367</v>
      </c>
      <c r="K60">
        <v>1.0000000000000009</v>
      </c>
      <c r="L60" t="s">
        <v>166</v>
      </c>
      <c r="N60" t="s">
        <v>291</v>
      </c>
      <c r="O60" t="s">
        <v>367</v>
      </c>
      <c r="P60">
        <v>0.99999999999999556</v>
      </c>
      <c r="Q60" t="s">
        <v>166</v>
      </c>
    </row>
    <row r="61" spans="9:17" x14ac:dyDescent="0.45">
      <c r="I61" t="s">
        <v>227</v>
      </c>
      <c r="J61" t="s">
        <v>367</v>
      </c>
      <c r="K61">
        <v>0.99999999999999767</v>
      </c>
      <c r="L61" t="s">
        <v>166</v>
      </c>
      <c r="N61" t="s">
        <v>292</v>
      </c>
      <c r="O61" t="s">
        <v>367</v>
      </c>
      <c r="P61">
        <v>0.99999999999999634</v>
      </c>
      <c r="Q61" t="s">
        <v>166</v>
      </c>
    </row>
    <row r="62" spans="9:17" x14ac:dyDescent="0.45">
      <c r="I62" t="s">
        <v>228</v>
      </c>
      <c r="J62" t="s">
        <v>367</v>
      </c>
      <c r="K62">
        <v>1.0000000000000002</v>
      </c>
      <c r="L62" t="s">
        <v>166</v>
      </c>
      <c r="N62" t="s">
        <v>293</v>
      </c>
      <c r="O62" t="s">
        <v>367</v>
      </c>
      <c r="P62">
        <v>1.000000000000002</v>
      </c>
      <c r="Q62" t="s">
        <v>166</v>
      </c>
    </row>
    <row r="63" spans="9:17" x14ac:dyDescent="0.45">
      <c r="I63" t="s">
        <v>229</v>
      </c>
      <c r="J63" t="s">
        <v>367</v>
      </c>
      <c r="K63">
        <v>1.0000000000000011</v>
      </c>
      <c r="L63" t="s">
        <v>166</v>
      </c>
      <c r="N63" t="s">
        <v>294</v>
      </c>
      <c r="O63" t="s">
        <v>367</v>
      </c>
      <c r="P63">
        <v>1</v>
      </c>
      <c r="Q63" t="s">
        <v>166</v>
      </c>
    </row>
    <row r="64" spans="9:17" x14ac:dyDescent="0.45">
      <c r="I64" t="s">
        <v>230</v>
      </c>
      <c r="J64" t="s">
        <v>367</v>
      </c>
      <c r="K64">
        <v>1.0000000000000036</v>
      </c>
      <c r="L64" t="s">
        <v>166</v>
      </c>
      <c r="N64" t="s">
        <v>295</v>
      </c>
      <c r="O64" t="s">
        <v>367</v>
      </c>
      <c r="P64">
        <v>1.0000000000000033</v>
      </c>
      <c r="Q64" t="s">
        <v>166</v>
      </c>
    </row>
    <row r="65" spans="9:17" x14ac:dyDescent="0.45">
      <c r="I65" t="s">
        <v>231</v>
      </c>
      <c r="J65" t="s">
        <v>367</v>
      </c>
      <c r="K65">
        <v>0.99999999999999856</v>
      </c>
      <c r="L65" t="s">
        <v>166</v>
      </c>
      <c r="N65" t="s">
        <v>296</v>
      </c>
      <c r="O65" t="s">
        <v>367</v>
      </c>
      <c r="P65">
        <v>1.0000000000000044</v>
      </c>
      <c r="Q65" t="s">
        <v>166</v>
      </c>
    </row>
    <row r="66" spans="9:17" x14ac:dyDescent="0.45">
      <c r="I66" t="s">
        <v>232</v>
      </c>
      <c r="J66" t="s">
        <v>367</v>
      </c>
      <c r="K66">
        <v>0.99999999999999978</v>
      </c>
      <c r="L66" t="s">
        <v>166</v>
      </c>
      <c r="N66" t="s">
        <v>297</v>
      </c>
      <c r="O66" t="s">
        <v>367</v>
      </c>
      <c r="P66">
        <v>0.99999999999999922</v>
      </c>
      <c r="Q66" t="s">
        <v>166</v>
      </c>
    </row>
    <row r="67" spans="9:17" x14ac:dyDescent="0.45">
      <c r="I67" t="s">
        <v>233</v>
      </c>
      <c r="J67" t="s">
        <v>367</v>
      </c>
      <c r="K67">
        <v>1.0000000000000027</v>
      </c>
      <c r="L67" t="s">
        <v>166</v>
      </c>
      <c r="N67" t="s">
        <v>298</v>
      </c>
      <c r="O67" t="s">
        <v>367</v>
      </c>
      <c r="P67">
        <v>0.99999999999999978</v>
      </c>
      <c r="Q67" t="s">
        <v>166</v>
      </c>
    </row>
    <row r="68" spans="9:17" x14ac:dyDescent="0.45">
      <c r="I68" t="s">
        <v>234</v>
      </c>
      <c r="J68" t="s">
        <v>367</v>
      </c>
      <c r="K68">
        <v>0.99999999999999878</v>
      </c>
      <c r="L68" t="s">
        <v>166</v>
      </c>
      <c r="N68" t="s">
        <v>299</v>
      </c>
      <c r="O68" t="s">
        <v>367</v>
      </c>
      <c r="P68">
        <v>1.0000000000000029</v>
      </c>
      <c r="Q68" t="s">
        <v>166</v>
      </c>
    </row>
    <row r="69" spans="9:17" x14ac:dyDescent="0.45">
      <c r="I69" t="s">
        <v>235</v>
      </c>
      <c r="J69" t="s">
        <v>367</v>
      </c>
      <c r="K69">
        <v>0.99999999999999845</v>
      </c>
      <c r="L69" t="s">
        <v>166</v>
      </c>
      <c r="N69" t="s">
        <v>300</v>
      </c>
      <c r="O69" t="s">
        <v>367</v>
      </c>
      <c r="P69">
        <v>1.0000000000000016</v>
      </c>
      <c r="Q69" t="s">
        <v>166</v>
      </c>
    </row>
    <row r="70" spans="9:17" x14ac:dyDescent="0.45">
      <c r="I70" t="s">
        <v>236</v>
      </c>
      <c r="J70" t="s">
        <v>367</v>
      </c>
      <c r="K70">
        <v>0.99999999999999944</v>
      </c>
      <c r="L70" t="s">
        <v>166</v>
      </c>
      <c r="N70" t="s">
        <v>301</v>
      </c>
      <c r="O70" t="s">
        <v>367</v>
      </c>
      <c r="P70">
        <v>0.99999999999999833</v>
      </c>
      <c r="Q70" t="s">
        <v>166</v>
      </c>
    </row>
    <row r="71" spans="9:17" x14ac:dyDescent="0.45">
      <c r="I71" t="s">
        <v>237</v>
      </c>
      <c r="J71" t="s">
        <v>367</v>
      </c>
      <c r="K71">
        <v>0.99999999999999645</v>
      </c>
      <c r="L71" t="s">
        <v>166</v>
      </c>
      <c r="N71" t="s">
        <v>302</v>
      </c>
      <c r="O71" t="s">
        <v>367</v>
      </c>
      <c r="P71">
        <v>0.99999999999999756</v>
      </c>
      <c r="Q71" t="s">
        <v>166</v>
      </c>
    </row>
    <row r="72" spans="9:17" x14ac:dyDescent="0.45">
      <c r="I72" t="s">
        <v>238</v>
      </c>
      <c r="J72" t="s">
        <v>367</v>
      </c>
      <c r="K72">
        <v>1.0000000000000013</v>
      </c>
      <c r="L72" t="s">
        <v>166</v>
      </c>
      <c r="N72" t="s">
        <v>303</v>
      </c>
      <c r="O72" t="s">
        <v>367</v>
      </c>
      <c r="P72">
        <v>1.0000000000000009</v>
      </c>
      <c r="Q72" t="s">
        <v>166</v>
      </c>
    </row>
    <row r="73" spans="9:17" x14ac:dyDescent="0.45">
      <c r="I73" t="s">
        <v>239</v>
      </c>
      <c r="J73" t="s">
        <v>367</v>
      </c>
      <c r="K73">
        <v>0.99999999999999745</v>
      </c>
      <c r="L73" t="s">
        <v>166</v>
      </c>
      <c r="N73" t="s">
        <v>304</v>
      </c>
      <c r="O73" t="s">
        <v>367</v>
      </c>
      <c r="P73">
        <v>0.99999999999999911</v>
      </c>
      <c r="Q73" t="s">
        <v>166</v>
      </c>
    </row>
    <row r="74" spans="9:17" x14ac:dyDescent="0.45">
      <c r="I74" t="s">
        <v>240</v>
      </c>
      <c r="J74" t="s">
        <v>367</v>
      </c>
      <c r="K74">
        <v>0.99999999999999778</v>
      </c>
      <c r="L74" t="s">
        <v>166</v>
      </c>
      <c r="N74" t="s">
        <v>305</v>
      </c>
      <c r="O74" t="s">
        <v>367</v>
      </c>
      <c r="P74">
        <v>1.0000000000000049</v>
      </c>
      <c r="Q74" t="s">
        <v>166</v>
      </c>
    </row>
    <row r="75" spans="9:17" x14ac:dyDescent="0.45">
      <c r="I75" t="s">
        <v>241</v>
      </c>
      <c r="J75" t="s">
        <v>367</v>
      </c>
      <c r="K75">
        <v>0.99999999999999822</v>
      </c>
      <c r="L75" t="s">
        <v>166</v>
      </c>
      <c r="N75" t="s">
        <v>306</v>
      </c>
      <c r="O75" t="s">
        <v>367</v>
      </c>
      <c r="P75">
        <v>0.999999999999995</v>
      </c>
      <c r="Q75" t="s">
        <v>166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0A802-45D5-4D0D-92DA-5ED209B128DC}">
  <dimension ref="A9:AN790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132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163</v>
      </c>
      <c r="L10" t="s">
        <v>30</v>
      </c>
      <c r="N10" t="s">
        <v>13</v>
      </c>
      <c r="O10" t="s">
        <v>122</v>
      </c>
      <c r="P10" t="s">
        <v>163</v>
      </c>
      <c r="Q10" t="s">
        <v>30</v>
      </c>
      <c r="S10" t="s">
        <v>13</v>
      </c>
      <c r="T10" t="s">
        <v>122</v>
      </c>
      <c r="U10" t="s">
        <v>163</v>
      </c>
      <c r="V10" t="s">
        <v>30</v>
      </c>
      <c r="X10" t="s">
        <v>317</v>
      </c>
      <c r="Y10" t="s">
        <v>163</v>
      </c>
      <c r="Z10" t="s">
        <v>122</v>
      </c>
      <c r="AA10" t="s">
        <v>13</v>
      </c>
      <c r="AC10" t="s">
        <v>13</v>
      </c>
      <c r="AD10" t="s">
        <v>122</v>
      </c>
      <c r="AE10" t="s">
        <v>163</v>
      </c>
      <c r="AG10" t="s">
        <v>13</v>
      </c>
      <c r="AH10" t="s">
        <v>122</v>
      </c>
      <c r="AI10" t="s">
        <v>323</v>
      </c>
      <c r="AK10" t="s">
        <v>47</v>
      </c>
      <c r="AL10" t="s">
        <v>122</v>
      </c>
      <c r="AM10" t="s">
        <v>324</v>
      </c>
      <c r="AN10" t="s">
        <v>325</v>
      </c>
    </row>
    <row r="11" spans="1:40" x14ac:dyDescent="0.45">
      <c r="A11" t="str">
        <f>IFERROR(IF(Veda!D5=A10,"ok","x"),"")</f>
        <v>x</v>
      </c>
      <c r="C11" t="s">
        <v>368</v>
      </c>
      <c r="D11" t="s">
        <v>155</v>
      </c>
      <c r="E11" t="s">
        <v>319</v>
      </c>
      <c r="F11" t="s">
        <v>369</v>
      </c>
      <c r="G11" t="s">
        <v>155</v>
      </c>
      <c r="I11" t="s">
        <v>164</v>
      </c>
      <c r="J11" t="s">
        <v>374</v>
      </c>
      <c r="K11">
        <v>0.20716832382566294</v>
      </c>
      <c r="L11" t="s">
        <v>166</v>
      </c>
      <c r="N11" t="s">
        <v>242</v>
      </c>
      <c r="O11" t="s">
        <v>374</v>
      </c>
      <c r="P11">
        <v>0.10098036924892405</v>
      </c>
      <c r="Q11" t="s">
        <v>166</v>
      </c>
      <c r="S11" t="s">
        <v>307</v>
      </c>
      <c r="T11" t="s">
        <v>374</v>
      </c>
      <c r="U11">
        <v>8.2911612315853978E-2</v>
      </c>
      <c r="V11" t="s">
        <v>166</v>
      </c>
      <c r="X11">
        <v>0.11426940639269406</v>
      </c>
      <c r="Y11">
        <v>0.16087081189037786</v>
      </c>
      <c r="Z11" t="s">
        <v>374</v>
      </c>
      <c r="AA11" t="s">
        <v>25</v>
      </c>
      <c r="AC11" t="s">
        <v>22</v>
      </c>
      <c r="AD11" t="s">
        <v>374</v>
      </c>
      <c r="AE11">
        <v>0.12553829338099143</v>
      </c>
      <c r="AG11" t="s">
        <v>97</v>
      </c>
      <c r="AH11" t="s">
        <v>374</v>
      </c>
      <c r="AI11">
        <v>0.13158549039395218</v>
      </c>
    </row>
    <row r="12" spans="1:40" x14ac:dyDescent="0.45">
      <c r="C12" t="s">
        <v>370</v>
      </c>
      <c r="E12" t="s">
        <v>321</v>
      </c>
      <c r="G12" t="s">
        <v>155</v>
      </c>
      <c r="I12" t="s">
        <v>164</v>
      </c>
      <c r="J12" t="s">
        <v>375</v>
      </c>
      <c r="K12">
        <v>0</v>
      </c>
      <c r="L12" t="s">
        <v>166</v>
      </c>
      <c r="N12" t="s">
        <v>242</v>
      </c>
      <c r="O12" t="s">
        <v>375</v>
      </c>
      <c r="P12">
        <v>9.1082180845620156E-2</v>
      </c>
      <c r="Q12" t="s">
        <v>166</v>
      </c>
      <c r="S12" t="s">
        <v>307</v>
      </c>
      <c r="T12" t="s">
        <v>375</v>
      </c>
      <c r="U12">
        <v>9.2510257039916041E-2</v>
      </c>
      <c r="V12" t="s">
        <v>166</v>
      </c>
      <c r="X12">
        <v>0.11426940639269406</v>
      </c>
      <c r="Y12">
        <v>5.2547713165767528E-2</v>
      </c>
      <c r="Z12" t="s">
        <v>375</v>
      </c>
      <c r="AA12" t="s">
        <v>25</v>
      </c>
      <c r="AC12" t="s">
        <v>22</v>
      </c>
      <c r="AD12" t="s">
        <v>375</v>
      </c>
      <c r="AE12">
        <v>0.10090160552622177</v>
      </c>
      <c r="AG12" t="s">
        <v>97</v>
      </c>
      <c r="AH12" t="s">
        <v>375</v>
      </c>
      <c r="AI12">
        <v>0.28096677530351499</v>
      </c>
    </row>
    <row r="13" spans="1:40" x14ac:dyDescent="0.45">
      <c r="C13" t="s">
        <v>371</v>
      </c>
      <c r="E13" t="s">
        <v>372</v>
      </c>
      <c r="G13" t="s">
        <v>155</v>
      </c>
      <c r="I13" t="s">
        <v>164</v>
      </c>
      <c r="J13" t="s">
        <v>376</v>
      </c>
      <c r="K13">
        <v>1.0776264463522558E-2</v>
      </c>
      <c r="L13" t="s">
        <v>166</v>
      </c>
      <c r="N13" t="s">
        <v>242</v>
      </c>
      <c r="O13" t="s">
        <v>376</v>
      </c>
      <c r="P13">
        <v>1.8688980819301513E-2</v>
      </c>
      <c r="Q13" t="s">
        <v>166</v>
      </c>
      <c r="S13" t="s">
        <v>307</v>
      </c>
      <c r="T13" t="s">
        <v>376</v>
      </c>
      <c r="U13">
        <v>1.8680797638934352E-2</v>
      </c>
      <c r="V13" t="s">
        <v>166</v>
      </c>
      <c r="X13">
        <v>2.0776255707762557E-2</v>
      </c>
      <c r="Y13">
        <v>3.5896543437005365E-2</v>
      </c>
      <c r="Z13" t="s">
        <v>376</v>
      </c>
      <c r="AA13" t="s">
        <v>25</v>
      </c>
      <c r="AC13" t="s">
        <v>22</v>
      </c>
      <c r="AD13" t="s">
        <v>376</v>
      </c>
      <c r="AE13">
        <v>2.5487657585669343E-2</v>
      </c>
      <c r="AG13" t="s">
        <v>97</v>
      </c>
      <c r="AH13" t="s">
        <v>376</v>
      </c>
      <c r="AI13">
        <v>5.392442322148927E-2</v>
      </c>
    </row>
    <row r="14" spans="1:40" x14ac:dyDescent="0.45">
      <c r="C14" t="s">
        <v>373</v>
      </c>
      <c r="I14" t="s">
        <v>164</v>
      </c>
      <c r="J14" t="s">
        <v>377</v>
      </c>
      <c r="K14">
        <v>0.25642456565618243</v>
      </c>
      <c r="L14" t="s">
        <v>166</v>
      </c>
      <c r="N14" t="s">
        <v>242</v>
      </c>
      <c r="O14" t="s">
        <v>377</v>
      </c>
      <c r="P14">
        <v>0.14549017055145269</v>
      </c>
      <c r="Q14" t="s">
        <v>166</v>
      </c>
      <c r="S14" t="s">
        <v>307</v>
      </c>
      <c r="T14" t="s">
        <v>377</v>
      </c>
      <c r="U14">
        <v>0.13081794575409855</v>
      </c>
      <c r="V14" t="s">
        <v>166</v>
      </c>
      <c r="X14">
        <v>0.11552511415525114</v>
      </c>
      <c r="Y14">
        <v>0.16263862301005233</v>
      </c>
      <c r="Z14" t="s">
        <v>377</v>
      </c>
      <c r="AA14" t="s">
        <v>25</v>
      </c>
      <c r="AC14" t="s">
        <v>22</v>
      </c>
      <c r="AD14" t="s">
        <v>377</v>
      </c>
      <c r="AE14">
        <v>0.11894864998218027</v>
      </c>
      <c r="AG14" t="s">
        <v>97</v>
      </c>
      <c r="AH14" t="s">
        <v>377</v>
      </c>
      <c r="AI14">
        <v>0.10268357285656737</v>
      </c>
    </row>
    <row r="15" spans="1:40" x14ac:dyDescent="0.45">
      <c r="I15" t="s">
        <v>164</v>
      </c>
      <c r="J15" t="s">
        <v>378</v>
      </c>
      <c r="K15">
        <v>1.1686947965251664E-3</v>
      </c>
      <c r="L15" t="s">
        <v>166</v>
      </c>
      <c r="N15" t="s">
        <v>242</v>
      </c>
      <c r="O15" t="s">
        <v>378</v>
      </c>
      <c r="P15">
        <v>0.11048967881370533</v>
      </c>
      <c r="Q15" t="s">
        <v>166</v>
      </c>
      <c r="S15" t="s">
        <v>307</v>
      </c>
      <c r="T15" t="s">
        <v>378</v>
      </c>
      <c r="U15">
        <v>0.12830096352034781</v>
      </c>
      <c r="V15" t="s">
        <v>166</v>
      </c>
      <c r="X15">
        <v>0.11552511415525114</v>
      </c>
      <c r="Y15">
        <v>5.3125160563193538E-2</v>
      </c>
      <c r="Z15" t="s">
        <v>378</v>
      </c>
      <c r="AA15" t="s">
        <v>25</v>
      </c>
      <c r="AC15" t="s">
        <v>22</v>
      </c>
      <c r="AD15" t="s">
        <v>378</v>
      </c>
      <c r="AE15">
        <v>9.7714966435950415E-2</v>
      </c>
      <c r="AG15" t="s">
        <v>97</v>
      </c>
      <c r="AH15" t="s">
        <v>378</v>
      </c>
      <c r="AI15">
        <v>0.2965983246594317</v>
      </c>
    </row>
    <row r="16" spans="1:40" x14ac:dyDescent="0.45">
      <c r="I16" t="s">
        <v>164</v>
      </c>
      <c r="J16" t="s">
        <v>379</v>
      </c>
      <c r="K16">
        <v>2.7932892319212227E-2</v>
      </c>
      <c r="L16" t="s">
        <v>166</v>
      </c>
      <c r="N16" t="s">
        <v>242</v>
      </c>
      <c r="O16" t="s">
        <v>379</v>
      </c>
      <c r="P16">
        <v>2.6916267519043937E-2</v>
      </c>
      <c r="Q16" t="s">
        <v>166</v>
      </c>
      <c r="S16" t="s">
        <v>307</v>
      </c>
      <c r="T16" t="s">
        <v>379</v>
      </c>
      <c r="U16">
        <v>2.7390548002124128E-2</v>
      </c>
      <c r="V16" t="s">
        <v>166</v>
      </c>
      <c r="X16">
        <v>2.1004566210045664E-2</v>
      </c>
      <c r="Y16">
        <v>3.6291010947302131E-2</v>
      </c>
      <c r="Z16" t="s">
        <v>379</v>
      </c>
      <c r="AA16" t="s">
        <v>25</v>
      </c>
      <c r="AC16" t="s">
        <v>22</v>
      </c>
      <c r="AD16" t="s">
        <v>379</v>
      </c>
      <c r="AE16">
        <v>2.4384034956690372E-2</v>
      </c>
      <c r="AG16" t="s">
        <v>97</v>
      </c>
      <c r="AH16" t="s">
        <v>379</v>
      </c>
      <c r="AI16">
        <v>7.1705242953690629E-2</v>
      </c>
    </row>
    <row r="17" spans="9:35" x14ac:dyDescent="0.45">
      <c r="I17" t="s">
        <v>164</v>
      </c>
      <c r="J17" t="s">
        <v>380</v>
      </c>
      <c r="K17">
        <v>0.28542494381239958</v>
      </c>
      <c r="L17" t="s">
        <v>166</v>
      </c>
      <c r="N17" t="s">
        <v>242</v>
      </c>
      <c r="O17" t="s">
        <v>380</v>
      </c>
      <c r="P17">
        <v>6.7180232086416686E-2</v>
      </c>
      <c r="Q17" t="s">
        <v>166</v>
      </c>
      <c r="S17" t="s">
        <v>307</v>
      </c>
      <c r="T17" t="s">
        <v>380</v>
      </c>
      <c r="U17">
        <v>7.8111926246279703E-2</v>
      </c>
      <c r="V17" t="s">
        <v>166</v>
      </c>
      <c r="X17">
        <v>0.11552511415525114</v>
      </c>
      <c r="Y17">
        <v>0.16263862301005233</v>
      </c>
      <c r="Z17" t="s">
        <v>380</v>
      </c>
      <c r="AA17" t="s">
        <v>25</v>
      </c>
      <c r="AC17" t="s">
        <v>22</v>
      </c>
      <c r="AD17" t="s">
        <v>380</v>
      </c>
      <c r="AE17">
        <v>0.13615063074624809</v>
      </c>
      <c r="AG17" t="s">
        <v>97</v>
      </c>
      <c r="AH17" t="s">
        <v>380</v>
      </c>
      <c r="AI17">
        <v>0.10209206645573476</v>
      </c>
    </row>
    <row r="18" spans="9:35" x14ac:dyDescent="0.45">
      <c r="I18" t="s">
        <v>164</v>
      </c>
      <c r="J18" t="s">
        <v>381</v>
      </c>
      <c r="K18">
        <v>4.8233170170591142E-3</v>
      </c>
      <c r="L18" t="s">
        <v>166</v>
      </c>
      <c r="N18" t="s">
        <v>242</v>
      </c>
      <c r="O18" t="s">
        <v>381</v>
      </c>
      <c r="P18">
        <v>3.8624494976666354E-2</v>
      </c>
      <c r="Q18" t="s">
        <v>166</v>
      </c>
      <c r="S18" t="s">
        <v>307</v>
      </c>
      <c r="T18" t="s">
        <v>381</v>
      </c>
      <c r="U18">
        <v>7.2045327420992039E-2</v>
      </c>
      <c r="V18" t="s">
        <v>166</v>
      </c>
      <c r="X18">
        <v>0.11552511415525114</v>
      </c>
      <c r="Y18">
        <v>5.3125160563193538E-2</v>
      </c>
      <c r="Z18" t="s">
        <v>381</v>
      </c>
      <c r="AA18" t="s">
        <v>25</v>
      </c>
      <c r="AC18" t="s">
        <v>22</v>
      </c>
      <c r="AD18" t="s">
        <v>381</v>
      </c>
      <c r="AE18">
        <v>0.10677531447471592</v>
      </c>
      <c r="AG18" t="s">
        <v>97</v>
      </c>
      <c r="AH18" t="s">
        <v>381</v>
      </c>
      <c r="AI18">
        <v>0.27725267608254089</v>
      </c>
    </row>
    <row r="19" spans="9:35" x14ac:dyDescent="0.45">
      <c r="I19" t="s">
        <v>164</v>
      </c>
      <c r="J19" t="s">
        <v>382</v>
      </c>
      <c r="K19">
        <v>3.1503318810418311E-2</v>
      </c>
      <c r="L19" t="s">
        <v>166</v>
      </c>
      <c r="N19" t="s">
        <v>242</v>
      </c>
      <c r="O19" t="s">
        <v>382</v>
      </c>
      <c r="P19">
        <v>1.5382917988328226E-2</v>
      </c>
      <c r="Q19" t="s">
        <v>166</v>
      </c>
      <c r="S19" t="s">
        <v>307</v>
      </c>
      <c r="T19" t="s">
        <v>382</v>
      </c>
      <c r="U19">
        <v>1.9726754359254823E-2</v>
      </c>
      <c r="V19" t="s">
        <v>166</v>
      </c>
      <c r="X19">
        <v>2.1004566210045664E-2</v>
      </c>
      <c r="Y19">
        <v>3.6291010947302131E-2</v>
      </c>
      <c r="Z19" t="s">
        <v>382</v>
      </c>
      <c r="AA19" t="s">
        <v>25</v>
      </c>
      <c r="AC19" t="s">
        <v>22</v>
      </c>
      <c r="AD19" t="s">
        <v>382</v>
      </c>
      <c r="AE19">
        <v>2.668668595356595E-2</v>
      </c>
      <c r="AG19" t="s">
        <v>97</v>
      </c>
      <c r="AH19" t="s">
        <v>382</v>
      </c>
      <c r="AI19">
        <v>5.2647344457477319E-2</v>
      </c>
    </row>
    <row r="20" spans="9:35" x14ac:dyDescent="0.45">
      <c r="I20" t="s">
        <v>164</v>
      </c>
      <c r="J20" t="s">
        <v>383</v>
      </c>
      <c r="K20">
        <v>0.16710188881891466</v>
      </c>
      <c r="L20" t="s">
        <v>166</v>
      </c>
      <c r="N20" t="s">
        <v>242</v>
      </c>
      <c r="O20" t="s">
        <v>383</v>
      </c>
      <c r="P20">
        <v>0.18196403902198147</v>
      </c>
      <c r="Q20" t="s">
        <v>166</v>
      </c>
      <c r="S20" t="s">
        <v>307</v>
      </c>
      <c r="T20" t="s">
        <v>383</v>
      </c>
      <c r="U20">
        <v>0.15950983117943021</v>
      </c>
      <c r="V20" t="s">
        <v>166</v>
      </c>
      <c r="X20">
        <v>0.11301369863013698</v>
      </c>
      <c r="Y20">
        <v>0.15910300077070333</v>
      </c>
      <c r="Z20" t="s">
        <v>383</v>
      </c>
      <c r="AA20" t="s">
        <v>25</v>
      </c>
      <c r="AC20" t="s">
        <v>22</v>
      </c>
      <c r="AD20" t="s">
        <v>383</v>
      </c>
      <c r="AE20">
        <v>0.11491023868469211</v>
      </c>
      <c r="AG20" t="s">
        <v>97</v>
      </c>
      <c r="AH20" t="s">
        <v>383</v>
      </c>
      <c r="AI20">
        <v>0.13886270998751282</v>
      </c>
    </row>
    <row r="21" spans="9:35" x14ac:dyDescent="0.45">
      <c r="I21" t="s">
        <v>164</v>
      </c>
      <c r="J21" t="s">
        <v>384</v>
      </c>
      <c r="K21">
        <v>0</v>
      </c>
      <c r="L21" t="s">
        <v>166</v>
      </c>
      <c r="N21" t="s">
        <v>242</v>
      </c>
      <c r="O21" t="s">
        <v>384</v>
      </c>
      <c r="P21">
        <v>0.17090846752598426</v>
      </c>
      <c r="Q21" t="s">
        <v>166</v>
      </c>
      <c r="S21" t="s">
        <v>307</v>
      </c>
      <c r="T21" t="s">
        <v>384</v>
      </c>
      <c r="U21">
        <v>0.16005365744048994</v>
      </c>
      <c r="V21" t="s">
        <v>166</v>
      </c>
      <c r="X21">
        <v>0.11301369863013698</v>
      </c>
      <c r="Y21">
        <v>5.197026576834151E-2</v>
      </c>
      <c r="Z21" t="s">
        <v>384</v>
      </c>
      <c r="AA21" t="s">
        <v>25</v>
      </c>
      <c r="AC21" t="s">
        <v>22</v>
      </c>
      <c r="AD21" t="s">
        <v>384</v>
      </c>
      <c r="AE21">
        <v>9.6366292043043603E-2</v>
      </c>
      <c r="AG21" t="s">
        <v>97</v>
      </c>
      <c r="AH21" t="s">
        <v>384</v>
      </c>
      <c r="AI21">
        <v>0.35455192262980773</v>
      </c>
    </row>
    <row r="22" spans="9:35" x14ac:dyDescent="0.45">
      <c r="I22" t="s">
        <v>164</v>
      </c>
      <c r="J22" t="s">
        <v>385</v>
      </c>
      <c r="K22">
        <v>7.6757904801016781E-3</v>
      </c>
      <c r="L22" t="s">
        <v>166</v>
      </c>
      <c r="N22" t="s">
        <v>242</v>
      </c>
      <c r="O22" t="s">
        <v>385</v>
      </c>
      <c r="P22">
        <v>3.2292200602578217E-2</v>
      </c>
      <c r="Q22" t="s">
        <v>166</v>
      </c>
      <c r="S22" t="s">
        <v>307</v>
      </c>
      <c r="T22" t="s">
        <v>385</v>
      </c>
      <c r="U22">
        <v>2.9940379082273112E-2</v>
      </c>
      <c r="V22" t="s">
        <v>166</v>
      </c>
      <c r="X22">
        <v>2.0547945205479451E-2</v>
      </c>
      <c r="Y22">
        <v>3.5502075926708607E-2</v>
      </c>
      <c r="Z22" t="s">
        <v>385</v>
      </c>
      <c r="AA22" t="s">
        <v>25</v>
      </c>
      <c r="AC22" t="s">
        <v>22</v>
      </c>
      <c r="AD22" t="s">
        <v>385</v>
      </c>
      <c r="AE22">
        <v>2.6135630230030824E-2</v>
      </c>
      <c r="AG22" t="s">
        <v>97</v>
      </c>
      <c r="AH22" t="s">
        <v>385</v>
      </c>
      <c r="AI22">
        <v>5.2978775546279611E-2</v>
      </c>
    </row>
    <row r="23" spans="9:35" x14ac:dyDescent="0.45">
      <c r="I23" t="s">
        <v>178</v>
      </c>
      <c r="J23" t="s">
        <v>374</v>
      </c>
      <c r="K23">
        <v>0.20753359581787531</v>
      </c>
      <c r="L23" t="s">
        <v>166</v>
      </c>
      <c r="N23" t="s">
        <v>243</v>
      </c>
      <c r="O23" t="s">
        <v>374</v>
      </c>
      <c r="P23">
        <v>8.9644660527508399E-2</v>
      </c>
      <c r="Q23" t="s">
        <v>166</v>
      </c>
      <c r="S23" t="s">
        <v>308</v>
      </c>
      <c r="T23" t="s">
        <v>374</v>
      </c>
      <c r="U23">
        <v>9.2394387368676639E-2</v>
      </c>
      <c r="V23" t="s">
        <v>166</v>
      </c>
      <c r="AC23" t="s">
        <v>19</v>
      </c>
      <c r="AD23" t="s">
        <v>374</v>
      </c>
      <c r="AE23">
        <v>0.11488279468476723</v>
      </c>
    </row>
    <row r="24" spans="9:35" x14ac:dyDescent="0.45">
      <c r="I24" t="s">
        <v>178</v>
      </c>
      <c r="J24" t="s">
        <v>375</v>
      </c>
      <c r="K24">
        <v>0</v>
      </c>
      <c r="L24" t="s">
        <v>166</v>
      </c>
      <c r="N24" t="s">
        <v>243</v>
      </c>
      <c r="O24" t="s">
        <v>375</v>
      </c>
      <c r="P24">
        <v>8.2718427614597509E-2</v>
      </c>
      <c r="Q24" t="s">
        <v>166</v>
      </c>
      <c r="S24" t="s">
        <v>308</v>
      </c>
      <c r="T24" t="s">
        <v>375</v>
      </c>
      <c r="U24">
        <v>9.1556489471147334E-2</v>
      </c>
      <c r="V24" t="s">
        <v>166</v>
      </c>
      <c r="AC24" t="s">
        <v>19</v>
      </c>
      <c r="AD24" t="s">
        <v>375</v>
      </c>
      <c r="AE24">
        <v>0.1133992991538318</v>
      </c>
    </row>
    <row r="25" spans="9:35" x14ac:dyDescent="0.45">
      <c r="I25" t="s">
        <v>178</v>
      </c>
      <c r="J25" t="s">
        <v>376</v>
      </c>
      <c r="K25">
        <v>1.3024126856107619E-2</v>
      </c>
      <c r="L25" t="s">
        <v>166</v>
      </c>
      <c r="N25" t="s">
        <v>243</v>
      </c>
      <c r="O25" t="s">
        <v>376</v>
      </c>
      <c r="P25">
        <v>1.6115948296036148E-2</v>
      </c>
      <c r="Q25" t="s">
        <v>166</v>
      </c>
      <c r="S25" t="s">
        <v>308</v>
      </c>
      <c r="T25" t="s">
        <v>376</v>
      </c>
      <c r="U25">
        <v>1.8623426302866439E-2</v>
      </c>
      <c r="V25" t="s">
        <v>166</v>
      </c>
      <c r="AC25" t="s">
        <v>19</v>
      </c>
      <c r="AD25" t="s">
        <v>376</v>
      </c>
      <c r="AE25">
        <v>2.1048103808180924E-2</v>
      </c>
    </row>
    <row r="26" spans="9:35" x14ac:dyDescent="0.45">
      <c r="I26" t="s">
        <v>178</v>
      </c>
      <c r="J26" t="s">
        <v>377</v>
      </c>
      <c r="K26">
        <v>0.24843802025168416</v>
      </c>
      <c r="L26" t="s">
        <v>166</v>
      </c>
      <c r="N26" t="s">
        <v>243</v>
      </c>
      <c r="O26" t="s">
        <v>377</v>
      </c>
      <c r="P26">
        <v>0.16730155960913717</v>
      </c>
      <c r="Q26" t="s">
        <v>166</v>
      </c>
      <c r="S26" t="s">
        <v>308</v>
      </c>
      <c r="T26" t="s">
        <v>377</v>
      </c>
      <c r="U26">
        <v>0.14548111225322261</v>
      </c>
      <c r="V26" t="s">
        <v>166</v>
      </c>
      <c r="AC26" t="s">
        <v>19</v>
      </c>
      <c r="AD26" t="s">
        <v>377</v>
      </c>
      <c r="AE26">
        <v>0.11600582685432004</v>
      </c>
    </row>
    <row r="27" spans="9:35" x14ac:dyDescent="0.45">
      <c r="I27" t="s">
        <v>178</v>
      </c>
      <c r="J27" t="s">
        <v>378</v>
      </c>
      <c r="K27">
        <v>1.8797076059570081E-3</v>
      </c>
      <c r="L27" t="s">
        <v>166</v>
      </c>
      <c r="N27" t="s">
        <v>243</v>
      </c>
      <c r="O27" t="s">
        <v>378</v>
      </c>
      <c r="P27">
        <v>0.12122625188347563</v>
      </c>
      <c r="Q27" t="s">
        <v>166</v>
      </c>
      <c r="S27" t="s">
        <v>308</v>
      </c>
      <c r="T27" t="s">
        <v>378</v>
      </c>
      <c r="U27">
        <v>0.11884119381763102</v>
      </c>
      <c r="V27" t="s">
        <v>166</v>
      </c>
      <c r="AC27" t="s">
        <v>19</v>
      </c>
      <c r="AD27" t="s">
        <v>378</v>
      </c>
      <c r="AE27">
        <v>0.11472724286479118</v>
      </c>
    </row>
    <row r="28" spans="9:35" x14ac:dyDescent="0.45">
      <c r="I28" t="s">
        <v>178</v>
      </c>
      <c r="J28" t="s">
        <v>379</v>
      </c>
      <c r="K28">
        <v>2.9476423482799965E-2</v>
      </c>
      <c r="L28" t="s">
        <v>166</v>
      </c>
      <c r="N28" t="s">
        <v>243</v>
      </c>
      <c r="O28" t="s">
        <v>379</v>
      </c>
      <c r="P28">
        <v>3.1072196942382706E-2</v>
      </c>
      <c r="Q28" t="s">
        <v>166</v>
      </c>
      <c r="S28" t="s">
        <v>308</v>
      </c>
      <c r="T28" t="s">
        <v>379</v>
      </c>
      <c r="U28">
        <v>2.8648852971023361E-2</v>
      </c>
      <c r="V28" t="s">
        <v>166</v>
      </c>
      <c r="AC28" t="s">
        <v>19</v>
      </c>
      <c r="AD28" t="s">
        <v>379</v>
      </c>
      <c r="AE28">
        <v>2.1257981442734896E-2</v>
      </c>
    </row>
    <row r="29" spans="9:35" x14ac:dyDescent="0.45">
      <c r="I29" t="s">
        <v>178</v>
      </c>
      <c r="J29" t="s">
        <v>380</v>
      </c>
      <c r="K29">
        <v>0.28453388122877721</v>
      </c>
      <c r="L29" t="s">
        <v>166</v>
      </c>
      <c r="N29" t="s">
        <v>243</v>
      </c>
      <c r="O29" t="s">
        <v>380</v>
      </c>
      <c r="P29">
        <v>5.400673240198705E-2</v>
      </c>
      <c r="Q29" t="s">
        <v>166</v>
      </c>
      <c r="S29" t="s">
        <v>308</v>
      </c>
      <c r="T29" t="s">
        <v>380</v>
      </c>
      <c r="U29">
        <v>6.767541728376783E-2</v>
      </c>
      <c r="V29" t="s">
        <v>166</v>
      </c>
      <c r="AC29" t="s">
        <v>19</v>
      </c>
      <c r="AD29" t="s">
        <v>380</v>
      </c>
      <c r="AE29">
        <v>0.11632911049062793</v>
      </c>
    </row>
    <row r="30" spans="9:35" x14ac:dyDescent="0.45">
      <c r="I30" t="s">
        <v>178</v>
      </c>
      <c r="J30" t="s">
        <v>381</v>
      </c>
      <c r="K30">
        <v>5.8287169422386901E-3</v>
      </c>
      <c r="L30" t="s">
        <v>166</v>
      </c>
      <c r="N30" t="s">
        <v>243</v>
      </c>
      <c r="O30" t="s">
        <v>381</v>
      </c>
      <c r="P30">
        <v>4.6636502513517378E-2</v>
      </c>
      <c r="Q30" t="s">
        <v>166</v>
      </c>
      <c r="S30" t="s">
        <v>308</v>
      </c>
      <c r="T30" t="s">
        <v>381</v>
      </c>
      <c r="U30">
        <v>4.7786528144295938E-2</v>
      </c>
      <c r="V30" t="s">
        <v>166</v>
      </c>
      <c r="AC30" t="s">
        <v>19</v>
      </c>
      <c r="AD30" t="s">
        <v>381</v>
      </c>
      <c r="AE30">
        <v>0.11456027895509356</v>
      </c>
    </row>
    <row r="31" spans="9:35" x14ac:dyDescent="0.45">
      <c r="I31" t="s">
        <v>178</v>
      </c>
      <c r="J31" t="s">
        <v>382</v>
      </c>
      <c r="K31">
        <v>3.2204178005560163E-2</v>
      </c>
      <c r="L31" t="s">
        <v>166</v>
      </c>
      <c r="N31" t="s">
        <v>243</v>
      </c>
      <c r="O31" t="s">
        <v>382</v>
      </c>
      <c r="P31">
        <v>2.1408106282648175E-2</v>
      </c>
      <c r="Q31" t="s">
        <v>166</v>
      </c>
      <c r="S31" t="s">
        <v>308</v>
      </c>
      <c r="T31" t="s">
        <v>382</v>
      </c>
      <c r="U31">
        <v>1.5199864974071333E-2</v>
      </c>
      <c r="V31" t="s">
        <v>166</v>
      </c>
      <c r="AC31" t="s">
        <v>19</v>
      </c>
      <c r="AD31" t="s">
        <v>382</v>
      </c>
      <c r="AE31">
        <v>2.1267084090447936E-2</v>
      </c>
    </row>
    <row r="32" spans="9:35" x14ac:dyDescent="0.45">
      <c r="I32" t="s">
        <v>178</v>
      </c>
      <c r="J32" t="s">
        <v>383</v>
      </c>
      <c r="K32">
        <v>0.16594235701229948</v>
      </c>
      <c r="L32" t="s">
        <v>166</v>
      </c>
      <c r="N32" t="s">
        <v>243</v>
      </c>
      <c r="O32" t="s">
        <v>383</v>
      </c>
      <c r="P32">
        <v>0.18030674902404878</v>
      </c>
      <c r="Q32" t="s">
        <v>166</v>
      </c>
      <c r="S32" t="s">
        <v>308</v>
      </c>
      <c r="T32" t="s">
        <v>383</v>
      </c>
      <c r="U32">
        <v>0.17289309843201262</v>
      </c>
      <c r="V32" t="s">
        <v>166</v>
      </c>
      <c r="AC32" t="s">
        <v>19</v>
      </c>
      <c r="AD32" t="s">
        <v>383</v>
      </c>
      <c r="AE32">
        <v>0.11335646721431174</v>
      </c>
    </row>
    <row r="33" spans="9:31" x14ac:dyDescent="0.45">
      <c r="I33" t="s">
        <v>178</v>
      </c>
      <c r="J33" t="s">
        <v>384</v>
      </c>
      <c r="K33">
        <v>0</v>
      </c>
      <c r="L33" t="s">
        <v>166</v>
      </c>
      <c r="N33" t="s">
        <v>243</v>
      </c>
      <c r="O33" t="s">
        <v>384</v>
      </c>
      <c r="P33">
        <v>0.16158730057442816</v>
      </c>
      <c r="Q33" t="s">
        <v>166</v>
      </c>
      <c r="S33" t="s">
        <v>308</v>
      </c>
      <c r="T33" t="s">
        <v>384</v>
      </c>
      <c r="U33">
        <v>0.16822776936114506</v>
      </c>
      <c r="V33" t="s">
        <v>166</v>
      </c>
      <c r="AC33" t="s">
        <v>19</v>
      </c>
      <c r="AD33" t="s">
        <v>384</v>
      </c>
      <c r="AE33">
        <v>0.11223984544555134</v>
      </c>
    </row>
    <row r="34" spans="9:31" x14ac:dyDescent="0.45">
      <c r="I34" t="s">
        <v>178</v>
      </c>
      <c r="J34" t="s">
        <v>385</v>
      </c>
      <c r="K34">
        <v>1.1138992796701143E-2</v>
      </c>
      <c r="L34" t="s">
        <v>166</v>
      </c>
      <c r="N34" t="s">
        <v>243</v>
      </c>
      <c r="O34" t="s">
        <v>385</v>
      </c>
      <c r="P34">
        <v>2.7975564330232114E-2</v>
      </c>
      <c r="Q34" t="s">
        <v>166</v>
      </c>
      <c r="S34" t="s">
        <v>308</v>
      </c>
      <c r="T34" t="s">
        <v>385</v>
      </c>
      <c r="U34">
        <v>3.2671859620141561E-2</v>
      </c>
      <c r="V34" t="s">
        <v>166</v>
      </c>
      <c r="AC34" t="s">
        <v>19</v>
      </c>
      <c r="AD34" t="s">
        <v>385</v>
      </c>
      <c r="AE34">
        <v>2.0925964995341363E-2</v>
      </c>
    </row>
    <row r="35" spans="9:31" x14ac:dyDescent="0.45">
      <c r="I35" t="s">
        <v>179</v>
      </c>
      <c r="J35" t="s">
        <v>374</v>
      </c>
      <c r="K35">
        <v>0.20780938826353446</v>
      </c>
      <c r="L35" t="s">
        <v>166</v>
      </c>
      <c r="N35" t="s">
        <v>244</v>
      </c>
      <c r="O35" t="s">
        <v>374</v>
      </c>
      <c r="P35">
        <v>0.10814707908085992</v>
      </c>
      <c r="Q35" t="s">
        <v>166</v>
      </c>
      <c r="S35" t="s">
        <v>309</v>
      </c>
      <c r="T35" t="s">
        <v>374</v>
      </c>
      <c r="U35">
        <v>9.8416960548976501E-2</v>
      </c>
      <c r="V35" t="s">
        <v>166</v>
      </c>
    </row>
    <row r="36" spans="9:31" x14ac:dyDescent="0.45">
      <c r="I36" t="s">
        <v>179</v>
      </c>
      <c r="J36" t="s">
        <v>375</v>
      </c>
      <c r="K36">
        <v>0</v>
      </c>
      <c r="L36" t="s">
        <v>166</v>
      </c>
      <c r="N36" t="s">
        <v>244</v>
      </c>
      <c r="O36" t="s">
        <v>375</v>
      </c>
      <c r="P36">
        <v>7.9150130522633255E-2</v>
      </c>
      <c r="Q36" t="s">
        <v>166</v>
      </c>
      <c r="S36" t="s">
        <v>309</v>
      </c>
      <c r="T36" t="s">
        <v>375</v>
      </c>
      <c r="U36">
        <v>9.5278069486528574E-2</v>
      </c>
      <c r="V36" t="s">
        <v>166</v>
      </c>
    </row>
    <row r="37" spans="9:31" x14ac:dyDescent="0.45">
      <c r="I37" t="s">
        <v>179</v>
      </c>
      <c r="J37" t="s">
        <v>376</v>
      </c>
      <c r="K37">
        <v>1.1348234262656324E-2</v>
      </c>
      <c r="L37" t="s">
        <v>166</v>
      </c>
      <c r="N37" t="s">
        <v>244</v>
      </c>
      <c r="O37" t="s">
        <v>376</v>
      </c>
      <c r="P37">
        <v>1.769392446669989E-2</v>
      </c>
      <c r="Q37" t="s">
        <v>166</v>
      </c>
      <c r="S37" t="s">
        <v>309</v>
      </c>
      <c r="T37" t="s">
        <v>376</v>
      </c>
      <c r="U37">
        <v>1.898982215713578E-2</v>
      </c>
      <c r="V37" t="s">
        <v>166</v>
      </c>
    </row>
    <row r="38" spans="9:31" x14ac:dyDescent="0.45">
      <c r="I38" t="s">
        <v>179</v>
      </c>
      <c r="J38" t="s">
        <v>377</v>
      </c>
      <c r="K38">
        <v>0.2611286864266204</v>
      </c>
      <c r="L38" t="s">
        <v>166</v>
      </c>
      <c r="N38" t="s">
        <v>244</v>
      </c>
      <c r="O38" t="s">
        <v>377</v>
      </c>
      <c r="P38">
        <v>0.17929771358435589</v>
      </c>
      <c r="Q38" t="s">
        <v>166</v>
      </c>
      <c r="S38" t="s">
        <v>309</v>
      </c>
      <c r="T38" t="s">
        <v>377</v>
      </c>
      <c r="U38">
        <v>0.14888615562743218</v>
      </c>
      <c r="V38" t="s">
        <v>166</v>
      </c>
    </row>
    <row r="39" spans="9:31" x14ac:dyDescent="0.45">
      <c r="I39" t="s">
        <v>179</v>
      </c>
      <c r="J39" t="s">
        <v>378</v>
      </c>
      <c r="K39">
        <v>1.2291010314870016E-3</v>
      </c>
      <c r="L39" t="s">
        <v>166</v>
      </c>
      <c r="N39" t="s">
        <v>244</v>
      </c>
      <c r="O39" t="s">
        <v>378</v>
      </c>
      <c r="P39">
        <v>0.12775052923684996</v>
      </c>
      <c r="Q39" t="s">
        <v>166</v>
      </c>
      <c r="S39" t="s">
        <v>309</v>
      </c>
      <c r="T39" t="s">
        <v>378</v>
      </c>
      <c r="U39">
        <v>0.11768034139085047</v>
      </c>
      <c r="V39" t="s">
        <v>166</v>
      </c>
    </row>
    <row r="40" spans="9:31" x14ac:dyDescent="0.45">
      <c r="I40" t="s">
        <v>179</v>
      </c>
      <c r="J40" t="s">
        <v>379</v>
      </c>
      <c r="K40">
        <v>2.949841342506351E-2</v>
      </c>
      <c r="L40" t="s">
        <v>166</v>
      </c>
      <c r="N40" t="s">
        <v>244</v>
      </c>
      <c r="O40" t="s">
        <v>379</v>
      </c>
      <c r="P40">
        <v>3.0737090357238928E-2</v>
      </c>
      <c r="Q40" t="s">
        <v>166</v>
      </c>
      <c r="S40" t="s">
        <v>309</v>
      </c>
      <c r="T40" t="s">
        <v>379</v>
      </c>
      <c r="U40">
        <v>2.7064057528693682E-2</v>
      </c>
      <c r="V40" t="s">
        <v>166</v>
      </c>
    </row>
    <row r="41" spans="9:31" x14ac:dyDescent="0.45">
      <c r="I41" t="s">
        <v>179</v>
      </c>
      <c r="J41" t="s">
        <v>380</v>
      </c>
      <c r="K41">
        <v>0.27286958452104637</v>
      </c>
      <c r="L41" t="s">
        <v>166</v>
      </c>
      <c r="N41" t="s">
        <v>244</v>
      </c>
      <c r="O41" t="s">
        <v>380</v>
      </c>
      <c r="P41">
        <v>5.6041223061222369E-2</v>
      </c>
      <c r="Q41" t="s">
        <v>166</v>
      </c>
      <c r="S41" t="s">
        <v>309</v>
      </c>
      <c r="T41" t="s">
        <v>380</v>
      </c>
      <c r="U41">
        <v>6.1557506962013932E-2</v>
      </c>
      <c r="V41" t="s">
        <v>166</v>
      </c>
    </row>
    <row r="42" spans="9:31" x14ac:dyDescent="0.45">
      <c r="I42" t="s">
        <v>179</v>
      </c>
      <c r="J42" t="s">
        <v>381</v>
      </c>
      <c r="K42">
        <v>4.2244938676687816E-3</v>
      </c>
      <c r="L42" t="s">
        <v>166</v>
      </c>
      <c r="N42" t="s">
        <v>244</v>
      </c>
      <c r="O42" t="s">
        <v>381</v>
      </c>
      <c r="P42">
        <v>5.0632892508673283E-2</v>
      </c>
      <c r="Q42" t="s">
        <v>166</v>
      </c>
      <c r="S42" t="s">
        <v>309</v>
      </c>
      <c r="T42" t="s">
        <v>381</v>
      </c>
      <c r="U42">
        <v>5.369295035312073E-2</v>
      </c>
      <c r="V42" t="s">
        <v>166</v>
      </c>
    </row>
    <row r="43" spans="9:31" x14ac:dyDescent="0.45">
      <c r="I43" t="s">
        <v>179</v>
      </c>
      <c r="J43" t="s">
        <v>382</v>
      </c>
      <c r="K43">
        <v>2.8277926675555922E-2</v>
      </c>
      <c r="L43" t="s">
        <v>166</v>
      </c>
      <c r="N43" t="s">
        <v>244</v>
      </c>
      <c r="O43" t="s">
        <v>382</v>
      </c>
      <c r="P43">
        <v>1.6718751203164371E-2</v>
      </c>
      <c r="Q43" t="s">
        <v>166</v>
      </c>
      <c r="S43" t="s">
        <v>309</v>
      </c>
      <c r="T43" t="s">
        <v>382</v>
      </c>
      <c r="U43">
        <v>1.3364842408204979E-2</v>
      </c>
      <c r="V43" t="s">
        <v>166</v>
      </c>
    </row>
    <row r="44" spans="9:31" x14ac:dyDescent="0.45">
      <c r="I44" t="s">
        <v>179</v>
      </c>
      <c r="J44" t="s">
        <v>383</v>
      </c>
      <c r="K44">
        <v>0.17405943256114872</v>
      </c>
      <c r="L44" t="s">
        <v>166</v>
      </c>
      <c r="N44" t="s">
        <v>244</v>
      </c>
      <c r="O44" t="s">
        <v>383</v>
      </c>
      <c r="P44">
        <v>0.16849117830943725</v>
      </c>
      <c r="Q44" t="s">
        <v>166</v>
      </c>
      <c r="S44" t="s">
        <v>309</v>
      </c>
      <c r="T44" t="s">
        <v>383</v>
      </c>
      <c r="U44">
        <v>0.16891880240143883</v>
      </c>
      <c r="V44" t="s">
        <v>166</v>
      </c>
    </row>
    <row r="45" spans="9:31" x14ac:dyDescent="0.45">
      <c r="I45" t="s">
        <v>179</v>
      </c>
      <c r="J45" t="s">
        <v>384</v>
      </c>
      <c r="K45">
        <v>0</v>
      </c>
      <c r="L45" t="s">
        <v>166</v>
      </c>
      <c r="N45" t="s">
        <v>244</v>
      </c>
      <c r="O45" t="s">
        <v>384</v>
      </c>
      <c r="P45">
        <v>0.13825342723889547</v>
      </c>
      <c r="Q45" t="s">
        <v>166</v>
      </c>
      <c r="S45" t="s">
        <v>309</v>
      </c>
      <c r="T45" t="s">
        <v>384</v>
      </c>
      <c r="U45">
        <v>0.1646948659195083</v>
      </c>
      <c r="V45" t="s">
        <v>166</v>
      </c>
    </row>
    <row r="46" spans="9:31" x14ac:dyDescent="0.45">
      <c r="I46" t="s">
        <v>179</v>
      </c>
      <c r="J46" t="s">
        <v>385</v>
      </c>
      <c r="K46">
        <v>9.5547389652176143E-3</v>
      </c>
      <c r="L46" t="s">
        <v>166</v>
      </c>
      <c r="N46" t="s">
        <v>244</v>
      </c>
      <c r="O46" t="s">
        <v>385</v>
      </c>
      <c r="P46">
        <v>2.7086060429970638E-2</v>
      </c>
      <c r="Q46" t="s">
        <v>166</v>
      </c>
      <c r="S46" t="s">
        <v>309</v>
      </c>
      <c r="T46" t="s">
        <v>385</v>
      </c>
      <c r="U46">
        <v>3.1455625216095212E-2</v>
      </c>
      <c r="V46" t="s">
        <v>166</v>
      </c>
    </row>
    <row r="47" spans="9:31" x14ac:dyDescent="0.45">
      <c r="I47" t="s">
        <v>180</v>
      </c>
      <c r="J47" t="s">
        <v>374</v>
      </c>
      <c r="K47">
        <v>0.20002444737671743</v>
      </c>
      <c r="L47" t="s">
        <v>166</v>
      </c>
      <c r="N47" t="s">
        <v>245</v>
      </c>
      <c r="O47" t="s">
        <v>374</v>
      </c>
      <c r="P47">
        <v>8.1928697623316477E-2</v>
      </c>
      <c r="Q47" t="s">
        <v>166</v>
      </c>
      <c r="S47" t="s">
        <v>310</v>
      </c>
      <c r="T47" t="s">
        <v>374</v>
      </c>
      <c r="U47">
        <v>7.9508682912503764E-2</v>
      </c>
      <c r="V47" t="s">
        <v>166</v>
      </c>
    </row>
    <row r="48" spans="9:31" x14ac:dyDescent="0.45">
      <c r="I48" t="s">
        <v>180</v>
      </c>
      <c r="J48" t="s">
        <v>375</v>
      </c>
      <c r="K48">
        <v>0</v>
      </c>
      <c r="L48" t="s">
        <v>166</v>
      </c>
      <c r="N48" t="s">
        <v>245</v>
      </c>
      <c r="O48" t="s">
        <v>375</v>
      </c>
      <c r="P48">
        <v>9.1340704827416561E-2</v>
      </c>
      <c r="Q48" t="s">
        <v>166</v>
      </c>
      <c r="S48" t="s">
        <v>310</v>
      </c>
      <c r="T48" t="s">
        <v>375</v>
      </c>
      <c r="U48">
        <v>7.3900391332515608E-2</v>
      </c>
      <c r="V48" t="s">
        <v>166</v>
      </c>
    </row>
    <row r="49" spans="9:22" x14ac:dyDescent="0.45">
      <c r="I49" t="s">
        <v>180</v>
      </c>
      <c r="J49" t="s">
        <v>376</v>
      </c>
      <c r="K49">
        <v>1.3441433090145033E-2</v>
      </c>
      <c r="L49" t="s">
        <v>166</v>
      </c>
      <c r="N49" t="s">
        <v>245</v>
      </c>
      <c r="O49" t="s">
        <v>376</v>
      </c>
      <c r="P49">
        <v>1.6920992945447279E-2</v>
      </c>
      <c r="Q49" t="s">
        <v>166</v>
      </c>
      <c r="S49" t="s">
        <v>310</v>
      </c>
      <c r="T49" t="s">
        <v>376</v>
      </c>
      <c r="U49">
        <v>1.4300274840120919E-2</v>
      </c>
      <c r="V49" t="s">
        <v>166</v>
      </c>
    </row>
    <row r="50" spans="9:22" x14ac:dyDescent="0.45">
      <c r="I50" t="s">
        <v>180</v>
      </c>
      <c r="J50" t="s">
        <v>377</v>
      </c>
      <c r="K50">
        <v>0.24525983851812955</v>
      </c>
      <c r="L50" t="s">
        <v>166</v>
      </c>
      <c r="N50" t="s">
        <v>245</v>
      </c>
      <c r="O50" t="s">
        <v>377</v>
      </c>
      <c r="P50">
        <v>0.13518808925321449</v>
      </c>
      <c r="Q50" t="s">
        <v>166</v>
      </c>
      <c r="S50" t="s">
        <v>310</v>
      </c>
      <c r="T50" t="s">
        <v>377</v>
      </c>
      <c r="U50">
        <v>0.15639952417248465</v>
      </c>
      <c r="V50" t="s">
        <v>166</v>
      </c>
    </row>
    <row r="51" spans="9:22" x14ac:dyDescent="0.45">
      <c r="I51" t="s">
        <v>180</v>
      </c>
      <c r="J51" t="s">
        <v>378</v>
      </c>
      <c r="K51">
        <v>2.0749022462357098E-3</v>
      </c>
      <c r="L51" t="s">
        <v>166</v>
      </c>
      <c r="N51" t="s">
        <v>245</v>
      </c>
      <c r="O51" t="s">
        <v>378</v>
      </c>
      <c r="P51">
        <v>0.14350812775563376</v>
      </c>
      <c r="Q51" t="s">
        <v>166</v>
      </c>
      <c r="S51" t="s">
        <v>310</v>
      </c>
      <c r="T51" t="s">
        <v>378</v>
      </c>
      <c r="U51">
        <v>0.15148930724754395</v>
      </c>
      <c r="V51" t="s">
        <v>166</v>
      </c>
    </row>
    <row r="52" spans="9:22" x14ac:dyDescent="0.45">
      <c r="I52" t="s">
        <v>180</v>
      </c>
      <c r="J52" t="s">
        <v>379</v>
      </c>
      <c r="K52">
        <v>3.0020449393946436E-2</v>
      </c>
      <c r="L52" t="s">
        <v>166</v>
      </c>
      <c r="N52" t="s">
        <v>245</v>
      </c>
      <c r="O52" t="s">
        <v>379</v>
      </c>
      <c r="P52">
        <v>2.7525303700001322E-2</v>
      </c>
      <c r="Q52" t="s">
        <v>166</v>
      </c>
      <c r="S52" t="s">
        <v>310</v>
      </c>
      <c r="T52" t="s">
        <v>379</v>
      </c>
      <c r="U52">
        <v>2.6047529695242735E-2</v>
      </c>
      <c r="V52" t="s">
        <v>166</v>
      </c>
    </row>
    <row r="53" spans="9:22" x14ac:dyDescent="0.45">
      <c r="I53" t="s">
        <v>180</v>
      </c>
      <c r="J53" t="s">
        <v>380</v>
      </c>
      <c r="K53">
        <v>0.29353749092737103</v>
      </c>
      <c r="L53" t="s">
        <v>166</v>
      </c>
      <c r="N53" t="s">
        <v>245</v>
      </c>
      <c r="O53" t="s">
        <v>380</v>
      </c>
      <c r="P53">
        <v>6.0686403673054182E-2</v>
      </c>
      <c r="Q53" t="s">
        <v>166</v>
      </c>
      <c r="S53" t="s">
        <v>310</v>
      </c>
      <c r="T53" t="s">
        <v>380</v>
      </c>
      <c r="U53">
        <v>8.9311306362173742E-2</v>
      </c>
      <c r="V53" t="s">
        <v>166</v>
      </c>
    </row>
    <row r="54" spans="9:22" x14ac:dyDescent="0.45">
      <c r="I54" t="s">
        <v>180</v>
      </c>
      <c r="J54" t="s">
        <v>381</v>
      </c>
      <c r="K54">
        <v>6.9665047871408248E-3</v>
      </c>
      <c r="L54" t="s">
        <v>166</v>
      </c>
      <c r="N54" t="s">
        <v>245</v>
      </c>
      <c r="O54" t="s">
        <v>381</v>
      </c>
      <c r="P54">
        <v>0.11293848933572836</v>
      </c>
      <c r="Q54" t="s">
        <v>166</v>
      </c>
      <c r="S54" t="s">
        <v>310</v>
      </c>
      <c r="T54" t="s">
        <v>381</v>
      </c>
      <c r="U54">
        <v>9.7144809619026828E-2</v>
      </c>
      <c r="V54" t="s">
        <v>166</v>
      </c>
    </row>
    <row r="55" spans="9:22" x14ac:dyDescent="0.45">
      <c r="I55" t="s">
        <v>180</v>
      </c>
      <c r="J55" t="s">
        <v>382</v>
      </c>
      <c r="K55">
        <v>3.823074265274487E-2</v>
      </c>
      <c r="L55" t="s">
        <v>166</v>
      </c>
      <c r="N55" t="s">
        <v>245</v>
      </c>
      <c r="O55" t="s">
        <v>382</v>
      </c>
      <c r="P55">
        <v>1.7183098305220558E-2</v>
      </c>
      <c r="Q55" t="s">
        <v>166</v>
      </c>
      <c r="S55" t="s">
        <v>310</v>
      </c>
      <c r="T55" t="s">
        <v>382</v>
      </c>
      <c r="U55">
        <v>2.1255203124361646E-2</v>
      </c>
      <c r="V55" t="s">
        <v>166</v>
      </c>
    </row>
    <row r="56" spans="9:22" x14ac:dyDescent="0.45">
      <c r="I56" t="s">
        <v>180</v>
      </c>
      <c r="J56" t="s">
        <v>383</v>
      </c>
      <c r="K56">
        <v>0.16082700790421217</v>
      </c>
      <c r="L56" t="s">
        <v>166</v>
      </c>
      <c r="N56" t="s">
        <v>245</v>
      </c>
      <c r="O56" t="s">
        <v>383</v>
      </c>
      <c r="P56">
        <v>0.1463708552209631</v>
      </c>
      <c r="Q56" t="s">
        <v>166</v>
      </c>
      <c r="S56" t="s">
        <v>310</v>
      </c>
      <c r="T56" t="s">
        <v>383</v>
      </c>
      <c r="U56">
        <v>0.13987524984798597</v>
      </c>
      <c r="V56" t="s">
        <v>166</v>
      </c>
    </row>
    <row r="57" spans="9:22" x14ac:dyDescent="0.45">
      <c r="I57" t="s">
        <v>180</v>
      </c>
      <c r="J57" t="s">
        <v>384</v>
      </c>
      <c r="K57">
        <v>0</v>
      </c>
      <c r="L57" t="s">
        <v>166</v>
      </c>
      <c r="N57" t="s">
        <v>245</v>
      </c>
      <c r="O57" t="s">
        <v>384</v>
      </c>
      <c r="P57">
        <v>0.14047335071722383</v>
      </c>
      <c r="Q57" t="s">
        <v>166</v>
      </c>
      <c r="S57" t="s">
        <v>310</v>
      </c>
      <c r="T57" t="s">
        <v>384</v>
      </c>
      <c r="U57">
        <v>0.127819226312505</v>
      </c>
      <c r="V57" t="s">
        <v>166</v>
      </c>
    </row>
    <row r="58" spans="9:22" x14ac:dyDescent="0.45">
      <c r="I58" t="s">
        <v>180</v>
      </c>
      <c r="J58" t="s">
        <v>385</v>
      </c>
      <c r="K58">
        <v>9.6171831033590553E-3</v>
      </c>
      <c r="L58" t="s">
        <v>166</v>
      </c>
      <c r="N58" t="s">
        <v>245</v>
      </c>
      <c r="O58" t="s">
        <v>385</v>
      </c>
      <c r="P58">
        <v>2.5935886642779585E-2</v>
      </c>
      <c r="Q58" t="s">
        <v>166</v>
      </c>
      <c r="S58" t="s">
        <v>310</v>
      </c>
      <c r="T58" t="s">
        <v>385</v>
      </c>
      <c r="U58">
        <v>2.2948494533534699E-2</v>
      </c>
      <c r="V58" t="s">
        <v>166</v>
      </c>
    </row>
    <row r="59" spans="9:22" x14ac:dyDescent="0.45">
      <c r="I59" t="s">
        <v>181</v>
      </c>
      <c r="J59" t="s">
        <v>374</v>
      </c>
      <c r="K59">
        <v>0.20052874196453463</v>
      </c>
      <c r="L59" t="s">
        <v>166</v>
      </c>
      <c r="N59" t="s">
        <v>246</v>
      </c>
      <c r="O59" t="s">
        <v>374</v>
      </c>
      <c r="P59">
        <v>6.7581286049944636E-2</v>
      </c>
      <c r="Q59" t="s">
        <v>166</v>
      </c>
      <c r="S59" t="s">
        <v>311</v>
      </c>
      <c r="T59" t="s">
        <v>374</v>
      </c>
      <c r="U59">
        <v>8.8930339695718147E-2</v>
      </c>
      <c r="V59" t="s">
        <v>166</v>
      </c>
    </row>
    <row r="60" spans="9:22" x14ac:dyDescent="0.45">
      <c r="I60" t="s">
        <v>181</v>
      </c>
      <c r="J60" t="s">
        <v>375</v>
      </c>
      <c r="K60">
        <v>0</v>
      </c>
      <c r="L60" t="s">
        <v>166</v>
      </c>
      <c r="N60" t="s">
        <v>246</v>
      </c>
      <c r="O60" t="s">
        <v>375</v>
      </c>
      <c r="P60">
        <v>4.3684597976016655E-2</v>
      </c>
      <c r="Q60" t="s">
        <v>166</v>
      </c>
      <c r="S60" t="s">
        <v>311</v>
      </c>
      <c r="T60" t="s">
        <v>375</v>
      </c>
      <c r="U60">
        <v>7.5649512384410714E-2</v>
      </c>
      <c r="V60" t="s">
        <v>166</v>
      </c>
    </row>
    <row r="61" spans="9:22" x14ac:dyDescent="0.45">
      <c r="I61" t="s">
        <v>181</v>
      </c>
      <c r="J61" t="s">
        <v>376</v>
      </c>
      <c r="K61">
        <v>1.1420875775161175E-2</v>
      </c>
      <c r="L61" t="s">
        <v>166</v>
      </c>
      <c r="N61" t="s">
        <v>246</v>
      </c>
      <c r="O61" t="s">
        <v>376</v>
      </c>
      <c r="P61">
        <v>1.3218259139047487E-2</v>
      </c>
      <c r="Q61" t="s">
        <v>166</v>
      </c>
      <c r="S61" t="s">
        <v>311</v>
      </c>
      <c r="T61" t="s">
        <v>376</v>
      </c>
      <c r="U61">
        <v>1.5832900918800682E-2</v>
      </c>
      <c r="V61" t="s">
        <v>166</v>
      </c>
    </row>
    <row r="62" spans="9:22" x14ac:dyDescent="0.45">
      <c r="I62" t="s">
        <v>181</v>
      </c>
      <c r="J62" t="s">
        <v>377</v>
      </c>
      <c r="K62">
        <v>0.25333822127222561</v>
      </c>
      <c r="L62" t="s">
        <v>166</v>
      </c>
      <c r="N62" t="s">
        <v>246</v>
      </c>
      <c r="O62" t="s">
        <v>377</v>
      </c>
      <c r="P62">
        <v>0.18302775238301563</v>
      </c>
      <c r="Q62" t="s">
        <v>166</v>
      </c>
      <c r="S62" t="s">
        <v>311</v>
      </c>
      <c r="T62" t="s">
        <v>377</v>
      </c>
      <c r="U62">
        <v>0.16450586276123857</v>
      </c>
      <c r="V62" t="s">
        <v>166</v>
      </c>
    </row>
    <row r="63" spans="9:22" x14ac:dyDescent="0.45">
      <c r="I63" t="s">
        <v>181</v>
      </c>
      <c r="J63" t="s">
        <v>378</v>
      </c>
      <c r="K63">
        <v>1.3014903532694187E-3</v>
      </c>
      <c r="L63" t="s">
        <v>166</v>
      </c>
      <c r="N63" t="s">
        <v>246</v>
      </c>
      <c r="O63" t="s">
        <v>378</v>
      </c>
      <c r="P63">
        <v>0.12048496999775835</v>
      </c>
      <c r="Q63" t="s">
        <v>166</v>
      </c>
      <c r="S63" t="s">
        <v>311</v>
      </c>
      <c r="T63" t="s">
        <v>378</v>
      </c>
      <c r="U63">
        <v>0.13419749494749239</v>
      </c>
      <c r="V63" t="s">
        <v>166</v>
      </c>
    </row>
    <row r="64" spans="9:22" x14ac:dyDescent="0.45">
      <c r="I64" t="s">
        <v>181</v>
      </c>
      <c r="J64" t="s">
        <v>379</v>
      </c>
      <c r="K64">
        <v>2.7946255116873816E-2</v>
      </c>
      <c r="L64" t="s">
        <v>166</v>
      </c>
      <c r="N64" t="s">
        <v>246</v>
      </c>
      <c r="O64" t="s">
        <v>379</v>
      </c>
      <c r="P64">
        <v>2.3959811029117851E-2</v>
      </c>
      <c r="Q64" t="s">
        <v>166</v>
      </c>
      <c r="S64" t="s">
        <v>311</v>
      </c>
      <c r="T64" t="s">
        <v>379</v>
      </c>
      <c r="U64">
        <v>2.4830250492702315E-2</v>
      </c>
      <c r="V64" t="s">
        <v>166</v>
      </c>
    </row>
    <row r="65" spans="9:22" x14ac:dyDescent="0.45">
      <c r="I65" t="s">
        <v>181</v>
      </c>
      <c r="J65" t="s">
        <v>380</v>
      </c>
      <c r="K65">
        <v>0.29594497690256349</v>
      </c>
      <c r="L65" t="s">
        <v>166</v>
      </c>
      <c r="N65" t="s">
        <v>246</v>
      </c>
      <c r="O65" t="s">
        <v>380</v>
      </c>
      <c r="P65">
        <v>4.3699407760429673E-2</v>
      </c>
      <c r="Q65" t="s">
        <v>166</v>
      </c>
      <c r="S65" t="s">
        <v>311</v>
      </c>
      <c r="T65" t="s">
        <v>380</v>
      </c>
      <c r="U65">
        <v>9.2584341184322974E-2</v>
      </c>
      <c r="V65" t="s">
        <v>166</v>
      </c>
    </row>
    <row r="66" spans="9:22" x14ac:dyDescent="0.45">
      <c r="I66" t="s">
        <v>181</v>
      </c>
      <c r="J66" t="s">
        <v>381</v>
      </c>
      <c r="K66">
        <v>5.7559519185867375E-3</v>
      </c>
      <c r="L66" t="s">
        <v>166</v>
      </c>
      <c r="N66" t="s">
        <v>246</v>
      </c>
      <c r="O66" t="s">
        <v>381</v>
      </c>
      <c r="P66">
        <v>1.8207111020910223E-2</v>
      </c>
      <c r="Q66" t="s">
        <v>166</v>
      </c>
      <c r="S66" t="s">
        <v>311</v>
      </c>
      <c r="T66" t="s">
        <v>381</v>
      </c>
      <c r="U66">
        <v>8.0477704757126789E-2</v>
      </c>
      <c r="V66" t="s">
        <v>166</v>
      </c>
    </row>
    <row r="67" spans="9:22" x14ac:dyDescent="0.45">
      <c r="I67" t="s">
        <v>181</v>
      </c>
      <c r="J67" t="s">
        <v>382</v>
      </c>
      <c r="K67">
        <v>3.6329346570188673E-2</v>
      </c>
      <c r="L67" t="s">
        <v>166</v>
      </c>
      <c r="N67" t="s">
        <v>246</v>
      </c>
      <c r="O67" t="s">
        <v>382</v>
      </c>
      <c r="P67">
        <v>1.3892880114066948E-2</v>
      </c>
      <c r="Q67" t="s">
        <v>166</v>
      </c>
      <c r="S67" t="s">
        <v>311</v>
      </c>
      <c r="T67" t="s">
        <v>382</v>
      </c>
      <c r="U67">
        <v>2.1418827031583144E-2</v>
      </c>
      <c r="V67" t="s">
        <v>166</v>
      </c>
    </row>
    <row r="68" spans="9:22" x14ac:dyDescent="0.45">
      <c r="I68" t="s">
        <v>181</v>
      </c>
      <c r="J68" t="s">
        <v>383</v>
      </c>
      <c r="K68">
        <v>0.16015956276762142</v>
      </c>
      <c r="L68" t="s">
        <v>166</v>
      </c>
      <c r="N68" t="s">
        <v>246</v>
      </c>
      <c r="O68" t="s">
        <v>383</v>
      </c>
      <c r="P68">
        <v>0.22817796091164114</v>
      </c>
      <c r="Q68" t="s">
        <v>166</v>
      </c>
      <c r="S68" t="s">
        <v>311</v>
      </c>
      <c r="T68" t="s">
        <v>383</v>
      </c>
      <c r="U68">
        <v>0.14628244456556888</v>
      </c>
      <c r="V68" t="s">
        <v>166</v>
      </c>
    </row>
    <row r="69" spans="9:22" x14ac:dyDescent="0.45">
      <c r="I69" t="s">
        <v>181</v>
      </c>
      <c r="J69" t="s">
        <v>384</v>
      </c>
      <c r="K69">
        <v>0</v>
      </c>
      <c r="L69" t="s">
        <v>166</v>
      </c>
      <c r="N69" t="s">
        <v>246</v>
      </c>
      <c r="O69" t="s">
        <v>384</v>
      </c>
      <c r="P69">
        <v>0.21066053886891778</v>
      </c>
      <c r="Q69" t="s">
        <v>166</v>
      </c>
      <c r="S69" t="s">
        <v>311</v>
      </c>
      <c r="T69" t="s">
        <v>384</v>
      </c>
      <c r="U69">
        <v>0.13187162435551192</v>
      </c>
      <c r="V69" t="s">
        <v>166</v>
      </c>
    </row>
    <row r="70" spans="9:22" x14ac:dyDescent="0.45">
      <c r="I70" t="s">
        <v>181</v>
      </c>
      <c r="J70" t="s">
        <v>385</v>
      </c>
      <c r="K70">
        <v>7.2745773589739035E-3</v>
      </c>
      <c r="L70" t="s">
        <v>166</v>
      </c>
      <c r="N70" t="s">
        <v>246</v>
      </c>
      <c r="O70" t="s">
        <v>385</v>
      </c>
      <c r="P70">
        <v>3.340542474913509E-2</v>
      </c>
      <c r="Q70" t="s">
        <v>166</v>
      </c>
      <c r="S70" t="s">
        <v>311</v>
      </c>
      <c r="T70" t="s">
        <v>385</v>
      </c>
      <c r="U70">
        <v>2.3418696905523555E-2</v>
      </c>
      <c r="V70" t="s">
        <v>166</v>
      </c>
    </row>
    <row r="71" spans="9:22" x14ac:dyDescent="0.45">
      <c r="I71" t="s">
        <v>182</v>
      </c>
      <c r="J71" t="s">
        <v>374</v>
      </c>
      <c r="K71">
        <v>0.21005666277515009</v>
      </c>
      <c r="L71" t="s">
        <v>166</v>
      </c>
      <c r="N71" t="s">
        <v>247</v>
      </c>
      <c r="O71" t="s">
        <v>374</v>
      </c>
      <c r="P71">
        <v>7.1257449808889109E-2</v>
      </c>
      <c r="Q71" t="s">
        <v>166</v>
      </c>
      <c r="S71" t="s">
        <v>312</v>
      </c>
      <c r="T71" t="s">
        <v>374</v>
      </c>
      <c r="U71">
        <v>8.1626627315570355E-2</v>
      </c>
      <c r="V71" t="s">
        <v>166</v>
      </c>
    </row>
    <row r="72" spans="9:22" x14ac:dyDescent="0.45">
      <c r="I72" t="s">
        <v>182</v>
      </c>
      <c r="J72" t="s">
        <v>375</v>
      </c>
      <c r="K72">
        <v>0</v>
      </c>
      <c r="L72" t="s">
        <v>166</v>
      </c>
      <c r="N72" t="s">
        <v>247</v>
      </c>
      <c r="O72" t="s">
        <v>375</v>
      </c>
      <c r="P72">
        <v>6.6752276041803463E-2</v>
      </c>
      <c r="Q72" t="s">
        <v>166</v>
      </c>
      <c r="S72" t="s">
        <v>312</v>
      </c>
      <c r="T72" t="s">
        <v>375</v>
      </c>
      <c r="U72">
        <v>8.1754077877622067E-2</v>
      </c>
      <c r="V72" t="s">
        <v>166</v>
      </c>
    </row>
    <row r="73" spans="9:22" x14ac:dyDescent="0.45">
      <c r="I73" t="s">
        <v>182</v>
      </c>
      <c r="J73" t="s">
        <v>376</v>
      </c>
      <c r="K73">
        <v>1.6515790428623351E-2</v>
      </c>
      <c r="L73" t="s">
        <v>166</v>
      </c>
      <c r="N73" t="s">
        <v>247</v>
      </c>
      <c r="O73" t="s">
        <v>376</v>
      </c>
      <c r="P73">
        <v>1.6077184027184773E-2</v>
      </c>
      <c r="Q73" t="s">
        <v>166</v>
      </c>
      <c r="S73" t="s">
        <v>312</v>
      </c>
      <c r="T73" t="s">
        <v>376</v>
      </c>
      <c r="U73">
        <v>1.9143132878265981E-2</v>
      </c>
      <c r="V73" t="s">
        <v>166</v>
      </c>
    </row>
    <row r="74" spans="9:22" x14ac:dyDescent="0.45">
      <c r="I74" t="s">
        <v>182</v>
      </c>
      <c r="J74" t="s">
        <v>377</v>
      </c>
      <c r="K74">
        <v>0.24588061773174941</v>
      </c>
      <c r="L74" t="s">
        <v>166</v>
      </c>
      <c r="N74" t="s">
        <v>247</v>
      </c>
      <c r="O74" t="s">
        <v>377</v>
      </c>
      <c r="P74">
        <v>0.17959509265394275</v>
      </c>
      <c r="Q74" t="s">
        <v>166</v>
      </c>
      <c r="S74" t="s">
        <v>312</v>
      </c>
      <c r="T74" t="s">
        <v>377</v>
      </c>
      <c r="U74">
        <v>0.13574721917502336</v>
      </c>
      <c r="V74" t="s">
        <v>166</v>
      </c>
    </row>
    <row r="75" spans="9:22" x14ac:dyDescent="0.45">
      <c r="I75" t="s">
        <v>182</v>
      </c>
      <c r="J75" t="s">
        <v>378</v>
      </c>
      <c r="K75">
        <v>3.2898452608420155E-3</v>
      </c>
      <c r="L75" t="s">
        <v>166</v>
      </c>
      <c r="N75" t="s">
        <v>247</v>
      </c>
      <c r="O75" t="s">
        <v>378</v>
      </c>
      <c r="P75">
        <v>0.13873050353292157</v>
      </c>
      <c r="Q75" t="s">
        <v>166</v>
      </c>
      <c r="S75" t="s">
        <v>312</v>
      </c>
      <c r="T75" t="s">
        <v>378</v>
      </c>
      <c r="U75">
        <v>0.1392781002524606</v>
      </c>
      <c r="V75" t="s">
        <v>166</v>
      </c>
    </row>
    <row r="76" spans="9:22" x14ac:dyDescent="0.45">
      <c r="I76" t="s">
        <v>182</v>
      </c>
      <c r="J76" t="s">
        <v>379</v>
      </c>
      <c r="K76">
        <v>3.2310373387960958E-2</v>
      </c>
      <c r="L76" t="s">
        <v>166</v>
      </c>
      <c r="N76" t="s">
        <v>247</v>
      </c>
      <c r="O76" t="s">
        <v>379</v>
      </c>
      <c r="P76">
        <v>2.7940573768279749E-2</v>
      </c>
      <c r="Q76" t="s">
        <v>166</v>
      </c>
      <c r="S76" t="s">
        <v>312</v>
      </c>
      <c r="T76" t="s">
        <v>379</v>
      </c>
      <c r="U76">
        <v>2.4682615213308483E-2</v>
      </c>
      <c r="V76" t="s">
        <v>166</v>
      </c>
    </row>
    <row r="77" spans="9:22" x14ac:dyDescent="0.45">
      <c r="I77" t="s">
        <v>182</v>
      </c>
      <c r="J77" t="s">
        <v>380</v>
      </c>
      <c r="K77">
        <v>0.25958954030435244</v>
      </c>
      <c r="L77" t="s">
        <v>166</v>
      </c>
      <c r="N77" t="s">
        <v>247</v>
      </c>
      <c r="O77" t="s">
        <v>380</v>
      </c>
      <c r="P77">
        <v>4.0048251730732717E-2</v>
      </c>
      <c r="Q77" t="s">
        <v>166</v>
      </c>
      <c r="S77" t="s">
        <v>312</v>
      </c>
      <c r="T77" t="s">
        <v>380</v>
      </c>
      <c r="U77">
        <v>8.4055869589926835E-2</v>
      </c>
      <c r="V77" t="s">
        <v>166</v>
      </c>
    </row>
    <row r="78" spans="9:22" x14ac:dyDescent="0.45">
      <c r="I78" t="s">
        <v>182</v>
      </c>
      <c r="J78" t="s">
        <v>381</v>
      </c>
      <c r="K78">
        <v>6.2674340431581339E-3</v>
      </c>
      <c r="L78" t="s">
        <v>166</v>
      </c>
      <c r="N78" t="s">
        <v>247</v>
      </c>
      <c r="O78" t="s">
        <v>381</v>
      </c>
      <c r="P78">
        <v>4.5409453846595782E-2</v>
      </c>
      <c r="Q78" t="s">
        <v>166</v>
      </c>
      <c r="S78" t="s">
        <v>312</v>
      </c>
      <c r="T78" t="s">
        <v>381</v>
      </c>
      <c r="U78">
        <v>7.7507307556572411E-2</v>
      </c>
      <c r="V78" t="s">
        <v>166</v>
      </c>
    </row>
    <row r="79" spans="9:22" x14ac:dyDescent="0.45">
      <c r="I79" t="s">
        <v>182</v>
      </c>
      <c r="J79" t="s">
        <v>382</v>
      </c>
      <c r="K79">
        <v>3.1599547776869553E-2</v>
      </c>
      <c r="L79" t="s">
        <v>166</v>
      </c>
      <c r="N79" t="s">
        <v>247</v>
      </c>
      <c r="O79" t="s">
        <v>382</v>
      </c>
      <c r="P79">
        <v>1.8566381137848073E-2</v>
      </c>
      <c r="Q79" t="s">
        <v>166</v>
      </c>
      <c r="S79" t="s">
        <v>312</v>
      </c>
      <c r="T79" t="s">
        <v>382</v>
      </c>
      <c r="U79">
        <v>2.0968442937917223E-2</v>
      </c>
      <c r="V79" t="s">
        <v>166</v>
      </c>
    </row>
    <row r="80" spans="9:22" x14ac:dyDescent="0.45">
      <c r="I80" t="s">
        <v>182</v>
      </c>
      <c r="J80" t="s">
        <v>383</v>
      </c>
      <c r="K80">
        <v>0.17792079856349008</v>
      </c>
      <c r="L80" t="s">
        <v>166</v>
      </c>
      <c r="N80" t="s">
        <v>247</v>
      </c>
      <c r="O80" t="s">
        <v>383</v>
      </c>
      <c r="P80">
        <v>0.19573048568734031</v>
      </c>
      <c r="Q80" t="s">
        <v>166</v>
      </c>
      <c r="S80" t="s">
        <v>312</v>
      </c>
      <c r="T80" t="s">
        <v>383</v>
      </c>
      <c r="U80">
        <v>0.14743267942655316</v>
      </c>
      <c r="V80" t="s">
        <v>166</v>
      </c>
    </row>
    <row r="81" spans="9:22" x14ac:dyDescent="0.45">
      <c r="I81" t="s">
        <v>182</v>
      </c>
      <c r="J81" t="s">
        <v>384</v>
      </c>
      <c r="K81">
        <v>0</v>
      </c>
      <c r="L81" t="s">
        <v>166</v>
      </c>
      <c r="N81" t="s">
        <v>247</v>
      </c>
      <c r="O81" t="s">
        <v>384</v>
      </c>
      <c r="P81">
        <v>0.17048253946463582</v>
      </c>
      <c r="Q81" t="s">
        <v>166</v>
      </c>
      <c r="S81" t="s">
        <v>312</v>
      </c>
      <c r="T81" t="s">
        <v>384</v>
      </c>
      <c r="U81">
        <v>0.159027930034631</v>
      </c>
      <c r="V81" t="s">
        <v>166</v>
      </c>
    </row>
    <row r="82" spans="9:22" x14ac:dyDescent="0.45">
      <c r="I82" t="s">
        <v>182</v>
      </c>
      <c r="J82" t="s">
        <v>385</v>
      </c>
      <c r="K82">
        <v>1.6569389727805067E-2</v>
      </c>
      <c r="L82" t="s">
        <v>166</v>
      </c>
      <c r="N82" t="s">
        <v>247</v>
      </c>
      <c r="O82" t="s">
        <v>385</v>
      </c>
      <c r="P82">
        <v>2.9409808299827835E-2</v>
      </c>
      <c r="Q82" t="s">
        <v>166</v>
      </c>
      <c r="S82" t="s">
        <v>312</v>
      </c>
      <c r="T82" t="s">
        <v>385</v>
      </c>
      <c r="U82">
        <v>2.8775997742144864E-2</v>
      </c>
      <c r="V82" t="s">
        <v>166</v>
      </c>
    </row>
    <row r="83" spans="9:22" x14ac:dyDescent="0.45">
      <c r="I83" t="s">
        <v>183</v>
      </c>
      <c r="J83" t="s">
        <v>374</v>
      </c>
      <c r="K83">
        <v>0.21011786356422957</v>
      </c>
      <c r="L83" t="s">
        <v>166</v>
      </c>
      <c r="N83" t="s">
        <v>248</v>
      </c>
      <c r="O83" t="s">
        <v>374</v>
      </c>
      <c r="P83">
        <v>9.2927997744752563E-2</v>
      </c>
      <c r="Q83" t="s">
        <v>166</v>
      </c>
      <c r="S83" t="s">
        <v>313</v>
      </c>
      <c r="T83" t="s">
        <v>374</v>
      </c>
      <c r="U83">
        <v>8.2633014412839392E-2</v>
      </c>
      <c r="V83" t="s">
        <v>166</v>
      </c>
    </row>
    <row r="84" spans="9:22" x14ac:dyDescent="0.45">
      <c r="I84" t="s">
        <v>183</v>
      </c>
      <c r="J84" t="s">
        <v>375</v>
      </c>
      <c r="K84">
        <v>0</v>
      </c>
      <c r="L84" t="s">
        <v>166</v>
      </c>
      <c r="N84" t="s">
        <v>248</v>
      </c>
      <c r="O84" t="s">
        <v>375</v>
      </c>
      <c r="P84">
        <v>8.0360519334791047E-2</v>
      </c>
      <c r="Q84" t="s">
        <v>166</v>
      </c>
      <c r="S84" t="s">
        <v>313</v>
      </c>
      <c r="T84" t="s">
        <v>375</v>
      </c>
      <c r="U84">
        <v>8.4285401117255715E-2</v>
      </c>
      <c r="V84" t="s">
        <v>166</v>
      </c>
    </row>
    <row r="85" spans="9:22" x14ac:dyDescent="0.45">
      <c r="I85" t="s">
        <v>183</v>
      </c>
      <c r="J85" t="s">
        <v>376</v>
      </c>
      <c r="K85">
        <v>1.4894611898323992E-2</v>
      </c>
      <c r="L85" t="s">
        <v>166</v>
      </c>
      <c r="N85" t="s">
        <v>248</v>
      </c>
      <c r="O85" t="s">
        <v>376</v>
      </c>
      <c r="P85">
        <v>1.6602327145469661E-2</v>
      </c>
      <c r="Q85" t="s">
        <v>166</v>
      </c>
      <c r="S85" t="s">
        <v>313</v>
      </c>
      <c r="T85" t="s">
        <v>376</v>
      </c>
      <c r="U85">
        <v>1.6374898129347115E-2</v>
      </c>
      <c r="V85" t="s">
        <v>166</v>
      </c>
    </row>
    <row r="86" spans="9:22" x14ac:dyDescent="0.45">
      <c r="I86" t="s">
        <v>183</v>
      </c>
      <c r="J86" t="s">
        <v>377</v>
      </c>
      <c r="K86">
        <v>0.2428007028505528</v>
      </c>
      <c r="L86" t="s">
        <v>166</v>
      </c>
      <c r="N86" t="s">
        <v>248</v>
      </c>
      <c r="O86" t="s">
        <v>377</v>
      </c>
      <c r="P86">
        <v>0.15701776733506728</v>
      </c>
      <c r="Q86" t="s">
        <v>166</v>
      </c>
      <c r="S86" t="s">
        <v>313</v>
      </c>
      <c r="T86" t="s">
        <v>377</v>
      </c>
      <c r="U86">
        <v>0.13246381291794196</v>
      </c>
      <c r="V86" t="s">
        <v>166</v>
      </c>
    </row>
    <row r="87" spans="9:22" x14ac:dyDescent="0.45">
      <c r="I87" t="s">
        <v>183</v>
      </c>
      <c r="J87" t="s">
        <v>378</v>
      </c>
      <c r="K87">
        <v>2.4632632677065234E-3</v>
      </c>
      <c r="L87" t="s">
        <v>166</v>
      </c>
      <c r="N87" t="s">
        <v>248</v>
      </c>
      <c r="O87" t="s">
        <v>378</v>
      </c>
      <c r="P87">
        <v>0.13126327516302774</v>
      </c>
      <c r="Q87" t="s">
        <v>166</v>
      </c>
      <c r="S87" t="s">
        <v>313</v>
      </c>
      <c r="T87" t="s">
        <v>378</v>
      </c>
      <c r="U87">
        <v>0.14466143396329903</v>
      </c>
      <c r="V87" t="s">
        <v>166</v>
      </c>
    </row>
    <row r="88" spans="9:22" x14ac:dyDescent="0.45">
      <c r="I88" t="s">
        <v>183</v>
      </c>
      <c r="J88" t="s">
        <v>379</v>
      </c>
      <c r="K88">
        <v>3.0646476679176322E-2</v>
      </c>
      <c r="L88" t="s">
        <v>166</v>
      </c>
      <c r="N88" t="s">
        <v>248</v>
      </c>
      <c r="O88" t="s">
        <v>379</v>
      </c>
      <c r="P88">
        <v>2.4658412579545895E-2</v>
      </c>
      <c r="Q88" t="s">
        <v>166</v>
      </c>
      <c r="S88" t="s">
        <v>313</v>
      </c>
      <c r="T88" t="s">
        <v>379</v>
      </c>
      <c r="U88">
        <v>2.5760119499031328E-2</v>
      </c>
      <c r="V88" t="s">
        <v>166</v>
      </c>
    </row>
    <row r="89" spans="9:22" x14ac:dyDescent="0.45">
      <c r="I89" t="s">
        <v>183</v>
      </c>
      <c r="J89" t="s">
        <v>380</v>
      </c>
      <c r="K89">
        <v>0.27883186504446156</v>
      </c>
      <c r="L89" t="s">
        <v>166</v>
      </c>
      <c r="N89" t="s">
        <v>248</v>
      </c>
      <c r="O89" t="s">
        <v>380</v>
      </c>
      <c r="P89">
        <v>9.4956596612583488E-2</v>
      </c>
      <c r="Q89" t="s">
        <v>166</v>
      </c>
      <c r="S89" t="s">
        <v>313</v>
      </c>
      <c r="T89" t="s">
        <v>380</v>
      </c>
      <c r="U89">
        <v>0.10403312114380051</v>
      </c>
      <c r="V89" t="s">
        <v>166</v>
      </c>
    </row>
    <row r="90" spans="9:22" x14ac:dyDescent="0.45">
      <c r="I90" t="s">
        <v>183</v>
      </c>
      <c r="J90" t="s">
        <v>381</v>
      </c>
      <c r="K90">
        <v>6.7041914818142386E-3</v>
      </c>
      <c r="L90" t="s">
        <v>166</v>
      </c>
      <c r="N90" t="s">
        <v>248</v>
      </c>
      <c r="O90" t="s">
        <v>381</v>
      </c>
      <c r="P90">
        <v>8.708203444640919E-2</v>
      </c>
      <c r="Q90" t="s">
        <v>166</v>
      </c>
      <c r="S90" t="s">
        <v>313</v>
      </c>
      <c r="T90" t="s">
        <v>381</v>
      </c>
      <c r="U90">
        <v>0.10540346215597814</v>
      </c>
      <c r="V90" t="s">
        <v>166</v>
      </c>
    </row>
    <row r="91" spans="9:22" x14ac:dyDescent="0.45">
      <c r="I91" t="s">
        <v>183</v>
      </c>
      <c r="J91" t="s">
        <v>382</v>
      </c>
      <c r="K91">
        <v>3.3645373838716963E-2</v>
      </c>
      <c r="L91" t="s">
        <v>166</v>
      </c>
      <c r="N91" t="s">
        <v>248</v>
      </c>
      <c r="O91" t="s">
        <v>382</v>
      </c>
      <c r="P91">
        <v>2.1825650097396225E-2</v>
      </c>
      <c r="Q91" t="s">
        <v>166</v>
      </c>
      <c r="S91" t="s">
        <v>313</v>
      </c>
      <c r="T91" t="s">
        <v>382</v>
      </c>
      <c r="U91">
        <v>2.1117566460908146E-2</v>
      </c>
      <c r="V91" t="s">
        <v>166</v>
      </c>
    </row>
    <row r="92" spans="9:22" x14ac:dyDescent="0.45">
      <c r="I92" t="s">
        <v>183</v>
      </c>
      <c r="J92" t="s">
        <v>383</v>
      </c>
      <c r="K92">
        <v>0.16605491995123092</v>
      </c>
      <c r="L92" t="s">
        <v>166</v>
      </c>
      <c r="N92" t="s">
        <v>248</v>
      </c>
      <c r="O92" t="s">
        <v>383</v>
      </c>
      <c r="P92">
        <v>0.13918905298738737</v>
      </c>
      <c r="Q92" t="s">
        <v>166</v>
      </c>
      <c r="S92" t="s">
        <v>313</v>
      </c>
      <c r="T92" t="s">
        <v>383</v>
      </c>
      <c r="U92">
        <v>0.129045641542371</v>
      </c>
      <c r="V92" t="s">
        <v>166</v>
      </c>
    </row>
    <row r="93" spans="9:22" x14ac:dyDescent="0.45">
      <c r="I93" t="s">
        <v>183</v>
      </c>
      <c r="J93" t="s">
        <v>384</v>
      </c>
      <c r="K93">
        <v>0</v>
      </c>
      <c r="L93" t="s">
        <v>166</v>
      </c>
      <c r="N93" t="s">
        <v>248</v>
      </c>
      <c r="O93" t="s">
        <v>384</v>
      </c>
      <c r="P93">
        <v>0.13047169368249745</v>
      </c>
      <c r="Q93" t="s">
        <v>166</v>
      </c>
      <c r="S93" t="s">
        <v>313</v>
      </c>
      <c r="T93" t="s">
        <v>384</v>
      </c>
      <c r="U93">
        <v>0.12980788316469602</v>
      </c>
      <c r="V93" t="s">
        <v>166</v>
      </c>
    </row>
    <row r="94" spans="9:22" x14ac:dyDescent="0.45">
      <c r="I94" t="s">
        <v>183</v>
      </c>
      <c r="J94" t="s">
        <v>385</v>
      </c>
      <c r="K94">
        <v>1.384073142379064E-2</v>
      </c>
      <c r="L94" t="s">
        <v>166</v>
      </c>
      <c r="N94" t="s">
        <v>248</v>
      </c>
      <c r="O94" t="s">
        <v>385</v>
      </c>
      <c r="P94">
        <v>2.3644672871070947E-2</v>
      </c>
      <c r="Q94" t="s">
        <v>166</v>
      </c>
      <c r="S94" t="s">
        <v>313</v>
      </c>
      <c r="T94" t="s">
        <v>385</v>
      </c>
      <c r="U94">
        <v>2.4413645492533713E-2</v>
      </c>
      <c r="V94" t="s">
        <v>166</v>
      </c>
    </row>
    <row r="95" spans="9:22" x14ac:dyDescent="0.45">
      <c r="I95" t="s">
        <v>184</v>
      </c>
      <c r="J95" t="s">
        <v>374</v>
      </c>
      <c r="K95">
        <v>0.20936305074904232</v>
      </c>
      <c r="L95" t="s">
        <v>166</v>
      </c>
      <c r="N95" t="s">
        <v>249</v>
      </c>
      <c r="O95" t="s">
        <v>374</v>
      </c>
      <c r="P95">
        <v>7.9756810817562807E-2</v>
      </c>
      <c r="Q95" t="s">
        <v>166</v>
      </c>
      <c r="S95" t="s">
        <v>314</v>
      </c>
      <c r="T95" t="s">
        <v>374</v>
      </c>
      <c r="U95">
        <v>7.6391821608614005E-2</v>
      </c>
      <c r="V95" t="s">
        <v>166</v>
      </c>
    </row>
    <row r="96" spans="9:22" x14ac:dyDescent="0.45">
      <c r="I96" t="s">
        <v>184</v>
      </c>
      <c r="J96" t="s">
        <v>375</v>
      </c>
      <c r="K96">
        <v>0</v>
      </c>
      <c r="L96" t="s">
        <v>166</v>
      </c>
      <c r="N96" t="s">
        <v>249</v>
      </c>
      <c r="O96" t="s">
        <v>375</v>
      </c>
      <c r="P96">
        <v>7.8961233665093888E-2</v>
      </c>
      <c r="Q96" t="s">
        <v>166</v>
      </c>
      <c r="S96" t="s">
        <v>314</v>
      </c>
      <c r="T96" t="s">
        <v>375</v>
      </c>
      <c r="U96">
        <v>7.7602249339021337E-2</v>
      </c>
      <c r="V96" t="s">
        <v>166</v>
      </c>
    </row>
    <row r="97" spans="9:22" x14ac:dyDescent="0.45">
      <c r="I97" t="s">
        <v>184</v>
      </c>
      <c r="J97" t="s">
        <v>376</v>
      </c>
      <c r="K97">
        <v>1.3822845153987214E-2</v>
      </c>
      <c r="L97" t="s">
        <v>166</v>
      </c>
      <c r="N97" t="s">
        <v>249</v>
      </c>
      <c r="O97" t="s">
        <v>376</v>
      </c>
      <c r="P97">
        <v>1.7162635162459462E-2</v>
      </c>
      <c r="Q97" t="s">
        <v>166</v>
      </c>
      <c r="S97" t="s">
        <v>314</v>
      </c>
      <c r="T97" t="s">
        <v>376</v>
      </c>
      <c r="U97">
        <v>1.6209378087588724E-2</v>
      </c>
      <c r="V97" t="s">
        <v>166</v>
      </c>
    </row>
    <row r="98" spans="9:22" x14ac:dyDescent="0.45">
      <c r="I98" t="s">
        <v>184</v>
      </c>
      <c r="J98" t="s">
        <v>377</v>
      </c>
      <c r="K98">
        <v>0.25610336750612761</v>
      </c>
      <c r="L98" t="s">
        <v>166</v>
      </c>
      <c r="N98" t="s">
        <v>249</v>
      </c>
      <c r="O98" t="s">
        <v>377</v>
      </c>
      <c r="P98">
        <v>0.14995986648732645</v>
      </c>
      <c r="Q98" t="s">
        <v>166</v>
      </c>
      <c r="S98" t="s">
        <v>314</v>
      </c>
      <c r="T98" t="s">
        <v>377</v>
      </c>
      <c r="U98">
        <v>0.14762680424753599</v>
      </c>
      <c r="V98" t="s">
        <v>166</v>
      </c>
    </row>
    <row r="99" spans="9:22" x14ac:dyDescent="0.45">
      <c r="I99" t="s">
        <v>184</v>
      </c>
      <c r="J99" t="s">
        <v>378</v>
      </c>
      <c r="K99">
        <v>1.8375972158375278E-3</v>
      </c>
      <c r="L99" t="s">
        <v>166</v>
      </c>
      <c r="N99" t="s">
        <v>249</v>
      </c>
      <c r="O99" t="s">
        <v>378</v>
      </c>
      <c r="P99">
        <v>0.15012894233598009</v>
      </c>
      <c r="Q99" t="s">
        <v>166</v>
      </c>
      <c r="S99" t="s">
        <v>314</v>
      </c>
      <c r="T99" t="s">
        <v>378</v>
      </c>
      <c r="U99">
        <v>0.15247799421077576</v>
      </c>
      <c r="V99" t="s">
        <v>166</v>
      </c>
    </row>
    <row r="100" spans="9:22" x14ac:dyDescent="0.45">
      <c r="I100" t="s">
        <v>184</v>
      </c>
      <c r="J100" t="s">
        <v>379</v>
      </c>
      <c r="K100">
        <v>3.0868397731039953E-2</v>
      </c>
      <c r="L100" t="s">
        <v>166</v>
      </c>
      <c r="N100" t="s">
        <v>249</v>
      </c>
      <c r="O100" t="s">
        <v>379</v>
      </c>
      <c r="P100">
        <v>2.5684105057962609E-2</v>
      </c>
      <c r="Q100" t="s">
        <v>166</v>
      </c>
      <c r="S100" t="s">
        <v>314</v>
      </c>
      <c r="T100" t="s">
        <v>379</v>
      </c>
      <c r="U100">
        <v>2.6036503175802909E-2</v>
      </c>
      <c r="V100" t="s">
        <v>166</v>
      </c>
    </row>
    <row r="101" spans="9:22" x14ac:dyDescent="0.45">
      <c r="I101" t="s">
        <v>184</v>
      </c>
      <c r="J101" t="s">
        <v>380</v>
      </c>
      <c r="K101">
        <v>0.2689604577414656</v>
      </c>
      <c r="L101" t="s">
        <v>166</v>
      </c>
      <c r="N101" t="s">
        <v>249</v>
      </c>
      <c r="O101" t="s">
        <v>380</v>
      </c>
      <c r="P101">
        <v>8.9720457745936427E-2</v>
      </c>
      <c r="Q101" t="s">
        <v>166</v>
      </c>
      <c r="S101" t="s">
        <v>314</v>
      </c>
      <c r="T101" t="s">
        <v>380</v>
      </c>
      <c r="U101">
        <v>9.7106465819277024E-2</v>
      </c>
      <c r="V101" t="s">
        <v>166</v>
      </c>
    </row>
    <row r="102" spans="9:22" x14ac:dyDescent="0.45">
      <c r="I102" t="s">
        <v>184</v>
      </c>
      <c r="J102" t="s">
        <v>381</v>
      </c>
      <c r="K102">
        <v>4.937270403226641E-3</v>
      </c>
      <c r="L102" t="s">
        <v>166</v>
      </c>
      <c r="N102" t="s">
        <v>249</v>
      </c>
      <c r="O102" t="s">
        <v>381</v>
      </c>
      <c r="P102">
        <v>9.0391226183164072E-2</v>
      </c>
      <c r="Q102" t="s">
        <v>166</v>
      </c>
      <c r="S102" t="s">
        <v>314</v>
      </c>
      <c r="T102" t="s">
        <v>381</v>
      </c>
      <c r="U102">
        <v>0.10841190120330982</v>
      </c>
      <c r="V102" t="s">
        <v>166</v>
      </c>
    </row>
    <row r="103" spans="9:22" x14ac:dyDescent="0.45">
      <c r="I103" t="s">
        <v>184</v>
      </c>
      <c r="J103" t="s">
        <v>382</v>
      </c>
      <c r="K103">
        <v>2.9105859871194257E-2</v>
      </c>
      <c r="L103" t="s">
        <v>166</v>
      </c>
      <c r="N103" t="s">
        <v>249</v>
      </c>
      <c r="O103" t="s">
        <v>382</v>
      </c>
      <c r="P103">
        <v>2.4275557251839601E-2</v>
      </c>
      <c r="Q103" t="s">
        <v>166</v>
      </c>
      <c r="S103" t="s">
        <v>314</v>
      </c>
      <c r="T103" t="s">
        <v>382</v>
      </c>
      <c r="U103">
        <v>2.692497707396569E-2</v>
      </c>
      <c r="V103" t="s">
        <v>166</v>
      </c>
    </row>
    <row r="104" spans="9:22" x14ac:dyDescent="0.45">
      <c r="I104" t="s">
        <v>184</v>
      </c>
      <c r="J104" t="s">
        <v>383</v>
      </c>
      <c r="K104">
        <v>0.17145529010931662</v>
      </c>
      <c r="L104" t="s">
        <v>166</v>
      </c>
      <c r="N104" t="s">
        <v>249</v>
      </c>
      <c r="O104" t="s">
        <v>383</v>
      </c>
      <c r="P104">
        <v>0.13864128100700787</v>
      </c>
      <c r="Q104" t="s">
        <v>166</v>
      </c>
      <c r="S104" t="s">
        <v>314</v>
      </c>
      <c r="T104" t="s">
        <v>383</v>
      </c>
      <c r="U104">
        <v>0.13039805012252023</v>
      </c>
      <c r="V104" t="s">
        <v>166</v>
      </c>
    </row>
    <row r="105" spans="9:22" x14ac:dyDescent="0.45">
      <c r="I105" t="s">
        <v>184</v>
      </c>
      <c r="J105" t="s">
        <v>384</v>
      </c>
      <c r="K105">
        <v>0</v>
      </c>
      <c r="L105" t="s">
        <v>166</v>
      </c>
      <c r="N105" t="s">
        <v>249</v>
      </c>
      <c r="O105" t="s">
        <v>384</v>
      </c>
      <c r="P105">
        <v>0.13180999468914339</v>
      </c>
      <c r="Q105" t="s">
        <v>166</v>
      </c>
      <c r="S105" t="s">
        <v>314</v>
      </c>
      <c r="T105" t="s">
        <v>384</v>
      </c>
      <c r="U105">
        <v>0.11990313719056722</v>
      </c>
      <c r="V105" t="s">
        <v>166</v>
      </c>
    </row>
    <row r="106" spans="9:22" x14ac:dyDescent="0.45">
      <c r="I106" t="s">
        <v>184</v>
      </c>
      <c r="J106" t="s">
        <v>385</v>
      </c>
      <c r="K106">
        <v>1.3545863518762625E-2</v>
      </c>
      <c r="L106" t="s">
        <v>166</v>
      </c>
      <c r="N106" t="s">
        <v>249</v>
      </c>
      <c r="O106" t="s">
        <v>385</v>
      </c>
      <c r="P106">
        <v>2.3507889596524688E-2</v>
      </c>
      <c r="Q106" t="s">
        <v>166</v>
      </c>
      <c r="S106" t="s">
        <v>314</v>
      </c>
      <c r="T106" t="s">
        <v>385</v>
      </c>
      <c r="U106">
        <v>2.0910717921024901E-2</v>
      </c>
      <c r="V106" t="s">
        <v>166</v>
      </c>
    </row>
    <row r="107" spans="9:22" x14ac:dyDescent="0.45">
      <c r="I107" t="s">
        <v>185</v>
      </c>
      <c r="J107" t="s">
        <v>374</v>
      </c>
      <c r="K107">
        <v>0.21176164607982562</v>
      </c>
      <c r="L107" t="s">
        <v>166</v>
      </c>
      <c r="N107" t="s">
        <v>250</v>
      </c>
      <c r="O107" t="s">
        <v>374</v>
      </c>
      <c r="P107">
        <v>8.9601691437535422E-2</v>
      </c>
      <c r="Q107" t="s">
        <v>166</v>
      </c>
      <c r="S107" t="s">
        <v>315</v>
      </c>
      <c r="T107" t="s">
        <v>374</v>
      </c>
      <c r="U107">
        <v>7.9175401365655512E-2</v>
      </c>
      <c r="V107" t="s">
        <v>166</v>
      </c>
    </row>
    <row r="108" spans="9:22" x14ac:dyDescent="0.45">
      <c r="I108" t="s">
        <v>185</v>
      </c>
      <c r="J108" t="s">
        <v>375</v>
      </c>
      <c r="K108">
        <v>0</v>
      </c>
      <c r="L108" t="s">
        <v>166</v>
      </c>
      <c r="N108" t="s">
        <v>250</v>
      </c>
      <c r="O108" t="s">
        <v>375</v>
      </c>
      <c r="P108">
        <v>9.7747928829941252E-2</v>
      </c>
      <c r="Q108" t="s">
        <v>166</v>
      </c>
      <c r="S108" t="s">
        <v>315</v>
      </c>
      <c r="T108" t="s">
        <v>375</v>
      </c>
      <c r="U108">
        <v>8.1574553593217497E-2</v>
      </c>
      <c r="V108" t="s">
        <v>166</v>
      </c>
    </row>
    <row r="109" spans="9:22" x14ac:dyDescent="0.45">
      <c r="I109" t="s">
        <v>185</v>
      </c>
      <c r="J109" t="s">
        <v>376</v>
      </c>
      <c r="K109">
        <v>1.5172559564201419E-2</v>
      </c>
      <c r="L109" t="s">
        <v>166</v>
      </c>
      <c r="N109" t="s">
        <v>250</v>
      </c>
      <c r="O109" t="s">
        <v>376</v>
      </c>
      <c r="P109">
        <v>1.5776138112410864E-2</v>
      </c>
      <c r="Q109" t="s">
        <v>166</v>
      </c>
      <c r="S109" t="s">
        <v>315</v>
      </c>
      <c r="T109" t="s">
        <v>376</v>
      </c>
      <c r="U109">
        <v>1.6562817356602578E-2</v>
      </c>
      <c r="V109" t="s">
        <v>166</v>
      </c>
    </row>
    <row r="110" spans="9:22" x14ac:dyDescent="0.45">
      <c r="I110" t="s">
        <v>185</v>
      </c>
      <c r="J110" t="s">
        <v>377</v>
      </c>
      <c r="K110">
        <v>0.25283145703516474</v>
      </c>
      <c r="L110" t="s">
        <v>166</v>
      </c>
      <c r="N110" t="s">
        <v>250</v>
      </c>
      <c r="O110" t="s">
        <v>377</v>
      </c>
      <c r="P110">
        <v>0.14682364014379817</v>
      </c>
      <c r="Q110" t="s">
        <v>166</v>
      </c>
      <c r="S110" t="s">
        <v>315</v>
      </c>
      <c r="T110" t="s">
        <v>377</v>
      </c>
      <c r="U110">
        <v>0.14424548733397596</v>
      </c>
      <c r="V110" t="s">
        <v>166</v>
      </c>
    </row>
    <row r="111" spans="9:22" x14ac:dyDescent="0.45">
      <c r="I111" t="s">
        <v>185</v>
      </c>
      <c r="J111" t="s">
        <v>378</v>
      </c>
      <c r="K111">
        <v>2.3204479010907795E-3</v>
      </c>
      <c r="L111" t="s">
        <v>166</v>
      </c>
      <c r="N111" t="s">
        <v>250</v>
      </c>
      <c r="O111" t="s">
        <v>378</v>
      </c>
      <c r="P111">
        <v>0.14207083417324295</v>
      </c>
      <c r="Q111" t="s">
        <v>166</v>
      </c>
      <c r="S111" t="s">
        <v>315</v>
      </c>
      <c r="T111" t="s">
        <v>378</v>
      </c>
      <c r="U111">
        <v>0.15263397407741308</v>
      </c>
      <c r="V111" t="s">
        <v>166</v>
      </c>
    </row>
    <row r="112" spans="9:22" x14ac:dyDescent="0.45">
      <c r="I112" t="s">
        <v>185</v>
      </c>
      <c r="J112" t="s">
        <v>379</v>
      </c>
      <c r="K112">
        <v>3.1604580612470061E-2</v>
      </c>
      <c r="L112" t="s">
        <v>166</v>
      </c>
      <c r="N112" t="s">
        <v>250</v>
      </c>
      <c r="O112" t="s">
        <v>379</v>
      </c>
      <c r="P112">
        <v>2.8239462459251172E-2</v>
      </c>
      <c r="Q112" t="s">
        <v>166</v>
      </c>
      <c r="S112" t="s">
        <v>315</v>
      </c>
      <c r="T112" t="s">
        <v>379</v>
      </c>
      <c r="U112">
        <v>2.561785312714171E-2</v>
      </c>
      <c r="V112" t="s">
        <v>166</v>
      </c>
    </row>
    <row r="113" spans="9:22" x14ac:dyDescent="0.45">
      <c r="I113" t="s">
        <v>185</v>
      </c>
      <c r="J113" t="s">
        <v>380</v>
      </c>
      <c r="K113">
        <v>0.25942822128397774</v>
      </c>
      <c r="L113" t="s">
        <v>166</v>
      </c>
      <c r="N113" t="s">
        <v>250</v>
      </c>
      <c r="O113" t="s">
        <v>380</v>
      </c>
      <c r="P113">
        <v>5.0198537573100582E-2</v>
      </c>
      <c r="Q113" t="s">
        <v>166</v>
      </c>
      <c r="S113" t="s">
        <v>315</v>
      </c>
      <c r="T113" t="s">
        <v>380</v>
      </c>
      <c r="U113">
        <v>9.139930910401059E-2</v>
      </c>
      <c r="V113" t="s">
        <v>166</v>
      </c>
    </row>
    <row r="114" spans="9:22" x14ac:dyDescent="0.45">
      <c r="I114" t="s">
        <v>185</v>
      </c>
      <c r="J114" t="s">
        <v>381</v>
      </c>
      <c r="K114">
        <v>5.192223629187062E-3</v>
      </c>
      <c r="L114" t="s">
        <v>166</v>
      </c>
      <c r="N114" t="s">
        <v>250</v>
      </c>
      <c r="O114" t="s">
        <v>381</v>
      </c>
      <c r="P114">
        <v>8.4023652351443545E-2</v>
      </c>
      <c r="Q114" t="s">
        <v>166</v>
      </c>
      <c r="S114" t="s">
        <v>315</v>
      </c>
      <c r="T114" t="s">
        <v>381</v>
      </c>
      <c r="U114">
        <v>9.2286843604391919E-2</v>
      </c>
      <c r="V114" t="s">
        <v>166</v>
      </c>
    </row>
    <row r="115" spans="9:22" x14ac:dyDescent="0.45">
      <c r="I115" t="s">
        <v>185</v>
      </c>
      <c r="J115" t="s">
        <v>382</v>
      </c>
      <c r="K115">
        <v>3.074994733003019E-2</v>
      </c>
      <c r="L115" t="s">
        <v>166</v>
      </c>
      <c r="N115" t="s">
        <v>250</v>
      </c>
      <c r="O115" t="s">
        <v>382</v>
      </c>
      <c r="P115">
        <v>1.365079127505885E-2</v>
      </c>
      <c r="Q115" t="s">
        <v>166</v>
      </c>
      <c r="S115" t="s">
        <v>315</v>
      </c>
      <c r="T115" t="s">
        <v>382</v>
      </c>
      <c r="U115">
        <v>2.2284198883700798E-2</v>
      </c>
      <c r="V115" t="s">
        <v>166</v>
      </c>
    </row>
    <row r="116" spans="9:22" x14ac:dyDescent="0.45">
      <c r="I116" t="s">
        <v>185</v>
      </c>
      <c r="J116" t="s">
        <v>383</v>
      </c>
      <c r="K116">
        <v>0.17594829271201995</v>
      </c>
      <c r="L116" t="s">
        <v>166</v>
      </c>
      <c r="N116" t="s">
        <v>250</v>
      </c>
      <c r="O116" t="s">
        <v>383</v>
      </c>
      <c r="P116">
        <v>0.15373385202951462</v>
      </c>
      <c r="Q116" t="s">
        <v>166</v>
      </c>
      <c r="S116" t="s">
        <v>315</v>
      </c>
      <c r="T116" t="s">
        <v>383</v>
      </c>
      <c r="U116">
        <v>0.13733977388318844</v>
      </c>
      <c r="V116" t="s">
        <v>166</v>
      </c>
    </row>
    <row r="117" spans="9:22" x14ac:dyDescent="0.45">
      <c r="I117" t="s">
        <v>185</v>
      </c>
      <c r="J117" t="s">
        <v>384</v>
      </c>
      <c r="K117">
        <v>0</v>
      </c>
      <c r="L117" t="s">
        <v>166</v>
      </c>
      <c r="N117" t="s">
        <v>250</v>
      </c>
      <c r="O117" t="s">
        <v>384</v>
      </c>
      <c r="P117">
        <v>0.15259588137005592</v>
      </c>
      <c r="Q117" t="s">
        <v>166</v>
      </c>
      <c r="S117" t="s">
        <v>315</v>
      </c>
      <c r="T117" t="s">
        <v>384</v>
      </c>
      <c r="U117">
        <v>0.1328685201597119</v>
      </c>
      <c r="V117" t="s">
        <v>166</v>
      </c>
    </row>
    <row r="118" spans="9:22" x14ac:dyDescent="0.45">
      <c r="I118" t="s">
        <v>185</v>
      </c>
      <c r="J118" t="s">
        <v>385</v>
      </c>
      <c r="K118">
        <v>1.4990623852034915E-2</v>
      </c>
      <c r="L118" t="s">
        <v>166</v>
      </c>
      <c r="N118" t="s">
        <v>250</v>
      </c>
      <c r="O118" t="s">
        <v>385</v>
      </c>
      <c r="P118">
        <v>2.5537590244641997E-2</v>
      </c>
      <c r="Q118" t="s">
        <v>166</v>
      </c>
      <c r="S118" t="s">
        <v>315</v>
      </c>
      <c r="T118" t="s">
        <v>385</v>
      </c>
      <c r="U118">
        <v>2.4011267510984778E-2</v>
      </c>
      <c r="V118" t="s">
        <v>166</v>
      </c>
    </row>
    <row r="119" spans="9:22" x14ac:dyDescent="0.45">
      <c r="I119" t="s">
        <v>186</v>
      </c>
      <c r="J119" t="s">
        <v>374</v>
      </c>
      <c r="K119">
        <v>0.20131669696140517</v>
      </c>
      <c r="L119" t="s">
        <v>166</v>
      </c>
      <c r="N119" t="s">
        <v>251</v>
      </c>
      <c r="O119" t="s">
        <v>374</v>
      </c>
      <c r="P119">
        <v>8.0488596474801055E-2</v>
      </c>
      <c r="Q119" t="s">
        <v>166</v>
      </c>
      <c r="S119" t="s">
        <v>316</v>
      </c>
      <c r="T119" t="s">
        <v>374</v>
      </c>
      <c r="U119">
        <v>7.2854018525001368E-2</v>
      </c>
      <c r="V119" t="s">
        <v>166</v>
      </c>
    </row>
    <row r="120" spans="9:22" x14ac:dyDescent="0.45">
      <c r="I120" t="s">
        <v>186</v>
      </c>
      <c r="J120" t="s">
        <v>375</v>
      </c>
      <c r="K120">
        <v>0</v>
      </c>
      <c r="L120" t="s">
        <v>166</v>
      </c>
      <c r="N120" t="s">
        <v>251</v>
      </c>
      <c r="O120" t="s">
        <v>375</v>
      </c>
      <c r="P120">
        <v>7.4630533697506399E-2</v>
      </c>
      <c r="Q120" t="s">
        <v>166</v>
      </c>
      <c r="S120" t="s">
        <v>316</v>
      </c>
      <c r="T120" t="s">
        <v>375</v>
      </c>
      <c r="U120">
        <v>7.1195217310662293E-2</v>
      </c>
      <c r="V120" t="s">
        <v>166</v>
      </c>
    </row>
    <row r="121" spans="9:22" x14ac:dyDescent="0.45">
      <c r="I121" t="s">
        <v>186</v>
      </c>
      <c r="J121" t="s">
        <v>376</v>
      </c>
      <c r="K121">
        <v>1.5920134849885862E-2</v>
      </c>
      <c r="L121" t="s">
        <v>166</v>
      </c>
      <c r="N121" t="s">
        <v>251</v>
      </c>
      <c r="O121" t="s">
        <v>376</v>
      </c>
      <c r="P121">
        <v>1.6693952802379307E-2</v>
      </c>
      <c r="Q121" t="s">
        <v>166</v>
      </c>
      <c r="S121" t="s">
        <v>316</v>
      </c>
      <c r="T121" t="s">
        <v>376</v>
      </c>
      <c r="U121">
        <v>1.6725237009251291E-2</v>
      </c>
      <c r="V121" t="s">
        <v>166</v>
      </c>
    </row>
    <row r="122" spans="9:22" x14ac:dyDescent="0.45">
      <c r="I122" t="s">
        <v>186</v>
      </c>
      <c r="J122" t="s">
        <v>377</v>
      </c>
      <c r="K122">
        <v>0.23830533732619652</v>
      </c>
      <c r="L122" t="s">
        <v>166</v>
      </c>
      <c r="N122" t="s">
        <v>251</v>
      </c>
      <c r="O122" t="s">
        <v>377</v>
      </c>
      <c r="P122">
        <v>0.1793694479372441</v>
      </c>
      <c r="Q122" t="s">
        <v>166</v>
      </c>
      <c r="S122" t="s">
        <v>316</v>
      </c>
      <c r="T122" t="s">
        <v>377</v>
      </c>
      <c r="U122">
        <v>0.1609991447096687</v>
      </c>
      <c r="V122" t="s">
        <v>166</v>
      </c>
    </row>
    <row r="123" spans="9:22" x14ac:dyDescent="0.45">
      <c r="I123" t="s">
        <v>186</v>
      </c>
      <c r="J123" t="s">
        <v>378</v>
      </c>
      <c r="K123">
        <v>3.0943342033028756E-3</v>
      </c>
      <c r="L123" t="s">
        <v>166</v>
      </c>
      <c r="N123" t="s">
        <v>251</v>
      </c>
      <c r="O123" t="s">
        <v>378</v>
      </c>
      <c r="P123">
        <v>0.14573062284774044</v>
      </c>
      <c r="Q123" t="s">
        <v>166</v>
      </c>
      <c r="S123" t="s">
        <v>316</v>
      </c>
      <c r="T123" t="s">
        <v>378</v>
      </c>
      <c r="U123">
        <v>0.15887189792792206</v>
      </c>
      <c r="V123" t="s">
        <v>166</v>
      </c>
    </row>
    <row r="124" spans="9:22" x14ac:dyDescent="0.45">
      <c r="I124" t="s">
        <v>186</v>
      </c>
      <c r="J124" t="s">
        <v>379</v>
      </c>
      <c r="K124">
        <v>3.3837002920002412E-2</v>
      </c>
      <c r="L124" t="s">
        <v>166</v>
      </c>
      <c r="N124" t="s">
        <v>251</v>
      </c>
      <c r="O124" t="s">
        <v>379</v>
      </c>
      <c r="P124">
        <v>3.225854762916374E-2</v>
      </c>
      <c r="Q124" t="s">
        <v>166</v>
      </c>
      <c r="S124" t="s">
        <v>316</v>
      </c>
      <c r="T124" t="s">
        <v>379</v>
      </c>
      <c r="U124">
        <v>2.6143331772461868E-2</v>
      </c>
      <c r="V124" t="s">
        <v>166</v>
      </c>
    </row>
    <row r="125" spans="9:22" x14ac:dyDescent="0.45">
      <c r="I125" t="s">
        <v>186</v>
      </c>
      <c r="J125" t="s">
        <v>380</v>
      </c>
      <c r="K125">
        <v>0.28282797598309023</v>
      </c>
      <c r="L125" t="s">
        <v>166</v>
      </c>
      <c r="N125" t="s">
        <v>251</v>
      </c>
      <c r="O125" t="s">
        <v>380</v>
      </c>
      <c r="P125">
        <v>3.9141430023383571E-2</v>
      </c>
      <c r="Q125" t="s">
        <v>166</v>
      </c>
      <c r="S125" t="s">
        <v>316</v>
      </c>
      <c r="T125" t="s">
        <v>380</v>
      </c>
      <c r="U125">
        <v>7.6608607446608648E-2</v>
      </c>
      <c r="V125" t="s">
        <v>166</v>
      </c>
    </row>
    <row r="126" spans="9:22" x14ac:dyDescent="0.45">
      <c r="I126" t="s">
        <v>186</v>
      </c>
      <c r="J126" t="s">
        <v>381</v>
      </c>
      <c r="K126">
        <v>8.0600294097234199E-3</v>
      </c>
      <c r="L126" t="s">
        <v>166</v>
      </c>
      <c r="N126" t="s">
        <v>251</v>
      </c>
      <c r="O126" t="s">
        <v>381</v>
      </c>
      <c r="P126">
        <v>5.5288515051679671E-2</v>
      </c>
      <c r="Q126" t="s">
        <v>166</v>
      </c>
      <c r="S126" t="s">
        <v>316</v>
      </c>
      <c r="T126" t="s">
        <v>381</v>
      </c>
      <c r="U126">
        <v>7.2046602259494483E-2</v>
      </c>
      <c r="V126" t="s">
        <v>166</v>
      </c>
    </row>
    <row r="127" spans="9:22" x14ac:dyDescent="0.45">
      <c r="I127" t="s">
        <v>186</v>
      </c>
      <c r="J127" t="s">
        <v>382</v>
      </c>
      <c r="K127">
        <v>4.0965215508837922E-2</v>
      </c>
      <c r="L127" t="s">
        <v>166</v>
      </c>
      <c r="N127" t="s">
        <v>251</v>
      </c>
      <c r="O127" t="s">
        <v>382</v>
      </c>
      <c r="P127">
        <v>1.6913536220484492E-2</v>
      </c>
      <c r="Q127" t="s">
        <v>166</v>
      </c>
      <c r="S127" t="s">
        <v>316</v>
      </c>
      <c r="T127" t="s">
        <v>382</v>
      </c>
      <c r="U127">
        <v>2.3017439480076524E-2</v>
      </c>
      <c r="V127" t="s">
        <v>166</v>
      </c>
    </row>
    <row r="128" spans="9:22" x14ac:dyDescent="0.45">
      <c r="I128" t="s">
        <v>186</v>
      </c>
      <c r="J128" t="s">
        <v>383</v>
      </c>
      <c r="K128">
        <v>0.16239178401861087</v>
      </c>
      <c r="L128" t="s">
        <v>166</v>
      </c>
      <c r="N128" t="s">
        <v>251</v>
      </c>
      <c r="O128" t="s">
        <v>383</v>
      </c>
      <c r="P128">
        <v>0.1754526367189444</v>
      </c>
      <c r="Q128" t="s">
        <v>166</v>
      </c>
      <c r="S128" t="s">
        <v>316</v>
      </c>
      <c r="T128" t="s">
        <v>383</v>
      </c>
      <c r="U128">
        <v>0.15556340348781258</v>
      </c>
      <c r="V128" t="s">
        <v>166</v>
      </c>
    </row>
    <row r="129" spans="9:22" x14ac:dyDescent="0.45">
      <c r="I129" t="s">
        <v>186</v>
      </c>
      <c r="J129" t="s">
        <v>384</v>
      </c>
      <c r="K129">
        <v>0</v>
      </c>
      <c r="L129" t="s">
        <v>166</v>
      </c>
      <c r="N129" t="s">
        <v>251</v>
      </c>
      <c r="O129" t="s">
        <v>384</v>
      </c>
      <c r="P129">
        <v>0.15535679523341089</v>
      </c>
      <c r="Q129" t="s">
        <v>166</v>
      </c>
      <c r="S129" t="s">
        <v>316</v>
      </c>
      <c r="T129" t="s">
        <v>384</v>
      </c>
      <c r="U129">
        <v>0.14154154944211994</v>
      </c>
      <c r="V129" t="s">
        <v>166</v>
      </c>
    </row>
    <row r="130" spans="9:22" x14ac:dyDescent="0.45">
      <c r="I130" t="s">
        <v>186</v>
      </c>
      <c r="J130" t="s">
        <v>385</v>
      </c>
      <c r="K130">
        <v>1.3281488818944103E-2</v>
      </c>
      <c r="L130" t="s">
        <v>166</v>
      </c>
      <c r="N130" t="s">
        <v>251</v>
      </c>
      <c r="O130" t="s">
        <v>385</v>
      </c>
      <c r="P130">
        <v>2.8675385363263223E-2</v>
      </c>
      <c r="Q130" t="s">
        <v>166</v>
      </c>
      <c r="S130" t="s">
        <v>316</v>
      </c>
      <c r="T130" t="s">
        <v>385</v>
      </c>
      <c r="U130">
        <v>2.4433550628921514E-2</v>
      </c>
      <c r="V130" t="s">
        <v>166</v>
      </c>
    </row>
    <row r="131" spans="9:22" x14ac:dyDescent="0.45">
      <c r="I131" t="s">
        <v>187</v>
      </c>
      <c r="J131" t="s">
        <v>374</v>
      </c>
      <c r="K131">
        <v>0.20546406961030772</v>
      </c>
      <c r="L131" t="s">
        <v>166</v>
      </c>
      <c r="N131" t="s">
        <v>252</v>
      </c>
      <c r="O131" t="s">
        <v>374</v>
      </c>
      <c r="P131">
        <v>5.2248273356729699E-2</v>
      </c>
      <c r="Q131" t="s">
        <v>166</v>
      </c>
    </row>
    <row r="132" spans="9:22" x14ac:dyDescent="0.45">
      <c r="I132" t="s">
        <v>187</v>
      </c>
      <c r="J132" t="s">
        <v>375</v>
      </c>
      <c r="K132">
        <v>0</v>
      </c>
      <c r="L132" t="s">
        <v>166</v>
      </c>
      <c r="N132" t="s">
        <v>252</v>
      </c>
      <c r="O132" t="s">
        <v>375</v>
      </c>
      <c r="P132">
        <v>9.0901940066902789E-2</v>
      </c>
      <c r="Q132" t="s">
        <v>166</v>
      </c>
    </row>
    <row r="133" spans="9:22" x14ac:dyDescent="0.45">
      <c r="I133" t="s">
        <v>187</v>
      </c>
      <c r="J133" t="s">
        <v>376</v>
      </c>
      <c r="K133">
        <v>1.5067823196303901E-2</v>
      </c>
      <c r="L133" t="s">
        <v>166</v>
      </c>
      <c r="N133" t="s">
        <v>252</v>
      </c>
      <c r="O133" t="s">
        <v>376</v>
      </c>
      <c r="P133">
        <v>1.189314043233718E-2</v>
      </c>
      <c r="Q133" t="s">
        <v>166</v>
      </c>
    </row>
    <row r="134" spans="9:22" x14ac:dyDescent="0.45">
      <c r="I134" t="s">
        <v>187</v>
      </c>
      <c r="J134" t="s">
        <v>377</v>
      </c>
      <c r="K134">
        <v>0.23569531431960036</v>
      </c>
      <c r="L134" t="s">
        <v>166</v>
      </c>
      <c r="N134" t="s">
        <v>252</v>
      </c>
      <c r="O134" t="s">
        <v>377</v>
      </c>
      <c r="P134">
        <v>0.14501365205392544</v>
      </c>
      <c r="Q134" t="s">
        <v>166</v>
      </c>
    </row>
    <row r="135" spans="9:22" x14ac:dyDescent="0.45">
      <c r="I135" t="s">
        <v>187</v>
      </c>
      <c r="J135" t="s">
        <v>378</v>
      </c>
      <c r="K135">
        <v>2.5587662232817638E-3</v>
      </c>
      <c r="L135" t="s">
        <v>166</v>
      </c>
      <c r="N135" t="s">
        <v>252</v>
      </c>
      <c r="O135" t="s">
        <v>378</v>
      </c>
      <c r="P135">
        <v>0.18446647881702177</v>
      </c>
      <c r="Q135" t="s">
        <v>166</v>
      </c>
    </row>
    <row r="136" spans="9:22" x14ac:dyDescent="0.45">
      <c r="I136" t="s">
        <v>187</v>
      </c>
      <c r="J136" t="s">
        <v>379</v>
      </c>
      <c r="K136">
        <v>3.1440358237214382E-2</v>
      </c>
      <c r="L136" t="s">
        <v>166</v>
      </c>
      <c r="N136" t="s">
        <v>252</v>
      </c>
      <c r="O136" t="s">
        <v>379</v>
      </c>
      <c r="P136">
        <v>3.3769624435105776E-2</v>
      </c>
      <c r="Q136" t="s">
        <v>166</v>
      </c>
    </row>
    <row r="137" spans="9:22" x14ac:dyDescent="0.45">
      <c r="I137" t="s">
        <v>187</v>
      </c>
      <c r="J137" t="s">
        <v>380</v>
      </c>
      <c r="K137">
        <v>0.29140512106312388</v>
      </c>
      <c r="L137" t="s">
        <v>166</v>
      </c>
      <c r="N137" t="s">
        <v>252</v>
      </c>
      <c r="O137" t="s">
        <v>380</v>
      </c>
      <c r="P137">
        <v>7.8945042840196891E-2</v>
      </c>
      <c r="Q137" t="s">
        <v>166</v>
      </c>
    </row>
    <row r="138" spans="9:22" x14ac:dyDescent="0.45">
      <c r="I138" t="s">
        <v>187</v>
      </c>
      <c r="J138" t="s">
        <v>381</v>
      </c>
      <c r="K138">
        <v>7.4663916727834507E-3</v>
      </c>
      <c r="L138" t="s">
        <v>166</v>
      </c>
      <c r="N138" t="s">
        <v>252</v>
      </c>
      <c r="O138" t="s">
        <v>381</v>
      </c>
      <c r="P138">
        <v>0.16433775904989101</v>
      </c>
      <c r="Q138" t="s">
        <v>166</v>
      </c>
    </row>
    <row r="139" spans="9:22" x14ac:dyDescent="0.45">
      <c r="I139" t="s">
        <v>187</v>
      </c>
      <c r="J139" t="s">
        <v>382</v>
      </c>
      <c r="K139">
        <v>3.861933312223477E-2</v>
      </c>
      <c r="L139" t="s">
        <v>166</v>
      </c>
      <c r="N139" t="s">
        <v>252</v>
      </c>
      <c r="O139" t="s">
        <v>382</v>
      </c>
      <c r="P139">
        <v>1.5193027062219814E-2</v>
      </c>
      <c r="Q139" t="s">
        <v>166</v>
      </c>
    </row>
    <row r="140" spans="9:22" x14ac:dyDescent="0.45">
      <c r="I140" t="s">
        <v>187</v>
      </c>
      <c r="J140" t="s">
        <v>383</v>
      </c>
      <c r="K140">
        <v>0.16017813593632038</v>
      </c>
      <c r="L140" t="s">
        <v>166</v>
      </c>
      <c r="N140" t="s">
        <v>252</v>
      </c>
      <c r="O140" t="s">
        <v>383</v>
      </c>
      <c r="P140">
        <v>8.366030881874377E-2</v>
      </c>
      <c r="Q140" t="s">
        <v>166</v>
      </c>
    </row>
    <row r="141" spans="9:22" x14ac:dyDescent="0.45">
      <c r="I141" t="s">
        <v>187</v>
      </c>
      <c r="J141" t="s">
        <v>384</v>
      </c>
      <c r="K141">
        <v>0</v>
      </c>
      <c r="L141" t="s">
        <v>166</v>
      </c>
      <c r="N141" t="s">
        <v>252</v>
      </c>
      <c r="O141" t="s">
        <v>384</v>
      </c>
      <c r="P141">
        <v>0.11820109171185963</v>
      </c>
      <c r="Q141" t="s">
        <v>166</v>
      </c>
    </row>
    <row r="142" spans="9:22" x14ac:dyDescent="0.45">
      <c r="I142" t="s">
        <v>187</v>
      </c>
      <c r="J142" t="s">
        <v>385</v>
      </c>
      <c r="K142">
        <v>1.2104686618828065E-2</v>
      </c>
      <c r="L142" t="s">
        <v>166</v>
      </c>
      <c r="N142" t="s">
        <v>252</v>
      </c>
      <c r="O142" t="s">
        <v>385</v>
      </c>
      <c r="P142">
        <v>2.1369661355064816E-2</v>
      </c>
      <c r="Q142" t="s">
        <v>166</v>
      </c>
    </row>
    <row r="143" spans="9:22" x14ac:dyDescent="0.45">
      <c r="I143" t="s">
        <v>188</v>
      </c>
      <c r="J143" t="s">
        <v>374</v>
      </c>
      <c r="K143">
        <v>0.20997547377200043</v>
      </c>
      <c r="L143" t="s">
        <v>166</v>
      </c>
      <c r="N143" t="s">
        <v>253</v>
      </c>
      <c r="O143" t="s">
        <v>374</v>
      </c>
      <c r="P143">
        <v>6.414735078191644E-2</v>
      </c>
      <c r="Q143" t="s">
        <v>166</v>
      </c>
    </row>
    <row r="144" spans="9:22" x14ac:dyDescent="0.45">
      <c r="I144" t="s">
        <v>188</v>
      </c>
      <c r="J144" t="s">
        <v>375</v>
      </c>
      <c r="K144">
        <v>0</v>
      </c>
      <c r="L144" t="s">
        <v>166</v>
      </c>
      <c r="N144" t="s">
        <v>253</v>
      </c>
      <c r="O144" t="s">
        <v>375</v>
      </c>
      <c r="P144">
        <v>7.188539455239866E-2</v>
      </c>
      <c r="Q144" t="s">
        <v>166</v>
      </c>
    </row>
    <row r="145" spans="9:17" x14ac:dyDescent="0.45">
      <c r="I145" t="s">
        <v>188</v>
      </c>
      <c r="J145" t="s">
        <v>376</v>
      </c>
      <c r="K145">
        <v>1.6498181037894258E-2</v>
      </c>
      <c r="L145" t="s">
        <v>166</v>
      </c>
      <c r="N145" t="s">
        <v>253</v>
      </c>
      <c r="O145" t="s">
        <v>376</v>
      </c>
      <c r="P145">
        <v>1.8086182332968031E-2</v>
      </c>
      <c r="Q145" t="s">
        <v>166</v>
      </c>
    </row>
    <row r="146" spans="9:17" x14ac:dyDescent="0.45">
      <c r="I146" t="s">
        <v>188</v>
      </c>
      <c r="J146" t="s">
        <v>377</v>
      </c>
      <c r="K146">
        <v>0.24016677101274669</v>
      </c>
      <c r="L146" t="s">
        <v>166</v>
      </c>
      <c r="N146" t="s">
        <v>253</v>
      </c>
      <c r="O146" t="s">
        <v>377</v>
      </c>
      <c r="P146">
        <v>0.17524285387694152</v>
      </c>
      <c r="Q146" t="s">
        <v>166</v>
      </c>
    </row>
    <row r="147" spans="9:17" x14ac:dyDescent="0.45">
      <c r="I147" t="s">
        <v>188</v>
      </c>
      <c r="J147" t="s">
        <v>378</v>
      </c>
      <c r="K147">
        <v>3.6511511765174149E-3</v>
      </c>
      <c r="L147" t="s">
        <v>166</v>
      </c>
      <c r="N147" t="s">
        <v>253</v>
      </c>
      <c r="O147" t="s">
        <v>378</v>
      </c>
      <c r="P147">
        <v>0.18169317542109953</v>
      </c>
      <c r="Q147" t="s">
        <v>166</v>
      </c>
    </row>
    <row r="148" spans="9:17" x14ac:dyDescent="0.45">
      <c r="I148" t="s">
        <v>188</v>
      </c>
      <c r="J148" t="s">
        <v>379</v>
      </c>
      <c r="K148">
        <v>3.2168304156942995E-2</v>
      </c>
      <c r="L148" t="s">
        <v>166</v>
      </c>
      <c r="N148" t="s">
        <v>253</v>
      </c>
      <c r="O148" t="s">
        <v>379</v>
      </c>
      <c r="P148">
        <v>4.252425075469931E-2</v>
      </c>
      <c r="Q148" t="s">
        <v>166</v>
      </c>
    </row>
    <row r="149" spans="9:17" x14ac:dyDescent="0.45">
      <c r="I149" t="s">
        <v>188</v>
      </c>
      <c r="J149" t="s">
        <v>380</v>
      </c>
      <c r="K149">
        <v>0.26915593660748949</v>
      </c>
      <c r="L149" t="s">
        <v>166</v>
      </c>
      <c r="N149" t="s">
        <v>253</v>
      </c>
      <c r="O149" t="s">
        <v>380</v>
      </c>
      <c r="P149">
        <v>8.8343685268213776E-2</v>
      </c>
      <c r="Q149" t="s">
        <v>166</v>
      </c>
    </row>
    <row r="150" spans="9:17" x14ac:dyDescent="0.45">
      <c r="I150" t="s">
        <v>188</v>
      </c>
      <c r="J150" t="s">
        <v>381</v>
      </c>
      <c r="K150">
        <v>7.9141301618412228E-3</v>
      </c>
      <c r="L150" t="s">
        <v>166</v>
      </c>
      <c r="N150" t="s">
        <v>253</v>
      </c>
      <c r="O150" t="s">
        <v>381</v>
      </c>
      <c r="P150">
        <v>0.11063692134356086</v>
      </c>
      <c r="Q150" t="s">
        <v>166</v>
      </c>
    </row>
    <row r="151" spans="9:17" x14ac:dyDescent="0.45">
      <c r="I151" t="s">
        <v>188</v>
      </c>
      <c r="J151" t="s">
        <v>382</v>
      </c>
      <c r="K151">
        <v>3.5741143766446271E-2</v>
      </c>
      <c r="L151" t="s">
        <v>166</v>
      </c>
      <c r="N151" t="s">
        <v>253</v>
      </c>
      <c r="O151" t="s">
        <v>382</v>
      </c>
      <c r="P151">
        <v>1.5610932597650283E-2</v>
      </c>
      <c r="Q151" t="s">
        <v>166</v>
      </c>
    </row>
    <row r="152" spans="9:17" x14ac:dyDescent="0.45">
      <c r="I152" t="s">
        <v>188</v>
      </c>
      <c r="J152" t="s">
        <v>383</v>
      </c>
      <c r="K152">
        <v>0.1693237789548529</v>
      </c>
      <c r="L152" t="s">
        <v>166</v>
      </c>
      <c r="N152" t="s">
        <v>253</v>
      </c>
      <c r="O152" t="s">
        <v>383</v>
      </c>
      <c r="P152">
        <v>9.8134331909275355E-2</v>
      </c>
      <c r="Q152" t="s">
        <v>166</v>
      </c>
    </row>
    <row r="153" spans="9:17" x14ac:dyDescent="0.45">
      <c r="I153" t="s">
        <v>188</v>
      </c>
      <c r="J153" t="s">
        <v>384</v>
      </c>
      <c r="K153">
        <v>0</v>
      </c>
      <c r="L153" t="s">
        <v>166</v>
      </c>
      <c r="N153" t="s">
        <v>253</v>
      </c>
      <c r="O153" t="s">
        <v>384</v>
      </c>
      <c r="P153">
        <v>0.10942762309252976</v>
      </c>
      <c r="Q153" t="s">
        <v>166</v>
      </c>
    </row>
    <row r="154" spans="9:17" x14ac:dyDescent="0.45">
      <c r="I154" t="s">
        <v>188</v>
      </c>
      <c r="J154" t="s">
        <v>385</v>
      </c>
      <c r="K154">
        <v>1.5405129353269721E-2</v>
      </c>
      <c r="L154" t="s">
        <v>166</v>
      </c>
      <c r="N154" t="s">
        <v>253</v>
      </c>
      <c r="O154" t="s">
        <v>385</v>
      </c>
      <c r="P154">
        <v>2.4267298068742622E-2</v>
      </c>
      <c r="Q154" t="s">
        <v>166</v>
      </c>
    </row>
    <row r="155" spans="9:17" x14ac:dyDescent="0.45">
      <c r="I155" t="s">
        <v>189</v>
      </c>
      <c r="J155" t="s">
        <v>374</v>
      </c>
      <c r="K155">
        <v>0.20193854204841025</v>
      </c>
      <c r="L155" t="s">
        <v>166</v>
      </c>
      <c r="N155" t="s">
        <v>254</v>
      </c>
      <c r="O155" t="s">
        <v>374</v>
      </c>
      <c r="P155">
        <v>5.8437737595883152E-2</v>
      </c>
      <c r="Q155" t="s">
        <v>166</v>
      </c>
    </row>
    <row r="156" spans="9:17" x14ac:dyDescent="0.45">
      <c r="I156" t="s">
        <v>189</v>
      </c>
      <c r="J156" t="s">
        <v>375</v>
      </c>
      <c r="K156">
        <v>0</v>
      </c>
      <c r="L156" t="s">
        <v>166</v>
      </c>
      <c r="N156" t="s">
        <v>254</v>
      </c>
      <c r="O156" t="s">
        <v>375</v>
      </c>
      <c r="P156">
        <v>0.10927713783291543</v>
      </c>
      <c r="Q156" t="s">
        <v>166</v>
      </c>
    </row>
    <row r="157" spans="9:17" x14ac:dyDescent="0.45">
      <c r="I157" t="s">
        <v>189</v>
      </c>
      <c r="J157" t="s">
        <v>376</v>
      </c>
      <c r="K157">
        <v>1.7080058329403878E-2</v>
      </c>
      <c r="L157" t="s">
        <v>166</v>
      </c>
      <c r="N157" t="s">
        <v>254</v>
      </c>
      <c r="O157" t="s">
        <v>376</v>
      </c>
      <c r="P157">
        <v>1.1031929443838653E-2</v>
      </c>
      <c r="Q157" t="s">
        <v>166</v>
      </c>
    </row>
    <row r="158" spans="9:17" x14ac:dyDescent="0.45">
      <c r="I158" t="s">
        <v>189</v>
      </c>
      <c r="J158" t="s">
        <v>377</v>
      </c>
      <c r="K158">
        <v>0.24040952747484501</v>
      </c>
      <c r="L158" t="s">
        <v>166</v>
      </c>
      <c r="N158" t="s">
        <v>254</v>
      </c>
      <c r="O158" t="s">
        <v>377</v>
      </c>
      <c r="P158">
        <v>0.12597304708065749</v>
      </c>
      <c r="Q158" t="s">
        <v>166</v>
      </c>
    </row>
    <row r="159" spans="9:17" x14ac:dyDescent="0.45">
      <c r="I159" t="s">
        <v>189</v>
      </c>
      <c r="J159" t="s">
        <v>378</v>
      </c>
      <c r="K159">
        <v>4.0826094802022339E-3</v>
      </c>
      <c r="L159" t="s">
        <v>166</v>
      </c>
      <c r="N159" t="s">
        <v>254</v>
      </c>
      <c r="O159" t="s">
        <v>378</v>
      </c>
      <c r="P159">
        <v>0.18559239351906834</v>
      </c>
      <c r="Q159" t="s">
        <v>166</v>
      </c>
    </row>
    <row r="160" spans="9:17" x14ac:dyDescent="0.45">
      <c r="I160" t="s">
        <v>189</v>
      </c>
      <c r="J160" t="s">
        <v>379</v>
      </c>
      <c r="K160">
        <v>3.4752571705975122E-2</v>
      </c>
      <c r="L160" t="s">
        <v>166</v>
      </c>
      <c r="N160" t="s">
        <v>254</v>
      </c>
      <c r="O160" t="s">
        <v>379</v>
      </c>
      <c r="P160">
        <v>2.7081914181280222E-2</v>
      </c>
      <c r="Q160" t="s">
        <v>166</v>
      </c>
    </row>
    <row r="161" spans="9:17" x14ac:dyDescent="0.45">
      <c r="I161" t="s">
        <v>189</v>
      </c>
      <c r="J161" t="s">
        <v>380</v>
      </c>
      <c r="K161">
        <v>0.26890946552130818</v>
      </c>
      <c r="L161" t="s">
        <v>166</v>
      </c>
      <c r="N161" t="s">
        <v>254</v>
      </c>
      <c r="O161" t="s">
        <v>380</v>
      </c>
      <c r="P161">
        <v>8.7245389119200184E-2</v>
      </c>
      <c r="Q161" t="s">
        <v>166</v>
      </c>
    </row>
    <row r="162" spans="9:17" x14ac:dyDescent="0.45">
      <c r="I162" t="s">
        <v>189</v>
      </c>
      <c r="J162" t="s">
        <v>381</v>
      </c>
      <c r="K162">
        <v>8.6008143084901813E-3</v>
      </c>
      <c r="L162" t="s">
        <v>166</v>
      </c>
      <c r="N162" t="s">
        <v>254</v>
      </c>
      <c r="O162" t="s">
        <v>381</v>
      </c>
      <c r="P162">
        <v>0.15440064100069947</v>
      </c>
      <c r="Q162" t="s">
        <v>166</v>
      </c>
    </row>
    <row r="163" spans="9:17" x14ac:dyDescent="0.45">
      <c r="I163" t="s">
        <v>189</v>
      </c>
      <c r="J163" t="s">
        <v>382</v>
      </c>
      <c r="K163">
        <v>4.0002681006228218E-2</v>
      </c>
      <c r="L163" t="s">
        <v>166</v>
      </c>
      <c r="N163" t="s">
        <v>254</v>
      </c>
      <c r="O163" t="s">
        <v>382</v>
      </c>
      <c r="P163">
        <v>1.1978755774691992E-2</v>
      </c>
      <c r="Q163" t="s">
        <v>166</v>
      </c>
    </row>
    <row r="164" spans="9:17" x14ac:dyDescent="0.45">
      <c r="I164" t="s">
        <v>189</v>
      </c>
      <c r="J164" t="s">
        <v>383</v>
      </c>
      <c r="K164">
        <v>0.16868753596963126</v>
      </c>
      <c r="L164" t="s">
        <v>166</v>
      </c>
      <c r="N164" t="s">
        <v>254</v>
      </c>
      <c r="O164" t="s">
        <v>383</v>
      </c>
      <c r="P164">
        <v>8.6276215561264691E-2</v>
      </c>
      <c r="Q164" t="s">
        <v>166</v>
      </c>
    </row>
    <row r="165" spans="9:17" x14ac:dyDescent="0.45">
      <c r="I165" t="s">
        <v>189</v>
      </c>
      <c r="J165" t="s">
        <v>384</v>
      </c>
      <c r="K165">
        <v>0</v>
      </c>
      <c r="L165" t="s">
        <v>166</v>
      </c>
      <c r="N165" t="s">
        <v>254</v>
      </c>
      <c r="O165" t="s">
        <v>384</v>
      </c>
      <c r="P165">
        <v>0.12555783351013325</v>
      </c>
      <c r="Q165" t="s">
        <v>166</v>
      </c>
    </row>
    <row r="166" spans="9:17" x14ac:dyDescent="0.45">
      <c r="I166" t="s">
        <v>189</v>
      </c>
      <c r="J166" t="s">
        <v>385</v>
      </c>
      <c r="K166">
        <v>1.553619415550595E-2</v>
      </c>
      <c r="L166" t="s">
        <v>166</v>
      </c>
      <c r="N166" t="s">
        <v>254</v>
      </c>
      <c r="O166" t="s">
        <v>385</v>
      </c>
      <c r="P166">
        <v>1.7147005380370287E-2</v>
      </c>
      <c r="Q166" t="s">
        <v>166</v>
      </c>
    </row>
    <row r="167" spans="9:17" x14ac:dyDescent="0.45">
      <c r="I167" t="s">
        <v>190</v>
      </c>
      <c r="J167" t="s">
        <v>374</v>
      </c>
      <c r="K167">
        <v>0.20425463304954899</v>
      </c>
      <c r="L167" t="s">
        <v>166</v>
      </c>
      <c r="N167" t="s">
        <v>255</v>
      </c>
      <c r="O167" t="s">
        <v>374</v>
      </c>
      <c r="P167">
        <v>7.3389064708775237E-2</v>
      </c>
      <c r="Q167" t="s">
        <v>166</v>
      </c>
    </row>
    <row r="168" spans="9:17" x14ac:dyDescent="0.45">
      <c r="I168" t="s">
        <v>190</v>
      </c>
      <c r="J168" t="s">
        <v>375</v>
      </c>
      <c r="K168">
        <v>0</v>
      </c>
      <c r="L168" t="s">
        <v>166</v>
      </c>
      <c r="N168" t="s">
        <v>255</v>
      </c>
      <c r="O168" t="s">
        <v>375</v>
      </c>
      <c r="P168">
        <v>0.10655700639192731</v>
      </c>
      <c r="Q168" t="s">
        <v>166</v>
      </c>
    </row>
    <row r="169" spans="9:17" x14ac:dyDescent="0.45">
      <c r="I169" t="s">
        <v>190</v>
      </c>
      <c r="J169" t="s">
        <v>376</v>
      </c>
      <c r="K169">
        <v>9.0870279921273361E-3</v>
      </c>
      <c r="L169" t="s">
        <v>166</v>
      </c>
      <c r="N169" t="s">
        <v>255</v>
      </c>
      <c r="O169" t="s">
        <v>376</v>
      </c>
      <c r="P169">
        <v>1.5291649899130849E-2</v>
      </c>
      <c r="Q169" t="s">
        <v>166</v>
      </c>
    </row>
    <row r="170" spans="9:17" x14ac:dyDescent="0.45">
      <c r="I170" t="s">
        <v>190</v>
      </c>
      <c r="J170" t="s">
        <v>377</v>
      </c>
      <c r="K170">
        <v>0.26004085657160952</v>
      </c>
      <c r="L170" t="s">
        <v>166</v>
      </c>
      <c r="N170" t="s">
        <v>255</v>
      </c>
      <c r="O170" t="s">
        <v>377</v>
      </c>
      <c r="P170">
        <v>0.13046687072992497</v>
      </c>
      <c r="Q170" t="s">
        <v>166</v>
      </c>
    </row>
    <row r="171" spans="9:17" x14ac:dyDescent="0.45">
      <c r="I171" t="s">
        <v>190</v>
      </c>
      <c r="J171" t="s">
        <v>378</v>
      </c>
      <c r="K171">
        <v>6.8356209885610719E-4</v>
      </c>
      <c r="L171" t="s">
        <v>166</v>
      </c>
      <c r="N171" t="s">
        <v>255</v>
      </c>
      <c r="O171" t="s">
        <v>378</v>
      </c>
      <c r="P171">
        <v>0.15885736768383171</v>
      </c>
      <c r="Q171" t="s">
        <v>166</v>
      </c>
    </row>
    <row r="172" spans="9:17" x14ac:dyDescent="0.45">
      <c r="I172" t="s">
        <v>190</v>
      </c>
      <c r="J172" t="s">
        <v>379</v>
      </c>
      <c r="K172">
        <v>2.5642675327608899E-2</v>
      </c>
      <c r="L172" t="s">
        <v>166</v>
      </c>
      <c r="N172" t="s">
        <v>255</v>
      </c>
      <c r="O172" t="s">
        <v>379</v>
      </c>
      <c r="P172">
        <v>2.53437642351973E-2</v>
      </c>
      <c r="Q172" t="s">
        <v>166</v>
      </c>
    </row>
    <row r="173" spans="9:17" x14ac:dyDescent="0.45">
      <c r="I173" t="s">
        <v>190</v>
      </c>
      <c r="J173" t="s">
        <v>380</v>
      </c>
      <c r="K173">
        <v>0.29106732114234696</v>
      </c>
      <c r="L173" t="s">
        <v>166</v>
      </c>
      <c r="N173" t="s">
        <v>255</v>
      </c>
      <c r="O173" t="s">
        <v>380</v>
      </c>
      <c r="P173">
        <v>8.8230659892995666E-2</v>
      </c>
      <c r="Q173" t="s">
        <v>166</v>
      </c>
    </row>
    <row r="174" spans="9:17" x14ac:dyDescent="0.45">
      <c r="I174" t="s">
        <v>190</v>
      </c>
      <c r="J174" t="s">
        <v>381</v>
      </c>
      <c r="K174">
        <v>4.5542519666566502E-3</v>
      </c>
      <c r="L174" t="s">
        <v>166</v>
      </c>
      <c r="N174" t="s">
        <v>255</v>
      </c>
      <c r="O174" t="s">
        <v>381</v>
      </c>
      <c r="P174">
        <v>0.14588716812607636</v>
      </c>
      <c r="Q174" t="s">
        <v>166</v>
      </c>
    </row>
    <row r="175" spans="9:17" x14ac:dyDescent="0.45">
      <c r="I175" t="s">
        <v>190</v>
      </c>
      <c r="J175" t="s">
        <v>382</v>
      </c>
      <c r="K175">
        <v>3.1946570835672379E-2</v>
      </c>
      <c r="L175" t="s">
        <v>166</v>
      </c>
      <c r="N175" t="s">
        <v>255</v>
      </c>
      <c r="O175" t="s">
        <v>382</v>
      </c>
      <c r="P175">
        <v>1.9321211603140324E-2</v>
      </c>
      <c r="Q175" t="s">
        <v>166</v>
      </c>
    </row>
    <row r="176" spans="9:17" x14ac:dyDescent="0.45">
      <c r="I176" t="s">
        <v>190</v>
      </c>
      <c r="J176" t="s">
        <v>383</v>
      </c>
      <c r="K176">
        <v>0.16651226208250638</v>
      </c>
      <c r="L176" t="s">
        <v>166</v>
      </c>
      <c r="N176" t="s">
        <v>255</v>
      </c>
      <c r="O176" t="s">
        <v>383</v>
      </c>
      <c r="P176">
        <v>0.10037998517470723</v>
      </c>
      <c r="Q176" t="s">
        <v>166</v>
      </c>
    </row>
    <row r="177" spans="9:17" x14ac:dyDescent="0.45">
      <c r="I177" t="s">
        <v>190</v>
      </c>
      <c r="J177" t="s">
        <v>384</v>
      </c>
      <c r="K177">
        <v>0</v>
      </c>
      <c r="L177" t="s">
        <v>166</v>
      </c>
      <c r="N177" t="s">
        <v>255</v>
      </c>
      <c r="O177" t="s">
        <v>384</v>
      </c>
      <c r="P177">
        <v>0.11617333025527146</v>
      </c>
      <c r="Q177" t="s">
        <v>166</v>
      </c>
    </row>
    <row r="178" spans="9:17" x14ac:dyDescent="0.45">
      <c r="I178" t="s">
        <v>190</v>
      </c>
      <c r="J178" t="s">
        <v>385</v>
      </c>
      <c r="K178">
        <v>6.2108389330674061E-3</v>
      </c>
      <c r="L178" t="s">
        <v>166</v>
      </c>
      <c r="N178" t="s">
        <v>255</v>
      </c>
      <c r="O178" t="s">
        <v>385</v>
      </c>
      <c r="P178">
        <v>2.0101921299023787E-2</v>
      </c>
      <c r="Q178" t="s">
        <v>166</v>
      </c>
    </row>
    <row r="179" spans="9:17" x14ac:dyDescent="0.45">
      <c r="I179" t="s">
        <v>191</v>
      </c>
      <c r="J179" t="s">
        <v>374</v>
      </c>
      <c r="K179">
        <v>0.20165829162703311</v>
      </c>
      <c r="L179" t="s">
        <v>166</v>
      </c>
      <c r="N179" t="s">
        <v>256</v>
      </c>
      <c r="O179" t="s">
        <v>374</v>
      </c>
      <c r="P179">
        <v>6.2186600064770864E-2</v>
      </c>
      <c r="Q179" t="s">
        <v>166</v>
      </c>
    </row>
    <row r="180" spans="9:17" x14ac:dyDescent="0.45">
      <c r="I180" t="s">
        <v>191</v>
      </c>
      <c r="J180" t="s">
        <v>375</v>
      </c>
      <c r="K180">
        <v>0</v>
      </c>
      <c r="L180" t="s">
        <v>166</v>
      </c>
      <c r="N180" t="s">
        <v>256</v>
      </c>
      <c r="O180" t="s">
        <v>375</v>
      </c>
      <c r="P180">
        <v>9.5640506716328968E-2</v>
      </c>
      <c r="Q180" t="s">
        <v>166</v>
      </c>
    </row>
    <row r="181" spans="9:17" x14ac:dyDescent="0.45">
      <c r="I181" t="s">
        <v>191</v>
      </c>
      <c r="J181" t="s">
        <v>376</v>
      </c>
      <c r="K181">
        <v>7.4724951739005372E-3</v>
      </c>
      <c r="L181" t="s">
        <v>166</v>
      </c>
      <c r="N181" t="s">
        <v>256</v>
      </c>
      <c r="O181" t="s">
        <v>376</v>
      </c>
      <c r="P181">
        <v>2.049450415786758E-2</v>
      </c>
      <c r="Q181" t="s">
        <v>166</v>
      </c>
    </row>
    <row r="182" spans="9:17" x14ac:dyDescent="0.45">
      <c r="I182" t="s">
        <v>191</v>
      </c>
      <c r="J182" t="s">
        <v>377</v>
      </c>
      <c r="K182">
        <v>0.26371662246524719</v>
      </c>
      <c r="L182" t="s">
        <v>166</v>
      </c>
      <c r="N182" t="s">
        <v>256</v>
      </c>
      <c r="O182" t="s">
        <v>377</v>
      </c>
      <c r="P182">
        <v>0.14335257474421176</v>
      </c>
      <c r="Q182" t="s">
        <v>166</v>
      </c>
    </row>
    <row r="183" spans="9:17" x14ac:dyDescent="0.45">
      <c r="I183" t="s">
        <v>191</v>
      </c>
      <c r="J183" t="s">
        <v>378</v>
      </c>
      <c r="K183">
        <v>7.1702733776985903E-4</v>
      </c>
      <c r="L183" t="s">
        <v>166</v>
      </c>
      <c r="N183" t="s">
        <v>256</v>
      </c>
      <c r="O183" t="s">
        <v>378</v>
      </c>
      <c r="P183">
        <v>0.17709452225086586</v>
      </c>
      <c r="Q183" t="s">
        <v>166</v>
      </c>
    </row>
    <row r="184" spans="9:17" x14ac:dyDescent="0.45">
      <c r="I184" t="s">
        <v>191</v>
      </c>
      <c r="J184" t="s">
        <v>379</v>
      </c>
      <c r="K184">
        <v>2.4598345673145866E-2</v>
      </c>
      <c r="L184" t="s">
        <v>166</v>
      </c>
      <c r="N184" t="s">
        <v>256</v>
      </c>
      <c r="O184" t="s">
        <v>379</v>
      </c>
      <c r="P184">
        <v>3.4404090539457456E-2</v>
      </c>
      <c r="Q184" t="s">
        <v>166</v>
      </c>
    </row>
    <row r="185" spans="9:17" x14ac:dyDescent="0.45">
      <c r="I185" t="s">
        <v>191</v>
      </c>
      <c r="J185" t="s">
        <v>380</v>
      </c>
      <c r="K185">
        <v>0.29924378287941467</v>
      </c>
      <c r="L185" t="s">
        <v>166</v>
      </c>
      <c r="N185" t="s">
        <v>256</v>
      </c>
      <c r="O185" t="s">
        <v>380</v>
      </c>
      <c r="P185">
        <v>7.2852708344846195E-2</v>
      </c>
      <c r="Q185" t="s">
        <v>166</v>
      </c>
    </row>
    <row r="186" spans="9:17" x14ac:dyDescent="0.45">
      <c r="I186" t="s">
        <v>191</v>
      </c>
      <c r="J186" t="s">
        <v>381</v>
      </c>
      <c r="K186">
        <v>5.6705974557754247E-3</v>
      </c>
      <c r="L186" t="s">
        <v>166</v>
      </c>
      <c r="N186" t="s">
        <v>256</v>
      </c>
      <c r="O186" t="s">
        <v>381</v>
      </c>
      <c r="P186">
        <v>0.15911184964709443</v>
      </c>
      <c r="Q186" t="s">
        <v>166</v>
      </c>
    </row>
    <row r="187" spans="9:17" x14ac:dyDescent="0.45">
      <c r="I187" t="s">
        <v>191</v>
      </c>
      <c r="J187" t="s">
        <v>382</v>
      </c>
      <c r="K187">
        <v>3.2316047403207974E-2</v>
      </c>
      <c r="L187" t="s">
        <v>166</v>
      </c>
      <c r="N187" t="s">
        <v>256</v>
      </c>
      <c r="O187" t="s">
        <v>382</v>
      </c>
      <c r="P187">
        <v>2.4043495142476969E-2</v>
      </c>
      <c r="Q187" t="s">
        <v>166</v>
      </c>
    </row>
    <row r="188" spans="9:17" x14ac:dyDescent="0.45">
      <c r="I188" t="s">
        <v>191</v>
      </c>
      <c r="J188" t="s">
        <v>383</v>
      </c>
      <c r="K188">
        <v>0.15975040913723115</v>
      </c>
      <c r="L188" t="s">
        <v>166</v>
      </c>
      <c r="N188" t="s">
        <v>256</v>
      </c>
      <c r="O188" t="s">
        <v>383</v>
      </c>
      <c r="P188">
        <v>8.9223431052994365E-2</v>
      </c>
      <c r="Q188" t="s">
        <v>166</v>
      </c>
    </row>
    <row r="189" spans="9:17" x14ac:dyDescent="0.45">
      <c r="I189" t="s">
        <v>191</v>
      </c>
      <c r="J189" t="s">
        <v>384</v>
      </c>
      <c r="K189">
        <v>0</v>
      </c>
      <c r="L189" t="s">
        <v>166</v>
      </c>
      <c r="N189" t="s">
        <v>256</v>
      </c>
      <c r="O189" t="s">
        <v>384</v>
      </c>
      <c r="P189">
        <v>9.845122701055925E-2</v>
      </c>
      <c r="Q189" t="s">
        <v>166</v>
      </c>
    </row>
    <row r="190" spans="9:17" x14ac:dyDescent="0.45">
      <c r="I190" t="s">
        <v>191</v>
      </c>
      <c r="J190" t="s">
        <v>385</v>
      </c>
      <c r="K190">
        <v>4.856380847273481E-3</v>
      </c>
      <c r="L190" t="s">
        <v>166</v>
      </c>
      <c r="N190" t="s">
        <v>256</v>
      </c>
      <c r="O190" t="s">
        <v>385</v>
      </c>
      <c r="P190">
        <v>2.3144490328527084E-2</v>
      </c>
      <c r="Q190" t="s">
        <v>166</v>
      </c>
    </row>
    <row r="191" spans="9:17" x14ac:dyDescent="0.45">
      <c r="I191" t="s">
        <v>192</v>
      </c>
      <c r="J191" t="s">
        <v>374</v>
      </c>
      <c r="K191">
        <v>0.20566753826565082</v>
      </c>
      <c r="L191" t="s">
        <v>166</v>
      </c>
      <c r="N191" t="s">
        <v>257</v>
      </c>
      <c r="O191" t="s">
        <v>374</v>
      </c>
      <c r="P191">
        <v>5.6802962099900246E-2</v>
      </c>
      <c r="Q191" t="s">
        <v>166</v>
      </c>
    </row>
    <row r="192" spans="9:17" x14ac:dyDescent="0.45">
      <c r="I192" t="s">
        <v>192</v>
      </c>
      <c r="J192" t="s">
        <v>375</v>
      </c>
      <c r="K192">
        <v>0</v>
      </c>
      <c r="L192" t="s">
        <v>166</v>
      </c>
      <c r="N192" t="s">
        <v>257</v>
      </c>
      <c r="O192" t="s">
        <v>375</v>
      </c>
      <c r="P192">
        <v>0.11829941865627502</v>
      </c>
      <c r="Q192" t="s">
        <v>166</v>
      </c>
    </row>
    <row r="193" spans="9:17" x14ac:dyDescent="0.45">
      <c r="I193" t="s">
        <v>192</v>
      </c>
      <c r="J193" t="s">
        <v>376</v>
      </c>
      <c r="K193">
        <v>6.3626445864390152E-3</v>
      </c>
      <c r="L193" t="s">
        <v>166</v>
      </c>
      <c r="N193" t="s">
        <v>257</v>
      </c>
      <c r="O193" t="s">
        <v>376</v>
      </c>
      <c r="P193">
        <v>1.0357380112145209E-2</v>
      </c>
      <c r="Q193" t="s">
        <v>166</v>
      </c>
    </row>
    <row r="194" spans="9:17" x14ac:dyDescent="0.45">
      <c r="I194" t="s">
        <v>192</v>
      </c>
      <c r="J194" t="s">
        <v>377</v>
      </c>
      <c r="K194">
        <v>0.26479441716840196</v>
      </c>
      <c r="L194" t="s">
        <v>166</v>
      </c>
      <c r="N194" t="s">
        <v>257</v>
      </c>
      <c r="O194" t="s">
        <v>377</v>
      </c>
      <c r="P194">
        <v>0.12463824696090016</v>
      </c>
      <c r="Q194" t="s">
        <v>166</v>
      </c>
    </row>
    <row r="195" spans="9:17" x14ac:dyDescent="0.45">
      <c r="I195" t="s">
        <v>192</v>
      </c>
      <c r="J195" t="s">
        <v>378</v>
      </c>
      <c r="K195">
        <v>7.6838373641769677E-4</v>
      </c>
      <c r="L195" t="s">
        <v>166</v>
      </c>
      <c r="N195" t="s">
        <v>257</v>
      </c>
      <c r="O195" t="s">
        <v>378</v>
      </c>
      <c r="P195">
        <v>0.15665968563183783</v>
      </c>
      <c r="Q195" t="s">
        <v>166</v>
      </c>
    </row>
    <row r="196" spans="9:17" x14ac:dyDescent="0.45">
      <c r="I196" t="s">
        <v>192</v>
      </c>
      <c r="J196" t="s">
        <v>379</v>
      </c>
      <c r="K196">
        <v>2.2544052542543401E-2</v>
      </c>
      <c r="L196" t="s">
        <v>166</v>
      </c>
      <c r="N196" t="s">
        <v>257</v>
      </c>
      <c r="O196" t="s">
        <v>379</v>
      </c>
      <c r="P196">
        <v>3.2752016255027772E-2</v>
      </c>
      <c r="Q196" t="s">
        <v>166</v>
      </c>
    </row>
    <row r="197" spans="9:17" x14ac:dyDescent="0.45">
      <c r="I197" t="s">
        <v>192</v>
      </c>
      <c r="J197" t="s">
        <v>380</v>
      </c>
      <c r="K197">
        <v>0.301957421402689</v>
      </c>
      <c r="L197" t="s">
        <v>166</v>
      </c>
      <c r="N197" t="s">
        <v>257</v>
      </c>
      <c r="O197" t="s">
        <v>380</v>
      </c>
      <c r="P197">
        <v>9.5363442601563153E-2</v>
      </c>
      <c r="Q197" t="s">
        <v>166</v>
      </c>
    </row>
    <row r="198" spans="9:17" x14ac:dyDescent="0.45">
      <c r="I198" t="s">
        <v>192</v>
      </c>
      <c r="J198" t="s">
        <v>381</v>
      </c>
      <c r="K198">
        <v>5.6642579704775228E-3</v>
      </c>
      <c r="L198" t="s">
        <v>166</v>
      </c>
      <c r="N198" t="s">
        <v>257</v>
      </c>
      <c r="O198" t="s">
        <v>381</v>
      </c>
      <c r="P198">
        <v>0.1959539784108468</v>
      </c>
      <c r="Q198" t="s">
        <v>166</v>
      </c>
    </row>
    <row r="199" spans="9:17" x14ac:dyDescent="0.45">
      <c r="I199" t="s">
        <v>192</v>
      </c>
      <c r="J199" t="s">
        <v>382</v>
      </c>
      <c r="K199">
        <v>3.134048825977552E-2</v>
      </c>
      <c r="L199" t="s">
        <v>166</v>
      </c>
      <c r="N199" t="s">
        <v>257</v>
      </c>
      <c r="O199" t="s">
        <v>382</v>
      </c>
      <c r="P199">
        <v>1.277058926313881E-2</v>
      </c>
      <c r="Q199" t="s">
        <v>166</v>
      </c>
    </row>
    <row r="200" spans="9:17" x14ac:dyDescent="0.45">
      <c r="I200" t="s">
        <v>192</v>
      </c>
      <c r="J200" t="s">
        <v>383</v>
      </c>
      <c r="K200">
        <v>0.15685274234134372</v>
      </c>
      <c r="L200" t="s">
        <v>166</v>
      </c>
      <c r="N200" t="s">
        <v>257</v>
      </c>
      <c r="O200" t="s">
        <v>383</v>
      </c>
      <c r="P200">
        <v>7.1792491233496153E-2</v>
      </c>
      <c r="Q200" t="s">
        <v>166</v>
      </c>
    </row>
    <row r="201" spans="9:17" x14ac:dyDescent="0.45">
      <c r="I201" t="s">
        <v>192</v>
      </c>
      <c r="J201" t="s">
        <v>384</v>
      </c>
      <c r="K201">
        <v>0</v>
      </c>
      <c r="L201" t="s">
        <v>166</v>
      </c>
      <c r="N201" t="s">
        <v>257</v>
      </c>
      <c r="O201" t="s">
        <v>384</v>
      </c>
      <c r="P201">
        <v>0.10648835466635745</v>
      </c>
      <c r="Q201" t="s">
        <v>166</v>
      </c>
    </row>
    <row r="202" spans="9:17" x14ac:dyDescent="0.45">
      <c r="I202" t="s">
        <v>192</v>
      </c>
      <c r="J202" t="s">
        <v>385</v>
      </c>
      <c r="K202">
        <v>4.0480537262623005E-3</v>
      </c>
      <c r="L202" t="s">
        <v>166</v>
      </c>
      <c r="N202" t="s">
        <v>257</v>
      </c>
      <c r="O202" t="s">
        <v>385</v>
      </c>
      <c r="P202">
        <v>1.8121434108508902E-2</v>
      </c>
      <c r="Q202" t="s">
        <v>166</v>
      </c>
    </row>
    <row r="203" spans="9:17" x14ac:dyDescent="0.45">
      <c r="I203" t="s">
        <v>193</v>
      </c>
      <c r="J203" t="s">
        <v>374</v>
      </c>
      <c r="K203">
        <v>0.20868069370436343</v>
      </c>
      <c r="L203" t="s">
        <v>166</v>
      </c>
      <c r="N203" t="s">
        <v>258</v>
      </c>
      <c r="O203" t="s">
        <v>374</v>
      </c>
      <c r="P203">
        <v>7.0607330586041531E-2</v>
      </c>
      <c r="Q203" t="s">
        <v>166</v>
      </c>
    </row>
    <row r="204" spans="9:17" x14ac:dyDescent="0.45">
      <c r="I204" t="s">
        <v>193</v>
      </c>
      <c r="J204" t="s">
        <v>375</v>
      </c>
      <c r="K204">
        <v>0</v>
      </c>
      <c r="L204" t="s">
        <v>166</v>
      </c>
      <c r="N204" t="s">
        <v>258</v>
      </c>
      <c r="O204" t="s">
        <v>375</v>
      </c>
      <c r="P204">
        <v>8.3632316551953828E-2</v>
      </c>
      <c r="Q204" t="s">
        <v>166</v>
      </c>
    </row>
    <row r="205" spans="9:17" x14ac:dyDescent="0.45">
      <c r="I205" t="s">
        <v>193</v>
      </c>
      <c r="J205" t="s">
        <v>376</v>
      </c>
      <c r="K205">
        <v>6.3900188697977893E-3</v>
      </c>
      <c r="L205" t="s">
        <v>166</v>
      </c>
      <c r="N205" t="s">
        <v>258</v>
      </c>
      <c r="O205" t="s">
        <v>376</v>
      </c>
      <c r="P205">
        <v>1.3017951730059468E-2</v>
      </c>
      <c r="Q205" t="s">
        <v>166</v>
      </c>
    </row>
    <row r="206" spans="9:17" x14ac:dyDescent="0.45">
      <c r="I206" t="s">
        <v>193</v>
      </c>
      <c r="J206" t="s">
        <v>377</v>
      </c>
      <c r="K206">
        <v>0.26769122657641498</v>
      </c>
      <c r="L206" t="s">
        <v>166</v>
      </c>
      <c r="N206" t="s">
        <v>258</v>
      </c>
      <c r="O206" t="s">
        <v>377</v>
      </c>
      <c r="P206">
        <v>0.16039952451469094</v>
      </c>
      <c r="Q206" t="s">
        <v>166</v>
      </c>
    </row>
    <row r="207" spans="9:17" x14ac:dyDescent="0.45">
      <c r="I207" t="s">
        <v>193</v>
      </c>
      <c r="J207" t="s">
        <v>378</v>
      </c>
      <c r="K207">
        <v>6.1297439101799583E-4</v>
      </c>
      <c r="L207" t="s">
        <v>166</v>
      </c>
      <c r="N207" t="s">
        <v>258</v>
      </c>
      <c r="O207" t="s">
        <v>378</v>
      </c>
      <c r="P207">
        <v>0.1491712504002054</v>
      </c>
      <c r="Q207" t="s">
        <v>166</v>
      </c>
    </row>
    <row r="208" spans="9:17" x14ac:dyDescent="0.45">
      <c r="I208" t="s">
        <v>193</v>
      </c>
      <c r="J208" t="s">
        <v>379</v>
      </c>
      <c r="K208">
        <v>2.2734200814454115E-2</v>
      </c>
      <c r="L208" t="s">
        <v>166</v>
      </c>
      <c r="N208" t="s">
        <v>258</v>
      </c>
      <c r="O208" t="s">
        <v>379</v>
      </c>
      <c r="P208">
        <v>3.7704907036982975E-2</v>
      </c>
      <c r="Q208" t="s">
        <v>166</v>
      </c>
    </row>
    <row r="209" spans="9:17" x14ac:dyDescent="0.45">
      <c r="I209" t="s">
        <v>193</v>
      </c>
      <c r="J209" t="s">
        <v>380</v>
      </c>
      <c r="K209">
        <v>0.28757642303521586</v>
      </c>
      <c r="L209" t="s">
        <v>166</v>
      </c>
      <c r="N209" t="s">
        <v>258</v>
      </c>
      <c r="O209" t="s">
        <v>380</v>
      </c>
      <c r="P209">
        <v>0.11022766392802687</v>
      </c>
      <c r="Q209" t="s">
        <v>166</v>
      </c>
    </row>
    <row r="210" spans="9:17" x14ac:dyDescent="0.45">
      <c r="I210" t="s">
        <v>193</v>
      </c>
      <c r="J210" t="s">
        <v>381</v>
      </c>
      <c r="K210">
        <v>4.8687610977462504E-3</v>
      </c>
      <c r="L210" t="s">
        <v>166</v>
      </c>
      <c r="N210" t="s">
        <v>258</v>
      </c>
      <c r="O210" t="s">
        <v>381</v>
      </c>
      <c r="P210">
        <v>0.12703473431733456</v>
      </c>
      <c r="Q210" t="s">
        <v>166</v>
      </c>
    </row>
    <row r="211" spans="9:17" x14ac:dyDescent="0.45">
      <c r="I211" t="s">
        <v>193</v>
      </c>
      <c r="J211" t="s">
        <v>382</v>
      </c>
      <c r="K211">
        <v>2.7020033979033579E-2</v>
      </c>
      <c r="L211" t="s">
        <v>166</v>
      </c>
      <c r="N211" t="s">
        <v>258</v>
      </c>
      <c r="O211" t="s">
        <v>382</v>
      </c>
      <c r="P211">
        <v>1.4976805266782198E-2</v>
      </c>
      <c r="Q211" t="s">
        <v>166</v>
      </c>
    </row>
    <row r="212" spans="9:17" x14ac:dyDescent="0.45">
      <c r="I212" t="s">
        <v>193</v>
      </c>
      <c r="J212" t="s">
        <v>383</v>
      </c>
      <c r="K212">
        <v>0.1697746238254256</v>
      </c>
      <c r="L212" t="s">
        <v>166</v>
      </c>
      <c r="N212" t="s">
        <v>258</v>
      </c>
      <c r="O212" t="s">
        <v>383</v>
      </c>
      <c r="P212">
        <v>9.4382425121941907E-2</v>
      </c>
      <c r="Q212" t="s">
        <v>166</v>
      </c>
    </row>
    <row r="213" spans="9:17" x14ac:dyDescent="0.45">
      <c r="I213" t="s">
        <v>193</v>
      </c>
      <c r="J213" t="s">
        <v>384</v>
      </c>
      <c r="K213">
        <v>0</v>
      </c>
      <c r="L213" t="s">
        <v>166</v>
      </c>
      <c r="N213" t="s">
        <v>258</v>
      </c>
      <c r="O213" t="s">
        <v>384</v>
      </c>
      <c r="P213">
        <v>0.11751485137585692</v>
      </c>
      <c r="Q213" t="s">
        <v>166</v>
      </c>
    </row>
    <row r="214" spans="9:17" x14ac:dyDescent="0.45">
      <c r="I214" t="s">
        <v>193</v>
      </c>
      <c r="J214" t="s">
        <v>385</v>
      </c>
      <c r="K214">
        <v>4.6510437065294466E-3</v>
      </c>
      <c r="L214" t="s">
        <v>166</v>
      </c>
      <c r="N214" t="s">
        <v>258</v>
      </c>
      <c r="O214" t="s">
        <v>385</v>
      </c>
      <c r="P214">
        <v>2.1330239170125907E-2</v>
      </c>
      <c r="Q214" t="s">
        <v>166</v>
      </c>
    </row>
    <row r="215" spans="9:17" x14ac:dyDescent="0.45">
      <c r="I215" t="s">
        <v>194</v>
      </c>
      <c r="J215" t="s">
        <v>374</v>
      </c>
      <c r="K215">
        <v>0.21147098111246179</v>
      </c>
      <c r="L215" t="s">
        <v>166</v>
      </c>
      <c r="N215" t="s">
        <v>259</v>
      </c>
      <c r="O215" t="s">
        <v>374</v>
      </c>
      <c r="P215">
        <v>6.4595451390391787E-2</v>
      </c>
      <c r="Q215" t="s">
        <v>166</v>
      </c>
    </row>
    <row r="216" spans="9:17" x14ac:dyDescent="0.45">
      <c r="I216" t="s">
        <v>194</v>
      </c>
      <c r="J216" t="s">
        <v>375</v>
      </c>
      <c r="K216">
        <v>0</v>
      </c>
      <c r="L216" t="s">
        <v>166</v>
      </c>
      <c r="N216" t="s">
        <v>259</v>
      </c>
      <c r="O216" t="s">
        <v>375</v>
      </c>
      <c r="P216">
        <v>7.3560904732810434E-2</v>
      </c>
      <c r="Q216" t="s">
        <v>166</v>
      </c>
    </row>
    <row r="217" spans="9:17" x14ac:dyDescent="0.45">
      <c r="I217" t="s">
        <v>194</v>
      </c>
      <c r="J217" t="s">
        <v>376</v>
      </c>
      <c r="K217">
        <v>9.3998195996532977E-3</v>
      </c>
      <c r="L217" t="s">
        <v>166</v>
      </c>
      <c r="N217" t="s">
        <v>259</v>
      </c>
      <c r="O217" t="s">
        <v>376</v>
      </c>
      <c r="P217">
        <v>1.6573898516917093E-2</v>
      </c>
      <c r="Q217" t="s">
        <v>166</v>
      </c>
    </row>
    <row r="218" spans="9:17" x14ac:dyDescent="0.45">
      <c r="I218" t="s">
        <v>194</v>
      </c>
      <c r="J218" t="s">
        <v>377</v>
      </c>
      <c r="K218">
        <v>0.26261430034122341</v>
      </c>
      <c r="L218" t="s">
        <v>166</v>
      </c>
      <c r="N218" t="s">
        <v>259</v>
      </c>
      <c r="O218" t="s">
        <v>377</v>
      </c>
      <c r="P218">
        <v>0.18636683255547859</v>
      </c>
      <c r="Q218" t="s">
        <v>166</v>
      </c>
    </row>
    <row r="219" spans="9:17" x14ac:dyDescent="0.45">
      <c r="I219" t="s">
        <v>194</v>
      </c>
      <c r="J219" t="s">
        <v>378</v>
      </c>
      <c r="K219">
        <v>5.965699562118054E-4</v>
      </c>
      <c r="L219" t="s">
        <v>166</v>
      </c>
      <c r="N219" t="s">
        <v>259</v>
      </c>
      <c r="O219" t="s">
        <v>378</v>
      </c>
      <c r="P219">
        <v>0.15432972663902941</v>
      </c>
      <c r="Q219" t="s">
        <v>166</v>
      </c>
    </row>
    <row r="220" spans="9:17" x14ac:dyDescent="0.45">
      <c r="I220" t="s">
        <v>194</v>
      </c>
      <c r="J220" t="s">
        <v>379</v>
      </c>
      <c r="K220">
        <v>2.6570515674996079E-2</v>
      </c>
      <c r="L220" t="s">
        <v>166</v>
      </c>
      <c r="N220" t="s">
        <v>259</v>
      </c>
      <c r="O220" t="s">
        <v>379</v>
      </c>
      <c r="P220">
        <v>5.1079841971190629E-2</v>
      </c>
      <c r="Q220" t="s">
        <v>166</v>
      </c>
    </row>
    <row r="221" spans="9:17" x14ac:dyDescent="0.45">
      <c r="I221" t="s">
        <v>194</v>
      </c>
      <c r="J221" t="s">
        <v>380</v>
      </c>
      <c r="K221">
        <v>0.27198658613508053</v>
      </c>
      <c r="L221" t="s">
        <v>166</v>
      </c>
      <c r="N221" t="s">
        <v>259</v>
      </c>
      <c r="O221" t="s">
        <v>380</v>
      </c>
      <c r="P221">
        <v>9.4897674466780685E-2</v>
      </c>
      <c r="Q221" t="s">
        <v>166</v>
      </c>
    </row>
    <row r="222" spans="9:17" x14ac:dyDescent="0.45">
      <c r="I222" t="s">
        <v>194</v>
      </c>
      <c r="J222" t="s">
        <v>381</v>
      </c>
      <c r="K222">
        <v>3.432291647812349E-3</v>
      </c>
      <c r="L222" t="s">
        <v>166</v>
      </c>
      <c r="N222" t="s">
        <v>259</v>
      </c>
      <c r="O222" t="s">
        <v>381</v>
      </c>
      <c r="P222">
        <v>0.13878722244549785</v>
      </c>
      <c r="Q222" t="s">
        <v>166</v>
      </c>
    </row>
    <row r="223" spans="9:17" x14ac:dyDescent="0.45">
      <c r="I223" t="s">
        <v>194</v>
      </c>
      <c r="J223" t="s">
        <v>382</v>
      </c>
      <c r="K223">
        <v>2.9125733144307612E-2</v>
      </c>
      <c r="L223" t="s">
        <v>166</v>
      </c>
      <c r="N223" t="s">
        <v>259</v>
      </c>
      <c r="O223" t="s">
        <v>382</v>
      </c>
      <c r="P223">
        <v>1.848791332768368E-2</v>
      </c>
      <c r="Q223" t="s">
        <v>166</v>
      </c>
    </row>
    <row r="224" spans="9:17" x14ac:dyDescent="0.45">
      <c r="I224" t="s">
        <v>194</v>
      </c>
      <c r="J224" t="s">
        <v>383</v>
      </c>
      <c r="K224">
        <v>0.17760897458989613</v>
      </c>
      <c r="L224" t="s">
        <v>166</v>
      </c>
      <c r="N224" t="s">
        <v>259</v>
      </c>
      <c r="O224" t="s">
        <v>383</v>
      </c>
      <c r="P224">
        <v>8.7462500879445168E-2</v>
      </c>
      <c r="Q224" t="s">
        <v>166</v>
      </c>
    </row>
    <row r="225" spans="9:17" x14ac:dyDescent="0.45">
      <c r="I225" t="s">
        <v>194</v>
      </c>
      <c r="J225" t="s">
        <v>384</v>
      </c>
      <c r="K225">
        <v>0</v>
      </c>
      <c r="L225" t="s">
        <v>166</v>
      </c>
      <c r="N225" t="s">
        <v>259</v>
      </c>
      <c r="O225" t="s">
        <v>384</v>
      </c>
      <c r="P225">
        <v>8.9332459432546349E-2</v>
      </c>
      <c r="Q225" t="s">
        <v>166</v>
      </c>
    </row>
    <row r="226" spans="9:17" x14ac:dyDescent="0.45">
      <c r="I226" t="s">
        <v>194</v>
      </c>
      <c r="J226" t="s">
        <v>385</v>
      </c>
      <c r="K226">
        <v>7.1942277983581774E-3</v>
      </c>
      <c r="L226" t="s">
        <v>166</v>
      </c>
      <c r="N226" t="s">
        <v>259</v>
      </c>
      <c r="O226" t="s">
        <v>385</v>
      </c>
      <c r="P226">
        <v>2.4525573642225129E-2</v>
      </c>
      <c r="Q226" t="s">
        <v>166</v>
      </c>
    </row>
    <row r="227" spans="9:17" x14ac:dyDescent="0.45">
      <c r="I227" t="s">
        <v>195</v>
      </c>
      <c r="J227" t="s">
        <v>374</v>
      </c>
      <c r="K227">
        <v>0.21578399194402892</v>
      </c>
      <c r="L227" t="s">
        <v>166</v>
      </c>
      <c r="N227" t="s">
        <v>260</v>
      </c>
      <c r="O227" t="s">
        <v>374</v>
      </c>
      <c r="P227">
        <v>4.8097905397636469E-2</v>
      </c>
      <c r="Q227" t="s">
        <v>166</v>
      </c>
    </row>
    <row r="228" spans="9:17" x14ac:dyDescent="0.45">
      <c r="I228" t="s">
        <v>195</v>
      </c>
      <c r="J228" t="s">
        <v>375</v>
      </c>
      <c r="K228">
        <v>0</v>
      </c>
      <c r="L228" t="s">
        <v>166</v>
      </c>
      <c r="N228" t="s">
        <v>260</v>
      </c>
      <c r="O228" t="s">
        <v>375</v>
      </c>
      <c r="P228">
        <v>9.2373693033220003E-2</v>
      </c>
      <c r="Q228" t="s">
        <v>166</v>
      </c>
    </row>
    <row r="229" spans="9:17" x14ac:dyDescent="0.45">
      <c r="I229" t="s">
        <v>195</v>
      </c>
      <c r="J229" t="s">
        <v>376</v>
      </c>
      <c r="K229">
        <v>9.7733124990909276E-3</v>
      </c>
      <c r="L229" t="s">
        <v>166</v>
      </c>
      <c r="N229" t="s">
        <v>260</v>
      </c>
      <c r="O229" t="s">
        <v>376</v>
      </c>
      <c r="P229">
        <v>1.4780338166128424E-2</v>
      </c>
      <c r="Q229" t="s">
        <v>166</v>
      </c>
    </row>
    <row r="230" spans="9:17" x14ac:dyDescent="0.45">
      <c r="I230" t="s">
        <v>195</v>
      </c>
      <c r="J230" t="s">
        <v>377</v>
      </c>
      <c r="K230">
        <v>0.26265828625031917</v>
      </c>
      <c r="L230" t="s">
        <v>166</v>
      </c>
      <c r="N230" t="s">
        <v>260</v>
      </c>
      <c r="O230" t="s">
        <v>377</v>
      </c>
      <c r="P230">
        <v>0.15094961794388614</v>
      </c>
      <c r="Q230" t="s">
        <v>166</v>
      </c>
    </row>
    <row r="231" spans="9:17" x14ac:dyDescent="0.45">
      <c r="I231" t="s">
        <v>195</v>
      </c>
      <c r="J231" t="s">
        <v>378</v>
      </c>
      <c r="K231">
        <v>2.6455521461205716E-4</v>
      </c>
      <c r="L231" t="s">
        <v>166</v>
      </c>
      <c r="N231" t="s">
        <v>260</v>
      </c>
      <c r="O231" t="s">
        <v>378</v>
      </c>
      <c r="P231">
        <v>0.14033108763901803</v>
      </c>
      <c r="Q231" t="s">
        <v>166</v>
      </c>
    </row>
    <row r="232" spans="9:17" x14ac:dyDescent="0.45">
      <c r="I232" t="s">
        <v>195</v>
      </c>
      <c r="J232" t="s">
        <v>379</v>
      </c>
      <c r="K232">
        <v>2.6342160167768358E-2</v>
      </c>
      <c r="L232" t="s">
        <v>166</v>
      </c>
      <c r="N232" t="s">
        <v>260</v>
      </c>
      <c r="O232" t="s">
        <v>379</v>
      </c>
      <c r="P232">
        <v>4.1354062832744037E-2</v>
      </c>
      <c r="Q232" t="s">
        <v>166</v>
      </c>
    </row>
    <row r="233" spans="9:17" x14ac:dyDescent="0.45">
      <c r="I233" t="s">
        <v>195</v>
      </c>
      <c r="J233" t="s">
        <v>380</v>
      </c>
      <c r="K233">
        <v>0.26007450752006911</v>
      </c>
      <c r="L233" t="s">
        <v>166</v>
      </c>
      <c r="N233" t="s">
        <v>260</v>
      </c>
      <c r="O233" t="s">
        <v>380</v>
      </c>
      <c r="P233">
        <v>9.5269349465272268E-2</v>
      </c>
      <c r="Q233" t="s">
        <v>166</v>
      </c>
    </row>
    <row r="234" spans="9:17" x14ac:dyDescent="0.45">
      <c r="I234" t="s">
        <v>195</v>
      </c>
      <c r="J234" t="s">
        <v>381</v>
      </c>
      <c r="K234">
        <v>2.760767659560695E-3</v>
      </c>
      <c r="L234" t="s">
        <v>166</v>
      </c>
      <c r="N234" t="s">
        <v>260</v>
      </c>
      <c r="O234" t="s">
        <v>381</v>
      </c>
      <c r="P234">
        <v>0.20515842059038814</v>
      </c>
      <c r="Q234" t="s">
        <v>166</v>
      </c>
    </row>
    <row r="235" spans="9:17" x14ac:dyDescent="0.45">
      <c r="I235" t="s">
        <v>195</v>
      </c>
      <c r="J235" t="s">
        <v>382</v>
      </c>
      <c r="K235">
        <v>2.8829565354920709E-2</v>
      </c>
      <c r="L235" t="s">
        <v>166</v>
      </c>
      <c r="N235" t="s">
        <v>260</v>
      </c>
      <c r="O235" t="s">
        <v>382</v>
      </c>
      <c r="P235">
        <v>2.1783752960609106E-2</v>
      </c>
      <c r="Q235" t="s">
        <v>166</v>
      </c>
    </row>
    <row r="236" spans="9:17" x14ac:dyDescent="0.45">
      <c r="I236" t="s">
        <v>195</v>
      </c>
      <c r="J236" t="s">
        <v>383</v>
      </c>
      <c r="K236">
        <v>0.18583716972413114</v>
      </c>
      <c r="L236" t="s">
        <v>166</v>
      </c>
      <c r="N236" t="s">
        <v>260</v>
      </c>
      <c r="O236" t="s">
        <v>383</v>
      </c>
      <c r="P236">
        <v>7.6922084887671577E-2</v>
      </c>
      <c r="Q236" t="s">
        <v>166</v>
      </c>
    </row>
    <row r="237" spans="9:17" x14ac:dyDescent="0.45">
      <c r="I237" t="s">
        <v>195</v>
      </c>
      <c r="J237" t="s">
        <v>384</v>
      </c>
      <c r="K237">
        <v>0</v>
      </c>
      <c r="L237" t="s">
        <v>166</v>
      </c>
      <c r="N237" t="s">
        <v>260</v>
      </c>
      <c r="O237" t="s">
        <v>384</v>
      </c>
      <c r="P237">
        <v>9.1231902315442689E-2</v>
      </c>
      <c r="Q237" t="s">
        <v>166</v>
      </c>
    </row>
    <row r="238" spans="9:17" x14ac:dyDescent="0.45">
      <c r="I238" t="s">
        <v>195</v>
      </c>
      <c r="J238" t="s">
        <v>385</v>
      </c>
      <c r="K238">
        <v>7.6756836655004967E-3</v>
      </c>
      <c r="L238" t="s">
        <v>166</v>
      </c>
      <c r="N238" t="s">
        <v>260</v>
      </c>
      <c r="O238" t="s">
        <v>385</v>
      </c>
      <c r="P238">
        <v>2.1747784767982819E-2</v>
      </c>
      <c r="Q238" t="s">
        <v>166</v>
      </c>
    </row>
    <row r="239" spans="9:17" x14ac:dyDescent="0.45">
      <c r="I239" t="s">
        <v>196</v>
      </c>
      <c r="J239" t="s">
        <v>374</v>
      </c>
      <c r="K239">
        <v>0.21523003131280635</v>
      </c>
      <c r="L239" t="s">
        <v>166</v>
      </c>
      <c r="N239" t="s">
        <v>261</v>
      </c>
      <c r="O239" t="s">
        <v>374</v>
      </c>
      <c r="P239">
        <v>4.6861494852709677E-2</v>
      </c>
      <c r="Q239" t="s">
        <v>166</v>
      </c>
    </row>
    <row r="240" spans="9:17" x14ac:dyDescent="0.45">
      <c r="I240" t="s">
        <v>196</v>
      </c>
      <c r="J240" t="s">
        <v>375</v>
      </c>
      <c r="K240">
        <v>0</v>
      </c>
      <c r="L240" t="s">
        <v>166</v>
      </c>
      <c r="N240" t="s">
        <v>261</v>
      </c>
      <c r="O240" t="s">
        <v>375</v>
      </c>
      <c r="P240">
        <v>0.10052576661842885</v>
      </c>
      <c r="Q240" t="s">
        <v>166</v>
      </c>
    </row>
    <row r="241" spans="9:17" x14ac:dyDescent="0.45">
      <c r="I241" t="s">
        <v>196</v>
      </c>
      <c r="J241" t="s">
        <v>376</v>
      </c>
      <c r="K241">
        <v>7.7686902261349302E-3</v>
      </c>
      <c r="L241" t="s">
        <v>166</v>
      </c>
      <c r="N241" t="s">
        <v>261</v>
      </c>
      <c r="O241" t="s">
        <v>376</v>
      </c>
      <c r="P241">
        <v>1.9957431350009942E-2</v>
      </c>
      <c r="Q241" t="s">
        <v>166</v>
      </c>
    </row>
    <row r="242" spans="9:17" x14ac:dyDescent="0.45">
      <c r="I242" t="s">
        <v>196</v>
      </c>
      <c r="J242" t="s">
        <v>377</v>
      </c>
      <c r="K242">
        <v>0.26349243747963036</v>
      </c>
      <c r="L242" t="s">
        <v>166</v>
      </c>
      <c r="N242" t="s">
        <v>261</v>
      </c>
      <c r="O242" t="s">
        <v>377</v>
      </c>
      <c r="P242">
        <v>0.14881806496382727</v>
      </c>
      <c r="Q242" t="s">
        <v>166</v>
      </c>
    </row>
    <row r="243" spans="9:17" x14ac:dyDescent="0.45">
      <c r="I243" t="s">
        <v>196</v>
      </c>
      <c r="J243" t="s">
        <v>378</v>
      </c>
      <c r="K243">
        <v>2.4129992206856719E-4</v>
      </c>
      <c r="L243" t="s">
        <v>166</v>
      </c>
      <c r="N243" t="s">
        <v>261</v>
      </c>
      <c r="O243" t="s">
        <v>378</v>
      </c>
      <c r="P243">
        <v>0.15660148984023997</v>
      </c>
      <c r="Q243" t="s">
        <v>166</v>
      </c>
    </row>
    <row r="244" spans="9:17" x14ac:dyDescent="0.45">
      <c r="I244" t="s">
        <v>196</v>
      </c>
      <c r="J244" t="s">
        <v>379</v>
      </c>
      <c r="K244">
        <v>2.414180239019198E-2</v>
      </c>
      <c r="L244" t="s">
        <v>166</v>
      </c>
      <c r="N244" t="s">
        <v>261</v>
      </c>
      <c r="O244" t="s">
        <v>379</v>
      </c>
      <c r="P244">
        <v>4.1318306322399884E-2</v>
      </c>
      <c r="Q244" t="s">
        <v>166</v>
      </c>
    </row>
    <row r="245" spans="9:17" x14ac:dyDescent="0.45">
      <c r="I245" t="s">
        <v>196</v>
      </c>
      <c r="J245" t="s">
        <v>380</v>
      </c>
      <c r="K245">
        <v>0.26469216011873642</v>
      </c>
      <c r="L245" t="s">
        <v>166</v>
      </c>
      <c r="N245" t="s">
        <v>261</v>
      </c>
      <c r="O245" t="s">
        <v>380</v>
      </c>
      <c r="P245">
        <v>9.053597681415522E-2</v>
      </c>
      <c r="Q245" t="s">
        <v>166</v>
      </c>
    </row>
    <row r="246" spans="9:17" x14ac:dyDescent="0.45">
      <c r="I246" t="s">
        <v>196</v>
      </c>
      <c r="J246" t="s">
        <v>381</v>
      </c>
      <c r="K246">
        <v>3.3748877420278667E-3</v>
      </c>
      <c r="L246" t="s">
        <v>166</v>
      </c>
      <c r="N246" t="s">
        <v>261</v>
      </c>
      <c r="O246" t="s">
        <v>381</v>
      </c>
      <c r="P246">
        <v>0.1996429482155469</v>
      </c>
      <c r="Q246" t="s">
        <v>166</v>
      </c>
    </row>
    <row r="247" spans="9:17" x14ac:dyDescent="0.45">
      <c r="I247" t="s">
        <v>196</v>
      </c>
      <c r="J247" t="s">
        <v>382</v>
      </c>
      <c r="K247">
        <v>2.6944644861193304E-2</v>
      </c>
      <c r="L247" t="s">
        <v>166</v>
      </c>
      <c r="N247" t="s">
        <v>261</v>
      </c>
      <c r="O247" t="s">
        <v>382</v>
      </c>
      <c r="P247">
        <v>3.1936154177651076E-2</v>
      </c>
      <c r="Q247" t="s">
        <v>166</v>
      </c>
    </row>
    <row r="248" spans="9:17" x14ac:dyDescent="0.45">
      <c r="I248" t="s">
        <v>196</v>
      </c>
      <c r="J248" t="s">
        <v>383</v>
      </c>
      <c r="K248">
        <v>0.1877690127173566</v>
      </c>
      <c r="L248" t="s">
        <v>166</v>
      </c>
      <c r="N248" t="s">
        <v>261</v>
      </c>
      <c r="O248" t="s">
        <v>383</v>
      </c>
      <c r="P248">
        <v>6.2910106557276024E-2</v>
      </c>
      <c r="Q248" t="s">
        <v>166</v>
      </c>
    </row>
    <row r="249" spans="9:17" x14ac:dyDescent="0.45">
      <c r="I249" t="s">
        <v>196</v>
      </c>
      <c r="J249" t="s">
        <v>384</v>
      </c>
      <c r="K249">
        <v>0</v>
      </c>
      <c r="L249" t="s">
        <v>166</v>
      </c>
      <c r="N249" t="s">
        <v>261</v>
      </c>
      <c r="O249" t="s">
        <v>384</v>
      </c>
      <c r="P249">
        <v>7.8526552509479861E-2</v>
      </c>
      <c r="Q249" t="s">
        <v>166</v>
      </c>
    </row>
    <row r="250" spans="9:17" x14ac:dyDescent="0.45">
      <c r="I250" t="s">
        <v>196</v>
      </c>
      <c r="J250" t="s">
        <v>385</v>
      </c>
      <c r="K250">
        <v>6.345033229855206E-3</v>
      </c>
      <c r="L250" t="s">
        <v>166</v>
      </c>
      <c r="N250" t="s">
        <v>261</v>
      </c>
      <c r="O250" t="s">
        <v>385</v>
      </c>
      <c r="P250">
        <v>2.2365707778278586E-2</v>
      </c>
      <c r="Q250" t="s">
        <v>166</v>
      </c>
    </row>
    <row r="251" spans="9:17" x14ac:dyDescent="0.45">
      <c r="I251" t="s">
        <v>197</v>
      </c>
      <c r="J251" t="s">
        <v>374</v>
      </c>
      <c r="K251">
        <v>0.21321650142627838</v>
      </c>
      <c r="L251" t="s">
        <v>166</v>
      </c>
      <c r="N251" t="s">
        <v>262</v>
      </c>
      <c r="O251" t="s">
        <v>374</v>
      </c>
      <c r="P251">
        <v>6.1068098274496885E-2</v>
      </c>
      <c r="Q251" t="s">
        <v>166</v>
      </c>
    </row>
    <row r="252" spans="9:17" x14ac:dyDescent="0.45">
      <c r="I252" t="s">
        <v>197</v>
      </c>
      <c r="J252" t="s">
        <v>375</v>
      </c>
      <c r="K252">
        <v>0</v>
      </c>
      <c r="L252" t="s">
        <v>166</v>
      </c>
      <c r="N252" t="s">
        <v>262</v>
      </c>
      <c r="O252" t="s">
        <v>375</v>
      </c>
      <c r="P252">
        <v>8.2754748595136776E-2</v>
      </c>
      <c r="Q252" t="s">
        <v>166</v>
      </c>
    </row>
    <row r="253" spans="9:17" x14ac:dyDescent="0.45">
      <c r="I253" t="s">
        <v>197</v>
      </c>
      <c r="J253" t="s">
        <v>376</v>
      </c>
      <c r="K253">
        <v>1.3556698859430054E-2</v>
      </c>
      <c r="L253" t="s">
        <v>166</v>
      </c>
      <c r="N253" t="s">
        <v>262</v>
      </c>
      <c r="O253" t="s">
        <v>376</v>
      </c>
      <c r="P253">
        <v>2.0004796033608607E-2</v>
      </c>
      <c r="Q253" t="s">
        <v>166</v>
      </c>
    </row>
    <row r="254" spans="9:17" x14ac:dyDescent="0.45">
      <c r="I254" t="s">
        <v>197</v>
      </c>
      <c r="J254" t="s">
        <v>377</v>
      </c>
      <c r="K254">
        <v>0.26042803486369348</v>
      </c>
      <c r="L254" t="s">
        <v>166</v>
      </c>
      <c r="N254" t="s">
        <v>262</v>
      </c>
      <c r="O254" t="s">
        <v>377</v>
      </c>
      <c r="P254">
        <v>0.17029055968962364</v>
      </c>
      <c r="Q254" t="s">
        <v>166</v>
      </c>
    </row>
    <row r="255" spans="9:17" x14ac:dyDescent="0.45">
      <c r="I255" t="s">
        <v>197</v>
      </c>
      <c r="J255" t="s">
        <v>378</v>
      </c>
      <c r="K255">
        <v>1.2639024414396072E-3</v>
      </c>
      <c r="L255" t="s">
        <v>166</v>
      </c>
      <c r="N255" t="s">
        <v>262</v>
      </c>
      <c r="O255" t="s">
        <v>378</v>
      </c>
      <c r="P255">
        <v>0.13915422056003701</v>
      </c>
      <c r="Q255" t="s">
        <v>166</v>
      </c>
    </row>
    <row r="256" spans="9:17" x14ac:dyDescent="0.45">
      <c r="I256" t="s">
        <v>197</v>
      </c>
      <c r="J256" t="s">
        <v>379</v>
      </c>
      <c r="K256">
        <v>3.0523497714744486E-2</v>
      </c>
      <c r="L256" t="s">
        <v>166</v>
      </c>
      <c r="N256" t="s">
        <v>262</v>
      </c>
      <c r="O256" t="s">
        <v>379</v>
      </c>
      <c r="P256">
        <v>4.0403606013257168E-2</v>
      </c>
      <c r="Q256" t="s">
        <v>166</v>
      </c>
    </row>
    <row r="257" spans="9:17" x14ac:dyDescent="0.45">
      <c r="I257" t="s">
        <v>197</v>
      </c>
      <c r="J257" t="s">
        <v>380</v>
      </c>
      <c r="K257">
        <v>0.25588976609108022</v>
      </c>
      <c r="L257" t="s">
        <v>166</v>
      </c>
      <c r="N257" t="s">
        <v>262</v>
      </c>
      <c r="O257" t="s">
        <v>380</v>
      </c>
      <c r="P257">
        <v>9.1550124152310577E-2</v>
      </c>
      <c r="Q257" t="s">
        <v>166</v>
      </c>
    </row>
    <row r="258" spans="9:17" x14ac:dyDescent="0.45">
      <c r="I258" t="s">
        <v>197</v>
      </c>
      <c r="J258" t="s">
        <v>381</v>
      </c>
      <c r="K258">
        <v>4.0003508196977469E-3</v>
      </c>
      <c r="L258" t="s">
        <v>166</v>
      </c>
      <c r="N258" t="s">
        <v>262</v>
      </c>
      <c r="O258" t="s">
        <v>381</v>
      </c>
      <c r="P258">
        <v>0.17787460739775213</v>
      </c>
      <c r="Q258" t="s">
        <v>166</v>
      </c>
    </row>
    <row r="259" spans="9:17" x14ac:dyDescent="0.45">
      <c r="I259" t="s">
        <v>197</v>
      </c>
      <c r="J259" t="s">
        <v>382</v>
      </c>
      <c r="K259">
        <v>2.8395748647805183E-2</v>
      </c>
      <c r="L259" t="s">
        <v>166</v>
      </c>
      <c r="N259" t="s">
        <v>262</v>
      </c>
      <c r="O259" t="s">
        <v>382</v>
      </c>
      <c r="P259">
        <v>3.2386498964819474E-2</v>
      </c>
      <c r="Q259" t="s">
        <v>166</v>
      </c>
    </row>
    <row r="260" spans="9:17" x14ac:dyDescent="0.45">
      <c r="I260" t="s">
        <v>197</v>
      </c>
      <c r="J260" t="s">
        <v>383</v>
      </c>
      <c r="K260">
        <v>0.18018658113465383</v>
      </c>
      <c r="L260" t="s">
        <v>166</v>
      </c>
      <c r="N260" t="s">
        <v>262</v>
      </c>
      <c r="O260" t="s">
        <v>383</v>
      </c>
      <c r="P260">
        <v>8.91085829947727E-2</v>
      </c>
      <c r="Q260" t="s">
        <v>166</v>
      </c>
    </row>
    <row r="261" spans="9:17" x14ac:dyDescent="0.45">
      <c r="I261" t="s">
        <v>197</v>
      </c>
      <c r="J261" t="s">
        <v>384</v>
      </c>
      <c r="K261">
        <v>0</v>
      </c>
      <c r="L261" t="s">
        <v>166</v>
      </c>
      <c r="N261" t="s">
        <v>262</v>
      </c>
      <c r="O261" t="s">
        <v>384</v>
      </c>
      <c r="P261">
        <v>7.3583850903837483E-2</v>
      </c>
      <c r="Q261" t="s">
        <v>166</v>
      </c>
    </row>
    <row r="262" spans="9:17" x14ac:dyDescent="0.45">
      <c r="I262" t="s">
        <v>197</v>
      </c>
      <c r="J262" t="s">
        <v>385</v>
      </c>
      <c r="K262">
        <v>1.2538918001180174E-2</v>
      </c>
      <c r="L262" t="s">
        <v>166</v>
      </c>
      <c r="N262" t="s">
        <v>262</v>
      </c>
      <c r="O262" t="s">
        <v>385</v>
      </c>
      <c r="P262">
        <v>2.1820306420345683E-2</v>
      </c>
      <c r="Q262" t="s">
        <v>166</v>
      </c>
    </row>
    <row r="263" spans="9:17" x14ac:dyDescent="0.45">
      <c r="I263" t="s">
        <v>198</v>
      </c>
      <c r="J263" t="s">
        <v>374</v>
      </c>
      <c r="K263">
        <v>0.21393131510514404</v>
      </c>
      <c r="L263" t="s">
        <v>166</v>
      </c>
      <c r="N263" t="s">
        <v>263</v>
      </c>
      <c r="O263" t="s">
        <v>374</v>
      </c>
      <c r="P263">
        <v>7.4819143861377183E-2</v>
      </c>
      <c r="Q263" t="s">
        <v>166</v>
      </c>
    </row>
    <row r="264" spans="9:17" x14ac:dyDescent="0.45">
      <c r="I264" t="s">
        <v>198</v>
      </c>
      <c r="J264" t="s">
        <v>375</v>
      </c>
      <c r="K264">
        <v>0</v>
      </c>
      <c r="L264" t="s">
        <v>166</v>
      </c>
      <c r="N264" t="s">
        <v>263</v>
      </c>
      <c r="O264" t="s">
        <v>375</v>
      </c>
      <c r="P264">
        <v>0.11960353986361429</v>
      </c>
      <c r="Q264" t="s">
        <v>166</v>
      </c>
    </row>
    <row r="265" spans="9:17" x14ac:dyDescent="0.45">
      <c r="I265" t="s">
        <v>198</v>
      </c>
      <c r="J265" t="s">
        <v>376</v>
      </c>
      <c r="K265">
        <v>1.16500201631936E-2</v>
      </c>
      <c r="L265" t="s">
        <v>166</v>
      </c>
      <c r="N265" t="s">
        <v>263</v>
      </c>
      <c r="O265" t="s">
        <v>376</v>
      </c>
      <c r="P265">
        <v>9.1959682408048176E-3</v>
      </c>
      <c r="Q265" t="s">
        <v>166</v>
      </c>
    </row>
    <row r="266" spans="9:17" x14ac:dyDescent="0.45">
      <c r="I266" t="s">
        <v>198</v>
      </c>
      <c r="J266" t="s">
        <v>377</v>
      </c>
      <c r="K266">
        <v>0.2617116546858797</v>
      </c>
      <c r="L266" t="s">
        <v>166</v>
      </c>
      <c r="N266" t="s">
        <v>263</v>
      </c>
      <c r="O266" t="s">
        <v>377</v>
      </c>
      <c r="P266">
        <v>0.12355873935999191</v>
      </c>
      <c r="Q266" t="s">
        <v>166</v>
      </c>
    </row>
    <row r="267" spans="9:17" x14ac:dyDescent="0.45">
      <c r="I267" t="s">
        <v>198</v>
      </c>
      <c r="J267" t="s">
        <v>378</v>
      </c>
      <c r="K267">
        <v>8.7876602636478341E-4</v>
      </c>
      <c r="L267" t="s">
        <v>166</v>
      </c>
      <c r="N267" t="s">
        <v>263</v>
      </c>
      <c r="O267" t="s">
        <v>378</v>
      </c>
      <c r="P267">
        <v>0.14269561691013607</v>
      </c>
      <c r="Q267" t="s">
        <v>166</v>
      </c>
    </row>
    <row r="268" spans="9:17" x14ac:dyDescent="0.45">
      <c r="I268" t="s">
        <v>198</v>
      </c>
      <c r="J268" t="s">
        <v>379</v>
      </c>
      <c r="K268">
        <v>2.9120972298618319E-2</v>
      </c>
      <c r="L268" t="s">
        <v>166</v>
      </c>
      <c r="N268" t="s">
        <v>263</v>
      </c>
      <c r="O268" t="s">
        <v>379</v>
      </c>
      <c r="P268">
        <v>2.1914289658118525E-2</v>
      </c>
      <c r="Q268" t="s">
        <v>166</v>
      </c>
    </row>
    <row r="269" spans="9:17" x14ac:dyDescent="0.45">
      <c r="I269" t="s">
        <v>198</v>
      </c>
      <c r="J269" t="s">
        <v>380</v>
      </c>
      <c r="K269">
        <v>0.25843966818337916</v>
      </c>
      <c r="L269" t="s">
        <v>166</v>
      </c>
      <c r="N269" t="s">
        <v>263</v>
      </c>
      <c r="O269" t="s">
        <v>380</v>
      </c>
      <c r="P269">
        <v>0.11534389799505461</v>
      </c>
      <c r="Q269" t="s">
        <v>166</v>
      </c>
    </row>
    <row r="270" spans="9:17" x14ac:dyDescent="0.45">
      <c r="I270" t="s">
        <v>198</v>
      </c>
      <c r="J270" t="s">
        <v>381</v>
      </c>
      <c r="K270">
        <v>3.2028099229023279E-3</v>
      </c>
      <c r="L270" t="s">
        <v>166</v>
      </c>
      <c r="N270" t="s">
        <v>263</v>
      </c>
      <c r="O270" t="s">
        <v>381</v>
      </c>
      <c r="P270">
        <v>0.1439159429120089</v>
      </c>
      <c r="Q270" t="s">
        <v>166</v>
      </c>
    </row>
    <row r="271" spans="9:17" x14ac:dyDescent="0.45">
      <c r="I271" t="s">
        <v>198</v>
      </c>
      <c r="J271" t="s">
        <v>382</v>
      </c>
      <c r="K271">
        <v>2.8262311948846326E-2</v>
      </c>
      <c r="L271" t="s">
        <v>166</v>
      </c>
      <c r="N271" t="s">
        <v>263</v>
      </c>
      <c r="O271" t="s">
        <v>382</v>
      </c>
      <c r="P271">
        <v>1.4084575694786411E-2</v>
      </c>
      <c r="Q271" t="s">
        <v>166</v>
      </c>
    </row>
    <row r="272" spans="9:17" x14ac:dyDescent="0.45">
      <c r="I272" t="s">
        <v>198</v>
      </c>
      <c r="J272" t="s">
        <v>383</v>
      </c>
      <c r="K272">
        <v>0.18342532344711704</v>
      </c>
      <c r="L272" t="s">
        <v>166</v>
      </c>
      <c r="N272" t="s">
        <v>263</v>
      </c>
      <c r="O272" t="s">
        <v>383</v>
      </c>
      <c r="P272">
        <v>9.144901901229012E-2</v>
      </c>
      <c r="Q272" t="s">
        <v>166</v>
      </c>
    </row>
    <row r="273" spans="9:17" x14ac:dyDescent="0.45">
      <c r="I273" t="s">
        <v>198</v>
      </c>
      <c r="J273" t="s">
        <v>384</v>
      </c>
      <c r="K273">
        <v>0</v>
      </c>
      <c r="L273" t="s">
        <v>166</v>
      </c>
      <c r="N273" t="s">
        <v>263</v>
      </c>
      <c r="O273" t="s">
        <v>384</v>
      </c>
      <c r="P273">
        <v>0.12894171533026197</v>
      </c>
      <c r="Q273" t="s">
        <v>166</v>
      </c>
    </row>
    <row r="274" spans="9:17" x14ac:dyDescent="0.45">
      <c r="I274" t="s">
        <v>198</v>
      </c>
      <c r="J274" t="s">
        <v>385</v>
      </c>
      <c r="K274">
        <v>9.3771582185562443E-3</v>
      </c>
      <c r="L274" t="s">
        <v>166</v>
      </c>
      <c r="N274" t="s">
        <v>263</v>
      </c>
      <c r="O274" t="s">
        <v>385</v>
      </c>
      <c r="P274">
        <v>1.4477551161559726E-2</v>
      </c>
      <c r="Q274" t="s">
        <v>166</v>
      </c>
    </row>
    <row r="275" spans="9:17" x14ac:dyDescent="0.45">
      <c r="I275" t="s">
        <v>199</v>
      </c>
      <c r="J275" t="s">
        <v>374</v>
      </c>
      <c r="K275">
        <v>0.21612181917422146</v>
      </c>
      <c r="L275" t="s">
        <v>166</v>
      </c>
      <c r="N275" t="s">
        <v>264</v>
      </c>
      <c r="O275" t="s">
        <v>374</v>
      </c>
      <c r="P275">
        <v>6.818585242771405E-2</v>
      </c>
      <c r="Q275" t="s">
        <v>166</v>
      </c>
    </row>
    <row r="276" spans="9:17" x14ac:dyDescent="0.45">
      <c r="I276" t="s">
        <v>199</v>
      </c>
      <c r="J276" t="s">
        <v>375</v>
      </c>
      <c r="K276">
        <v>0</v>
      </c>
      <c r="L276" t="s">
        <v>166</v>
      </c>
      <c r="N276" t="s">
        <v>264</v>
      </c>
      <c r="O276" t="s">
        <v>375</v>
      </c>
      <c r="P276">
        <v>0.13232715005088577</v>
      </c>
      <c r="Q276" t="s">
        <v>166</v>
      </c>
    </row>
    <row r="277" spans="9:17" x14ac:dyDescent="0.45">
      <c r="I277" t="s">
        <v>199</v>
      </c>
      <c r="J277" t="s">
        <v>376</v>
      </c>
      <c r="K277">
        <v>1.4613043570179802E-2</v>
      </c>
      <c r="L277" t="s">
        <v>166</v>
      </c>
      <c r="N277" t="s">
        <v>264</v>
      </c>
      <c r="O277" t="s">
        <v>376</v>
      </c>
      <c r="P277">
        <v>1.015197452875922E-2</v>
      </c>
      <c r="Q277" t="s">
        <v>166</v>
      </c>
    </row>
    <row r="278" spans="9:17" x14ac:dyDescent="0.45">
      <c r="I278" t="s">
        <v>199</v>
      </c>
      <c r="J278" t="s">
        <v>377</v>
      </c>
      <c r="K278">
        <v>0.25578102237905315</v>
      </c>
      <c r="L278" t="s">
        <v>166</v>
      </c>
      <c r="N278" t="s">
        <v>264</v>
      </c>
      <c r="O278" t="s">
        <v>377</v>
      </c>
      <c r="P278">
        <v>0.10943770756308766</v>
      </c>
      <c r="Q278" t="s">
        <v>166</v>
      </c>
    </row>
    <row r="279" spans="9:17" x14ac:dyDescent="0.45">
      <c r="I279" t="s">
        <v>199</v>
      </c>
      <c r="J279" t="s">
        <v>378</v>
      </c>
      <c r="K279">
        <v>1.0207252178120923E-3</v>
      </c>
      <c r="L279" t="s">
        <v>166</v>
      </c>
      <c r="N279" t="s">
        <v>264</v>
      </c>
      <c r="O279" t="s">
        <v>378</v>
      </c>
      <c r="P279">
        <v>0.13089302678442005</v>
      </c>
      <c r="Q279" t="s">
        <v>166</v>
      </c>
    </row>
    <row r="280" spans="9:17" x14ac:dyDescent="0.45">
      <c r="I280" t="s">
        <v>199</v>
      </c>
      <c r="J280" t="s">
        <v>379</v>
      </c>
      <c r="K280">
        <v>2.9923917324572228E-2</v>
      </c>
      <c r="L280" t="s">
        <v>166</v>
      </c>
      <c r="N280" t="s">
        <v>264</v>
      </c>
      <c r="O280" t="s">
        <v>379</v>
      </c>
      <c r="P280">
        <v>2.2427545239744585E-2</v>
      </c>
      <c r="Q280" t="s">
        <v>166</v>
      </c>
    </row>
    <row r="281" spans="9:17" x14ac:dyDescent="0.45">
      <c r="I281" t="s">
        <v>199</v>
      </c>
      <c r="J281" t="s">
        <v>380</v>
      </c>
      <c r="K281">
        <v>0.25014623420906862</v>
      </c>
      <c r="L281" t="s">
        <v>166</v>
      </c>
      <c r="N281" t="s">
        <v>264</v>
      </c>
      <c r="O281" t="s">
        <v>380</v>
      </c>
      <c r="P281">
        <v>0.11097120233421076</v>
      </c>
      <c r="Q281" t="s">
        <v>166</v>
      </c>
    </row>
    <row r="282" spans="9:17" x14ac:dyDescent="0.45">
      <c r="I282" t="s">
        <v>199</v>
      </c>
      <c r="J282" t="s">
        <v>381</v>
      </c>
      <c r="K282">
        <v>3.6001560532646338E-3</v>
      </c>
      <c r="L282" t="s">
        <v>166</v>
      </c>
      <c r="N282" t="s">
        <v>264</v>
      </c>
      <c r="O282" t="s">
        <v>381</v>
      </c>
      <c r="P282">
        <v>0.17439321978324646</v>
      </c>
      <c r="Q282" t="s">
        <v>166</v>
      </c>
    </row>
    <row r="283" spans="9:17" x14ac:dyDescent="0.45">
      <c r="I283" t="s">
        <v>199</v>
      </c>
      <c r="J283" t="s">
        <v>382</v>
      </c>
      <c r="K283">
        <v>2.9824990198661087E-2</v>
      </c>
      <c r="L283" t="s">
        <v>166</v>
      </c>
      <c r="N283" t="s">
        <v>264</v>
      </c>
      <c r="O283" t="s">
        <v>382</v>
      </c>
      <c r="P283">
        <v>1.7557906476444105E-2</v>
      </c>
      <c r="Q283" t="s">
        <v>166</v>
      </c>
    </row>
    <row r="284" spans="9:17" x14ac:dyDescent="0.45">
      <c r="I284" t="s">
        <v>199</v>
      </c>
      <c r="J284" t="s">
        <v>383</v>
      </c>
      <c r="K284">
        <v>0.18623182546560607</v>
      </c>
      <c r="L284" t="s">
        <v>166</v>
      </c>
      <c r="N284" t="s">
        <v>264</v>
      </c>
      <c r="O284" t="s">
        <v>383</v>
      </c>
      <c r="P284">
        <v>8.4432707584019648E-2</v>
      </c>
      <c r="Q284" t="s">
        <v>166</v>
      </c>
    </row>
    <row r="285" spans="9:17" x14ac:dyDescent="0.45">
      <c r="I285" t="s">
        <v>199</v>
      </c>
      <c r="J285" t="s">
        <v>384</v>
      </c>
      <c r="K285">
        <v>0</v>
      </c>
      <c r="L285" t="s">
        <v>166</v>
      </c>
      <c r="N285" t="s">
        <v>264</v>
      </c>
      <c r="O285" t="s">
        <v>384</v>
      </c>
      <c r="P285">
        <v>0.12487942444879237</v>
      </c>
      <c r="Q285" t="s">
        <v>166</v>
      </c>
    </row>
    <row r="286" spans="9:17" x14ac:dyDescent="0.45">
      <c r="I286" t="s">
        <v>199</v>
      </c>
      <c r="J286" t="s">
        <v>385</v>
      </c>
      <c r="K286">
        <v>1.2736266407560478E-2</v>
      </c>
      <c r="L286" t="s">
        <v>166</v>
      </c>
      <c r="N286" t="s">
        <v>264</v>
      </c>
      <c r="O286" t="s">
        <v>385</v>
      </c>
      <c r="P286">
        <v>1.4342282778675056E-2</v>
      </c>
      <c r="Q286" t="s">
        <v>166</v>
      </c>
    </row>
    <row r="287" spans="9:17" x14ac:dyDescent="0.45">
      <c r="I287" t="s">
        <v>200</v>
      </c>
      <c r="J287" t="s">
        <v>374</v>
      </c>
      <c r="K287">
        <v>0.21726485259313985</v>
      </c>
      <c r="L287" t="s">
        <v>166</v>
      </c>
      <c r="N287" t="s">
        <v>265</v>
      </c>
      <c r="O287" t="s">
        <v>374</v>
      </c>
      <c r="P287">
        <v>7.1053901133302427E-2</v>
      </c>
      <c r="Q287" t="s">
        <v>166</v>
      </c>
    </row>
    <row r="288" spans="9:17" x14ac:dyDescent="0.45">
      <c r="I288" t="s">
        <v>200</v>
      </c>
      <c r="J288" t="s">
        <v>375</v>
      </c>
      <c r="K288">
        <v>0</v>
      </c>
      <c r="L288" t="s">
        <v>166</v>
      </c>
      <c r="N288" t="s">
        <v>265</v>
      </c>
      <c r="O288" t="s">
        <v>375</v>
      </c>
      <c r="P288">
        <v>0.11712342733248911</v>
      </c>
      <c r="Q288" t="s">
        <v>166</v>
      </c>
    </row>
    <row r="289" spans="9:17" x14ac:dyDescent="0.45">
      <c r="I289" t="s">
        <v>200</v>
      </c>
      <c r="J289" t="s">
        <v>376</v>
      </c>
      <c r="K289">
        <v>1.2291369469458992E-2</v>
      </c>
      <c r="L289" t="s">
        <v>166</v>
      </c>
      <c r="N289" t="s">
        <v>265</v>
      </c>
      <c r="O289" t="s">
        <v>376</v>
      </c>
      <c r="P289">
        <v>1.1197866976486347E-2</v>
      </c>
      <c r="Q289" t="s">
        <v>166</v>
      </c>
    </row>
    <row r="290" spans="9:17" x14ac:dyDescent="0.45">
      <c r="I290" t="s">
        <v>200</v>
      </c>
      <c r="J290" t="s">
        <v>377</v>
      </c>
      <c r="K290">
        <v>0.25657226438888919</v>
      </c>
      <c r="L290" t="s">
        <v>166</v>
      </c>
      <c r="N290" t="s">
        <v>265</v>
      </c>
      <c r="O290" t="s">
        <v>377</v>
      </c>
      <c r="P290">
        <v>0.12215613553841438</v>
      </c>
      <c r="Q290" t="s">
        <v>166</v>
      </c>
    </row>
    <row r="291" spans="9:17" x14ac:dyDescent="0.45">
      <c r="I291" t="s">
        <v>200</v>
      </c>
      <c r="J291" t="s">
        <v>378</v>
      </c>
      <c r="K291">
        <v>3.7613503475430375E-4</v>
      </c>
      <c r="L291" t="s">
        <v>166</v>
      </c>
      <c r="N291" t="s">
        <v>265</v>
      </c>
      <c r="O291" t="s">
        <v>378</v>
      </c>
      <c r="P291">
        <v>0.13619272614863881</v>
      </c>
      <c r="Q291" t="s">
        <v>166</v>
      </c>
    </row>
    <row r="292" spans="9:17" x14ac:dyDescent="0.45">
      <c r="I292" t="s">
        <v>200</v>
      </c>
      <c r="J292" t="s">
        <v>379</v>
      </c>
      <c r="K292">
        <v>2.817525295596059E-2</v>
      </c>
      <c r="L292" t="s">
        <v>166</v>
      </c>
      <c r="N292" t="s">
        <v>265</v>
      </c>
      <c r="O292" t="s">
        <v>379</v>
      </c>
      <c r="P292">
        <v>2.3000592599713637E-2</v>
      </c>
      <c r="Q292" t="s">
        <v>166</v>
      </c>
    </row>
    <row r="293" spans="9:17" x14ac:dyDescent="0.45">
      <c r="I293" t="s">
        <v>200</v>
      </c>
      <c r="J293" t="s">
        <v>380</v>
      </c>
      <c r="K293">
        <v>0.25345465208649942</v>
      </c>
      <c r="L293" t="s">
        <v>166</v>
      </c>
      <c r="N293" t="s">
        <v>265</v>
      </c>
      <c r="O293" t="s">
        <v>380</v>
      </c>
      <c r="P293">
        <v>0.12428020832529611</v>
      </c>
      <c r="Q293" t="s">
        <v>166</v>
      </c>
    </row>
    <row r="294" spans="9:17" x14ac:dyDescent="0.45">
      <c r="I294" t="s">
        <v>200</v>
      </c>
      <c r="J294" t="s">
        <v>381</v>
      </c>
      <c r="K294">
        <v>2.8594686554043887E-3</v>
      </c>
      <c r="L294" t="s">
        <v>166</v>
      </c>
      <c r="N294" t="s">
        <v>265</v>
      </c>
      <c r="O294" t="s">
        <v>381</v>
      </c>
      <c r="P294">
        <v>0.16267887964465352</v>
      </c>
      <c r="Q294" t="s">
        <v>166</v>
      </c>
    </row>
    <row r="295" spans="9:17" x14ac:dyDescent="0.45">
      <c r="I295" t="s">
        <v>200</v>
      </c>
      <c r="J295" t="s">
        <v>382</v>
      </c>
      <c r="K295">
        <v>2.9037146139377235E-2</v>
      </c>
      <c r="L295" t="s">
        <v>166</v>
      </c>
      <c r="N295" t="s">
        <v>265</v>
      </c>
      <c r="O295" t="s">
        <v>382</v>
      </c>
      <c r="P295">
        <v>1.9319851690629782E-2</v>
      </c>
      <c r="Q295" t="s">
        <v>166</v>
      </c>
    </row>
    <row r="296" spans="9:17" x14ac:dyDescent="0.45">
      <c r="I296" t="s">
        <v>200</v>
      </c>
      <c r="J296" t="s">
        <v>383</v>
      </c>
      <c r="K296">
        <v>0.18996493537279419</v>
      </c>
      <c r="L296" t="s">
        <v>166</v>
      </c>
      <c r="N296" t="s">
        <v>265</v>
      </c>
      <c r="O296" t="s">
        <v>383</v>
      </c>
      <c r="P296">
        <v>8.7667034026244831E-2</v>
      </c>
      <c r="Q296" t="s">
        <v>166</v>
      </c>
    </row>
    <row r="297" spans="9:17" x14ac:dyDescent="0.45">
      <c r="I297" t="s">
        <v>200</v>
      </c>
      <c r="J297" t="s">
        <v>384</v>
      </c>
      <c r="K297">
        <v>0</v>
      </c>
      <c r="L297" t="s">
        <v>166</v>
      </c>
      <c r="N297" t="s">
        <v>265</v>
      </c>
      <c r="O297" t="s">
        <v>384</v>
      </c>
      <c r="P297">
        <v>0.10963534021965858</v>
      </c>
      <c r="Q297" t="s">
        <v>166</v>
      </c>
    </row>
    <row r="298" spans="9:17" x14ac:dyDescent="0.45">
      <c r="I298" t="s">
        <v>200</v>
      </c>
      <c r="J298" t="s">
        <v>385</v>
      </c>
      <c r="K298">
        <v>1.0003923303720096E-2</v>
      </c>
      <c r="L298" t="s">
        <v>166</v>
      </c>
      <c r="N298" t="s">
        <v>265</v>
      </c>
      <c r="O298" t="s">
        <v>385</v>
      </c>
      <c r="P298">
        <v>1.5694036364471534E-2</v>
      </c>
      <c r="Q298" t="s">
        <v>166</v>
      </c>
    </row>
    <row r="299" spans="9:17" x14ac:dyDescent="0.45">
      <c r="I299" t="s">
        <v>201</v>
      </c>
      <c r="J299" t="s">
        <v>374</v>
      </c>
      <c r="K299">
        <v>0.22118579101933752</v>
      </c>
      <c r="L299" t="s">
        <v>166</v>
      </c>
      <c r="N299" t="s">
        <v>266</v>
      </c>
      <c r="O299" t="s">
        <v>374</v>
      </c>
      <c r="P299">
        <v>6.4369707299146373E-2</v>
      </c>
      <c r="Q299" t="s">
        <v>166</v>
      </c>
    </row>
    <row r="300" spans="9:17" x14ac:dyDescent="0.45">
      <c r="I300" t="s">
        <v>201</v>
      </c>
      <c r="J300" t="s">
        <v>375</v>
      </c>
      <c r="K300">
        <v>0</v>
      </c>
      <c r="L300" t="s">
        <v>166</v>
      </c>
      <c r="N300" t="s">
        <v>266</v>
      </c>
      <c r="O300" t="s">
        <v>375</v>
      </c>
      <c r="P300">
        <v>0.12765665262618384</v>
      </c>
      <c r="Q300" t="s">
        <v>166</v>
      </c>
    </row>
    <row r="301" spans="9:17" x14ac:dyDescent="0.45">
      <c r="I301" t="s">
        <v>201</v>
      </c>
      <c r="J301" t="s">
        <v>376</v>
      </c>
      <c r="K301">
        <v>1.455972928697504E-2</v>
      </c>
      <c r="L301" t="s">
        <v>166</v>
      </c>
      <c r="N301" t="s">
        <v>266</v>
      </c>
      <c r="O301" t="s">
        <v>376</v>
      </c>
      <c r="P301">
        <v>1.3935906703668543E-2</v>
      </c>
      <c r="Q301" t="s">
        <v>166</v>
      </c>
    </row>
    <row r="302" spans="9:17" x14ac:dyDescent="0.45">
      <c r="I302" t="s">
        <v>201</v>
      </c>
      <c r="J302" t="s">
        <v>377</v>
      </c>
      <c r="K302">
        <v>0.24979030055580537</v>
      </c>
      <c r="L302" t="s">
        <v>166</v>
      </c>
      <c r="N302" t="s">
        <v>266</v>
      </c>
      <c r="O302" t="s">
        <v>377</v>
      </c>
      <c r="P302">
        <v>0.11623071577997889</v>
      </c>
      <c r="Q302" t="s">
        <v>166</v>
      </c>
    </row>
    <row r="303" spans="9:17" x14ac:dyDescent="0.45">
      <c r="I303" t="s">
        <v>201</v>
      </c>
      <c r="J303" t="s">
        <v>378</v>
      </c>
      <c r="K303">
        <v>3.3296858474843289E-4</v>
      </c>
      <c r="L303" t="s">
        <v>166</v>
      </c>
      <c r="N303" t="s">
        <v>266</v>
      </c>
      <c r="O303" t="s">
        <v>378</v>
      </c>
      <c r="P303">
        <v>0.15439424818299463</v>
      </c>
      <c r="Q303" t="s">
        <v>166</v>
      </c>
    </row>
    <row r="304" spans="9:17" x14ac:dyDescent="0.45">
      <c r="I304" t="s">
        <v>201</v>
      </c>
      <c r="J304" t="s">
        <v>379</v>
      </c>
      <c r="K304">
        <v>2.7953407724299398E-2</v>
      </c>
      <c r="L304" t="s">
        <v>166</v>
      </c>
      <c r="N304" t="s">
        <v>266</v>
      </c>
      <c r="O304" t="s">
        <v>379</v>
      </c>
      <c r="P304">
        <v>2.4910349454246056E-2</v>
      </c>
      <c r="Q304" t="s">
        <v>166</v>
      </c>
    </row>
    <row r="305" spans="9:17" x14ac:dyDescent="0.45">
      <c r="I305" t="s">
        <v>201</v>
      </c>
      <c r="J305" t="s">
        <v>380</v>
      </c>
      <c r="K305">
        <v>0.24627020509109687</v>
      </c>
      <c r="L305" t="s">
        <v>166</v>
      </c>
      <c r="N305" t="s">
        <v>266</v>
      </c>
      <c r="O305" t="s">
        <v>380</v>
      </c>
      <c r="P305">
        <v>0.10375610218121513</v>
      </c>
      <c r="Q305" t="s">
        <v>166</v>
      </c>
    </row>
    <row r="306" spans="9:17" x14ac:dyDescent="0.45">
      <c r="I306" t="s">
        <v>201</v>
      </c>
      <c r="J306" t="s">
        <v>381</v>
      </c>
      <c r="K306">
        <v>2.8600395670431524E-3</v>
      </c>
      <c r="L306" t="s">
        <v>166</v>
      </c>
      <c r="N306" t="s">
        <v>266</v>
      </c>
      <c r="O306" t="s">
        <v>381</v>
      </c>
      <c r="P306">
        <v>0.18130290890087511</v>
      </c>
      <c r="Q306" t="s">
        <v>166</v>
      </c>
    </row>
    <row r="307" spans="9:17" x14ac:dyDescent="0.45">
      <c r="I307" t="s">
        <v>201</v>
      </c>
      <c r="J307" t="s">
        <v>382</v>
      </c>
      <c r="K307">
        <v>2.8683192663336445E-2</v>
      </c>
      <c r="L307" t="s">
        <v>166</v>
      </c>
      <c r="N307" t="s">
        <v>266</v>
      </c>
      <c r="O307" t="s">
        <v>382</v>
      </c>
      <c r="P307">
        <v>2.0181404381057349E-2</v>
      </c>
      <c r="Q307" t="s">
        <v>166</v>
      </c>
    </row>
    <row r="308" spans="9:17" x14ac:dyDescent="0.45">
      <c r="I308" t="s">
        <v>201</v>
      </c>
      <c r="J308" t="s">
        <v>383</v>
      </c>
      <c r="K308">
        <v>0.19554972160815934</v>
      </c>
      <c r="L308" t="s">
        <v>166</v>
      </c>
      <c r="N308" t="s">
        <v>266</v>
      </c>
      <c r="O308" t="s">
        <v>383</v>
      </c>
      <c r="P308">
        <v>7.0519279990920336E-2</v>
      </c>
      <c r="Q308" t="s">
        <v>166</v>
      </c>
    </row>
    <row r="309" spans="9:17" x14ac:dyDescent="0.45">
      <c r="I309" t="s">
        <v>201</v>
      </c>
      <c r="J309" t="s">
        <v>384</v>
      </c>
      <c r="K309">
        <v>0</v>
      </c>
      <c r="L309" t="s">
        <v>166</v>
      </c>
      <c r="N309" t="s">
        <v>266</v>
      </c>
      <c r="O309" t="s">
        <v>384</v>
      </c>
      <c r="P309">
        <v>0.10695828994477177</v>
      </c>
      <c r="Q309" t="s">
        <v>166</v>
      </c>
    </row>
    <row r="310" spans="9:17" x14ac:dyDescent="0.45">
      <c r="I310" t="s">
        <v>201</v>
      </c>
      <c r="J310" t="s">
        <v>385</v>
      </c>
      <c r="K310">
        <v>1.2814643899198482E-2</v>
      </c>
      <c r="L310" t="s">
        <v>166</v>
      </c>
      <c r="N310" t="s">
        <v>266</v>
      </c>
      <c r="O310" t="s">
        <v>385</v>
      </c>
      <c r="P310">
        <v>1.5784434554944327E-2</v>
      </c>
      <c r="Q310" t="s">
        <v>166</v>
      </c>
    </row>
    <row r="311" spans="9:17" x14ac:dyDescent="0.45">
      <c r="I311" t="s">
        <v>202</v>
      </c>
      <c r="J311" t="s">
        <v>374</v>
      </c>
      <c r="K311">
        <v>0.21708586437147556</v>
      </c>
      <c r="L311" t="s">
        <v>166</v>
      </c>
      <c r="N311" t="s">
        <v>267</v>
      </c>
      <c r="O311" t="s">
        <v>374</v>
      </c>
      <c r="P311">
        <v>8.0192849647948539E-2</v>
      </c>
      <c r="Q311" t="s">
        <v>166</v>
      </c>
    </row>
    <row r="312" spans="9:17" x14ac:dyDescent="0.45">
      <c r="I312" t="s">
        <v>202</v>
      </c>
      <c r="J312" t="s">
        <v>375</v>
      </c>
      <c r="K312">
        <v>0</v>
      </c>
      <c r="L312" t="s">
        <v>166</v>
      </c>
      <c r="N312" t="s">
        <v>267</v>
      </c>
      <c r="O312" t="s">
        <v>375</v>
      </c>
      <c r="P312">
        <v>0.13047384761463332</v>
      </c>
      <c r="Q312" t="s">
        <v>166</v>
      </c>
    </row>
    <row r="313" spans="9:17" x14ac:dyDescent="0.45">
      <c r="I313" t="s">
        <v>202</v>
      </c>
      <c r="J313" t="s">
        <v>376</v>
      </c>
      <c r="K313">
        <v>1.6671565531857585E-2</v>
      </c>
      <c r="L313" t="s">
        <v>166</v>
      </c>
      <c r="N313" t="s">
        <v>267</v>
      </c>
      <c r="O313" t="s">
        <v>376</v>
      </c>
      <c r="P313">
        <v>1.0914384037361658E-2</v>
      </c>
      <c r="Q313" t="s">
        <v>166</v>
      </c>
    </row>
    <row r="314" spans="9:17" x14ac:dyDescent="0.45">
      <c r="I314" t="s">
        <v>202</v>
      </c>
      <c r="J314" t="s">
        <v>377</v>
      </c>
      <c r="K314">
        <v>0.2509349841053457</v>
      </c>
      <c r="L314" t="s">
        <v>166</v>
      </c>
      <c r="N314" t="s">
        <v>267</v>
      </c>
      <c r="O314" t="s">
        <v>377</v>
      </c>
      <c r="P314">
        <v>0.10782460169113438</v>
      </c>
      <c r="Q314" t="s">
        <v>166</v>
      </c>
    </row>
    <row r="315" spans="9:17" x14ac:dyDescent="0.45">
      <c r="I315" t="s">
        <v>202</v>
      </c>
      <c r="J315" t="s">
        <v>378</v>
      </c>
      <c r="K315">
        <v>1.2730442298969304E-3</v>
      </c>
      <c r="L315" t="s">
        <v>166</v>
      </c>
      <c r="N315" t="s">
        <v>267</v>
      </c>
      <c r="O315" t="s">
        <v>378</v>
      </c>
      <c r="P315">
        <v>0.12975474006025323</v>
      </c>
      <c r="Q315" t="s">
        <v>166</v>
      </c>
    </row>
    <row r="316" spans="9:17" x14ac:dyDescent="0.45">
      <c r="I316" t="s">
        <v>202</v>
      </c>
      <c r="J316" t="s">
        <v>379</v>
      </c>
      <c r="K316">
        <v>3.0756989682986145E-2</v>
      </c>
      <c r="L316" t="s">
        <v>166</v>
      </c>
      <c r="N316" t="s">
        <v>267</v>
      </c>
      <c r="O316" t="s">
        <v>379</v>
      </c>
      <c r="P316">
        <v>1.9044342727018517E-2</v>
      </c>
      <c r="Q316" t="s">
        <v>166</v>
      </c>
    </row>
    <row r="317" spans="9:17" x14ac:dyDescent="0.45">
      <c r="I317" t="s">
        <v>202</v>
      </c>
      <c r="J317" t="s">
        <v>380</v>
      </c>
      <c r="K317">
        <v>0.24191603313761004</v>
      </c>
      <c r="L317" t="s">
        <v>166</v>
      </c>
      <c r="N317" t="s">
        <v>267</v>
      </c>
      <c r="O317" t="s">
        <v>380</v>
      </c>
      <c r="P317">
        <v>9.5463221608609622E-2</v>
      </c>
      <c r="Q317" t="s">
        <v>166</v>
      </c>
    </row>
    <row r="318" spans="9:17" x14ac:dyDescent="0.45">
      <c r="I318" t="s">
        <v>202</v>
      </c>
      <c r="J318" t="s">
        <v>381</v>
      </c>
      <c r="K318">
        <v>4.0846811110126259E-3</v>
      </c>
      <c r="L318" t="s">
        <v>166</v>
      </c>
      <c r="N318" t="s">
        <v>267</v>
      </c>
      <c r="O318" t="s">
        <v>381</v>
      </c>
      <c r="P318">
        <v>0.13974856566802063</v>
      </c>
      <c r="Q318" t="s">
        <v>166</v>
      </c>
    </row>
    <row r="319" spans="9:17" x14ac:dyDescent="0.45">
      <c r="I319" t="s">
        <v>202</v>
      </c>
      <c r="J319" t="s">
        <v>382</v>
      </c>
      <c r="K319">
        <v>3.0655879344671341E-2</v>
      </c>
      <c r="L319" t="s">
        <v>166</v>
      </c>
      <c r="N319" t="s">
        <v>267</v>
      </c>
      <c r="O319" t="s">
        <v>382</v>
      </c>
      <c r="P319">
        <v>1.155329299638248E-2</v>
      </c>
      <c r="Q319" t="s">
        <v>166</v>
      </c>
    </row>
    <row r="320" spans="9:17" x14ac:dyDescent="0.45">
      <c r="I320" t="s">
        <v>202</v>
      </c>
      <c r="J320" t="s">
        <v>383</v>
      </c>
      <c r="K320">
        <v>0.19188876804867663</v>
      </c>
      <c r="L320" t="s">
        <v>166</v>
      </c>
      <c r="N320" t="s">
        <v>267</v>
      </c>
      <c r="O320" t="s">
        <v>383</v>
      </c>
      <c r="P320">
        <v>0.10505092274959041</v>
      </c>
      <c r="Q320" t="s">
        <v>166</v>
      </c>
    </row>
    <row r="321" spans="9:17" x14ac:dyDescent="0.45">
      <c r="I321" t="s">
        <v>202</v>
      </c>
      <c r="J321" t="s">
        <v>384</v>
      </c>
      <c r="K321">
        <v>0</v>
      </c>
      <c r="L321" t="s">
        <v>166</v>
      </c>
      <c r="N321" t="s">
        <v>267</v>
      </c>
      <c r="O321" t="s">
        <v>384</v>
      </c>
      <c r="P321">
        <v>0.15227022365988238</v>
      </c>
      <c r="Q321" t="s">
        <v>166</v>
      </c>
    </row>
    <row r="322" spans="9:17" x14ac:dyDescent="0.45">
      <c r="I322" t="s">
        <v>202</v>
      </c>
      <c r="J322" t="s">
        <v>385</v>
      </c>
      <c r="K322">
        <v>1.4732190436467738E-2</v>
      </c>
      <c r="L322" t="s">
        <v>166</v>
      </c>
      <c r="N322" t="s">
        <v>267</v>
      </c>
      <c r="O322" t="s">
        <v>385</v>
      </c>
      <c r="P322">
        <v>1.770900753916909E-2</v>
      </c>
      <c r="Q322" t="s">
        <v>166</v>
      </c>
    </row>
    <row r="323" spans="9:17" x14ac:dyDescent="0.45">
      <c r="I323" t="s">
        <v>203</v>
      </c>
      <c r="J323" t="s">
        <v>374</v>
      </c>
      <c r="K323">
        <v>0.22135443846136185</v>
      </c>
      <c r="L323" t="s">
        <v>166</v>
      </c>
      <c r="N323" t="s">
        <v>268</v>
      </c>
      <c r="O323" t="s">
        <v>374</v>
      </c>
      <c r="P323">
        <v>7.9483075936362002E-2</v>
      </c>
      <c r="Q323" t="s">
        <v>166</v>
      </c>
    </row>
    <row r="324" spans="9:17" x14ac:dyDescent="0.45">
      <c r="I324" t="s">
        <v>203</v>
      </c>
      <c r="J324" t="s">
        <v>375</v>
      </c>
      <c r="K324">
        <v>0</v>
      </c>
      <c r="L324" t="s">
        <v>166</v>
      </c>
      <c r="N324" t="s">
        <v>268</v>
      </c>
      <c r="O324" t="s">
        <v>375</v>
      </c>
      <c r="P324">
        <v>0.11962213214408428</v>
      </c>
      <c r="Q324" t="s">
        <v>166</v>
      </c>
    </row>
    <row r="325" spans="9:17" x14ac:dyDescent="0.45">
      <c r="I325" t="s">
        <v>203</v>
      </c>
      <c r="J325" t="s">
        <v>376</v>
      </c>
      <c r="K325">
        <v>1.6154528025276491E-2</v>
      </c>
      <c r="L325" t="s">
        <v>166</v>
      </c>
      <c r="N325" t="s">
        <v>268</v>
      </c>
      <c r="O325" t="s">
        <v>376</v>
      </c>
      <c r="P325">
        <v>9.8568754551385945E-3</v>
      </c>
      <c r="Q325" t="s">
        <v>166</v>
      </c>
    </row>
    <row r="326" spans="9:17" x14ac:dyDescent="0.45">
      <c r="I326" t="s">
        <v>203</v>
      </c>
      <c r="J326" t="s">
        <v>377</v>
      </c>
      <c r="K326">
        <v>0.24787017332235331</v>
      </c>
      <c r="L326" t="s">
        <v>166</v>
      </c>
      <c r="N326" t="s">
        <v>268</v>
      </c>
      <c r="O326" t="s">
        <v>377</v>
      </c>
      <c r="P326">
        <v>0.1174515420630917</v>
      </c>
      <c r="Q326" t="s">
        <v>166</v>
      </c>
    </row>
    <row r="327" spans="9:17" x14ac:dyDescent="0.45">
      <c r="I327" t="s">
        <v>203</v>
      </c>
      <c r="J327" t="s">
        <v>378</v>
      </c>
      <c r="K327">
        <v>8.5300029334419098E-4</v>
      </c>
      <c r="L327" t="s">
        <v>166</v>
      </c>
      <c r="N327" t="s">
        <v>268</v>
      </c>
      <c r="O327" t="s">
        <v>378</v>
      </c>
      <c r="P327">
        <v>0.14270342108454409</v>
      </c>
      <c r="Q327" t="s">
        <v>166</v>
      </c>
    </row>
    <row r="328" spans="9:17" x14ac:dyDescent="0.45">
      <c r="I328" t="s">
        <v>203</v>
      </c>
      <c r="J328" t="s">
        <v>379</v>
      </c>
      <c r="K328">
        <v>2.9244098348417655E-2</v>
      </c>
      <c r="L328" t="s">
        <v>166</v>
      </c>
      <c r="N328" t="s">
        <v>268</v>
      </c>
      <c r="O328" t="s">
        <v>379</v>
      </c>
      <c r="P328">
        <v>2.0043459657442961E-2</v>
      </c>
      <c r="Q328" t="s">
        <v>166</v>
      </c>
    </row>
    <row r="329" spans="9:17" x14ac:dyDescent="0.45">
      <c r="I329" t="s">
        <v>203</v>
      </c>
      <c r="J329" t="s">
        <v>380</v>
      </c>
      <c r="K329">
        <v>0.24008650945809715</v>
      </c>
      <c r="L329" t="s">
        <v>166</v>
      </c>
      <c r="N329" t="s">
        <v>268</v>
      </c>
      <c r="O329" t="s">
        <v>380</v>
      </c>
      <c r="P329">
        <v>9.521129009643714E-2</v>
      </c>
      <c r="Q329" t="s">
        <v>166</v>
      </c>
    </row>
    <row r="330" spans="9:17" x14ac:dyDescent="0.45">
      <c r="I330" t="s">
        <v>203</v>
      </c>
      <c r="J330" t="s">
        <v>381</v>
      </c>
      <c r="K330">
        <v>3.2910187500924115E-3</v>
      </c>
      <c r="L330" t="s">
        <v>166</v>
      </c>
      <c r="N330" t="s">
        <v>268</v>
      </c>
      <c r="O330" t="s">
        <v>381</v>
      </c>
      <c r="P330">
        <v>0.12342114264641753</v>
      </c>
      <c r="Q330" t="s">
        <v>166</v>
      </c>
    </row>
    <row r="331" spans="9:17" x14ac:dyDescent="0.45">
      <c r="I331" t="s">
        <v>203</v>
      </c>
      <c r="J331" t="s">
        <v>382</v>
      </c>
      <c r="K331">
        <v>2.8413399133137361E-2</v>
      </c>
      <c r="L331" t="s">
        <v>166</v>
      </c>
      <c r="N331" t="s">
        <v>268</v>
      </c>
      <c r="O331" t="s">
        <v>382</v>
      </c>
      <c r="P331">
        <v>1.2226742309566873E-2</v>
      </c>
      <c r="Q331" t="s">
        <v>166</v>
      </c>
    </row>
    <row r="332" spans="9:17" x14ac:dyDescent="0.45">
      <c r="I332" t="s">
        <v>203</v>
      </c>
      <c r="J332" t="s">
        <v>383</v>
      </c>
      <c r="K332">
        <v>0.19746186942732974</v>
      </c>
      <c r="L332" t="s">
        <v>166</v>
      </c>
      <c r="N332" t="s">
        <v>268</v>
      </c>
      <c r="O332" t="s">
        <v>383</v>
      </c>
      <c r="P332">
        <v>0.11244788965787712</v>
      </c>
      <c r="Q332" t="s">
        <v>166</v>
      </c>
    </row>
    <row r="333" spans="9:17" x14ac:dyDescent="0.45">
      <c r="I333" t="s">
        <v>203</v>
      </c>
      <c r="J333" t="s">
        <v>384</v>
      </c>
      <c r="K333">
        <v>0</v>
      </c>
      <c r="L333" t="s">
        <v>166</v>
      </c>
      <c r="N333" t="s">
        <v>268</v>
      </c>
      <c r="O333" t="s">
        <v>384</v>
      </c>
      <c r="P333">
        <v>0.14855017546035107</v>
      </c>
      <c r="Q333" t="s">
        <v>166</v>
      </c>
    </row>
    <row r="334" spans="9:17" x14ac:dyDescent="0.45">
      <c r="I334" t="s">
        <v>203</v>
      </c>
      <c r="J334" t="s">
        <v>385</v>
      </c>
      <c r="K334">
        <v>1.5270964780591258E-2</v>
      </c>
      <c r="L334" t="s">
        <v>166</v>
      </c>
      <c r="N334" t="s">
        <v>268</v>
      </c>
      <c r="O334" t="s">
        <v>385</v>
      </c>
      <c r="P334">
        <v>1.8982253488684809E-2</v>
      </c>
      <c r="Q334" t="s">
        <v>166</v>
      </c>
    </row>
    <row r="335" spans="9:17" x14ac:dyDescent="0.45">
      <c r="I335" t="s">
        <v>204</v>
      </c>
      <c r="J335" t="s">
        <v>374</v>
      </c>
      <c r="K335">
        <v>0.22600897119564001</v>
      </c>
      <c r="L335" t="s">
        <v>166</v>
      </c>
      <c r="N335" t="s">
        <v>269</v>
      </c>
      <c r="O335" t="s">
        <v>374</v>
      </c>
      <c r="P335">
        <v>6.6337284062086596E-2</v>
      </c>
      <c r="Q335" t="s">
        <v>166</v>
      </c>
    </row>
    <row r="336" spans="9:17" x14ac:dyDescent="0.45">
      <c r="I336" t="s">
        <v>204</v>
      </c>
      <c r="J336" t="s">
        <v>375</v>
      </c>
      <c r="K336">
        <v>0</v>
      </c>
      <c r="L336" t="s">
        <v>166</v>
      </c>
      <c r="N336" t="s">
        <v>269</v>
      </c>
      <c r="O336" t="s">
        <v>375</v>
      </c>
      <c r="P336">
        <v>0.10653375563666798</v>
      </c>
      <c r="Q336" t="s">
        <v>166</v>
      </c>
    </row>
    <row r="337" spans="9:17" x14ac:dyDescent="0.45">
      <c r="I337" t="s">
        <v>204</v>
      </c>
      <c r="J337" t="s">
        <v>376</v>
      </c>
      <c r="K337">
        <v>1.4786053364714358E-2</v>
      </c>
      <c r="L337" t="s">
        <v>166</v>
      </c>
      <c r="N337" t="s">
        <v>269</v>
      </c>
      <c r="O337" t="s">
        <v>376</v>
      </c>
      <c r="P337">
        <v>9.9104236823078749E-3</v>
      </c>
      <c r="Q337" t="s">
        <v>166</v>
      </c>
    </row>
    <row r="338" spans="9:17" x14ac:dyDescent="0.45">
      <c r="I338" t="s">
        <v>204</v>
      </c>
      <c r="J338" t="s">
        <v>377</v>
      </c>
      <c r="K338">
        <v>0.24594613479504832</v>
      </c>
      <c r="L338" t="s">
        <v>166</v>
      </c>
      <c r="N338" t="s">
        <v>269</v>
      </c>
      <c r="O338" t="s">
        <v>377</v>
      </c>
      <c r="P338">
        <v>0.12245239890125577</v>
      </c>
      <c r="Q338" t="s">
        <v>166</v>
      </c>
    </row>
    <row r="339" spans="9:17" x14ac:dyDescent="0.45">
      <c r="I339" t="s">
        <v>204</v>
      </c>
      <c r="J339" t="s">
        <v>378</v>
      </c>
      <c r="K339">
        <v>7.0418098270943013E-6</v>
      </c>
      <c r="L339" t="s">
        <v>166</v>
      </c>
      <c r="N339" t="s">
        <v>269</v>
      </c>
      <c r="O339" t="s">
        <v>378</v>
      </c>
      <c r="P339">
        <v>0.15499156505101663</v>
      </c>
      <c r="Q339" t="s">
        <v>166</v>
      </c>
    </row>
    <row r="340" spans="9:17" x14ac:dyDescent="0.45">
      <c r="I340" t="s">
        <v>204</v>
      </c>
      <c r="J340" t="s">
        <v>379</v>
      </c>
      <c r="K340">
        <v>2.6061643315648669E-2</v>
      </c>
      <c r="L340" t="s">
        <v>166</v>
      </c>
      <c r="N340" t="s">
        <v>269</v>
      </c>
      <c r="O340" t="s">
        <v>379</v>
      </c>
      <c r="P340">
        <v>2.3736468846947321E-2</v>
      </c>
      <c r="Q340" t="s">
        <v>166</v>
      </c>
    </row>
    <row r="341" spans="9:17" x14ac:dyDescent="0.45">
      <c r="I341" t="s">
        <v>204</v>
      </c>
      <c r="J341" t="s">
        <v>380</v>
      </c>
      <c r="K341">
        <v>0.24222394824488766</v>
      </c>
      <c r="L341" t="s">
        <v>166</v>
      </c>
      <c r="N341" t="s">
        <v>269</v>
      </c>
      <c r="O341" t="s">
        <v>380</v>
      </c>
      <c r="P341">
        <v>9.60153369803428E-2</v>
      </c>
      <c r="Q341" t="s">
        <v>166</v>
      </c>
    </row>
    <row r="342" spans="9:17" x14ac:dyDescent="0.45">
      <c r="I342" t="s">
        <v>204</v>
      </c>
      <c r="J342" t="s">
        <v>381</v>
      </c>
      <c r="K342">
        <v>2.1272848589541202E-3</v>
      </c>
      <c r="L342" t="s">
        <v>166</v>
      </c>
      <c r="N342" t="s">
        <v>269</v>
      </c>
      <c r="O342" t="s">
        <v>381</v>
      </c>
      <c r="P342">
        <v>0.13816385424974356</v>
      </c>
      <c r="Q342" t="s">
        <v>166</v>
      </c>
    </row>
    <row r="343" spans="9:17" x14ac:dyDescent="0.45">
      <c r="I343" t="s">
        <v>204</v>
      </c>
      <c r="J343" t="s">
        <v>382</v>
      </c>
      <c r="K343">
        <v>2.7045769645417158E-2</v>
      </c>
      <c r="L343" t="s">
        <v>166</v>
      </c>
      <c r="N343" t="s">
        <v>269</v>
      </c>
      <c r="O343" t="s">
        <v>382</v>
      </c>
      <c r="P343">
        <v>1.5311602093291177E-2</v>
      </c>
      <c r="Q343" t="s">
        <v>166</v>
      </c>
    </row>
    <row r="344" spans="9:17" x14ac:dyDescent="0.45">
      <c r="I344" t="s">
        <v>204</v>
      </c>
      <c r="J344" t="s">
        <v>383</v>
      </c>
      <c r="K344">
        <v>0.20290455135054458</v>
      </c>
      <c r="L344" t="s">
        <v>166</v>
      </c>
      <c r="N344" t="s">
        <v>269</v>
      </c>
      <c r="O344" t="s">
        <v>383</v>
      </c>
      <c r="P344">
        <v>0.10788994343080539</v>
      </c>
      <c r="Q344" t="s">
        <v>166</v>
      </c>
    </row>
    <row r="345" spans="9:17" x14ac:dyDescent="0.45">
      <c r="I345" t="s">
        <v>204</v>
      </c>
      <c r="J345" t="s">
        <v>384</v>
      </c>
      <c r="K345">
        <v>0</v>
      </c>
      <c r="L345" t="s">
        <v>166</v>
      </c>
      <c r="N345" t="s">
        <v>269</v>
      </c>
      <c r="O345" t="s">
        <v>384</v>
      </c>
      <c r="P345">
        <v>0.13973265970261925</v>
      </c>
      <c r="Q345" t="s">
        <v>166</v>
      </c>
    </row>
    <row r="346" spans="9:17" x14ac:dyDescent="0.45">
      <c r="I346" t="s">
        <v>204</v>
      </c>
      <c r="J346" t="s">
        <v>385</v>
      </c>
      <c r="K346">
        <v>1.2888601419318923E-2</v>
      </c>
      <c r="L346" t="s">
        <v>166</v>
      </c>
      <c r="N346" t="s">
        <v>269</v>
      </c>
      <c r="O346" t="s">
        <v>385</v>
      </c>
      <c r="P346">
        <v>1.8924707362915672E-2</v>
      </c>
      <c r="Q346" t="s">
        <v>166</v>
      </c>
    </row>
    <row r="347" spans="9:17" x14ac:dyDescent="0.45">
      <c r="I347" t="s">
        <v>205</v>
      </c>
      <c r="J347" t="s">
        <v>374</v>
      </c>
      <c r="K347">
        <v>0.22438981181375323</v>
      </c>
      <c r="L347" t="s">
        <v>166</v>
      </c>
      <c r="N347" t="s">
        <v>270</v>
      </c>
      <c r="O347" t="s">
        <v>374</v>
      </c>
      <c r="P347">
        <v>6.6810568063110129E-2</v>
      </c>
      <c r="Q347" t="s">
        <v>166</v>
      </c>
    </row>
    <row r="348" spans="9:17" x14ac:dyDescent="0.45">
      <c r="I348" t="s">
        <v>205</v>
      </c>
      <c r="J348" t="s">
        <v>375</v>
      </c>
      <c r="K348">
        <v>0</v>
      </c>
      <c r="L348" t="s">
        <v>166</v>
      </c>
      <c r="N348" t="s">
        <v>270</v>
      </c>
      <c r="O348" t="s">
        <v>375</v>
      </c>
      <c r="P348">
        <v>0.13454279160304988</v>
      </c>
      <c r="Q348" t="s">
        <v>166</v>
      </c>
    </row>
    <row r="349" spans="9:17" x14ac:dyDescent="0.45">
      <c r="I349" t="s">
        <v>205</v>
      </c>
      <c r="J349" t="s">
        <v>376</v>
      </c>
      <c r="K349">
        <v>1.6029045847717839E-2</v>
      </c>
      <c r="L349" t="s">
        <v>166</v>
      </c>
      <c r="N349" t="s">
        <v>270</v>
      </c>
      <c r="O349" t="s">
        <v>376</v>
      </c>
      <c r="P349">
        <v>8.7762014597098058E-3</v>
      </c>
      <c r="Q349" t="s">
        <v>166</v>
      </c>
    </row>
    <row r="350" spans="9:17" x14ac:dyDescent="0.45">
      <c r="I350" t="s">
        <v>205</v>
      </c>
      <c r="J350" t="s">
        <v>377</v>
      </c>
      <c r="K350">
        <v>0.24452913228745302</v>
      </c>
      <c r="L350" t="s">
        <v>166</v>
      </c>
      <c r="N350" t="s">
        <v>270</v>
      </c>
      <c r="O350" t="s">
        <v>377</v>
      </c>
      <c r="P350">
        <v>0.10176670723337838</v>
      </c>
      <c r="Q350" t="s">
        <v>166</v>
      </c>
    </row>
    <row r="351" spans="9:17" x14ac:dyDescent="0.45">
      <c r="I351" t="s">
        <v>205</v>
      </c>
      <c r="J351" t="s">
        <v>378</v>
      </c>
      <c r="K351">
        <v>4.0047969026829231E-4</v>
      </c>
      <c r="L351" t="s">
        <v>166</v>
      </c>
      <c r="N351" t="s">
        <v>270</v>
      </c>
      <c r="O351" t="s">
        <v>378</v>
      </c>
      <c r="P351">
        <v>0.1464760123812652</v>
      </c>
      <c r="Q351" t="s">
        <v>166</v>
      </c>
    </row>
    <row r="352" spans="9:17" x14ac:dyDescent="0.45">
      <c r="I352" t="s">
        <v>205</v>
      </c>
      <c r="J352" t="s">
        <v>379</v>
      </c>
      <c r="K352">
        <v>2.8118169764039278E-2</v>
      </c>
      <c r="L352" t="s">
        <v>166</v>
      </c>
      <c r="N352" t="s">
        <v>270</v>
      </c>
      <c r="O352" t="s">
        <v>379</v>
      </c>
      <c r="P352">
        <v>1.597543248129531E-2</v>
      </c>
      <c r="Q352" t="s">
        <v>166</v>
      </c>
    </row>
    <row r="353" spans="9:17" x14ac:dyDescent="0.45">
      <c r="I353" t="s">
        <v>205</v>
      </c>
      <c r="J353" t="s">
        <v>380</v>
      </c>
      <c r="K353">
        <v>0.23590811690762928</v>
      </c>
      <c r="L353" t="s">
        <v>166</v>
      </c>
      <c r="N353" t="s">
        <v>270</v>
      </c>
      <c r="O353" t="s">
        <v>380</v>
      </c>
      <c r="P353">
        <v>9.6733220386073598E-2</v>
      </c>
      <c r="Q353" t="s">
        <v>166</v>
      </c>
    </row>
    <row r="354" spans="9:17" x14ac:dyDescent="0.45">
      <c r="I354" t="s">
        <v>205</v>
      </c>
      <c r="J354" t="s">
        <v>381</v>
      </c>
      <c r="K354">
        <v>2.8209117764762285E-3</v>
      </c>
      <c r="L354" t="s">
        <v>166</v>
      </c>
      <c r="N354" t="s">
        <v>270</v>
      </c>
      <c r="O354" t="s">
        <v>381</v>
      </c>
      <c r="P354">
        <v>0.17208405722501116</v>
      </c>
      <c r="Q354" t="s">
        <v>166</v>
      </c>
    </row>
    <row r="355" spans="9:17" x14ac:dyDescent="0.45">
      <c r="I355" t="s">
        <v>205</v>
      </c>
      <c r="J355" t="s">
        <v>382</v>
      </c>
      <c r="K355">
        <v>2.7514545062125011E-2</v>
      </c>
      <c r="L355" t="s">
        <v>166</v>
      </c>
      <c r="N355" t="s">
        <v>270</v>
      </c>
      <c r="O355" t="s">
        <v>382</v>
      </c>
      <c r="P355">
        <v>1.3459004253678162E-2</v>
      </c>
      <c r="Q355" t="s">
        <v>166</v>
      </c>
    </row>
    <row r="356" spans="9:17" x14ac:dyDescent="0.45">
      <c r="I356" t="s">
        <v>205</v>
      </c>
      <c r="J356" t="s">
        <v>383</v>
      </c>
      <c r="K356">
        <v>0.20486249834876666</v>
      </c>
      <c r="L356" t="s">
        <v>166</v>
      </c>
      <c r="N356" t="s">
        <v>270</v>
      </c>
      <c r="O356" t="s">
        <v>383</v>
      </c>
      <c r="P356">
        <v>9.8057223892005926E-2</v>
      </c>
      <c r="Q356" t="s">
        <v>166</v>
      </c>
    </row>
    <row r="357" spans="9:17" x14ac:dyDescent="0.45">
      <c r="I357" t="s">
        <v>205</v>
      </c>
      <c r="J357" t="s">
        <v>384</v>
      </c>
      <c r="K357">
        <v>0</v>
      </c>
      <c r="L357" t="s">
        <v>166</v>
      </c>
      <c r="N357" t="s">
        <v>270</v>
      </c>
      <c r="O357" t="s">
        <v>384</v>
      </c>
      <c r="P357">
        <v>0.12994516800496184</v>
      </c>
      <c r="Q357" t="s">
        <v>166</v>
      </c>
    </row>
    <row r="358" spans="9:17" x14ac:dyDescent="0.45">
      <c r="I358" t="s">
        <v>205</v>
      </c>
      <c r="J358" t="s">
        <v>385</v>
      </c>
      <c r="K358">
        <v>1.542728850177225E-2</v>
      </c>
      <c r="L358" t="s">
        <v>166</v>
      </c>
      <c r="N358" t="s">
        <v>270</v>
      </c>
      <c r="O358" t="s">
        <v>385</v>
      </c>
      <c r="P358">
        <v>1.5373613016460938E-2</v>
      </c>
      <c r="Q358" t="s">
        <v>166</v>
      </c>
    </row>
    <row r="359" spans="9:17" x14ac:dyDescent="0.45">
      <c r="I359" t="s">
        <v>206</v>
      </c>
      <c r="J359" t="s">
        <v>374</v>
      </c>
      <c r="K359">
        <v>0.22655093780530342</v>
      </c>
      <c r="L359" t="s">
        <v>166</v>
      </c>
      <c r="N359" t="s">
        <v>271</v>
      </c>
      <c r="O359" t="s">
        <v>374</v>
      </c>
      <c r="P359">
        <v>7.5690996574822381E-2</v>
      </c>
      <c r="Q359" t="s">
        <v>166</v>
      </c>
    </row>
    <row r="360" spans="9:17" x14ac:dyDescent="0.45">
      <c r="I360" t="s">
        <v>206</v>
      </c>
      <c r="J360" t="s">
        <v>375</v>
      </c>
      <c r="K360">
        <v>0</v>
      </c>
      <c r="L360" t="s">
        <v>166</v>
      </c>
      <c r="N360" t="s">
        <v>271</v>
      </c>
      <c r="O360" t="s">
        <v>375</v>
      </c>
      <c r="P360">
        <v>0.10516460429721798</v>
      </c>
      <c r="Q360" t="s">
        <v>166</v>
      </c>
    </row>
    <row r="361" spans="9:17" x14ac:dyDescent="0.45">
      <c r="I361" t="s">
        <v>206</v>
      </c>
      <c r="J361" t="s">
        <v>376</v>
      </c>
      <c r="K361">
        <v>1.4787136615704166E-2</v>
      </c>
      <c r="L361" t="s">
        <v>166</v>
      </c>
      <c r="N361" t="s">
        <v>271</v>
      </c>
      <c r="O361" t="s">
        <v>376</v>
      </c>
      <c r="P361">
        <v>8.9027185454408995E-3</v>
      </c>
      <c r="Q361" t="s">
        <v>166</v>
      </c>
    </row>
    <row r="362" spans="9:17" x14ac:dyDescent="0.45">
      <c r="I362" t="s">
        <v>206</v>
      </c>
      <c r="J362" t="s">
        <v>377</v>
      </c>
      <c r="K362">
        <v>0.24449359740952165</v>
      </c>
      <c r="L362" t="s">
        <v>166</v>
      </c>
      <c r="N362" t="s">
        <v>271</v>
      </c>
      <c r="O362" t="s">
        <v>377</v>
      </c>
      <c r="P362">
        <v>0.10363595751220903</v>
      </c>
      <c r="Q362" t="s">
        <v>166</v>
      </c>
    </row>
    <row r="363" spans="9:17" x14ac:dyDescent="0.45">
      <c r="I363" t="s">
        <v>206</v>
      </c>
      <c r="J363" t="s">
        <v>378</v>
      </c>
      <c r="K363">
        <v>0</v>
      </c>
      <c r="L363" t="s">
        <v>166</v>
      </c>
      <c r="N363" t="s">
        <v>271</v>
      </c>
      <c r="O363" t="s">
        <v>378</v>
      </c>
      <c r="P363">
        <v>0.14251586204366903</v>
      </c>
      <c r="Q363" t="s">
        <v>166</v>
      </c>
    </row>
    <row r="364" spans="9:17" x14ac:dyDescent="0.45">
      <c r="I364" t="s">
        <v>206</v>
      </c>
      <c r="J364" t="s">
        <v>379</v>
      </c>
      <c r="K364">
        <v>2.534771637548057E-2</v>
      </c>
      <c r="L364" t="s">
        <v>166</v>
      </c>
      <c r="N364" t="s">
        <v>271</v>
      </c>
      <c r="O364" t="s">
        <v>379</v>
      </c>
      <c r="P364">
        <v>1.6327020192615952E-2</v>
      </c>
      <c r="Q364" t="s">
        <v>166</v>
      </c>
    </row>
    <row r="365" spans="9:17" x14ac:dyDescent="0.45">
      <c r="I365" t="s">
        <v>206</v>
      </c>
      <c r="J365" t="s">
        <v>380</v>
      </c>
      <c r="K365">
        <v>0.23547997937290116</v>
      </c>
      <c r="L365" t="s">
        <v>166</v>
      </c>
      <c r="N365" t="s">
        <v>271</v>
      </c>
      <c r="O365" t="s">
        <v>380</v>
      </c>
      <c r="P365">
        <v>0.10753311555994556</v>
      </c>
      <c r="Q365" t="s">
        <v>166</v>
      </c>
    </row>
    <row r="366" spans="9:17" x14ac:dyDescent="0.45">
      <c r="I366" t="s">
        <v>206</v>
      </c>
      <c r="J366" t="s">
        <v>381</v>
      </c>
      <c r="K366">
        <v>1.4866883087149439E-3</v>
      </c>
      <c r="L366" t="s">
        <v>166</v>
      </c>
      <c r="N366" t="s">
        <v>271</v>
      </c>
      <c r="O366" t="s">
        <v>381</v>
      </c>
      <c r="P366">
        <v>0.13743094417593915</v>
      </c>
      <c r="Q366" t="s">
        <v>166</v>
      </c>
    </row>
    <row r="367" spans="9:17" x14ac:dyDescent="0.45">
      <c r="I367" t="s">
        <v>206</v>
      </c>
      <c r="J367" t="s">
        <v>382</v>
      </c>
      <c r="K367">
        <v>2.5820979656568696E-2</v>
      </c>
      <c r="L367" t="s">
        <v>166</v>
      </c>
      <c r="N367" t="s">
        <v>271</v>
      </c>
      <c r="O367" t="s">
        <v>382</v>
      </c>
      <c r="P367">
        <v>1.1336986241872698E-2</v>
      </c>
      <c r="Q367" t="s">
        <v>166</v>
      </c>
    </row>
    <row r="368" spans="9:17" x14ac:dyDescent="0.45">
      <c r="I368" t="s">
        <v>206</v>
      </c>
      <c r="J368" t="s">
        <v>383</v>
      </c>
      <c r="K368">
        <v>0.21164707663011975</v>
      </c>
      <c r="L368" t="s">
        <v>166</v>
      </c>
      <c r="N368" t="s">
        <v>271</v>
      </c>
      <c r="O368" t="s">
        <v>383</v>
      </c>
      <c r="P368">
        <v>0.12666276163004953</v>
      </c>
      <c r="Q368" t="s">
        <v>166</v>
      </c>
    </row>
    <row r="369" spans="9:17" x14ac:dyDescent="0.45">
      <c r="I369" t="s">
        <v>206</v>
      </c>
      <c r="J369" t="s">
        <v>384</v>
      </c>
      <c r="K369">
        <v>0</v>
      </c>
      <c r="L369" t="s">
        <v>166</v>
      </c>
      <c r="N369" t="s">
        <v>271</v>
      </c>
      <c r="O369" t="s">
        <v>384</v>
      </c>
      <c r="P369">
        <v>0.14763951508044978</v>
      </c>
      <c r="Q369" t="s">
        <v>166</v>
      </c>
    </row>
    <row r="370" spans="9:17" x14ac:dyDescent="0.45">
      <c r="I370" t="s">
        <v>206</v>
      </c>
      <c r="J370" t="s">
        <v>385</v>
      </c>
      <c r="K370">
        <v>1.4385887825683681E-2</v>
      </c>
      <c r="L370" t="s">
        <v>166</v>
      </c>
      <c r="N370" t="s">
        <v>271</v>
      </c>
      <c r="O370" t="s">
        <v>385</v>
      </c>
      <c r="P370">
        <v>1.7159518145765666E-2</v>
      </c>
      <c r="Q370" t="s">
        <v>166</v>
      </c>
    </row>
    <row r="371" spans="9:17" x14ac:dyDescent="0.45">
      <c r="I371" t="s">
        <v>207</v>
      </c>
      <c r="J371" t="s">
        <v>374</v>
      </c>
      <c r="K371">
        <v>0.22419256155624148</v>
      </c>
      <c r="L371" t="s">
        <v>166</v>
      </c>
      <c r="N371" t="s">
        <v>272</v>
      </c>
      <c r="O371" t="s">
        <v>374</v>
      </c>
      <c r="P371">
        <v>7.9060059999638152E-2</v>
      </c>
      <c r="Q371" t="s">
        <v>166</v>
      </c>
    </row>
    <row r="372" spans="9:17" x14ac:dyDescent="0.45">
      <c r="I372" t="s">
        <v>207</v>
      </c>
      <c r="J372" t="s">
        <v>375</v>
      </c>
      <c r="K372">
        <v>0</v>
      </c>
      <c r="L372" t="s">
        <v>166</v>
      </c>
      <c r="N372" t="s">
        <v>272</v>
      </c>
      <c r="O372" t="s">
        <v>375</v>
      </c>
      <c r="P372">
        <v>0.12106222690844713</v>
      </c>
      <c r="Q372" t="s">
        <v>166</v>
      </c>
    </row>
    <row r="373" spans="9:17" x14ac:dyDescent="0.45">
      <c r="I373" t="s">
        <v>207</v>
      </c>
      <c r="J373" t="s">
        <v>376</v>
      </c>
      <c r="K373">
        <v>1.6895467798866529E-2</v>
      </c>
      <c r="L373" t="s">
        <v>166</v>
      </c>
      <c r="N373" t="s">
        <v>272</v>
      </c>
      <c r="O373" t="s">
        <v>376</v>
      </c>
      <c r="P373">
        <v>9.5064534548472638E-3</v>
      </c>
      <c r="Q373" t="s">
        <v>166</v>
      </c>
    </row>
    <row r="374" spans="9:17" x14ac:dyDescent="0.45">
      <c r="I374" t="s">
        <v>207</v>
      </c>
      <c r="J374" t="s">
        <v>377</v>
      </c>
      <c r="K374">
        <v>0.24285133094088182</v>
      </c>
      <c r="L374" t="s">
        <v>166</v>
      </c>
      <c r="N374" t="s">
        <v>272</v>
      </c>
      <c r="O374" t="s">
        <v>377</v>
      </c>
      <c r="P374">
        <v>9.4643715091792396E-2</v>
      </c>
      <c r="Q374" t="s">
        <v>166</v>
      </c>
    </row>
    <row r="375" spans="9:17" x14ac:dyDescent="0.45">
      <c r="I375" t="s">
        <v>207</v>
      </c>
      <c r="J375" t="s">
        <v>378</v>
      </c>
      <c r="K375">
        <v>2.9298463159835102E-4</v>
      </c>
      <c r="L375" t="s">
        <v>166</v>
      </c>
      <c r="N375" t="s">
        <v>272</v>
      </c>
      <c r="O375" t="s">
        <v>378</v>
      </c>
      <c r="P375">
        <v>0.12997635584066605</v>
      </c>
      <c r="Q375" t="s">
        <v>166</v>
      </c>
    </row>
    <row r="376" spans="9:17" x14ac:dyDescent="0.45">
      <c r="I376" t="s">
        <v>207</v>
      </c>
      <c r="J376" t="s">
        <v>379</v>
      </c>
      <c r="K376">
        <v>2.8204924340824129E-2</v>
      </c>
      <c r="L376" t="s">
        <v>166</v>
      </c>
      <c r="N376" t="s">
        <v>272</v>
      </c>
      <c r="O376" t="s">
        <v>379</v>
      </c>
      <c r="P376">
        <v>1.004240301336857E-2</v>
      </c>
      <c r="Q376" t="s">
        <v>166</v>
      </c>
    </row>
    <row r="377" spans="9:17" x14ac:dyDescent="0.45">
      <c r="I377" t="s">
        <v>207</v>
      </c>
      <c r="J377" t="s">
        <v>380</v>
      </c>
      <c r="K377">
        <v>0.22887747902948083</v>
      </c>
      <c r="L377" t="s">
        <v>166</v>
      </c>
      <c r="N377" t="s">
        <v>272</v>
      </c>
      <c r="O377" t="s">
        <v>380</v>
      </c>
      <c r="P377">
        <v>8.9835440560928168E-2</v>
      </c>
      <c r="Q377" t="s">
        <v>166</v>
      </c>
    </row>
    <row r="378" spans="9:17" x14ac:dyDescent="0.45">
      <c r="I378" t="s">
        <v>207</v>
      </c>
      <c r="J378" t="s">
        <v>381</v>
      </c>
      <c r="K378">
        <v>2.7542663459408177E-3</v>
      </c>
      <c r="L378" t="s">
        <v>166</v>
      </c>
      <c r="N378" t="s">
        <v>272</v>
      </c>
      <c r="O378" t="s">
        <v>381</v>
      </c>
      <c r="P378">
        <v>0.12495583908938031</v>
      </c>
      <c r="Q378" t="s">
        <v>166</v>
      </c>
    </row>
    <row r="379" spans="9:17" x14ac:dyDescent="0.45">
      <c r="I379" t="s">
        <v>207</v>
      </c>
      <c r="J379" t="s">
        <v>382</v>
      </c>
      <c r="K379">
        <v>2.7173508854833148E-2</v>
      </c>
      <c r="L379" t="s">
        <v>166</v>
      </c>
      <c r="N379" t="s">
        <v>272</v>
      </c>
      <c r="O379" t="s">
        <v>382</v>
      </c>
      <c r="P379">
        <v>1.0859125940033937E-2</v>
      </c>
      <c r="Q379" t="s">
        <v>166</v>
      </c>
    </row>
    <row r="380" spans="9:17" x14ac:dyDescent="0.45">
      <c r="I380" t="s">
        <v>207</v>
      </c>
      <c r="J380" t="s">
        <v>383</v>
      </c>
      <c r="K380">
        <v>0.2112819787481279</v>
      </c>
      <c r="L380" t="s">
        <v>166</v>
      </c>
      <c r="N380" t="s">
        <v>272</v>
      </c>
      <c r="O380" t="s">
        <v>383</v>
      </c>
      <c r="P380">
        <v>0.14142622503529159</v>
      </c>
      <c r="Q380" t="s">
        <v>166</v>
      </c>
    </row>
    <row r="381" spans="9:17" x14ac:dyDescent="0.45">
      <c r="I381" t="s">
        <v>207</v>
      </c>
      <c r="J381" t="s">
        <v>384</v>
      </c>
      <c r="K381">
        <v>0</v>
      </c>
      <c r="L381" t="s">
        <v>166</v>
      </c>
      <c r="N381" t="s">
        <v>272</v>
      </c>
      <c r="O381" t="s">
        <v>384</v>
      </c>
      <c r="P381">
        <v>0.17062610805652159</v>
      </c>
      <c r="Q381" t="s">
        <v>166</v>
      </c>
    </row>
    <row r="382" spans="9:17" x14ac:dyDescent="0.45">
      <c r="I382" t="s">
        <v>207</v>
      </c>
      <c r="J382" t="s">
        <v>385</v>
      </c>
      <c r="K382">
        <v>1.7475497753208405E-2</v>
      </c>
      <c r="L382" t="s">
        <v>166</v>
      </c>
      <c r="N382" t="s">
        <v>272</v>
      </c>
      <c r="O382" t="s">
        <v>385</v>
      </c>
      <c r="P382">
        <v>1.8006047009082211E-2</v>
      </c>
      <c r="Q382" t="s">
        <v>166</v>
      </c>
    </row>
    <row r="383" spans="9:17" x14ac:dyDescent="0.45">
      <c r="I383" t="s">
        <v>208</v>
      </c>
      <c r="J383" t="s">
        <v>374</v>
      </c>
      <c r="K383">
        <v>0.21245350736212898</v>
      </c>
      <c r="L383" t="s">
        <v>166</v>
      </c>
      <c r="N383" t="s">
        <v>273</v>
      </c>
      <c r="O383" t="s">
        <v>374</v>
      </c>
      <c r="P383">
        <v>8.0236070799374781E-2</v>
      </c>
      <c r="Q383" t="s">
        <v>166</v>
      </c>
    </row>
    <row r="384" spans="9:17" x14ac:dyDescent="0.45">
      <c r="I384" t="s">
        <v>208</v>
      </c>
      <c r="J384" t="s">
        <v>375</v>
      </c>
      <c r="K384">
        <v>0</v>
      </c>
      <c r="L384" t="s">
        <v>166</v>
      </c>
      <c r="N384" t="s">
        <v>273</v>
      </c>
      <c r="O384" t="s">
        <v>375</v>
      </c>
      <c r="P384">
        <v>9.9159142711937875E-2</v>
      </c>
      <c r="Q384" t="s">
        <v>166</v>
      </c>
    </row>
    <row r="385" spans="9:17" x14ac:dyDescent="0.45">
      <c r="I385" t="s">
        <v>208</v>
      </c>
      <c r="J385" t="s">
        <v>376</v>
      </c>
      <c r="K385">
        <v>1.568554022501463E-2</v>
      </c>
      <c r="L385" t="s">
        <v>166</v>
      </c>
      <c r="N385" t="s">
        <v>273</v>
      </c>
      <c r="O385" t="s">
        <v>376</v>
      </c>
      <c r="P385">
        <v>8.2225635753453916E-3</v>
      </c>
      <c r="Q385" t="s">
        <v>166</v>
      </c>
    </row>
    <row r="386" spans="9:17" x14ac:dyDescent="0.45">
      <c r="I386" t="s">
        <v>208</v>
      </c>
      <c r="J386" t="s">
        <v>377</v>
      </c>
      <c r="K386">
        <v>0.2535532790335589</v>
      </c>
      <c r="L386" t="s">
        <v>166</v>
      </c>
      <c r="N386" t="s">
        <v>273</v>
      </c>
      <c r="O386" t="s">
        <v>377</v>
      </c>
      <c r="P386">
        <v>0.1048543817932929</v>
      </c>
      <c r="Q386" t="s">
        <v>166</v>
      </c>
    </row>
    <row r="387" spans="9:17" x14ac:dyDescent="0.45">
      <c r="I387" t="s">
        <v>208</v>
      </c>
      <c r="J387" t="s">
        <v>378</v>
      </c>
      <c r="K387">
        <v>1.9693353790649574E-3</v>
      </c>
      <c r="L387" t="s">
        <v>166</v>
      </c>
      <c r="N387" t="s">
        <v>273</v>
      </c>
      <c r="O387" t="s">
        <v>378</v>
      </c>
      <c r="P387">
        <v>0.15681478821949726</v>
      </c>
      <c r="Q387" t="s">
        <v>166</v>
      </c>
    </row>
    <row r="388" spans="9:17" x14ac:dyDescent="0.45">
      <c r="I388" t="s">
        <v>208</v>
      </c>
      <c r="J388" t="s">
        <v>379</v>
      </c>
      <c r="K388">
        <v>3.1773848027559531E-2</v>
      </c>
      <c r="L388" t="s">
        <v>166</v>
      </c>
      <c r="N388" t="s">
        <v>273</v>
      </c>
      <c r="O388" t="s">
        <v>379</v>
      </c>
      <c r="P388">
        <v>1.0901425416506795E-2</v>
      </c>
      <c r="Q388" t="s">
        <v>166</v>
      </c>
    </row>
    <row r="389" spans="9:17" x14ac:dyDescent="0.45">
      <c r="I389" t="s">
        <v>208</v>
      </c>
      <c r="J389" t="s">
        <v>380</v>
      </c>
      <c r="K389">
        <v>0.24734819634718752</v>
      </c>
      <c r="L389" t="s">
        <v>166</v>
      </c>
      <c r="N389" t="s">
        <v>273</v>
      </c>
      <c r="O389" t="s">
        <v>380</v>
      </c>
      <c r="P389">
        <v>9.7205499392053113E-2</v>
      </c>
      <c r="Q389" t="s">
        <v>166</v>
      </c>
    </row>
    <row r="390" spans="9:17" x14ac:dyDescent="0.45">
      <c r="I390" t="s">
        <v>208</v>
      </c>
      <c r="J390" t="s">
        <v>381</v>
      </c>
      <c r="K390">
        <v>4.7804220132942991E-3</v>
      </c>
      <c r="L390" t="s">
        <v>166</v>
      </c>
      <c r="N390" t="s">
        <v>273</v>
      </c>
      <c r="O390" t="s">
        <v>381</v>
      </c>
      <c r="P390">
        <v>0.11229259921442675</v>
      </c>
      <c r="Q390" t="s">
        <v>166</v>
      </c>
    </row>
    <row r="391" spans="9:17" x14ac:dyDescent="0.45">
      <c r="I391" t="s">
        <v>208</v>
      </c>
      <c r="J391" t="s">
        <v>382</v>
      </c>
      <c r="K391">
        <v>3.1073506025646014E-2</v>
      </c>
      <c r="L391" t="s">
        <v>166</v>
      </c>
      <c r="N391" t="s">
        <v>273</v>
      </c>
      <c r="O391" t="s">
        <v>382</v>
      </c>
      <c r="P391">
        <v>9.7416954058596288E-3</v>
      </c>
      <c r="Q391" t="s">
        <v>166</v>
      </c>
    </row>
    <row r="392" spans="9:17" x14ac:dyDescent="0.45">
      <c r="I392" t="s">
        <v>208</v>
      </c>
      <c r="J392" t="s">
        <v>383</v>
      </c>
      <c r="K392">
        <v>0.18636516543359677</v>
      </c>
      <c r="L392" t="s">
        <v>166</v>
      </c>
      <c r="N392" t="s">
        <v>273</v>
      </c>
      <c r="O392" t="s">
        <v>383</v>
      </c>
      <c r="P392">
        <v>0.13891928149866559</v>
      </c>
      <c r="Q392" t="s">
        <v>166</v>
      </c>
    </row>
    <row r="393" spans="9:17" x14ac:dyDescent="0.45">
      <c r="I393" t="s">
        <v>208</v>
      </c>
      <c r="J393" t="s">
        <v>384</v>
      </c>
      <c r="K393">
        <v>0</v>
      </c>
      <c r="L393" t="s">
        <v>166</v>
      </c>
      <c r="N393" t="s">
        <v>273</v>
      </c>
      <c r="O393" t="s">
        <v>384</v>
      </c>
      <c r="P393">
        <v>0.16567925761860469</v>
      </c>
      <c r="Q393" t="s">
        <v>166</v>
      </c>
    </row>
    <row r="394" spans="9:17" x14ac:dyDescent="0.45">
      <c r="I394" t="s">
        <v>208</v>
      </c>
      <c r="J394" t="s">
        <v>385</v>
      </c>
      <c r="K394">
        <v>1.4997200152947166E-2</v>
      </c>
      <c r="L394" t="s">
        <v>166</v>
      </c>
      <c r="N394" t="s">
        <v>273</v>
      </c>
      <c r="O394" t="s">
        <v>385</v>
      </c>
      <c r="P394">
        <v>1.597329435443785E-2</v>
      </c>
      <c r="Q394" t="s">
        <v>166</v>
      </c>
    </row>
    <row r="395" spans="9:17" x14ac:dyDescent="0.45">
      <c r="I395" t="s">
        <v>209</v>
      </c>
      <c r="J395" t="s">
        <v>374</v>
      </c>
      <c r="K395">
        <v>0.20661315654926374</v>
      </c>
      <c r="L395" t="s">
        <v>166</v>
      </c>
      <c r="N395" t="s">
        <v>274</v>
      </c>
      <c r="O395" t="s">
        <v>374</v>
      </c>
      <c r="P395">
        <v>9.2180331992902126E-2</v>
      </c>
      <c r="Q395" t="s">
        <v>166</v>
      </c>
    </row>
    <row r="396" spans="9:17" x14ac:dyDescent="0.45">
      <c r="I396" t="s">
        <v>209</v>
      </c>
      <c r="J396" t="s">
        <v>375</v>
      </c>
      <c r="K396">
        <v>4.2881342320426517E-6</v>
      </c>
      <c r="L396" t="s">
        <v>166</v>
      </c>
      <c r="N396" t="s">
        <v>274</v>
      </c>
      <c r="O396" t="s">
        <v>375</v>
      </c>
      <c r="P396">
        <v>8.9836738644940045E-2</v>
      </c>
      <c r="Q396" t="s">
        <v>166</v>
      </c>
    </row>
    <row r="397" spans="9:17" x14ac:dyDescent="0.45">
      <c r="I397" t="s">
        <v>209</v>
      </c>
      <c r="J397" t="s">
        <v>376</v>
      </c>
      <c r="K397">
        <v>1.895835162898566E-2</v>
      </c>
      <c r="L397" t="s">
        <v>166</v>
      </c>
      <c r="N397" t="s">
        <v>274</v>
      </c>
      <c r="O397" t="s">
        <v>376</v>
      </c>
      <c r="P397">
        <v>9.3580713821840977E-3</v>
      </c>
      <c r="Q397" t="s">
        <v>166</v>
      </c>
    </row>
    <row r="398" spans="9:17" x14ac:dyDescent="0.45">
      <c r="I398" t="s">
        <v>209</v>
      </c>
      <c r="J398" t="s">
        <v>377</v>
      </c>
      <c r="K398">
        <v>0.24496265004072151</v>
      </c>
      <c r="L398" t="s">
        <v>166</v>
      </c>
      <c r="N398" t="s">
        <v>274</v>
      </c>
      <c r="O398" t="s">
        <v>377</v>
      </c>
      <c r="P398">
        <v>0.11018974777162742</v>
      </c>
      <c r="Q398" t="s">
        <v>166</v>
      </c>
    </row>
    <row r="399" spans="9:17" x14ac:dyDescent="0.45">
      <c r="I399" t="s">
        <v>209</v>
      </c>
      <c r="J399" t="s">
        <v>378</v>
      </c>
      <c r="K399">
        <v>4.2188922525915251E-3</v>
      </c>
      <c r="L399" t="s">
        <v>166</v>
      </c>
      <c r="N399" t="s">
        <v>274</v>
      </c>
      <c r="O399" t="s">
        <v>378</v>
      </c>
      <c r="P399">
        <v>0.14276215933356273</v>
      </c>
      <c r="Q399" t="s">
        <v>166</v>
      </c>
    </row>
    <row r="400" spans="9:17" x14ac:dyDescent="0.45">
      <c r="I400" t="s">
        <v>209</v>
      </c>
      <c r="J400" t="s">
        <v>379</v>
      </c>
      <c r="K400">
        <v>3.3999698174645203E-2</v>
      </c>
      <c r="L400" t="s">
        <v>166</v>
      </c>
      <c r="N400" t="s">
        <v>274</v>
      </c>
      <c r="O400" t="s">
        <v>379</v>
      </c>
      <c r="P400">
        <v>1.7087715628575591E-2</v>
      </c>
      <c r="Q400" t="s">
        <v>166</v>
      </c>
    </row>
    <row r="401" spans="9:17" x14ac:dyDescent="0.45">
      <c r="I401" t="s">
        <v>209</v>
      </c>
      <c r="J401" t="s">
        <v>380</v>
      </c>
      <c r="K401">
        <v>0.23449678157643991</v>
      </c>
      <c r="L401" t="s">
        <v>166</v>
      </c>
      <c r="N401" t="s">
        <v>274</v>
      </c>
      <c r="O401" t="s">
        <v>380</v>
      </c>
      <c r="P401">
        <v>0.1095353608174449</v>
      </c>
      <c r="Q401" t="s">
        <v>166</v>
      </c>
    </row>
    <row r="402" spans="9:17" x14ac:dyDescent="0.45">
      <c r="I402" t="s">
        <v>209</v>
      </c>
      <c r="J402" t="s">
        <v>381</v>
      </c>
      <c r="K402">
        <v>6.8621522912518931E-3</v>
      </c>
      <c r="L402" t="s">
        <v>166</v>
      </c>
      <c r="N402" t="s">
        <v>274</v>
      </c>
      <c r="O402" t="s">
        <v>381</v>
      </c>
      <c r="P402">
        <v>0.110466889351548</v>
      </c>
      <c r="Q402" t="s">
        <v>166</v>
      </c>
    </row>
    <row r="403" spans="9:17" x14ac:dyDescent="0.45">
      <c r="I403" t="s">
        <v>209</v>
      </c>
      <c r="J403" t="s">
        <v>382</v>
      </c>
      <c r="K403">
        <v>3.3091074717889232E-2</v>
      </c>
      <c r="L403" t="s">
        <v>166</v>
      </c>
      <c r="N403" t="s">
        <v>274</v>
      </c>
      <c r="O403" t="s">
        <v>382</v>
      </c>
      <c r="P403">
        <v>9.8166972352937542E-3</v>
      </c>
      <c r="Q403" t="s">
        <v>166</v>
      </c>
    </row>
    <row r="404" spans="9:17" x14ac:dyDescent="0.45">
      <c r="I404" t="s">
        <v>209</v>
      </c>
      <c r="J404" t="s">
        <v>383</v>
      </c>
      <c r="K404">
        <v>0.19589291359754313</v>
      </c>
      <c r="L404" t="s">
        <v>166</v>
      </c>
      <c r="N404" t="s">
        <v>274</v>
      </c>
      <c r="O404" t="s">
        <v>383</v>
      </c>
      <c r="P404">
        <v>0.14018018751981065</v>
      </c>
      <c r="Q404" t="s">
        <v>166</v>
      </c>
    </row>
    <row r="405" spans="9:17" x14ac:dyDescent="0.45">
      <c r="I405" t="s">
        <v>209</v>
      </c>
      <c r="J405" t="s">
        <v>384</v>
      </c>
      <c r="K405">
        <v>0</v>
      </c>
      <c r="L405" t="s">
        <v>166</v>
      </c>
      <c r="N405" t="s">
        <v>274</v>
      </c>
      <c r="O405" t="s">
        <v>384</v>
      </c>
      <c r="P405">
        <v>0.15089337280929463</v>
      </c>
      <c r="Q405" t="s">
        <v>166</v>
      </c>
    </row>
    <row r="406" spans="9:17" x14ac:dyDescent="0.45">
      <c r="I406" t="s">
        <v>209</v>
      </c>
      <c r="J406" t="s">
        <v>385</v>
      </c>
      <c r="K406">
        <v>2.0900041036436879E-2</v>
      </c>
      <c r="L406" t="s">
        <v>166</v>
      </c>
      <c r="N406" t="s">
        <v>274</v>
      </c>
      <c r="O406" t="s">
        <v>385</v>
      </c>
      <c r="P406">
        <v>1.7692727512821693E-2</v>
      </c>
      <c r="Q406" t="s">
        <v>166</v>
      </c>
    </row>
    <row r="407" spans="9:17" x14ac:dyDescent="0.45">
      <c r="I407" t="s">
        <v>210</v>
      </c>
      <c r="J407" t="s">
        <v>374</v>
      </c>
      <c r="K407">
        <v>0.20826883274292812</v>
      </c>
      <c r="L407" t="s">
        <v>166</v>
      </c>
      <c r="N407" t="s">
        <v>275</v>
      </c>
      <c r="O407" t="s">
        <v>374</v>
      </c>
      <c r="P407">
        <v>6.140879024477322E-2</v>
      </c>
      <c r="Q407" t="s">
        <v>166</v>
      </c>
    </row>
    <row r="408" spans="9:17" x14ac:dyDescent="0.45">
      <c r="I408" t="s">
        <v>210</v>
      </c>
      <c r="J408" t="s">
        <v>375</v>
      </c>
      <c r="K408">
        <v>0</v>
      </c>
      <c r="L408" t="s">
        <v>166</v>
      </c>
      <c r="N408" t="s">
        <v>275</v>
      </c>
      <c r="O408" t="s">
        <v>375</v>
      </c>
      <c r="P408">
        <v>0.11214177814972989</v>
      </c>
      <c r="Q408" t="s">
        <v>166</v>
      </c>
    </row>
    <row r="409" spans="9:17" x14ac:dyDescent="0.45">
      <c r="I409" t="s">
        <v>210</v>
      </c>
      <c r="J409" t="s">
        <v>376</v>
      </c>
      <c r="K409">
        <v>1.7088614275386379E-2</v>
      </c>
      <c r="L409" t="s">
        <v>166</v>
      </c>
      <c r="N409" t="s">
        <v>275</v>
      </c>
      <c r="O409" t="s">
        <v>376</v>
      </c>
      <c r="P409">
        <v>7.4936606440614969E-3</v>
      </c>
      <c r="Q409" t="s">
        <v>166</v>
      </c>
    </row>
    <row r="410" spans="9:17" x14ac:dyDescent="0.45">
      <c r="I410" t="s">
        <v>210</v>
      </c>
      <c r="J410" t="s">
        <v>377</v>
      </c>
      <c r="K410">
        <v>0.24966216931103186</v>
      </c>
      <c r="L410" t="s">
        <v>166</v>
      </c>
      <c r="N410" t="s">
        <v>275</v>
      </c>
      <c r="O410" t="s">
        <v>377</v>
      </c>
      <c r="P410">
        <v>0.11473277751794035</v>
      </c>
      <c r="Q410" t="s">
        <v>166</v>
      </c>
    </row>
    <row r="411" spans="9:17" x14ac:dyDescent="0.45">
      <c r="I411" t="s">
        <v>210</v>
      </c>
      <c r="J411" t="s">
        <v>378</v>
      </c>
      <c r="K411">
        <v>3.4302538367606316E-3</v>
      </c>
      <c r="L411" t="s">
        <v>166</v>
      </c>
      <c r="N411" t="s">
        <v>275</v>
      </c>
      <c r="O411" t="s">
        <v>378</v>
      </c>
      <c r="P411">
        <v>0.15974889293329442</v>
      </c>
      <c r="Q411" t="s">
        <v>166</v>
      </c>
    </row>
    <row r="412" spans="9:17" x14ac:dyDescent="0.45">
      <c r="I412" t="s">
        <v>210</v>
      </c>
      <c r="J412" t="s">
        <v>379</v>
      </c>
      <c r="K412">
        <v>3.2857759085482732E-2</v>
      </c>
      <c r="L412" t="s">
        <v>166</v>
      </c>
      <c r="N412" t="s">
        <v>275</v>
      </c>
      <c r="O412" t="s">
        <v>379</v>
      </c>
      <c r="P412">
        <v>2.7999295072116685E-2</v>
      </c>
      <c r="Q412" t="s">
        <v>166</v>
      </c>
    </row>
    <row r="413" spans="9:17" x14ac:dyDescent="0.45">
      <c r="I413" t="s">
        <v>210</v>
      </c>
      <c r="J413" t="s">
        <v>380</v>
      </c>
      <c r="K413">
        <v>0.24429232410522228</v>
      </c>
      <c r="L413" t="s">
        <v>166</v>
      </c>
      <c r="N413" t="s">
        <v>275</v>
      </c>
      <c r="O413" t="s">
        <v>380</v>
      </c>
      <c r="P413">
        <v>9.6887627853206856E-2</v>
      </c>
      <c r="Q413" t="s">
        <v>166</v>
      </c>
    </row>
    <row r="414" spans="9:17" x14ac:dyDescent="0.45">
      <c r="I414" t="s">
        <v>210</v>
      </c>
      <c r="J414" t="s">
        <v>381</v>
      </c>
      <c r="K414">
        <v>5.9740700840914132E-3</v>
      </c>
      <c r="L414" t="s">
        <v>166</v>
      </c>
      <c r="N414" t="s">
        <v>275</v>
      </c>
      <c r="O414" t="s">
        <v>381</v>
      </c>
      <c r="P414">
        <v>0.14770842211337187</v>
      </c>
      <c r="Q414" t="s">
        <v>166</v>
      </c>
    </row>
    <row r="415" spans="9:17" x14ac:dyDescent="0.45">
      <c r="I415" t="s">
        <v>210</v>
      </c>
      <c r="J415" t="s">
        <v>382</v>
      </c>
      <c r="K415">
        <v>3.158147441285495E-2</v>
      </c>
      <c r="L415" t="s">
        <v>166</v>
      </c>
      <c r="N415" t="s">
        <v>275</v>
      </c>
      <c r="O415" t="s">
        <v>382</v>
      </c>
      <c r="P415">
        <v>9.4158643707196801E-3</v>
      </c>
      <c r="Q415" t="s">
        <v>166</v>
      </c>
    </row>
    <row r="416" spans="9:17" x14ac:dyDescent="0.45">
      <c r="I416" t="s">
        <v>210</v>
      </c>
      <c r="J416" t="s">
        <v>383</v>
      </c>
      <c r="K416">
        <v>0.18842903894564342</v>
      </c>
      <c r="L416" t="s">
        <v>166</v>
      </c>
      <c r="N416" t="s">
        <v>275</v>
      </c>
      <c r="O416" t="s">
        <v>383</v>
      </c>
      <c r="P416">
        <v>9.569459172380386E-2</v>
      </c>
      <c r="Q416" t="s">
        <v>166</v>
      </c>
    </row>
    <row r="417" spans="9:17" x14ac:dyDescent="0.45">
      <c r="I417" t="s">
        <v>210</v>
      </c>
      <c r="J417" t="s">
        <v>384</v>
      </c>
      <c r="K417">
        <v>0</v>
      </c>
      <c r="L417" t="s">
        <v>166</v>
      </c>
      <c r="N417" t="s">
        <v>275</v>
      </c>
      <c r="O417" t="s">
        <v>384</v>
      </c>
      <c r="P417">
        <v>0.14822331794187016</v>
      </c>
      <c r="Q417" t="s">
        <v>166</v>
      </c>
    </row>
    <row r="418" spans="9:17" x14ac:dyDescent="0.45">
      <c r="I418" t="s">
        <v>210</v>
      </c>
      <c r="J418" t="s">
        <v>385</v>
      </c>
      <c r="K418">
        <v>1.8415463200596765E-2</v>
      </c>
      <c r="L418" t="s">
        <v>166</v>
      </c>
      <c r="N418" t="s">
        <v>275</v>
      </c>
      <c r="O418" t="s">
        <v>385</v>
      </c>
      <c r="P418">
        <v>1.8544981435108125E-2</v>
      </c>
      <c r="Q418" t="s">
        <v>166</v>
      </c>
    </row>
    <row r="419" spans="9:17" x14ac:dyDescent="0.45">
      <c r="I419" t="s">
        <v>211</v>
      </c>
      <c r="J419" t="s">
        <v>374</v>
      </c>
      <c r="K419">
        <v>0.21157246940016022</v>
      </c>
      <c r="L419" t="s">
        <v>166</v>
      </c>
      <c r="N419" t="s">
        <v>276</v>
      </c>
      <c r="O419" t="s">
        <v>374</v>
      </c>
      <c r="P419">
        <v>6.4319817466433907E-2</v>
      </c>
      <c r="Q419" t="s">
        <v>166</v>
      </c>
    </row>
    <row r="420" spans="9:17" x14ac:dyDescent="0.45">
      <c r="I420" t="s">
        <v>211</v>
      </c>
      <c r="J420" t="s">
        <v>375</v>
      </c>
      <c r="K420">
        <v>0</v>
      </c>
      <c r="L420" t="s">
        <v>166</v>
      </c>
      <c r="N420" t="s">
        <v>276</v>
      </c>
      <c r="O420" t="s">
        <v>375</v>
      </c>
      <c r="P420">
        <v>0.12089020064885798</v>
      </c>
      <c r="Q420" t="s">
        <v>166</v>
      </c>
    </row>
    <row r="421" spans="9:17" x14ac:dyDescent="0.45">
      <c r="I421" t="s">
        <v>211</v>
      </c>
      <c r="J421" t="s">
        <v>376</v>
      </c>
      <c r="K421">
        <v>1.7797600396057652E-2</v>
      </c>
      <c r="L421" t="s">
        <v>166</v>
      </c>
      <c r="N421" t="s">
        <v>276</v>
      </c>
      <c r="O421" t="s">
        <v>376</v>
      </c>
      <c r="P421">
        <v>1.2050367159334913E-2</v>
      </c>
      <c r="Q421" t="s">
        <v>166</v>
      </c>
    </row>
    <row r="422" spans="9:17" x14ac:dyDescent="0.45">
      <c r="I422" t="s">
        <v>211</v>
      </c>
      <c r="J422" t="s">
        <v>377</v>
      </c>
      <c r="K422">
        <v>0.24856763723243397</v>
      </c>
      <c r="L422" t="s">
        <v>166</v>
      </c>
      <c r="N422" t="s">
        <v>276</v>
      </c>
      <c r="O422" t="s">
        <v>377</v>
      </c>
      <c r="P422">
        <v>0.11167730834077781</v>
      </c>
      <c r="Q422" t="s">
        <v>166</v>
      </c>
    </row>
    <row r="423" spans="9:17" x14ac:dyDescent="0.45">
      <c r="I423" t="s">
        <v>211</v>
      </c>
      <c r="J423" t="s">
        <v>378</v>
      </c>
      <c r="K423">
        <v>2.6695417798820857E-3</v>
      </c>
      <c r="L423" t="s">
        <v>166</v>
      </c>
      <c r="N423" t="s">
        <v>276</v>
      </c>
      <c r="O423" t="s">
        <v>378</v>
      </c>
      <c r="P423">
        <v>0.14687440313983546</v>
      </c>
      <c r="Q423" t="s">
        <v>166</v>
      </c>
    </row>
    <row r="424" spans="9:17" x14ac:dyDescent="0.45">
      <c r="I424" t="s">
        <v>211</v>
      </c>
      <c r="J424" t="s">
        <v>379</v>
      </c>
      <c r="K424">
        <v>3.2645709382478121E-2</v>
      </c>
      <c r="L424" t="s">
        <v>166</v>
      </c>
      <c r="N424" t="s">
        <v>276</v>
      </c>
      <c r="O424" t="s">
        <v>379</v>
      </c>
      <c r="P424">
        <v>2.8827448514843031E-2</v>
      </c>
      <c r="Q424" t="s">
        <v>166</v>
      </c>
    </row>
    <row r="425" spans="9:17" x14ac:dyDescent="0.45">
      <c r="I425" t="s">
        <v>211</v>
      </c>
      <c r="J425" t="s">
        <v>380</v>
      </c>
      <c r="K425">
        <v>0.23727140692190135</v>
      </c>
      <c r="L425" t="s">
        <v>166</v>
      </c>
      <c r="N425" t="s">
        <v>276</v>
      </c>
      <c r="O425" t="s">
        <v>380</v>
      </c>
      <c r="P425">
        <v>9.3399790539974339E-2</v>
      </c>
      <c r="Q425" t="s">
        <v>166</v>
      </c>
    </row>
    <row r="426" spans="9:17" x14ac:dyDescent="0.45">
      <c r="I426" t="s">
        <v>211</v>
      </c>
      <c r="J426" t="s">
        <v>381</v>
      </c>
      <c r="K426">
        <v>5.6390091435686842E-3</v>
      </c>
      <c r="L426" t="s">
        <v>166</v>
      </c>
      <c r="N426" t="s">
        <v>276</v>
      </c>
      <c r="O426" t="s">
        <v>381</v>
      </c>
      <c r="P426">
        <v>0.1582193859147519</v>
      </c>
      <c r="Q426" t="s">
        <v>166</v>
      </c>
    </row>
    <row r="427" spans="9:17" x14ac:dyDescent="0.45">
      <c r="I427" t="s">
        <v>211</v>
      </c>
      <c r="J427" t="s">
        <v>382</v>
      </c>
      <c r="K427">
        <v>3.2422470427942524E-2</v>
      </c>
      <c r="L427" t="s">
        <v>166</v>
      </c>
      <c r="N427" t="s">
        <v>276</v>
      </c>
      <c r="O427" t="s">
        <v>382</v>
      </c>
      <c r="P427">
        <v>1.1270204440775216E-2</v>
      </c>
      <c r="Q427" t="s">
        <v>166</v>
      </c>
    </row>
    <row r="428" spans="9:17" x14ac:dyDescent="0.45">
      <c r="I428" t="s">
        <v>211</v>
      </c>
      <c r="J428" t="s">
        <v>383</v>
      </c>
      <c r="K428">
        <v>0.19367305728205825</v>
      </c>
      <c r="L428" t="s">
        <v>166</v>
      </c>
      <c r="N428" t="s">
        <v>276</v>
      </c>
      <c r="O428" t="s">
        <v>383</v>
      </c>
      <c r="P428">
        <v>8.8189513786510951E-2</v>
      </c>
      <c r="Q428" t="s">
        <v>166</v>
      </c>
    </row>
    <row r="429" spans="9:17" x14ac:dyDescent="0.45">
      <c r="I429" t="s">
        <v>211</v>
      </c>
      <c r="J429" t="s">
        <v>384</v>
      </c>
      <c r="K429">
        <v>0</v>
      </c>
      <c r="L429" t="s">
        <v>166</v>
      </c>
      <c r="N429" t="s">
        <v>276</v>
      </c>
      <c r="O429" t="s">
        <v>384</v>
      </c>
      <c r="P429">
        <v>0.14408290766416318</v>
      </c>
      <c r="Q429" t="s">
        <v>166</v>
      </c>
    </row>
    <row r="430" spans="9:17" x14ac:dyDescent="0.45">
      <c r="I430" t="s">
        <v>211</v>
      </c>
      <c r="J430" t="s">
        <v>385</v>
      </c>
      <c r="K430">
        <v>1.7741098033515205E-2</v>
      </c>
      <c r="L430" t="s">
        <v>166</v>
      </c>
      <c r="N430" t="s">
        <v>276</v>
      </c>
      <c r="O430" t="s">
        <v>385</v>
      </c>
      <c r="P430">
        <v>2.0198652383738552E-2</v>
      </c>
      <c r="Q430" t="s">
        <v>166</v>
      </c>
    </row>
    <row r="431" spans="9:17" x14ac:dyDescent="0.45">
      <c r="I431" t="s">
        <v>212</v>
      </c>
      <c r="J431" t="s">
        <v>374</v>
      </c>
      <c r="K431">
        <v>0.22074105280462869</v>
      </c>
      <c r="L431" t="s">
        <v>166</v>
      </c>
      <c r="N431" t="s">
        <v>277</v>
      </c>
      <c r="O431" t="s">
        <v>374</v>
      </c>
      <c r="P431">
        <v>8.3991442863067353E-2</v>
      </c>
      <c r="Q431" t="s">
        <v>166</v>
      </c>
    </row>
    <row r="432" spans="9:17" x14ac:dyDescent="0.45">
      <c r="I432" t="s">
        <v>212</v>
      </c>
      <c r="J432" t="s">
        <v>375</v>
      </c>
      <c r="K432">
        <v>0</v>
      </c>
      <c r="L432" t="s">
        <v>166</v>
      </c>
      <c r="N432" t="s">
        <v>277</v>
      </c>
      <c r="O432" t="s">
        <v>375</v>
      </c>
      <c r="P432">
        <v>9.5705636420029411E-2</v>
      </c>
      <c r="Q432" t="s">
        <v>166</v>
      </c>
    </row>
    <row r="433" spans="9:17" x14ac:dyDescent="0.45">
      <c r="I433" t="s">
        <v>212</v>
      </c>
      <c r="J433" t="s">
        <v>376</v>
      </c>
      <c r="K433">
        <v>2.0151117512692732E-2</v>
      </c>
      <c r="L433" t="s">
        <v>166</v>
      </c>
      <c r="N433" t="s">
        <v>277</v>
      </c>
      <c r="O433" t="s">
        <v>376</v>
      </c>
      <c r="P433">
        <v>7.2131249326521981E-3</v>
      </c>
      <c r="Q433" t="s">
        <v>166</v>
      </c>
    </row>
    <row r="434" spans="9:17" x14ac:dyDescent="0.45">
      <c r="I434" t="s">
        <v>212</v>
      </c>
      <c r="J434" t="s">
        <v>377</v>
      </c>
      <c r="K434">
        <v>0.23995275051244436</v>
      </c>
      <c r="L434" t="s">
        <v>166</v>
      </c>
      <c r="N434" t="s">
        <v>277</v>
      </c>
      <c r="O434" t="s">
        <v>377</v>
      </c>
      <c r="P434">
        <v>0.10538801736910379</v>
      </c>
      <c r="Q434" t="s">
        <v>166</v>
      </c>
    </row>
    <row r="435" spans="9:17" x14ac:dyDescent="0.45">
      <c r="I435" t="s">
        <v>212</v>
      </c>
      <c r="J435" t="s">
        <v>378</v>
      </c>
      <c r="K435">
        <v>9.9856600291800893E-4</v>
      </c>
      <c r="L435" t="s">
        <v>166</v>
      </c>
      <c r="N435" t="s">
        <v>277</v>
      </c>
      <c r="O435" t="s">
        <v>378</v>
      </c>
      <c r="P435">
        <v>0.16600235180776113</v>
      </c>
      <c r="Q435" t="s">
        <v>166</v>
      </c>
    </row>
    <row r="436" spans="9:17" x14ac:dyDescent="0.45">
      <c r="I436" t="s">
        <v>212</v>
      </c>
      <c r="J436" t="s">
        <v>379</v>
      </c>
      <c r="K436">
        <v>3.110536397971541E-2</v>
      </c>
      <c r="L436" t="s">
        <v>166</v>
      </c>
      <c r="N436" t="s">
        <v>277</v>
      </c>
      <c r="O436" t="s">
        <v>379</v>
      </c>
      <c r="P436">
        <v>2.0747681507095012E-2</v>
      </c>
      <c r="Q436" t="s">
        <v>166</v>
      </c>
    </row>
    <row r="437" spans="9:17" x14ac:dyDescent="0.45">
      <c r="I437" t="s">
        <v>212</v>
      </c>
      <c r="J437" t="s">
        <v>380</v>
      </c>
      <c r="K437">
        <v>0.2217920496315485</v>
      </c>
      <c r="L437" t="s">
        <v>166</v>
      </c>
      <c r="N437" t="s">
        <v>277</v>
      </c>
      <c r="O437" t="s">
        <v>380</v>
      </c>
      <c r="P437">
        <v>0.11128924579518967</v>
      </c>
      <c r="Q437" t="s">
        <v>166</v>
      </c>
    </row>
    <row r="438" spans="9:17" x14ac:dyDescent="0.45">
      <c r="I438" t="s">
        <v>212</v>
      </c>
      <c r="J438" t="s">
        <v>381</v>
      </c>
      <c r="K438">
        <v>3.81427029077391E-3</v>
      </c>
      <c r="L438" t="s">
        <v>166</v>
      </c>
      <c r="N438" t="s">
        <v>277</v>
      </c>
      <c r="O438" t="s">
        <v>381</v>
      </c>
      <c r="P438">
        <v>0.12778930874968786</v>
      </c>
      <c r="Q438" t="s">
        <v>166</v>
      </c>
    </row>
    <row r="439" spans="9:17" x14ac:dyDescent="0.45">
      <c r="I439" t="s">
        <v>212</v>
      </c>
      <c r="J439" t="s">
        <v>382</v>
      </c>
      <c r="K439">
        <v>2.8700329332925958E-2</v>
      </c>
      <c r="L439" t="s">
        <v>166</v>
      </c>
      <c r="N439" t="s">
        <v>277</v>
      </c>
      <c r="O439" t="s">
        <v>382</v>
      </c>
      <c r="P439">
        <v>8.6350947151802113E-3</v>
      </c>
      <c r="Q439" t="s">
        <v>166</v>
      </c>
    </row>
    <row r="440" spans="9:17" x14ac:dyDescent="0.45">
      <c r="I440" t="s">
        <v>212</v>
      </c>
      <c r="J440" t="s">
        <v>383</v>
      </c>
      <c r="K440">
        <v>0.21134291161926674</v>
      </c>
      <c r="L440" t="s">
        <v>166</v>
      </c>
      <c r="N440" t="s">
        <v>277</v>
      </c>
      <c r="O440" t="s">
        <v>383</v>
      </c>
      <c r="P440">
        <v>0.11007419652311097</v>
      </c>
      <c r="Q440" t="s">
        <v>166</v>
      </c>
    </row>
    <row r="441" spans="9:17" x14ac:dyDescent="0.45">
      <c r="I441" t="s">
        <v>212</v>
      </c>
      <c r="J441" t="s">
        <v>384</v>
      </c>
      <c r="K441">
        <v>0</v>
      </c>
      <c r="L441" t="s">
        <v>166</v>
      </c>
      <c r="N441" t="s">
        <v>277</v>
      </c>
      <c r="O441" t="s">
        <v>384</v>
      </c>
      <c r="P441">
        <v>0.146918606267395</v>
      </c>
      <c r="Q441" t="s">
        <v>166</v>
      </c>
    </row>
    <row r="442" spans="9:17" x14ac:dyDescent="0.45">
      <c r="I442" t="s">
        <v>212</v>
      </c>
      <c r="J442" t="s">
        <v>385</v>
      </c>
      <c r="K442">
        <v>2.1401588313088655E-2</v>
      </c>
      <c r="L442" t="s">
        <v>166</v>
      </c>
      <c r="N442" t="s">
        <v>277</v>
      </c>
      <c r="O442" t="s">
        <v>385</v>
      </c>
      <c r="P442">
        <v>1.6245293049728694E-2</v>
      </c>
      <c r="Q442" t="s">
        <v>166</v>
      </c>
    </row>
    <row r="443" spans="9:17" x14ac:dyDescent="0.45">
      <c r="I443" t="s">
        <v>213</v>
      </c>
      <c r="J443" t="s">
        <v>374</v>
      </c>
      <c r="K443">
        <v>0.21580938338795591</v>
      </c>
      <c r="L443" t="s">
        <v>166</v>
      </c>
      <c r="N443" t="s">
        <v>278</v>
      </c>
      <c r="O443" t="s">
        <v>374</v>
      </c>
      <c r="P443">
        <v>7.490318285928517E-2</v>
      </c>
      <c r="Q443" t="s">
        <v>166</v>
      </c>
    </row>
    <row r="444" spans="9:17" x14ac:dyDescent="0.45">
      <c r="I444" t="s">
        <v>213</v>
      </c>
      <c r="J444" t="s">
        <v>375</v>
      </c>
      <c r="K444">
        <v>0</v>
      </c>
      <c r="L444" t="s">
        <v>166</v>
      </c>
      <c r="N444" t="s">
        <v>278</v>
      </c>
      <c r="O444" t="s">
        <v>375</v>
      </c>
      <c r="P444">
        <v>0.11177682786732619</v>
      </c>
      <c r="Q444" t="s">
        <v>166</v>
      </c>
    </row>
    <row r="445" spans="9:17" x14ac:dyDescent="0.45">
      <c r="I445" t="s">
        <v>213</v>
      </c>
      <c r="J445" t="s">
        <v>376</v>
      </c>
      <c r="K445">
        <v>1.8386065570703301E-2</v>
      </c>
      <c r="L445" t="s">
        <v>166</v>
      </c>
      <c r="N445" t="s">
        <v>278</v>
      </c>
      <c r="O445" t="s">
        <v>376</v>
      </c>
      <c r="P445">
        <v>9.9511413632460948E-3</v>
      </c>
      <c r="Q445" t="s">
        <v>166</v>
      </c>
    </row>
    <row r="446" spans="9:17" x14ac:dyDescent="0.45">
      <c r="I446" t="s">
        <v>213</v>
      </c>
      <c r="J446" t="s">
        <v>377</v>
      </c>
      <c r="K446">
        <v>0.24496874368074079</v>
      </c>
      <c r="L446" t="s">
        <v>166</v>
      </c>
      <c r="N446" t="s">
        <v>278</v>
      </c>
      <c r="O446" t="s">
        <v>377</v>
      </c>
      <c r="P446">
        <v>9.1857798052959905E-2</v>
      </c>
      <c r="Q446" t="s">
        <v>166</v>
      </c>
    </row>
    <row r="447" spans="9:17" x14ac:dyDescent="0.45">
      <c r="I447" t="s">
        <v>213</v>
      </c>
      <c r="J447" t="s">
        <v>378</v>
      </c>
      <c r="K447">
        <v>1.9754753973388341E-3</v>
      </c>
      <c r="L447" t="s">
        <v>166</v>
      </c>
      <c r="N447" t="s">
        <v>278</v>
      </c>
      <c r="O447" t="s">
        <v>378</v>
      </c>
      <c r="P447">
        <v>0.15713311918859774</v>
      </c>
      <c r="Q447" t="s">
        <v>166</v>
      </c>
    </row>
    <row r="448" spans="9:17" x14ac:dyDescent="0.45">
      <c r="I448" t="s">
        <v>213</v>
      </c>
      <c r="J448" t="s">
        <v>379</v>
      </c>
      <c r="K448">
        <v>3.2014864732752973E-2</v>
      </c>
      <c r="L448" t="s">
        <v>166</v>
      </c>
      <c r="N448" t="s">
        <v>278</v>
      </c>
      <c r="O448" t="s">
        <v>379</v>
      </c>
      <c r="P448">
        <v>1.7013684006454172E-2</v>
      </c>
      <c r="Q448" t="s">
        <v>166</v>
      </c>
    </row>
    <row r="449" spans="9:17" x14ac:dyDescent="0.45">
      <c r="I449" t="s">
        <v>213</v>
      </c>
      <c r="J449" t="s">
        <v>380</v>
      </c>
      <c r="K449">
        <v>0.23419601159763878</v>
      </c>
      <c r="L449" t="s">
        <v>166</v>
      </c>
      <c r="N449" t="s">
        <v>278</v>
      </c>
      <c r="O449" t="s">
        <v>380</v>
      </c>
      <c r="P449">
        <v>0.10283132597017183</v>
      </c>
      <c r="Q449" t="s">
        <v>166</v>
      </c>
    </row>
    <row r="450" spans="9:17" x14ac:dyDescent="0.45">
      <c r="I450" t="s">
        <v>213</v>
      </c>
      <c r="J450" t="s">
        <v>381</v>
      </c>
      <c r="K450">
        <v>4.8802789557955712E-3</v>
      </c>
      <c r="L450" t="s">
        <v>166</v>
      </c>
      <c r="N450" t="s">
        <v>278</v>
      </c>
      <c r="O450" t="s">
        <v>381</v>
      </c>
      <c r="P450">
        <v>0.1274080965426552</v>
      </c>
      <c r="Q450" t="s">
        <v>166</v>
      </c>
    </row>
    <row r="451" spans="9:17" x14ac:dyDescent="0.45">
      <c r="I451" t="s">
        <v>213</v>
      </c>
      <c r="J451" t="s">
        <v>382</v>
      </c>
      <c r="K451">
        <v>3.1626527453949532E-2</v>
      </c>
      <c r="L451" t="s">
        <v>166</v>
      </c>
      <c r="N451" t="s">
        <v>278</v>
      </c>
      <c r="O451" t="s">
        <v>382</v>
      </c>
      <c r="P451">
        <v>1.0918789960239079E-2</v>
      </c>
      <c r="Q451" t="s">
        <v>166</v>
      </c>
    </row>
    <row r="452" spans="9:17" x14ac:dyDescent="0.45">
      <c r="I452" t="s">
        <v>213</v>
      </c>
      <c r="J452" t="s">
        <v>383</v>
      </c>
      <c r="K452">
        <v>0.19779024655773886</v>
      </c>
      <c r="L452" t="s">
        <v>166</v>
      </c>
      <c r="N452" t="s">
        <v>278</v>
      </c>
      <c r="O452" t="s">
        <v>383</v>
      </c>
      <c r="P452">
        <v>0.12197720589753921</v>
      </c>
      <c r="Q452" t="s">
        <v>166</v>
      </c>
    </row>
    <row r="453" spans="9:17" x14ac:dyDescent="0.45">
      <c r="I453" t="s">
        <v>213</v>
      </c>
      <c r="J453" t="s">
        <v>384</v>
      </c>
      <c r="K453">
        <v>0</v>
      </c>
      <c r="L453" t="s">
        <v>166</v>
      </c>
      <c r="N453" t="s">
        <v>278</v>
      </c>
      <c r="O453" t="s">
        <v>384</v>
      </c>
      <c r="P453">
        <v>0.15696866372802243</v>
      </c>
      <c r="Q453" t="s">
        <v>166</v>
      </c>
    </row>
    <row r="454" spans="9:17" x14ac:dyDescent="0.45">
      <c r="I454" t="s">
        <v>213</v>
      </c>
      <c r="J454" t="s">
        <v>385</v>
      </c>
      <c r="K454">
        <v>1.8352402665384283E-2</v>
      </c>
      <c r="L454" t="s">
        <v>166</v>
      </c>
      <c r="N454" t="s">
        <v>278</v>
      </c>
      <c r="O454" t="s">
        <v>385</v>
      </c>
      <c r="P454">
        <v>1.7260164563502049E-2</v>
      </c>
      <c r="Q454" t="s">
        <v>166</v>
      </c>
    </row>
    <row r="455" spans="9:17" x14ac:dyDescent="0.45">
      <c r="I455" t="s">
        <v>214</v>
      </c>
      <c r="J455" t="s">
        <v>374</v>
      </c>
      <c r="K455">
        <v>0.21920746715203387</v>
      </c>
      <c r="L455" t="s">
        <v>166</v>
      </c>
      <c r="N455" t="s">
        <v>279</v>
      </c>
      <c r="O455" t="s">
        <v>374</v>
      </c>
      <c r="P455">
        <v>8.1550478747077354E-2</v>
      </c>
      <c r="Q455" t="s">
        <v>166</v>
      </c>
    </row>
    <row r="456" spans="9:17" x14ac:dyDescent="0.45">
      <c r="I456" t="s">
        <v>214</v>
      </c>
      <c r="J456" t="s">
        <v>375</v>
      </c>
      <c r="K456">
        <v>0</v>
      </c>
      <c r="L456" t="s">
        <v>166</v>
      </c>
      <c r="N456" t="s">
        <v>279</v>
      </c>
      <c r="O456" t="s">
        <v>375</v>
      </c>
      <c r="P456">
        <v>0.12658329753117711</v>
      </c>
      <c r="Q456" t="s">
        <v>166</v>
      </c>
    </row>
    <row r="457" spans="9:17" x14ac:dyDescent="0.45">
      <c r="I457" t="s">
        <v>214</v>
      </c>
      <c r="J457" t="s">
        <v>376</v>
      </c>
      <c r="K457">
        <v>1.9046808590823552E-2</v>
      </c>
      <c r="L457" t="s">
        <v>166</v>
      </c>
      <c r="N457" t="s">
        <v>279</v>
      </c>
      <c r="O457" t="s">
        <v>376</v>
      </c>
      <c r="P457">
        <v>8.8060375050503081E-3</v>
      </c>
      <c r="Q457" t="s">
        <v>166</v>
      </c>
    </row>
    <row r="458" spans="9:17" x14ac:dyDescent="0.45">
      <c r="I458" t="s">
        <v>214</v>
      </c>
      <c r="J458" t="s">
        <v>377</v>
      </c>
      <c r="K458">
        <v>0.241917965296744</v>
      </c>
      <c r="L458" t="s">
        <v>166</v>
      </c>
      <c r="N458" t="s">
        <v>279</v>
      </c>
      <c r="O458" t="s">
        <v>377</v>
      </c>
      <c r="P458">
        <v>9.3702717322419193E-2</v>
      </c>
      <c r="Q458" t="s">
        <v>166</v>
      </c>
    </row>
    <row r="459" spans="9:17" x14ac:dyDescent="0.45">
      <c r="I459" t="s">
        <v>214</v>
      </c>
      <c r="J459" t="s">
        <v>378</v>
      </c>
      <c r="K459">
        <v>1.3333790534811288E-3</v>
      </c>
      <c r="L459" t="s">
        <v>166</v>
      </c>
      <c r="N459" t="s">
        <v>279</v>
      </c>
      <c r="O459" t="s">
        <v>378</v>
      </c>
      <c r="P459">
        <v>0.1306893552946308</v>
      </c>
      <c r="Q459" t="s">
        <v>166</v>
      </c>
    </row>
    <row r="460" spans="9:17" x14ac:dyDescent="0.45">
      <c r="I460" t="s">
        <v>214</v>
      </c>
      <c r="J460" t="s">
        <v>379</v>
      </c>
      <c r="K460">
        <v>3.0775570204691058E-2</v>
      </c>
      <c r="L460" t="s">
        <v>166</v>
      </c>
      <c r="N460" t="s">
        <v>279</v>
      </c>
      <c r="O460" t="s">
        <v>379</v>
      </c>
      <c r="P460">
        <v>1.5769934366805863E-2</v>
      </c>
      <c r="Q460" t="s">
        <v>166</v>
      </c>
    </row>
    <row r="461" spans="9:17" x14ac:dyDescent="0.45">
      <c r="I461" t="s">
        <v>214</v>
      </c>
      <c r="J461" t="s">
        <v>380</v>
      </c>
      <c r="K461">
        <v>0.22992108907408976</v>
      </c>
      <c r="L461" t="s">
        <v>166</v>
      </c>
      <c r="N461" t="s">
        <v>279</v>
      </c>
      <c r="O461" t="s">
        <v>380</v>
      </c>
      <c r="P461">
        <v>0.10140653196364634</v>
      </c>
      <c r="Q461" t="s">
        <v>166</v>
      </c>
    </row>
    <row r="462" spans="9:17" x14ac:dyDescent="0.45">
      <c r="I462" t="s">
        <v>214</v>
      </c>
      <c r="J462" t="s">
        <v>381</v>
      </c>
      <c r="K462">
        <v>4.1213341873824437E-3</v>
      </c>
      <c r="L462" t="s">
        <v>166</v>
      </c>
      <c r="N462" t="s">
        <v>279</v>
      </c>
      <c r="O462" t="s">
        <v>381</v>
      </c>
      <c r="P462">
        <v>0.12926939570470344</v>
      </c>
      <c r="Q462" t="s">
        <v>166</v>
      </c>
    </row>
    <row r="463" spans="9:17" x14ac:dyDescent="0.45">
      <c r="I463" t="s">
        <v>214</v>
      </c>
      <c r="J463" t="s">
        <v>382</v>
      </c>
      <c r="K463">
        <v>3.0375951948705626E-2</v>
      </c>
      <c r="L463" t="s">
        <v>166</v>
      </c>
      <c r="N463" t="s">
        <v>279</v>
      </c>
      <c r="O463" t="s">
        <v>382</v>
      </c>
      <c r="P463">
        <v>7.9671546053275942E-3</v>
      </c>
      <c r="Q463" t="s">
        <v>166</v>
      </c>
    </row>
    <row r="464" spans="9:17" x14ac:dyDescent="0.45">
      <c r="I464" t="s">
        <v>214</v>
      </c>
      <c r="J464" t="s">
        <v>383</v>
      </c>
      <c r="K464">
        <v>0.20422274164194174</v>
      </c>
      <c r="L464" t="s">
        <v>166</v>
      </c>
      <c r="N464" t="s">
        <v>279</v>
      </c>
      <c r="O464" t="s">
        <v>383</v>
      </c>
      <c r="P464">
        <v>0.11812024784071957</v>
      </c>
      <c r="Q464" t="s">
        <v>166</v>
      </c>
    </row>
    <row r="465" spans="9:17" x14ac:dyDescent="0.45">
      <c r="I465" t="s">
        <v>214</v>
      </c>
      <c r="J465" t="s">
        <v>384</v>
      </c>
      <c r="K465">
        <v>0</v>
      </c>
      <c r="L465" t="s">
        <v>166</v>
      </c>
      <c r="N465" t="s">
        <v>279</v>
      </c>
      <c r="O465" t="s">
        <v>384</v>
      </c>
      <c r="P465">
        <v>0.16915948751534196</v>
      </c>
      <c r="Q465" t="s">
        <v>166</v>
      </c>
    </row>
    <row r="466" spans="9:17" x14ac:dyDescent="0.45">
      <c r="I466" t="s">
        <v>214</v>
      </c>
      <c r="J466" t="s">
        <v>385</v>
      </c>
      <c r="K466">
        <v>1.9077692850108536E-2</v>
      </c>
      <c r="L466" t="s">
        <v>166</v>
      </c>
      <c r="N466" t="s">
        <v>279</v>
      </c>
      <c r="O466" t="s">
        <v>385</v>
      </c>
      <c r="P466">
        <v>1.6975361603100488E-2</v>
      </c>
      <c r="Q466" t="s">
        <v>166</v>
      </c>
    </row>
    <row r="467" spans="9:17" x14ac:dyDescent="0.45">
      <c r="I467" t="s">
        <v>215</v>
      </c>
      <c r="J467" t="s">
        <v>374</v>
      </c>
      <c r="K467">
        <v>0.21132554930140371</v>
      </c>
      <c r="L467" t="s">
        <v>166</v>
      </c>
      <c r="N467" t="s">
        <v>280</v>
      </c>
      <c r="O467" t="s">
        <v>374</v>
      </c>
      <c r="P467">
        <v>6.8942902896922495E-2</v>
      </c>
      <c r="Q467" t="s">
        <v>166</v>
      </c>
    </row>
    <row r="468" spans="9:17" x14ac:dyDescent="0.45">
      <c r="I468" t="s">
        <v>215</v>
      </c>
      <c r="J468" t="s">
        <v>375</v>
      </c>
      <c r="K468">
        <v>0</v>
      </c>
      <c r="L468" t="s">
        <v>166</v>
      </c>
      <c r="N468" t="s">
        <v>280</v>
      </c>
      <c r="O468" t="s">
        <v>375</v>
      </c>
      <c r="P468">
        <v>0.11352037112357091</v>
      </c>
      <c r="Q468" t="s">
        <v>166</v>
      </c>
    </row>
    <row r="469" spans="9:17" x14ac:dyDescent="0.45">
      <c r="I469" t="s">
        <v>215</v>
      </c>
      <c r="J469" t="s">
        <v>376</v>
      </c>
      <c r="K469">
        <v>2.0402345124027419E-2</v>
      </c>
      <c r="L469" t="s">
        <v>166</v>
      </c>
      <c r="N469" t="s">
        <v>280</v>
      </c>
      <c r="O469" t="s">
        <v>376</v>
      </c>
      <c r="P469">
        <v>6.8655169049732113E-3</v>
      </c>
      <c r="Q469" t="s">
        <v>166</v>
      </c>
    </row>
    <row r="470" spans="9:17" x14ac:dyDescent="0.45">
      <c r="I470" t="s">
        <v>215</v>
      </c>
      <c r="J470" t="s">
        <v>377</v>
      </c>
      <c r="K470">
        <v>0.2418633941750698</v>
      </c>
      <c r="L470" t="s">
        <v>166</v>
      </c>
      <c r="N470" t="s">
        <v>280</v>
      </c>
      <c r="O470" t="s">
        <v>377</v>
      </c>
      <c r="P470">
        <v>9.6610486931546682E-2</v>
      </c>
      <c r="Q470" t="s">
        <v>166</v>
      </c>
    </row>
    <row r="471" spans="9:17" x14ac:dyDescent="0.45">
      <c r="I471" t="s">
        <v>215</v>
      </c>
      <c r="J471" t="s">
        <v>378</v>
      </c>
      <c r="K471">
        <v>3.1848005151673252E-3</v>
      </c>
      <c r="L471" t="s">
        <v>166</v>
      </c>
      <c r="N471" t="s">
        <v>280</v>
      </c>
      <c r="O471" t="s">
        <v>378</v>
      </c>
      <c r="P471">
        <v>0.16010210347649545</v>
      </c>
      <c r="Q471" t="s">
        <v>166</v>
      </c>
    </row>
    <row r="472" spans="9:17" x14ac:dyDescent="0.45">
      <c r="I472" t="s">
        <v>215</v>
      </c>
      <c r="J472" t="s">
        <v>379</v>
      </c>
      <c r="K472">
        <v>3.3864921266469887E-2</v>
      </c>
      <c r="L472" t="s">
        <v>166</v>
      </c>
      <c r="N472" t="s">
        <v>280</v>
      </c>
      <c r="O472" t="s">
        <v>379</v>
      </c>
      <c r="P472">
        <v>1.9282944996441759E-2</v>
      </c>
      <c r="Q472" t="s">
        <v>166</v>
      </c>
    </row>
    <row r="473" spans="9:17" x14ac:dyDescent="0.45">
      <c r="I473" t="s">
        <v>215</v>
      </c>
      <c r="J473" t="s">
        <v>380</v>
      </c>
      <c r="K473">
        <v>0.22707730264635131</v>
      </c>
      <c r="L473" t="s">
        <v>166</v>
      </c>
      <c r="N473" t="s">
        <v>280</v>
      </c>
      <c r="O473" t="s">
        <v>380</v>
      </c>
      <c r="P473">
        <v>9.6902110469150829E-2</v>
      </c>
      <c r="Q473" t="s">
        <v>166</v>
      </c>
    </row>
    <row r="474" spans="9:17" x14ac:dyDescent="0.45">
      <c r="I474" t="s">
        <v>215</v>
      </c>
      <c r="J474" t="s">
        <v>381</v>
      </c>
      <c r="K474">
        <v>5.7835788404331651E-3</v>
      </c>
      <c r="L474" t="s">
        <v>166</v>
      </c>
      <c r="N474" t="s">
        <v>280</v>
      </c>
      <c r="O474" t="s">
        <v>381</v>
      </c>
      <c r="P474">
        <v>0.13571957071936663</v>
      </c>
      <c r="Q474" t="s">
        <v>166</v>
      </c>
    </row>
    <row r="475" spans="9:17" x14ac:dyDescent="0.45">
      <c r="I475" t="s">
        <v>215</v>
      </c>
      <c r="J475" t="s">
        <v>382</v>
      </c>
      <c r="K475">
        <v>3.216940224432549E-2</v>
      </c>
      <c r="L475" t="s">
        <v>166</v>
      </c>
      <c r="N475" t="s">
        <v>280</v>
      </c>
      <c r="O475" t="s">
        <v>382</v>
      </c>
      <c r="P475">
        <v>7.9036194983215357E-3</v>
      </c>
      <c r="Q475" t="s">
        <v>166</v>
      </c>
    </row>
    <row r="476" spans="9:17" x14ac:dyDescent="0.45">
      <c r="I476" t="s">
        <v>215</v>
      </c>
      <c r="J476" t="s">
        <v>383</v>
      </c>
      <c r="K476">
        <v>0.20230847865336504</v>
      </c>
      <c r="L476" t="s">
        <v>166</v>
      </c>
      <c r="N476" t="s">
        <v>280</v>
      </c>
      <c r="O476" t="s">
        <v>383</v>
      </c>
      <c r="P476">
        <v>0.11104679359368669</v>
      </c>
      <c r="Q476" t="s">
        <v>166</v>
      </c>
    </row>
    <row r="477" spans="9:17" x14ac:dyDescent="0.45">
      <c r="I477" t="s">
        <v>215</v>
      </c>
      <c r="J477" t="s">
        <v>384</v>
      </c>
      <c r="K477">
        <v>0</v>
      </c>
      <c r="L477" t="s">
        <v>166</v>
      </c>
      <c r="N477" t="s">
        <v>280</v>
      </c>
      <c r="O477" t="s">
        <v>384</v>
      </c>
      <c r="P477">
        <v>0.16693910033780895</v>
      </c>
      <c r="Q477" t="s">
        <v>166</v>
      </c>
    </row>
    <row r="478" spans="9:17" x14ac:dyDescent="0.45">
      <c r="I478" t="s">
        <v>215</v>
      </c>
      <c r="J478" t="s">
        <v>385</v>
      </c>
      <c r="K478">
        <v>2.2020227233386761E-2</v>
      </c>
      <c r="L478" t="s">
        <v>166</v>
      </c>
      <c r="N478" t="s">
        <v>280</v>
      </c>
      <c r="O478" t="s">
        <v>385</v>
      </c>
      <c r="P478">
        <v>1.6164479051712085E-2</v>
      </c>
      <c r="Q478" t="s">
        <v>166</v>
      </c>
    </row>
    <row r="479" spans="9:17" x14ac:dyDescent="0.45">
      <c r="I479" t="s">
        <v>216</v>
      </c>
      <c r="J479" t="s">
        <v>374</v>
      </c>
      <c r="K479">
        <v>0.20864895090056093</v>
      </c>
      <c r="L479" t="s">
        <v>166</v>
      </c>
      <c r="N479" t="s">
        <v>281</v>
      </c>
      <c r="O479" t="s">
        <v>374</v>
      </c>
      <c r="P479">
        <v>7.2187155073834164E-2</v>
      </c>
      <c r="Q479" t="s">
        <v>166</v>
      </c>
    </row>
    <row r="480" spans="9:17" x14ac:dyDescent="0.45">
      <c r="I480" t="s">
        <v>216</v>
      </c>
      <c r="J480" t="s">
        <v>375</v>
      </c>
      <c r="K480">
        <v>4.8778719292625276E-8</v>
      </c>
      <c r="L480" t="s">
        <v>166</v>
      </c>
      <c r="N480" t="s">
        <v>281</v>
      </c>
      <c r="O480" t="s">
        <v>375</v>
      </c>
      <c r="P480">
        <v>0.10303595790379291</v>
      </c>
      <c r="Q480" t="s">
        <v>166</v>
      </c>
    </row>
    <row r="481" spans="9:17" x14ac:dyDescent="0.45">
      <c r="I481" t="s">
        <v>216</v>
      </c>
      <c r="J481" t="s">
        <v>376</v>
      </c>
      <c r="K481">
        <v>1.999482546074673E-2</v>
      </c>
      <c r="L481" t="s">
        <v>166</v>
      </c>
      <c r="N481" t="s">
        <v>281</v>
      </c>
      <c r="O481" t="s">
        <v>376</v>
      </c>
      <c r="P481">
        <v>9.8626871979626066E-3</v>
      </c>
      <c r="Q481" t="s">
        <v>166</v>
      </c>
    </row>
    <row r="482" spans="9:17" x14ac:dyDescent="0.45">
      <c r="I482" t="s">
        <v>216</v>
      </c>
      <c r="J482" t="s">
        <v>377</v>
      </c>
      <c r="K482">
        <v>0.24373881292030761</v>
      </c>
      <c r="L482" t="s">
        <v>166</v>
      </c>
      <c r="N482" t="s">
        <v>281</v>
      </c>
      <c r="O482" t="s">
        <v>377</v>
      </c>
      <c r="P482">
        <v>0.13297670661168526</v>
      </c>
      <c r="Q482" t="s">
        <v>166</v>
      </c>
    </row>
    <row r="483" spans="9:17" x14ac:dyDescent="0.45">
      <c r="I483" t="s">
        <v>216</v>
      </c>
      <c r="J483" t="s">
        <v>378</v>
      </c>
      <c r="K483">
        <v>3.4819843390612622E-3</v>
      </c>
      <c r="L483" t="s">
        <v>166</v>
      </c>
      <c r="N483" t="s">
        <v>281</v>
      </c>
      <c r="O483" t="s">
        <v>378</v>
      </c>
      <c r="P483">
        <v>0.15477488823155633</v>
      </c>
      <c r="Q483" t="s">
        <v>166</v>
      </c>
    </row>
    <row r="484" spans="9:17" x14ac:dyDescent="0.45">
      <c r="I484" t="s">
        <v>216</v>
      </c>
      <c r="J484" t="s">
        <v>379</v>
      </c>
      <c r="K484">
        <v>3.4155827064761654E-2</v>
      </c>
      <c r="L484" t="s">
        <v>166</v>
      </c>
      <c r="N484" t="s">
        <v>281</v>
      </c>
      <c r="O484" t="s">
        <v>379</v>
      </c>
      <c r="P484">
        <v>2.3038707108710275E-2</v>
      </c>
      <c r="Q484" t="s">
        <v>166</v>
      </c>
    </row>
    <row r="485" spans="9:17" x14ac:dyDescent="0.45">
      <c r="I485" t="s">
        <v>216</v>
      </c>
      <c r="J485" t="s">
        <v>380</v>
      </c>
      <c r="K485">
        <v>0.2297637497823935</v>
      </c>
      <c r="L485" t="s">
        <v>166</v>
      </c>
      <c r="N485" t="s">
        <v>281</v>
      </c>
      <c r="O485" t="s">
        <v>380</v>
      </c>
      <c r="P485">
        <v>0.10095528708940758</v>
      </c>
      <c r="Q485" t="s">
        <v>166</v>
      </c>
    </row>
    <row r="486" spans="9:17" x14ac:dyDescent="0.45">
      <c r="I486" t="s">
        <v>216</v>
      </c>
      <c r="J486" t="s">
        <v>381</v>
      </c>
      <c r="K486">
        <v>6.2875890232700635E-3</v>
      </c>
      <c r="L486" t="s">
        <v>166</v>
      </c>
      <c r="N486" t="s">
        <v>281</v>
      </c>
      <c r="O486" t="s">
        <v>381</v>
      </c>
      <c r="P486">
        <v>0.13559210985576786</v>
      </c>
      <c r="Q486" t="s">
        <v>166</v>
      </c>
    </row>
    <row r="487" spans="9:17" x14ac:dyDescent="0.45">
      <c r="I487" t="s">
        <v>216</v>
      </c>
      <c r="J487" t="s">
        <v>382</v>
      </c>
      <c r="K487">
        <v>3.2915703107798795E-2</v>
      </c>
      <c r="L487" t="s">
        <v>166</v>
      </c>
      <c r="N487" t="s">
        <v>281</v>
      </c>
      <c r="O487" t="s">
        <v>382</v>
      </c>
      <c r="P487">
        <v>1.6698660186815237E-2</v>
      </c>
      <c r="Q487" t="s">
        <v>166</v>
      </c>
    </row>
    <row r="488" spans="9:17" x14ac:dyDescent="0.45">
      <c r="I488" t="s">
        <v>216</v>
      </c>
      <c r="J488" t="s">
        <v>383</v>
      </c>
      <c r="K488">
        <v>0.19980583562287915</v>
      </c>
      <c r="L488" t="s">
        <v>166</v>
      </c>
      <c r="N488" t="s">
        <v>281</v>
      </c>
      <c r="O488" t="s">
        <v>383</v>
      </c>
      <c r="P488">
        <v>0.10473418846190623</v>
      </c>
      <c r="Q488" t="s">
        <v>166</v>
      </c>
    </row>
    <row r="489" spans="9:17" x14ac:dyDescent="0.45">
      <c r="I489" t="s">
        <v>216</v>
      </c>
      <c r="J489" t="s">
        <v>384</v>
      </c>
      <c r="K489">
        <v>0</v>
      </c>
      <c r="L489" t="s">
        <v>166</v>
      </c>
      <c r="N489" t="s">
        <v>281</v>
      </c>
      <c r="O489" t="s">
        <v>384</v>
      </c>
      <c r="P489">
        <v>0.12900381894508861</v>
      </c>
      <c r="Q489" t="s">
        <v>166</v>
      </c>
    </row>
    <row r="490" spans="9:17" x14ac:dyDescent="0.45">
      <c r="I490" t="s">
        <v>216</v>
      </c>
      <c r="J490" t="s">
        <v>385</v>
      </c>
      <c r="K490">
        <v>2.1206672999500107E-2</v>
      </c>
      <c r="L490" t="s">
        <v>166</v>
      </c>
      <c r="N490" t="s">
        <v>281</v>
      </c>
      <c r="O490" t="s">
        <v>385</v>
      </c>
      <c r="P490">
        <v>1.7139833333474776E-2</v>
      </c>
      <c r="Q490" t="s">
        <v>166</v>
      </c>
    </row>
    <row r="491" spans="9:17" x14ac:dyDescent="0.45">
      <c r="I491" t="s">
        <v>217</v>
      </c>
      <c r="J491" t="s">
        <v>374</v>
      </c>
      <c r="K491">
        <v>0.22121953057988053</v>
      </c>
      <c r="L491" t="s">
        <v>166</v>
      </c>
      <c r="N491" t="s">
        <v>282</v>
      </c>
      <c r="O491" t="s">
        <v>374</v>
      </c>
      <c r="P491">
        <v>7.6983944871374749E-2</v>
      </c>
      <c r="Q491" t="s">
        <v>166</v>
      </c>
    </row>
    <row r="492" spans="9:17" x14ac:dyDescent="0.45">
      <c r="I492" t="s">
        <v>217</v>
      </c>
      <c r="J492" t="s">
        <v>375</v>
      </c>
      <c r="K492">
        <v>0</v>
      </c>
      <c r="L492" t="s">
        <v>166</v>
      </c>
      <c r="N492" t="s">
        <v>282</v>
      </c>
      <c r="O492" t="s">
        <v>375</v>
      </c>
      <c r="P492">
        <v>0.10876453955619786</v>
      </c>
      <c r="Q492" t="s">
        <v>166</v>
      </c>
    </row>
    <row r="493" spans="9:17" x14ac:dyDescent="0.45">
      <c r="I493" t="s">
        <v>217</v>
      </c>
      <c r="J493" t="s">
        <v>376</v>
      </c>
      <c r="K493">
        <v>2.3636900342064785E-2</v>
      </c>
      <c r="L493" t="s">
        <v>166</v>
      </c>
      <c r="N493" t="s">
        <v>282</v>
      </c>
      <c r="O493" t="s">
        <v>376</v>
      </c>
      <c r="P493">
        <v>1.2232939114164136E-2</v>
      </c>
      <c r="Q493" t="s">
        <v>166</v>
      </c>
    </row>
    <row r="494" spans="9:17" x14ac:dyDescent="0.45">
      <c r="I494" t="s">
        <v>217</v>
      </c>
      <c r="J494" t="s">
        <v>377</v>
      </c>
      <c r="K494">
        <v>0.22861921876460517</v>
      </c>
      <c r="L494" t="s">
        <v>166</v>
      </c>
      <c r="N494" t="s">
        <v>282</v>
      </c>
      <c r="O494" t="s">
        <v>377</v>
      </c>
      <c r="P494">
        <v>0.13326314806945008</v>
      </c>
      <c r="Q494" t="s">
        <v>166</v>
      </c>
    </row>
    <row r="495" spans="9:17" x14ac:dyDescent="0.45">
      <c r="I495" t="s">
        <v>217</v>
      </c>
      <c r="J495" t="s">
        <v>378</v>
      </c>
      <c r="K495">
        <v>2.0862917883916138E-3</v>
      </c>
      <c r="L495" t="s">
        <v>166</v>
      </c>
      <c r="N495" t="s">
        <v>282</v>
      </c>
      <c r="O495" t="s">
        <v>378</v>
      </c>
      <c r="P495">
        <v>0.16295738751904598</v>
      </c>
      <c r="Q495" t="s">
        <v>166</v>
      </c>
    </row>
    <row r="496" spans="9:17" x14ac:dyDescent="0.45">
      <c r="I496" t="s">
        <v>217</v>
      </c>
      <c r="J496" t="s">
        <v>379</v>
      </c>
      <c r="K496">
        <v>3.1689636603532328E-2</v>
      </c>
      <c r="L496" t="s">
        <v>166</v>
      </c>
      <c r="N496" t="s">
        <v>282</v>
      </c>
      <c r="O496" t="s">
        <v>379</v>
      </c>
      <c r="P496">
        <v>2.2208389259947368E-2</v>
      </c>
      <c r="Q496" t="s">
        <v>166</v>
      </c>
    </row>
    <row r="497" spans="9:17" x14ac:dyDescent="0.45">
      <c r="I497" t="s">
        <v>217</v>
      </c>
      <c r="J497" t="s">
        <v>380</v>
      </c>
      <c r="K497">
        <v>0.22467907801154025</v>
      </c>
      <c r="L497" t="s">
        <v>166</v>
      </c>
      <c r="N497" t="s">
        <v>282</v>
      </c>
      <c r="O497" t="s">
        <v>380</v>
      </c>
      <c r="P497">
        <v>0.10361511665290553</v>
      </c>
      <c r="Q497" t="s">
        <v>166</v>
      </c>
    </row>
    <row r="498" spans="9:17" x14ac:dyDescent="0.45">
      <c r="I498" t="s">
        <v>217</v>
      </c>
      <c r="J498" t="s">
        <v>381</v>
      </c>
      <c r="K498">
        <v>5.9148395950122511E-3</v>
      </c>
      <c r="L498" t="s">
        <v>166</v>
      </c>
      <c r="N498" t="s">
        <v>282</v>
      </c>
      <c r="O498" t="s">
        <v>381</v>
      </c>
      <c r="P498">
        <v>0.13547283217677594</v>
      </c>
      <c r="Q498" t="s">
        <v>166</v>
      </c>
    </row>
    <row r="499" spans="9:17" x14ac:dyDescent="0.45">
      <c r="I499" t="s">
        <v>217</v>
      </c>
      <c r="J499" t="s">
        <v>382</v>
      </c>
      <c r="K499">
        <v>3.2825297200030988E-2</v>
      </c>
      <c r="L499" t="s">
        <v>166</v>
      </c>
      <c r="N499" t="s">
        <v>282</v>
      </c>
      <c r="O499" t="s">
        <v>382</v>
      </c>
      <c r="P499">
        <v>1.9078636910001008E-2</v>
      </c>
      <c r="Q499" t="s">
        <v>166</v>
      </c>
    </row>
    <row r="500" spans="9:17" x14ac:dyDescent="0.45">
      <c r="I500" t="s">
        <v>217</v>
      </c>
      <c r="J500" t="s">
        <v>383</v>
      </c>
      <c r="K500">
        <v>0.20455326958344636</v>
      </c>
      <c r="L500" t="s">
        <v>166</v>
      </c>
      <c r="N500" t="s">
        <v>282</v>
      </c>
      <c r="O500" t="s">
        <v>383</v>
      </c>
      <c r="P500">
        <v>9.8569365345542864E-2</v>
      </c>
      <c r="Q500" t="s">
        <v>166</v>
      </c>
    </row>
    <row r="501" spans="9:17" x14ac:dyDescent="0.45">
      <c r="I501" t="s">
        <v>217</v>
      </c>
      <c r="J501" t="s">
        <v>384</v>
      </c>
      <c r="K501">
        <v>0</v>
      </c>
      <c r="L501" t="s">
        <v>166</v>
      </c>
      <c r="N501" t="s">
        <v>282</v>
      </c>
      <c r="O501" t="s">
        <v>384</v>
      </c>
      <c r="P501">
        <v>0.11163824280694509</v>
      </c>
      <c r="Q501" t="s">
        <v>166</v>
      </c>
    </row>
    <row r="502" spans="9:17" x14ac:dyDescent="0.45">
      <c r="I502" t="s">
        <v>217</v>
      </c>
      <c r="J502" t="s">
        <v>385</v>
      </c>
      <c r="K502">
        <v>2.4775937531496778E-2</v>
      </c>
      <c r="L502" t="s">
        <v>166</v>
      </c>
      <c r="N502" t="s">
        <v>282</v>
      </c>
      <c r="O502" t="s">
        <v>385</v>
      </c>
      <c r="P502">
        <v>1.5215457717645774E-2</v>
      </c>
      <c r="Q502" t="s">
        <v>166</v>
      </c>
    </row>
    <row r="503" spans="9:17" x14ac:dyDescent="0.45">
      <c r="I503" t="s">
        <v>218</v>
      </c>
      <c r="J503" t="s">
        <v>374</v>
      </c>
      <c r="K503">
        <v>0.21547218563757586</v>
      </c>
      <c r="L503" t="s">
        <v>166</v>
      </c>
      <c r="N503" t="s">
        <v>283</v>
      </c>
      <c r="O503" t="s">
        <v>374</v>
      </c>
      <c r="P503">
        <v>7.4287905712485836E-2</v>
      </c>
      <c r="Q503" t="s">
        <v>166</v>
      </c>
    </row>
    <row r="504" spans="9:17" x14ac:dyDescent="0.45">
      <c r="I504" t="s">
        <v>218</v>
      </c>
      <c r="J504" t="s">
        <v>375</v>
      </c>
      <c r="K504">
        <v>0</v>
      </c>
      <c r="L504" t="s">
        <v>166</v>
      </c>
      <c r="N504" t="s">
        <v>283</v>
      </c>
      <c r="O504" t="s">
        <v>375</v>
      </c>
      <c r="P504">
        <v>0.11400309038452201</v>
      </c>
      <c r="Q504" t="s">
        <v>166</v>
      </c>
    </row>
    <row r="505" spans="9:17" x14ac:dyDescent="0.45">
      <c r="I505" t="s">
        <v>218</v>
      </c>
      <c r="J505" t="s">
        <v>376</v>
      </c>
      <c r="K505">
        <v>2.1466309516423119E-2</v>
      </c>
      <c r="L505" t="s">
        <v>166</v>
      </c>
      <c r="N505" t="s">
        <v>283</v>
      </c>
      <c r="O505" t="s">
        <v>376</v>
      </c>
      <c r="P505">
        <v>1.0739133871603383E-2</v>
      </c>
      <c r="Q505" t="s">
        <v>166</v>
      </c>
    </row>
    <row r="506" spans="9:17" x14ac:dyDescent="0.45">
      <c r="I506" t="s">
        <v>218</v>
      </c>
      <c r="J506" t="s">
        <v>377</v>
      </c>
      <c r="K506">
        <v>0.23912405895044242</v>
      </c>
      <c r="L506" t="s">
        <v>166</v>
      </c>
      <c r="N506" t="s">
        <v>283</v>
      </c>
      <c r="O506" t="s">
        <v>377</v>
      </c>
      <c r="P506">
        <v>0.12834409231991512</v>
      </c>
      <c r="Q506" t="s">
        <v>166</v>
      </c>
    </row>
    <row r="507" spans="9:17" x14ac:dyDescent="0.45">
      <c r="I507" t="s">
        <v>218</v>
      </c>
      <c r="J507" t="s">
        <v>378</v>
      </c>
      <c r="K507">
        <v>2.5578411021351085E-3</v>
      </c>
      <c r="L507" t="s">
        <v>166</v>
      </c>
      <c r="N507" t="s">
        <v>283</v>
      </c>
      <c r="O507" t="s">
        <v>378</v>
      </c>
      <c r="P507">
        <v>0.14518822644815169</v>
      </c>
      <c r="Q507" t="s">
        <v>166</v>
      </c>
    </row>
    <row r="508" spans="9:17" x14ac:dyDescent="0.45">
      <c r="I508" t="s">
        <v>218</v>
      </c>
      <c r="J508" t="s">
        <v>379</v>
      </c>
      <c r="K508">
        <v>3.3342407301934197E-2</v>
      </c>
      <c r="L508" t="s">
        <v>166</v>
      </c>
      <c r="N508" t="s">
        <v>283</v>
      </c>
      <c r="O508" t="s">
        <v>379</v>
      </c>
      <c r="P508">
        <v>2.0252046052520681E-2</v>
      </c>
      <c r="Q508" t="s">
        <v>166</v>
      </c>
    </row>
    <row r="509" spans="9:17" x14ac:dyDescent="0.45">
      <c r="I509" t="s">
        <v>218</v>
      </c>
      <c r="J509" t="s">
        <v>380</v>
      </c>
      <c r="K509">
        <v>0.2235076521221388</v>
      </c>
      <c r="L509" t="s">
        <v>166</v>
      </c>
      <c r="N509" t="s">
        <v>283</v>
      </c>
      <c r="O509" t="s">
        <v>380</v>
      </c>
      <c r="P509">
        <v>0.11351792809610288</v>
      </c>
      <c r="Q509" t="s">
        <v>166</v>
      </c>
    </row>
    <row r="510" spans="9:17" x14ac:dyDescent="0.45">
      <c r="I510" t="s">
        <v>218</v>
      </c>
      <c r="J510" t="s">
        <v>381</v>
      </c>
      <c r="K510">
        <v>5.2218241034954413E-3</v>
      </c>
      <c r="L510" t="s">
        <v>166</v>
      </c>
      <c r="N510" t="s">
        <v>283</v>
      </c>
      <c r="O510" t="s">
        <v>381</v>
      </c>
      <c r="P510">
        <v>0.15265836599641269</v>
      </c>
      <c r="Q510" t="s">
        <v>166</v>
      </c>
    </row>
    <row r="511" spans="9:17" x14ac:dyDescent="0.45">
      <c r="I511" t="s">
        <v>218</v>
      </c>
      <c r="J511" t="s">
        <v>382</v>
      </c>
      <c r="K511">
        <v>3.1141855976906115E-2</v>
      </c>
      <c r="L511" t="s">
        <v>166</v>
      </c>
      <c r="N511" t="s">
        <v>283</v>
      </c>
      <c r="O511" t="s">
        <v>382</v>
      </c>
      <c r="P511">
        <v>1.7832693674539744E-2</v>
      </c>
      <c r="Q511" t="s">
        <v>166</v>
      </c>
    </row>
    <row r="512" spans="9:17" x14ac:dyDescent="0.45">
      <c r="I512" t="s">
        <v>218</v>
      </c>
      <c r="J512" t="s">
        <v>383</v>
      </c>
      <c r="K512">
        <v>0.20515809144234387</v>
      </c>
      <c r="L512" t="s">
        <v>166</v>
      </c>
      <c r="N512" t="s">
        <v>283</v>
      </c>
      <c r="O512" t="s">
        <v>383</v>
      </c>
      <c r="P512">
        <v>9.3206017400159033E-2</v>
      </c>
      <c r="Q512" t="s">
        <v>166</v>
      </c>
    </row>
    <row r="513" spans="9:17" x14ac:dyDescent="0.45">
      <c r="I513" t="s">
        <v>218</v>
      </c>
      <c r="J513" t="s">
        <v>384</v>
      </c>
      <c r="K513">
        <v>0</v>
      </c>
      <c r="L513" t="s">
        <v>166</v>
      </c>
      <c r="N513" t="s">
        <v>283</v>
      </c>
      <c r="O513" t="s">
        <v>384</v>
      </c>
      <c r="P513">
        <v>0.11513192618789242</v>
      </c>
      <c r="Q513" t="s">
        <v>166</v>
      </c>
    </row>
    <row r="514" spans="9:17" x14ac:dyDescent="0.45">
      <c r="I514" t="s">
        <v>218</v>
      </c>
      <c r="J514" t="s">
        <v>385</v>
      </c>
      <c r="K514">
        <v>2.300777384660287E-2</v>
      </c>
      <c r="L514" t="s">
        <v>166</v>
      </c>
      <c r="N514" t="s">
        <v>283</v>
      </c>
      <c r="O514" t="s">
        <v>385</v>
      </c>
      <c r="P514">
        <v>1.4838573855698447E-2</v>
      </c>
      <c r="Q514" t="s">
        <v>166</v>
      </c>
    </row>
    <row r="515" spans="9:17" x14ac:dyDescent="0.45">
      <c r="I515" t="s">
        <v>219</v>
      </c>
      <c r="J515" t="s">
        <v>374</v>
      </c>
      <c r="K515">
        <v>0.22787354420175079</v>
      </c>
      <c r="L515" t="s">
        <v>166</v>
      </c>
      <c r="N515" t="s">
        <v>284</v>
      </c>
      <c r="O515" t="s">
        <v>374</v>
      </c>
      <c r="P515">
        <v>8.1242273212157934E-2</v>
      </c>
      <c r="Q515" t="s">
        <v>166</v>
      </c>
    </row>
    <row r="516" spans="9:17" x14ac:dyDescent="0.45">
      <c r="I516" t="s">
        <v>219</v>
      </c>
      <c r="J516" t="s">
        <v>375</v>
      </c>
      <c r="K516">
        <v>0</v>
      </c>
      <c r="L516" t="s">
        <v>166</v>
      </c>
      <c r="N516" t="s">
        <v>284</v>
      </c>
      <c r="O516" t="s">
        <v>375</v>
      </c>
      <c r="P516">
        <v>0.109802147115584</v>
      </c>
      <c r="Q516" t="s">
        <v>166</v>
      </c>
    </row>
    <row r="517" spans="9:17" x14ac:dyDescent="0.45">
      <c r="I517" t="s">
        <v>219</v>
      </c>
      <c r="J517" t="s">
        <v>376</v>
      </c>
      <c r="K517">
        <v>1.6287610600441347E-2</v>
      </c>
      <c r="L517" t="s">
        <v>166</v>
      </c>
      <c r="N517" t="s">
        <v>284</v>
      </c>
      <c r="O517" t="s">
        <v>376</v>
      </c>
      <c r="P517">
        <v>1.7643606967096045E-2</v>
      </c>
      <c r="Q517" t="s">
        <v>166</v>
      </c>
    </row>
    <row r="518" spans="9:17" x14ac:dyDescent="0.45">
      <c r="I518" t="s">
        <v>219</v>
      </c>
      <c r="J518" t="s">
        <v>377</v>
      </c>
      <c r="K518">
        <v>0.24283546322863078</v>
      </c>
      <c r="L518" t="s">
        <v>166</v>
      </c>
      <c r="N518" t="s">
        <v>284</v>
      </c>
      <c r="O518" t="s">
        <v>377</v>
      </c>
      <c r="P518">
        <v>0.12166170942741422</v>
      </c>
      <c r="Q518" t="s">
        <v>166</v>
      </c>
    </row>
    <row r="519" spans="9:17" x14ac:dyDescent="0.45">
      <c r="I519" t="s">
        <v>219</v>
      </c>
      <c r="J519" t="s">
        <v>378</v>
      </c>
      <c r="K519">
        <v>0</v>
      </c>
      <c r="L519" t="s">
        <v>166</v>
      </c>
      <c r="N519" t="s">
        <v>284</v>
      </c>
      <c r="O519" t="s">
        <v>378</v>
      </c>
      <c r="P519">
        <v>0.18676153524369096</v>
      </c>
      <c r="Q519" t="s">
        <v>166</v>
      </c>
    </row>
    <row r="520" spans="9:17" x14ac:dyDescent="0.45">
      <c r="I520" t="s">
        <v>219</v>
      </c>
      <c r="J520" t="s">
        <v>379</v>
      </c>
      <c r="K520">
        <v>2.6683412810330921E-2</v>
      </c>
      <c r="L520" t="s">
        <v>166</v>
      </c>
      <c r="N520" t="s">
        <v>284</v>
      </c>
      <c r="O520" t="s">
        <v>379</v>
      </c>
      <c r="P520">
        <v>2.4806575552500713E-2</v>
      </c>
      <c r="Q520" t="s">
        <v>166</v>
      </c>
    </row>
    <row r="521" spans="9:17" x14ac:dyDescent="0.45">
      <c r="I521" t="s">
        <v>219</v>
      </c>
      <c r="J521" t="s">
        <v>380</v>
      </c>
      <c r="K521">
        <v>0.22484318907314602</v>
      </c>
      <c r="L521" t="s">
        <v>166</v>
      </c>
      <c r="N521" t="s">
        <v>284</v>
      </c>
      <c r="O521" t="s">
        <v>380</v>
      </c>
      <c r="P521">
        <v>8.9071586313228937E-2</v>
      </c>
      <c r="Q521" t="s">
        <v>166</v>
      </c>
    </row>
    <row r="522" spans="9:17" x14ac:dyDescent="0.45">
      <c r="I522" t="s">
        <v>219</v>
      </c>
      <c r="J522" t="s">
        <v>381</v>
      </c>
      <c r="K522">
        <v>2.3798074660855389E-4</v>
      </c>
      <c r="L522" t="s">
        <v>166</v>
      </c>
      <c r="N522" t="s">
        <v>284</v>
      </c>
      <c r="O522" t="s">
        <v>381</v>
      </c>
      <c r="P522">
        <v>0.13503998381900248</v>
      </c>
      <c r="Q522" t="s">
        <v>166</v>
      </c>
    </row>
    <row r="523" spans="9:17" x14ac:dyDescent="0.45">
      <c r="I523" t="s">
        <v>219</v>
      </c>
      <c r="J523" t="s">
        <v>382</v>
      </c>
      <c r="K523">
        <v>2.4766807330392226E-2</v>
      </c>
      <c r="L523" t="s">
        <v>166</v>
      </c>
      <c r="N523" t="s">
        <v>284</v>
      </c>
      <c r="O523" t="s">
        <v>382</v>
      </c>
      <c r="P523">
        <v>1.8554420696239794E-2</v>
      </c>
      <c r="Q523" t="s">
        <v>166</v>
      </c>
    </row>
    <row r="524" spans="9:17" x14ac:dyDescent="0.45">
      <c r="I524" t="s">
        <v>219</v>
      </c>
      <c r="J524" t="s">
        <v>383</v>
      </c>
      <c r="K524">
        <v>0.21894615044115112</v>
      </c>
      <c r="L524" t="s">
        <v>166</v>
      </c>
      <c r="N524" t="s">
        <v>284</v>
      </c>
      <c r="O524" t="s">
        <v>383</v>
      </c>
      <c r="P524">
        <v>8.5685041772699672E-2</v>
      </c>
      <c r="Q524" t="s">
        <v>166</v>
      </c>
    </row>
    <row r="525" spans="9:17" x14ac:dyDescent="0.45">
      <c r="I525" t="s">
        <v>219</v>
      </c>
      <c r="J525" t="s">
        <v>384</v>
      </c>
      <c r="K525">
        <v>0</v>
      </c>
      <c r="L525" t="s">
        <v>166</v>
      </c>
      <c r="N525" t="s">
        <v>284</v>
      </c>
      <c r="O525" t="s">
        <v>384</v>
      </c>
      <c r="P525">
        <v>0.11319030083596957</v>
      </c>
      <c r="Q525" t="s">
        <v>166</v>
      </c>
    </row>
    <row r="526" spans="9:17" x14ac:dyDescent="0.45">
      <c r="I526" t="s">
        <v>219</v>
      </c>
      <c r="J526" t="s">
        <v>385</v>
      </c>
      <c r="K526">
        <v>1.7525841567546819E-2</v>
      </c>
      <c r="L526" t="s">
        <v>166</v>
      </c>
      <c r="N526" t="s">
        <v>284</v>
      </c>
      <c r="O526" t="s">
        <v>385</v>
      </c>
      <c r="P526">
        <v>1.6540819044413381E-2</v>
      </c>
      <c r="Q526" t="s">
        <v>166</v>
      </c>
    </row>
    <row r="527" spans="9:17" x14ac:dyDescent="0.45">
      <c r="I527" t="s">
        <v>220</v>
      </c>
      <c r="J527" t="s">
        <v>374</v>
      </c>
      <c r="K527">
        <v>0.22505328960211568</v>
      </c>
      <c r="L527" t="s">
        <v>166</v>
      </c>
      <c r="N527" t="s">
        <v>285</v>
      </c>
      <c r="O527" t="s">
        <v>374</v>
      </c>
      <c r="P527">
        <v>8.6564134490044561E-2</v>
      </c>
      <c r="Q527" t="s">
        <v>166</v>
      </c>
    </row>
    <row r="528" spans="9:17" x14ac:dyDescent="0.45">
      <c r="I528" t="s">
        <v>220</v>
      </c>
      <c r="J528" t="s">
        <v>375</v>
      </c>
      <c r="K528">
        <v>0</v>
      </c>
      <c r="L528" t="s">
        <v>166</v>
      </c>
      <c r="N528" t="s">
        <v>285</v>
      </c>
      <c r="O528" t="s">
        <v>375</v>
      </c>
      <c r="P528">
        <v>0.11762886249018091</v>
      </c>
      <c r="Q528" t="s">
        <v>166</v>
      </c>
    </row>
    <row r="529" spans="9:17" x14ac:dyDescent="0.45">
      <c r="I529" t="s">
        <v>220</v>
      </c>
      <c r="J529" t="s">
        <v>376</v>
      </c>
      <c r="K529">
        <v>1.7546547809810048E-2</v>
      </c>
      <c r="L529" t="s">
        <v>166</v>
      </c>
      <c r="N529" t="s">
        <v>285</v>
      </c>
      <c r="O529" t="s">
        <v>376</v>
      </c>
      <c r="P529">
        <v>1.8914242376585424E-2</v>
      </c>
      <c r="Q529" t="s">
        <v>166</v>
      </c>
    </row>
    <row r="530" spans="9:17" x14ac:dyDescent="0.45">
      <c r="I530" t="s">
        <v>220</v>
      </c>
      <c r="J530" t="s">
        <v>377</v>
      </c>
      <c r="K530">
        <v>0.24275480065089103</v>
      </c>
      <c r="L530" t="s">
        <v>166</v>
      </c>
      <c r="N530" t="s">
        <v>285</v>
      </c>
      <c r="O530" t="s">
        <v>377</v>
      </c>
      <c r="P530">
        <v>0.12183660775895346</v>
      </c>
      <c r="Q530" t="s">
        <v>166</v>
      </c>
    </row>
    <row r="531" spans="9:17" x14ac:dyDescent="0.45">
      <c r="I531" t="s">
        <v>220</v>
      </c>
      <c r="J531" t="s">
        <v>378</v>
      </c>
      <c r="K531">
        <v>2.159595974288617E-5</v>
      </c>
      <c r="L531" t="s">
        <v>166</v>
      </c>
      <c r="N531" t="s">
        <v>285</v>
      </c>
      <c r="O531" t="s">
        <v>378</v>
      </c>
      <c r="P531">
        <v>0.17620982192060297</v>
      </c>
      <c r="Q531" t="s">
        <v>166</v>
      </c>
    </row>
    <row r="532" spans="9:17" x14ac:dyDescent="0.45">
      <c r="I532" t="s">
        <v>220</v>
      </c>
      <c r="J532" t="s">
        <v>379</v>
      </c>
      <c r="K532">
        <v>2.8470637253961401E-2</v>
      </c>
      <c r="L532" t="s">
        <v>166</v>
      </c>
      <c r="N532" t="s">
        <v>285</v>
      </c>
      <c r="O532" t="s">
        <v>379</v>
      </c>
      <c r="P532">
        <v>2.1049055546298795E-2</v>
      </c>
      <c r="Q532" t="s">
        <v>166</v>
      </c>
    </row>
    <row r="533" spans="9:17" x14ac:dyDescent="0.45">
      <c r="I533" t="s">
        <v>220</v>
      </c>
      <c r="J533" t="s">
        <v>380</v>
      </c>
      <c r="K533">
        <v>0.22354271803747447</v>
      </c>
      <c r="L533" t="s">
        <v>166</v>
      </c>
      <c r="N533" t="s">
        <v>285</v>
      </c>
      <c r="O533" t="s">
        <v>380</v>
      </c>
      <c r="P533">
        <v>9.3524120002085875E-2</v>
      </c>
      <c r="Q533" t="s">
        <v>166</v>
      </c>
    </row>
    <row r="534" spans="9:17" x14ac:dyDescent="0.45">
      <c r="I534" t="s">
        <v>220</v>
      </c>
      <c r="J534" t="s">
        <v>381</v>
      </c>
      <c r="K534">
        <v>2.3142064533763092E-3</v>
      </c>
      <c r="L534" t="s">
        <v>166</v>
      </c>
      <c r="N534" t="s">
        <v>285</v>
      </c>
      <c r="O534" t="s">
        <v>381</v>
      </c>
      <c r="P534">
        <v>0.13721117360352897</v>
      </c>
      <c r="Q534" t="s">
        <v>166</v>
      </c>
    </row>
    <row r="535" spans="9:17" x14ac:dyDescent="0.45">
      <c r="I535" t="s">
        <v>220</v>
      </c>
      <c r="J535" t="s">
        <v>382</v>
      </c>
      <c r="K535">
        <v>2.6167184469653569E-2</v>
      </c>
      <c r="L535" t="s">
        <v>166</v>
      </c>
      <c r="N535" t="s">
        <v>285</v>
      </c>
      <c r="O535" t="s">
        <v>382</v>
      </c>
      <c r="P535">
        <v>1.6627920463162461E-2</v>
      </c>
      <c r="Q535" t="s">
        <v>166</v>
      </c>
    </row>
    <row r="536" spans="9:17" x14ac:dyDescent="0.45">
      <c r="I536" t="s">
        <v>220</v>
      </c>
      <c r="J536" t="s">
        <v>383</v>
      </c>
      <c r="K536">
        <v>0.21555452374870437</v>
      </c>
      <c r="L536" t="s">
        <v>166</v>
      </c>
      <c r="N536" t="s">
        <v>285</v>
      </c>
      <c r="O536" t="s">
        <v>383</v>
      </c>
      <c r="P536">
        <v>8.4014729395161317E-2</v>
      </c>
      <c r="Q536" t="s">
        <v>166</v>
      </c>
    </row>
    <row r="537" spans="9:17" x14ac:dyDescent="0.45">
      <c r="I537" t="s">
        <v>220</v>
      </c>
      <c r="J537" t="s">
        <v>384</v>
      </c>
      <c r="K537">
        <v>0</v>
      </c>
      <c r="L537" t="s">
        <v>166</v>
      </c>
      <c r="N537" t="s">
        <v>285</v>
      </c>
      <c r="O537" t="s">
        <v>384</v>
      </c>
      <c r="P537">
        <v>0.11085769557404926</v>
      </c>
      <c r="Q537" t="s">
        <v>166</v>
      </c>
    </row>
    <row r="538" spans="9:17" x14ac:dyDescent="0.45">
      <c r="I538" t="s">
        <v>220</v>
      </c>
      <c r="J538" t="s">
        <v>385</v>
      </c>
      <c r="K538">
        <v>1.8574496014271427E-2</v>
      </c>
      <c r="L538" t="s">
        <v>166</v>
      </c>
      <c r="N538" t="s">
        <v>285</v>
      </c>
      <c r="O538" t="s">
        <v>385</v>
      </c>
      <c r="P538">
        <v>1.5561636379347689E-2</v>
      </c>
      <c r="Q538" t="s">
        <v>166</v>
      </c>
    </row>
    <row r="539" spans="9:17" x14ac:dyDescent="0.45">
      <c r="I539" t="s">
        <v>221</v>
      </c>
      <c r="J539" t="s">
        <v>374</v>
      </c>
      <c r="K539">
        <v>0.22636335263228716</v>
      </c>
      <c r="L539" t="s">
        <v>166</v>
      </c>
      <c r="N539" t="s">
        <v>286</v>
      </c>
      <c r="O539" t="s">
        <v>374</v>
      </c>
      <c r="P539">
        <v>6.8705682450078867E-2</v>
      </c>
      <c r="Q539" t="s">
        <v>166</v>
      </c>
    </row>
    <row r="540" spans="9:17" x14ac:dyDescent="0.45">
      <c r="I540" t="s">
        <v>221</v>
      </c>
      <c r="J540" t="s">
        <v>375</v>
      </c>
      <c r="K540">
        <v>0</v>
      </c>
      <c r="L540" t="s">
        <v>166</v>
      </c>
      <c r="N540" t="s">
        <v>286</v>
      </c>
      <c r="O540" t="s">
        <v>375</v>
      </c>
      <c r="P540">
        <v>9.9717974907447646E-2</v>
      </c>
      <c r="Q540" t="s">
        <v>166</v>
      </c>
    </row>
    <row r="541" spans="9:17" x14ac:dyDescent="0.45">
      <c r="I541" t="s">
        <v>221</v>
      </c>
      <c r="J541" t="s">
        <v>376</v>
      </c>
      <c r="K541">
        <v>1.4670052938749106E-2</v>
      </c>
      <c r="L541" t="s">
        <v>166</v>
      </c>
      <c r="N541" t="s">
        <v>286</v>
      </c>
      <c r="O541" t="s">
        <v>376</v>
      </c>
      <c r="P541">
        <v>1.8822711620275857E-2</v>
      </c>
      <c r="Q541" t="s">
        <v>166</v>
      </c>
    </row>
    <row r="542" spans="9:17" x14ac:dyDescent="0.45">
      <c r="I542" t="s">
        <v>221</v>
      </c>
      <c r="J542" t="s">
        <v>377</v>
      </c>
      <c r="K542">
        <v>0.24597302168694735</v>
      </c>
      <c r="L542" t="s">
        <v>166</v>
      </c>
      <c r="N542" t="s">
        <v>286</v>
      </c>
      <c r="O542" t="s">
        <v>377</v>
      </c>
      <c r="P542">
        <v>0.12438156021208271</v>
      </c>
      <c r="Q542" t="s">
        <v>166</v>
      </c>
    </row>
    <row r="543" spans="9:17" x14ac:dyDescent="0.45">
      <c r="I543" t="s">
        <v>221</v>
      </c>
      <c r="J543" t="s">
        <v>378</v>
      </c>
      <c r="K543">
        <v>0</v>
      </c>
      <c r="L543" t="s">
        <v>166</v>
      </c>
      <c r="N543" t="s">
        <v>286</v>
      </c>
      <c r="O543" t="s">
        <v>378</v>
      </c>
      <c r="P543">
        <v>0.19177004805796208</v>
      </c>
      <c r="Q543" t="s">
        <v>166</v>
      </c>
    </row>
    <row r="544" spans="9:17" x14ac:dyDescent="0.45">
      <c r="I544" t="s">
        <v>221</v>
      </c>
      <c r="J544" t="s">
        <v>379</v>
      </c>
      <c r="K544">
        <v>2.5680129868446262E-2</v>
      </c>
      <c r="L544" t="s">
        <v>166</v>
      </c>
      <c r="N544" t="s">
        <v>286</v>
      </c>
      <c r="O544" t="s">
        <v>379</v>
      </c>
      <c r="P544">
        <v>3.0322975848977918E-2</v>
      </c>
      <c r="Q544" t="s">
        <v>166</v>
      </c>
    </row>
    <row r="545" spans="9:17" x14ac:dyDescent="0.45">
      <c r="I545" t="s">
        <v>221</v>
      </c>
      <c r="J545" t="s">
        <v>380</v>
      </c>
      <c r="K545">
        <v>0.22855188740674087</v>
      </c>
      <c r="L545" t="s">
        <v>166</v>
      </c>
      <c r="N545" t="s">
        <v>286</v>
      </c>
      <c r="O545" t="s">
        <v>380</v>
      </c>
      <c r="P545">
        <v>8.4570326194704712E-2</v>
      </c>
      <c r="Q545" t="s">
        <v>166</v>
      </c>
    </row>
    <row r="546" spans="9:17" x14ac:dyDescent="0.45">
      <c r="I546" t="s">
        <v>221</v>
      </c>
      <c r="J546" t="s">
        <v>381</v>
      </c>
      <c r="K546">
        <v>2.3181439380524777E-4</v>
      </c>
      <c r="L546" t="s">
        <v>166</v>
      </c>
      <c r="N546" t="s">
        <v>286</v>
      </c>
      <c r="O546" t="s">
        <v>381</v>
      </c>
      <c r="P546">
        <v>0.14112640938887136</v>
      </c>
      <c r="Q546" t="s">
        <v>166</v>
      </c>
    </row>
    <row r="547" spans="9:17" x14ac:dyDescent="0.45">
      <c r="I547" t="s">
        <v>221</v>
      </c>
      <c r="J547" t="s">
        <v>382</v>
      </c>
      <c r="K547">
        <v>2.2989471943418712E-2</v>
      </c>
      <c r="L547" t="s">
        <v>166</v>
      </c>
      <c r="N547" t="s">
        <v>286</v>
      </c>
      <c r="O547" t="s">
        <v>382</v>
      </c>
      <c r="P547">
        <v>2.3350355656540884E-2</v>
      </c>
      <c r="Q547" t="s">
        <v>166</v>
      </c>
    </row>
    <row r="548" spans="9:17" x14ac:dyDescent="0.45">
      <c r="I548" t="s">
        <v>221</v>
      </c>
      <c r="J548" t="s">
        <v>383</v>
      </c>
      <c r="K548">
        <v>0.21999727091023308</v>
      </c>
      <c r="L548" t="s">
        <v>166</v>
      </c>
      <c r="N548" t="s">
        <v>286</v>
      </c>
      <c r="O548" t="s">
        <v>383</v>
      </c>
      <c r="P548">
        <v>8.9742254607585295E-2</v>
      </c>
      <c r="Q548" t="s">
        <v>166</v>
      </c>
    </row>
    <row r="549" spans="9:17" x14ac:dyDescent="0.45">
      <c r="I549" t="s">
        <v>221</v>
      </c>
      <c r="J549" t="s">
        <v>384</v>
      </c>
      <c r="K549">
        <v>0</v>
      </c>
      <c r="L549" t="s">
        <v>166</v>
      </c>
      <c r="N549" t="s">
        <v>286</v>
      </c>
      <c r="O549" t="s">
        <v>384</v>
      </c>
      <c r="P549">
        <v>0.11112472611211753</v>
      </c>
      <c r="Q549" t="s">
        <v>166</v>
      </c>
    </row>
    <row r="550" spans="9:17" x14ac:dyDescent="0.45">
      <c r="I550" t="s">
        <v>221</v>
      </c>
      <c r="J550" t="s">
        <v>385</v>
      </c>
      <c r="K550">
        <v>1.5542998219371287E-2</v>
      </c>
      <c r="L550" t="s">
        <v>166</v>
      </c>
      <c r="N550" t="s">
        <v>286</v>
      </c>
      <c r="O550" t="s">
        <v>385</v>
      </c>
      <c r="P550">
        <v>1.6364974943352466E-2</v>
      </c>
      <c r="Q550" t="s">
        <v>166</v>
      </c>
    </row>
    <row r="551" spans="9:17" x14ac:dyDescent="0.45">
      <c r="I551" t="s">
        <v>222</v>
      </c>
      <c r="J551" t="s">
        <v>374</v>
      </c>
      <c r="K551">
        <v>0.23306523382606595</v>
      </c>
      <c r="L551" t="s">
        <v>166</v>
      </c>
      <c r="N551" t="s">
        <v>287</v>
      </c>
      <c r="O551" t="s">
        <v>374</v>
      </c>
      <c r="P551">
        <v>6.2545233597926062E-2</v>
      </c>
      <c r="Q551" t="s">
        <v>166</v>
      </c>
    </row>
    <row r="552" spans="9:17" x14ac:dyDescent="0.45">
      <c r="I552" t="s">
        <v>222</v>
      </c>
      <c r="J552" t="s">
        <v>375</v>
      </c>
      <c r="K552">
        <v>0</v>
      </c>
      <c r="L552" t="s">
        <v>166</v>
      </c>
      <c r="N552" t="s">
        <v>287</v>
      </c>
      <c r="O552" t="s">
        <v>375</v>
      </c>
      <c r="P552">
        <v>9.9469690379397985E-2</v>
      </c>
      <c r="Q552" t="s">
        <v>166</v>
      </c>
    </row>
    <row r="553" spans="9:17" x14ac:dyDescent="0.45">
      <c r="I553" t="s">
        <v>222</v>
      </c>
      <c r="J553" t="s">
        <v>376</v>
      </c>
      <c r="K553">
        <v>1.2286851235179318E-2</v>
      </c>
      <c r="L553" t="s">
        <v>166</v>
      </c>
      <c r="N553" t="s">
        <v>287</v>
      </c>
      <c r="O553" t="s">
        <v>376</v>
      </c>
      <c r="P553">
        <v>1.2139965987481269E-2</v>
      </c>
      <c r="Q553" t="s">
        <v>166</v>
      </c>
    </row>
    <row r="554" spans="9:17" x14ac:dyDescent="0.45">
      <c r="I554" t="s">
        <v>222</v>
      </c>
      <c r="J554" t="s">
        <v>377</v>
      </c>
      <c r="K554">
        <v>0.24202511206180849</v>
      </c>
      <c r="L554" t="s">
        <v>166</v>
      </c>
      <c r="N554" t="s">
        <v>287</v>
      </c>
      <c r="O554" t="s">
        <v>377</v>
      </c>
      <c r="P554">
        <v>0.12751016402856372</v>
      </c>
      <c r="Q554" t="s">
        <v>166</v>
      </c>
    </row>
    <row r="555" spans="9:17" x14ac:dyDescent="0.45">
      <c r="I555" t="s">
        <v>222</v>
      </c>
      <c r="J555" t="s">
        <v>378</v>
      </c>
      <c r="K555">
        <v>0</v>
      </c>
      <c r="L555" t="s">
        <v>166</v>
      </c>
      <c r="N555" t="s">
        <v>287</v>
      </c>
      <c r="O555" t="s">
        <v>378</v>
      </c>
      <c r="P555">
        <v>0.17860139938588954</v>
      </c>
      <c r="Q555" t="s">
        <v>166</v>
      </c>
    </row>
    <row r="556" spans="9:17" x14ac:dyDescent="0.45">
      <c r="I556" t="s">
        <v>222</v>
      </c>
      <c r="J556" t="s">
        <v>379</v>
      </c>
      <c r="K556">
        <v>2.1136852384616496E-2</v>
      </c>
      <c r="L556" t="s">
        <v>166</v>
      </c>
      <c r="N556" t="s">
        <v>287</v>
      </c>
      <c r="O556" t="s">
        <v>379</v>
      </c>
      <c r="P556">
        <v>2.4220934031839548E-2</v>
      </c>
      <c r="Q556" t="s">
        <v>166</v>
      </c>
    </row>
    <row r="557" spans="9:17" x14ac:dyDescent="0.45">
      <c r="I557" t="s">
        <v>222</v>
      </c>
      <c r="J557" t="s">
        <v>380</v>
      </c>
      <c r="K557">
        <v>0.23325124120901666</v>
      </c>
      <c r="L557" t="s">
        <v>166</v>
      </c>
      <c r="N557" t="s">
        <v>287</v>
      </c>
      <c r="O557" t="s">
        <v>380</v>
      </c>
      <c r="P557">
        <v>9.3251936444731037E-2</v>
      </c>
      <c r="Q557" t="s">
        <v>166</v>
      </c>
    </row>
    <row r="558" spans="9:17" x14ac:dyDescent="0.45">
      <c r="I558" t="s">
        <v>222</v>
      </c>
      <c r="J558" t="s">
        <v>381</v>
      </c>
      <c r="K558">
        <v>0</v>
      </c>
      <c r="L558" t="s">
        <v>166</v>
      </c>
      <c r="N558" t="s">
        <v>287</v>
      </c>
      <c r="O558" t="s">
        <v>381</v>
      </c>
      <c r="P558">
        <v>0.14624092853650528</v>
      </c>
      <c r="Q558" t="s">
        <v>166</v>
      </c>
    </row>
    <row r="559" spans="9:17" x14ac:dyDescent="0.45">
      <c r="I559" t="s">
        <v>222</v>
      </c>
      <c r="J559" t="s">
        <v>382</v>
      </c>
      <c r="K559">
        <v>2.2633545169185702E-2</v>
      </c>
      <c r="L559" t="s">
        <v>166</v>
      </c>
      <c r="N559" t="s">
        <v>287</v>
      </c>
      <c r="O559" t="s">
        <v>382</v>
      </c>
      <c r="P559">
        <v>1.7605054590272416E-2</v>
      </c>
      <c r="Q559" t="s">
        <v>166</v>
      </c>
    </row>
    <row r="560" spans="9:17" x14ac:dyDescent="0.45">
      <c r="I560" t="s">
        <v>222</v>
      </c>
      <c r="J560" t="s">
        <v>383</v>
      </c>
      <c r="K560">
        <v>0.22340462270453079</v>
      </c>
      <c r="L560" t="s">
        <v>166</v>
      </c>
      <c r="N560" t="s">
        <v>287</v>
      </c>
      <c r="O560" t="s">
        <v>383</v>
      </c>
      <c r="P560">
        <v>9.8400460386054239E-2</v>
      </c>
      <c r="Q560" t="s">
        <v>166</v>
      </c>
    </row>
    <row r="561" spans="9:17" x14ac:dyDescent="0.45">
      <c r="I561" t="s">
        <v>222</v>
      </c>
      <c r="J561" t="s">
        <v>384</v>
      </c>
      <c r="K561">
        <v>0</v>
      </c>
      <c r="L561" t="s">
        <v>166</v>
      </c>
      <c r="N561" t="s">
        <v>287</v>
      </c>
      <c r="O561" t="s">
        <v>384</v>
      </c>
      <c r="P561">
        <v>0.12333552435108962</v>
      </c>
      <c r="Q561" t="s">
        <v>166</v>
      </c>
    </row>
    <row r="562" spans="9:17" x14ac:dyDescent="0.45">
      <c r="I562" t="s">
        <v>222</v>
      </c>
      <c r="J562" t="s">
        <v>385</v>
      </c>
      <c r="K562">
        <v>1.2196541409596038E-2</v>
      </c>
      <c r="L562" t="s">
        <v>166</v>
      </c>
      <c r="N562" t="s">
        <v>287</v>
      </c>
      <c r="O562" t="s">
        <v>385</v>
      </c>
      <c r="P562">
        <v>1.6678708280250944E-2</v>
      </c>
      <c r="Q562" t="s">
        <v>166</v>
      </c>
    </row>
    <row r="563" spans="9:17" x14ac:dyDescent="0.45">
      <c r="I563" t="s">
        <v>223</v>
      </c>
      <c r="J563" t="s">
        <v>374</v>
      </c>
      <c r="K563">
        <v>0.23071165129269994</v>
      </c>
      <c r="L563" t="s">
        <v>166</v>
      </c>
      <c r="N563" t="s">
        <v>288</v>
      </c>
      <c r="O563" t="s">
        <v>374</v>
      </c>
      <c r="P563">
        <v>6.0595368955425347E-2</v>
      </c>
      <c r="Q563" t="s">
        <v>166</v>
      </c>
    </row>
    <row r="564" spans="9:17" x14ac:dyDescent="0.45">
      <c r="I564" t="s">
        <v>223</v>
      </c>
      <c r="J564" t="s">
        <v>375</v>
      </c>
      <c r="K564">
        <v>0</v>
      </c>
      <c r="L564" t="s">
        <v>166</v>
      </c>
      <c r="N564" t="s">
        <v>288</v>
      </c>
      <c r="O564" t="s">
        <v>375</v>
      </c>
      <c r="P564">
        <v>0.1020863328460766</v>
      </c>
      <c r="Q564" t="s">
        <v>166</v>
      </c>
    </row>
    <row r="565" spans="9:17" x14ac:dyDescent="0.45">
      <c r="I565" t="s">
        <v>223</v>
      </c>
      <c r="J565" t="s">
        <v>376</v>
      </c>
      <c r="K565">
        <v>1.4939427941737879E-2</v>
      </c>
      <c r="L565" t="s">
        <v>166</v>
      </c>
      <c r="N565" t="s">
        <v>288</v>
      </c>
      <c r="O565" t="s">
        <v>376</v>
      </c>
      <c r="P565">
        <v>1.1214060836292854E-2</v>
      </c>
      <c r="Q565" t="s">
        <v>166</v>
      </c>
    </row>
    <row r="566" spans="9:17" x14ac:dyDescent="0.45">
      <c r="I566" t="s">
        <v>223</v>
      </c>
      <c r="J566" t="s">
        <v>377</v>
      </c>
      <c r="K566">
        <v>0.2393879219365346</v>
      </c>
      <c r="L566" t="s">
        <v>166</v>
      </c>
      <c r="N566" t="s">
        <v>288</v>
      </c>
      <c r="O566" t="s">
        <v>377</v>
      </c>
      <c r="P566">
        <v>0.13028899702111063</v>
      </c>
      <c r="Q566" t="s">
        <v>166</v>
      </c>
    </row>
    <row r="567" spans="9:17" x14ac:dyDescent="0.45">
      <c r="I567" t="s">
        <v>223</v>
      </c>
      <c r="J567" t="s">
        <v>378</v>
      </c>
      <c r="K567">
        <v>0</v>
      </c>
      <c r="L567" t="s">
        <v>166</v>
      </c>
      <c r="N567" t="s">
        <v>288</v>
      </c>
      <c r="O567" t="s">
        <v>378</v>
      </c>
      <c r="P567">
        <v>0.16934238140217783</v>
      </c>
      <c r="Q567" t="s">
        <v>166</v>
      </c>
    </row>
    <row r="568" spans="9:17" x14ac:dyDescent="0.45">
      <c r="I568" t="s">
        <v>223</v>
      </c>
      <c r="J568" t="s">
        <v>379</v>
      </c>
      <c r="K568">
        <v>2.4171160431863126E-2</v>
      </c>
      <c r="L568" t="s">
        <v>166</v>
      </c>
      <c r="N568" t="s">
        <v>288</v>
      </c>
      <c r="O568" t="s">
        <v>379</v>
      </c>
      <c r="P568">
        <v>2.4489777999596531E-2</v>
      </c>
      <c r="Q568" t="s">
        <v>166</v>
      </c>
    </row>
    <row r="569" spans="9:17" x14ac:dyDescent="0.45">
      <c r="I569" t="s">
        <v>223</v>
      </c>
      <c r="J569" t="s">
        <v>380</v>
      </c>
      <c r="K569">
        <v>0.22735135338171833</v>
      </c>
      <c r="L569" t="s">
        <v>166</v>
      </c>
      <c r="N569" t="s">
        <v>288</v>
      </c>
      <c r="O569" t="s">
        <v>380</v>
      </c>
      <c r="P569">
        <v>8.7558868003595455E-2</v>
      </c>
      <c r="Q569" t="s">
        <v>166</v>
      </c>
    </row>
    <row r="570" spans="9:17" x14ac:dyDescent="0.45">
      <c r="I570" t="s">
        <v>223</v>
      </c>
      <c r="J570" t="s">
        <v>381</v>
      </c>
      <c r="K570">
        <v>0</v>
      </c>
      <c r="L570" t="s">
        <v>166</v>
      </c>
      <c r="N570" t="s">
        <v>288</v>
      </c>
      <c r="O570" t="s">
        <v>381</v>
      </c>
      <c r="P570">
        <v>0.14267805192089708</v>
      </c>
      <c r="Q570" t="s">
        <v>166</v>
      </c>
    </row>
    <row r="571" spans="9:17" x14ac:dyDescent="0.45">
      <c r="I571" t="s">
        <v>223</v>
      </c>
      <c r="J571" t="s">
        <v>382</v>
      </c>
      <c r="K571">
        <v>2.3874116156792274E-2</v>
      </c>
      <c r="L571" t="s">
        <v>166</v>
      </c>
      <c r="N571" t="s">
        <v>288</v>
      </c>
      <c r="O571" t="s">
        <v>382</v>
      </c>
      <c r="P571">
        <v>1.6233348154406066E-2</v>
      </c>
      <c r="Q571" t="s">
        <v>166</v>
      </c>
    </row>
    <row r="572" spans="9:17" x14ac:dyDescent="0.45">
      <c r="I572" t="s">
        <v>223</v>
      </c>
      <c r="J572" t="s">
        <v>383</v>
      </c>
      <c r="K572">
        <v>0.22398114588090601</v>
      </c>
      <c r="L572" t="s">
        <v>166</v>
      </c>
      <c r="N572" t="s">
        <v>288</v>
      </c>
      <c r="O572" t="s">
        <v>383</v>
      </c>
      <c r="P572">
        <v>0.10223456861176757</v>
      </c>
      <c r="Q572" t="s">
        <v>166</v>
      </c>
    </row>
    <row r="573" spans="9:17" x14ac:dyDescent="0.45">
      <c r="I573" t="s">
        <v>223</v>
      </c>
      <c r="J573" t="s">
        <v>384</v>
      </c>
      <c r="K573">
        <v>0</v>
      </c>
      <c r="L573" t="s">
        <v>166</v>
      </c>
      <c r="N573" t="s">
        <v>288</v>
      </c>
      <c r="O573" t="s">
        <v>384</v>
      </c>
      <c r="P573">
        <v>0.13546526202754716</v>
      </c>
      <c r="Q573" t="s">
        <v>166</v>
      </c>
    </row>
    <row r="574" spans="9:17" x14ac:dyDescent="0.45">
      <c r="I574" t="s">
        <v>223</v>
      </c>
      <c r="J574" t="s">
        <v>385</v>
      </c>
      <c r="K574">
        <v>1.5583222977747741E-2</v>
      </c>
      <c r="L574" t="s">
        <v>166</v>
      </c>
      <c r="N574" t="s">
        <v>288</v>
      </c>
      <c r="O574" t="s">
        <v>385</v>
      </c>
      <c r="P574">
        <v>1.7812982221105791E-2</v>
      </c>
      <c r="Q574" t="s">
        <v>166</v>
      </c>
    </row>
    <row r="575" spans="9:17" x14ac:dyDescent="0.45">
      <c r="I575" t="s">
        <v>224</v>
      </c>
      <c r="J575" t="s">
        <v>374</v>
      </c>
      <c r="K575">
        <v>0.22844520519807468</v>
      </c>
      <c r="L575" t="s">
        <v>166</v>
      </c>
      <c r="N575" t="s">
        <v>289</v>
      </c>
      <c r="O575" t="s">
        <v>374</v>
      </c>
      <c r="P575">
        <v>5.6687880904339447E-2</v>
      </c>
      <c r="Q575" t="s">
        <v>166</v>
      </c>
    </row>
    <row r="576" spans="9:17" x14ac:dyDescent="0.45">
      <c r="I576" t="s">
        <v>224</v>
      </c>
      <c r="J576" t="s">
        <v>375</v>
      </c>
      <c r="K576">
        <v>0</v>
      </c>
      <c r="L576" t="s">
        <v>166</v>
      </c>
      <c r="N576" t="s">
        <v>289</v>
      </c>
      <c r="O576" t="s">
        <v>375</v>
      </c>
      <c r="P576">
        <v>0.10328002265675358</v>
      </c>
      <c r="Q576" t="s">
        <v>166</v>
      </c>
    </row>
    <row r="577" spans="9:17" x14ac:dyDescent="0.45">
      <c r="I577" t="s">
        <v>224</v>
      </c>
      <c r="J577" t="s">
        <v>376</v>
      </c>
      <c r="K577">
        <v>1.3569385215158845E-2</v>
      </c>
      <c r="L577" t="s">
        <v>166</v>
      </c>
      <c r="N577" t="s">
        <v>289</v>
      </c>
      <c r="O577" t="s">
        <v>376</v>
      </c>
      <c r="P577">
        <v>1.2558421945456578E-2</v>
      </c>
      <c r="Q577" t="s">
        <v>166</v>
      </c>
    </row>
    <row r="578" spans="9:17" x14ac:dyDescent="0.45">
      <c r="I578" t="s">
        <v>224</v>
      </c>
      <c r="J578" t="s">
        <v>377</v>
      </c>
      <c r="K578">
        <v>0.24245226950863713</v>
      </c>
      <c r="L578" t="s">
        <v>166</v>
      </c>
      <c r="N578" t="s">
        <v>289</v>
      </c>
      <c r="O578" t="s">
        <v>377</v>
      </c>
      <c r="P578">
        <v>0.12997363912687451</v>
      </c>
      <c r="Q578" t="s">
        <v>166</v>
      </c>
    </row>
    <row r="579" spans="9:17" x14ac:dyDescent="0.45">
      <c r="I579" t="s">
        <v>224</v>
      </c>
      <c r="J579" t="s">
        <v>378</v>
      </c>
      <c r="K579">
        <v>0</v>
      </c>
      <c r="L579" t="s">
        <v>166</v>
      </c>
      <c r="N579" t="s">
        <v>289</v>
      </c>
      <c r="O579" t="s">
        <v>378</v>
      </c>
      <c r="P579">
        <v>0.18340760057167871</v>
      </c>
      <c r="Q579" t="s">
        <v>166</v>
      </c>
    </row>
    <row r="580" spans="9:17" x14ac:dyDescent="0.45">
      <c r="I580" t="s">
        <v>224</v>
      </c>
      <c r="J580" t="s">
        <v>379</v>
      </c>
      <c r="K580">
        <v>2.3522772754347134E-2</v>
      </c>
      <c r="L580" t="s">
        <v>166</v>
      </c>
      <c r="N580" t="s">
        <v>289</v>
      </c>
      <c r="O580" t="s">
        <v>379</v>
      </c>
      <c r="P580">
        <v>2.5144089689910162E-2</v>
      </c>
      <c r="Q580" t="s">
        <v>166</v>
      </c>
    </row>
    <row r="581" spans="9:17" x14ac:dyDescent="0.45">
      <c r="I581" t="s">
        <v>224</v>
      </c>
      <c r="J581" t="s">
        <v>380</v>
      </c>
      <c r="K581">
        <v>0.22984726368758471</v>
      </c>
      <c r="L581" t="s">
        <v>166</v>
      </c>
      <c r="N581" t="s">
        <v>289</v>
      </c>
      <c r="O581" t="s">
        <v>380</v>
      </c>
      <c r="P581">
        <v>7.8339550710635086E-2</v>
      </c>
      <c r="Q581" t="s">
        <v>166</v>
      </c>
    </row>
    <row r="582" spans="9:17" x14ac:dyDescent="0.45">
      <c r="I582" t="s">
        <v>224</v>
      </c>
      <c r="J582" t="s">
        <v>381</v>
      </c>
      <c r="K582">
        <v>0</v>
      </c>
      <c r="L582" t="s">
        <v>166</v>
      </c>
      <c r="N582" t="s">
        <v>289</v>
      </c>
      <c r="O582" t="s">
        <v>381</v>
      </c>
      <c r="P582">
        <v>0.15438861190303965</v>
      </c>
      <c r="Q582" t="s">
        <v>166</v>
      </c>
    </row>
    <row r="583" spans="9:17" x14ac:dyDescent="0.45">
      <c r="I583" t="s">
        <v>224</v>
      </c>
      <c r="J583" t="s">
        <v>382</v>
      </c>
      <c r="K583">
        <v>2.2539711497483083E-2</v>
      </c>
      <c r="L583" t="s">
        <v>166</v>
      </c>
      <c r="N583" t="s">
        <v>289</v>
      </c>
      <c r="O583" t="s">
        <v>382</v>
      </c>
      <c r="P583">
        <v>1.7486369040270067E-2</v>
      </c>
      <c r="Q583" t="s">
        <v>166</v>
      </c>
    </row>
    <row r="584" spans="9:17" x14ac:dyDescent="0.45">
      <c r="I584" t="s">
        <v>224</v>
      </c>
      <c r="J584" t="s">
        <v>383</v>
      </c>
      <c r="K584">
        <v>0.22534449723215988</v>
      </c>
      <c r="L584" t="s">
        <v>166</v>
      </c>
      <c r="N584" t="s">
        <v>289</v>
      </c>
      <c r="O584" t="s">
        <v>383</v>
      </c>
      <c r="P584">
        <v>9.7242665825972907E-2</v>
      </c>
      <c r="Q584" t="s">
        <v>166</v>
      </c>
    </row>
    <row r="585" spans="9:17" x14ac:dyDescent="0.45">
      <c r="I585" t="s">
        <v>224</v>
      </c>
      <c r="J585" t="s">
        <v>384</v>
      </c>
      <c r="K585">
        <v>0</v>
      </c>
      <c r="L585" t="s">
        <v>166</v>
      </c>
      <c r="N585" t="s">
        <v>289</v>
      </c>
      <c r="O585" t="s">
        <v>384</v>
      </c>
      <c r="P585">
        <v>0.12503672840709709</v>
      </c>
      <c r="Q585" t="s">
        <v>166</v>
      </c>
    </row>
    <row r="586" spans="9:17" x14ac:dyDescent="0.45">
      <c r="I586" t="s">
        <v>224</v>
      </c>
      <c r="J586" t="s">
        <v>385</v>
      </c>
      <c r="K586">
        <v>1.4278894906553851E-2</v>
      </c>
      <c r="L586" t="s">
        <v>166</v>
      </c>
      <c r="N586" t="s">
        <v>289</v>
      </c>
      <c r="O586" t="s">
        <v>385</v>
      </c>
      <c r="P586">
        <v>1.6454419217972967E-2</v>
      </c>
      <c r="Q586" t="s">
        <v>166</v>
      </c>
    </row>
    <row r="587" spans="9:17" x14ac:dyDescent="0.45">
      <c r="I587" t="s">
        <v>225</v>
      </c>
      <c r="J587" t="s">
        <v>374</v>
      </c>
      <c r="K587">
        <v>0.23570500925579485</v>
      </c>
      <c r="L587" t="s">
        <v>166</v>
      </c>
      <c r="N587" t="s">
        <v>290</v>
      </c>
      <c r="O587" t="s">
        <v>374</v>
      </c>
      <c r="P587">
        <v>8.3625719902971379E-2</v>
      </c>
      <c r="Q587" t="s">
        <v>166</v>
      </c>
    </row>
    <row r="588" spans="9:17" x14ac:dyDescent="0.45">
      <c r="I588" t="s">
        <v>225</v>
      </c>
      <c r="J588" t="s">
        <v>375</v>
      </c>
      <c r="K588">
        <v>0</v>
      </c>
      <c r="L588" t="s">
        <v>166</v>
      </c>
      <c r="N588" t="s">
        <v>290</v>
      </c>
      <c r="O588" t="s">
        <v>375</v>
      </c>
      <c r="P588">
        <v>0.12419055588662216</v>
      </c>
      <c r="Q588" t="s">
        <v>166</v>
      </c>
    </row>
    <row r="589" spans="9:17" x14ac:dyDescent="0.45">
      <c r="I589" t="s">
        <v>225</v>
      </c>
      <c r="J589" t="s">
        <v>376</v>
      </c>
      <c r="K589">
        <v>8.0975396505087189E-3</v>
      </c>
      <c r="L589" t="s">
        <v>166</v>
      </c>
      <c r="N589" t="s">
        <v>290</v>
      </c>
      <c r="O589" t="s">
        <v>376</v>
      </c>
      <c r="P589">
        <v>1.1545826547145784E-2</v>
      </c>
      <c r="Q589" t="s">
        <v>166</v>
      </c>
    </row>
    <row r="590" spans="9:17" x14ac:dyDescent="0.45">
      <c r="I590" t="s">
        <v>225</v>
      </c>
      <c r="J590" t="s">
        <v>377</v>
      </c>
      <c r="K590">
        <v>0.24650007014195394</v>
      </c>
      <c r="L590" t="s">
        <v>166</v>
      </c>
      <c r="N590" t="s">
        <v>290</v>
      </c>
      <c r="O590" t="s">
        <v>377</v>
      </c>
      <c r="P590">
        <v>0.11702714375485092</v>
      </c>
      <c r="Q590" t="s">
        <v>166</v>
      </c>
    </row>
    <row r="591" spans="9:17" x14ac:dyDescent="0.45">
      <c r="I591" t="s">
        <v>225</v>
      </c>
      <c r="J591" t="s">
        <v>378</v>
      </c>
      <c r="K591">
        <v>0</v>
      </c>
      <c r="L591" t="s">
        <v>166</v>
      </c>
      <c r="N591" t="s">
        <v>290</v>
      </c>
      <c r="O591" t="s">
        <v>378</v>
      </c>
      <c r="P591">
        <v>0.14806759328332877</v>
      </c>
      <c r="Q591" t="s">
        <v>166</v>
      </c>
    </row>
    <row r="592" spans="9:17" x14ac:dyDescent="0.45">
      <c r="I592" t="s">
        <v>225</v>
      </c>
      <c r="J592" t="s">
        <v>379</v>
      </c>
      <c r="K592">
        <v>1.6437664814523561E-2</v>
      </c>
      <c r="L592" t="s">
        <v>166</v>
      </c>
      <c r="N592" t="s">
        <v>290</v>
      </c>
      <c r="O592" t="s">
        <v>379</v>
      </c>
      <c r="P592">
        <v>2.1961262888839633E-2</v>
      </c>
      <c r="Q592" t="s">
        <v>166</v>
      </c>
    </row>
    <row r="593" spans="9:17" x14ac:dyDescent="0.45">
      <c r="I593" t="s">
        <v>225</v>
      </c>
      <c r="J593" t="s">
        <v>380</v>
      </c>
      <c r="K593">
        <v>0.24016557005902789</v>
      </c>
      <c r="L593" t="s">
        <v>166</v>
      </c>
      <c r="N593" t="s">
        <v>290</v>
      </c>
      <c r="O593" t="s">
        <v>380</v>
      </c>
      <c r="P593">
        <v>9.8315197935367221E-2</v>
      </c>
      <c r="Q593" t="s">
        <v>166</v>
      </c>
    </row>
    <row r="594" spans="9:17" x14ac:dyDescent="0.45">
      <c r="I594" t="s">
        <v>225</v>
      </c>
      <c r="J594" t="s">
        <v>381</v>
      </c>
      <c r="K594">
        <v>0</v>
      </c>
      <c r="L594" t="s">
        <v>166</v>
      </c>
      <c r="N594" t="s">
        <v>290</v>
      </c>
      <c r="O594" t="s">
        <v>381</v>
      </c>
      <c r="P594">
        <v>0.17362958304739493</v>
      </c>
      <c r="Q594" t="s">
        <v>166</v>
      </c>
    </row>
    <row r="595" spans="9:17" x14ac:dyDescent="0.45">
      <c r="I595" t="s">
        <v>225</v>
      </c>
      <c r="J595" t="s">
        <v>382</v>
      </c>
      <c r="K595">
        <v>2.0269215923408801E-2</v>
      </c>
      <c r="L595" t="s">
        <v>166</v>
      </c>
      <c r="N595" t="s">
        <v>290</v>
      </c>
      <c r="O595" t="s">
        <v>382</v>
      </c>
      <c r="P595">
        <v>1.4999206172229267E-2</v>
      </c>
      <c r="Q595" t="s">
        <v>166</v>
      </c>
    </row>
    <row r="596" spans="9:17" x14ac:dyDescent="0.45">
      <c r="I596" t="s">
        <v>225</v>
      </c>
      <c r="J596" t="s">
        <v>383</v>
      </c>
      <c r="K596">
        <v>0.22388059377104269</v>
      </c>
      <c r="L596" t="s">
        <v>166</v>
      </c>
      <c r="N596" t="s">
        <v>290</v>
      </c>
      <c r="O596" t="s">
        <v>383</v>
      </c>
      <c r="P596">
        <v>8.3469034423453853E-2</v>
      </c>
      <c r="Q596" t="s">
        <v>166</v>
      </c>
    </row>
    <row r="597" spans="9:17" x14ac:dyDescent="0.45">
      <c r="I597" t="s">
        <v>225</v>
      </c>
      <c r="J597" t="s">
        <v>384</v>
      </c>
      <c r="K597">
        <v>0</v>
      </c>
      <c r="L597" t="s">
        <v>166</v>
      </c>
      <c r="N597" t="s">
        <v>290</v>
      </c>
      <c r="O597" t="s">
        <v>384</v>
      </c>
      <c r="P597">
        <v>0.1086757638385189</v>
      </c>
      <c r="Q597" t="s">
        <v>166</v>
      </c>
    </row>
    <row r="598" spans="9:17" x14ac:dyDescent="0.45">
      <c r="I598" t="s">
        <v>225</v>
      </c>
      <c r="J598" t="s">
        <v>385</v>
      </c>
      <c r="K598">
        <v>8.9443363837395286E-3</v>
      </c>
      <c r="L598" t="s">
        <v>166</v>
      </c>
      <c r="N598" t="s">
        <v>290</v>
      </c>
      <c r="O598" t="s">
        <v>385</v>
      </c>
      <c r="P598">
        <v>1.4493112319281009E-2</v>
      </c>
      <c r="Q598" t="s">
        <v>166</v>
      </c>
    </row>
    <row r="599" spans="9:17" x14ac:dyDescent="0.45">
      <c r="I599" t="s">
        <v>226</v>
      </c>
      <c r="J599" t="s">
        <v>374</v>
      </c>
      <c r="K599">
        <v>0.22830102564090191</v>
      </c>
      <c r="L599" t="s">
        <v>166</v>
      </c>
      <c r="N599" t="s">
        <v>291</v>
      </c>
      <c r="O599" t="s">
        <v>374</v>
      </c>
      <c r="P599">
        <v>7.5493722764035917E-2</v>
      </c>
      <c r="Q599" t="s">
        <v>166</v>
      </c>
    </row>
    <row r="600" spans="9:17" x14ac:dyDescent="0.45">
      <c r="I600" t="s">
        <v>226</v>
      </c>
      <c r="J600" t="s">
        <v>375</v>
      </c>
      <c r="K600">
        <v>0</v>
      </c>
      <c r="L600" t="s">
        <v>166</v>
      </c>
      <c r="N600" t="s">
        <v>291</v>
      </c>
      <c r="O600" t="s">
        <v>375</v>
      </c>
      <c r="P600">
        <v>0.14218951986792291</v>
      </c>
      <c r="Q600" t="s">
        <v>166</v>
      </c>
    </row>
    <row r="601" spans="9:17" x14ac:dyDescent="0.45">
      <c r="I601" t="s">
        <v>226</v>
      </c>
      <c r="J601" t="s">
        <v>376</v>
      </c>
      <c r="K601">
        <v>8.1231744124506487E-3</v>
      </c>
      <c r="L601" t="s">
        <v>166</v>
      </c>
      <c r="N601" t="s">
        <v>291</v>
      </c>
      <c r="O601" t="s">
        <v>376</v>
      </c>
      <c r="P601">
        <v>1.4549623704903062E-2</v>
      </c>
      <c r="Q601" t="s">
        <v>166</v>
      </c>
    </row>
    <row r="602" spans="9:17" x14ac:dyDescent="0.45">
      <c r="I602" t="s">
        <v>226</v>
      </c>
      <c r="J602" t="s">
        <v>377</v>
      </c>
      <c r="K602">
        <v>0.247087875921641</v>
      </c>
      <c r="L602" t="s">
        <v>166</v>
      </c>
      <c r="N602" t="s">
        <v>291</v>
      </c>
      <c r="O602" t="s">
        <v>377</v>
      </c>
      <c r="P602">
        <v>0.10626319717220153</v>
      </c>
      <c r="Q602" t="s">
        <v>166</v>
      </c>
    </row>
    <row r="603" spans="9:17" x14ac:dyDescent="0.45">
      <c r="I603" t="s">
        <v>226</v>
      </c>
      <c r="J603" t="s">
        <v>378</v>
      </c>
      <c r="K603">
        <v>0</v>
      </c>
      <c r="L603" t="s">
        <v>166</v>
      </c>
      <c r="N603" t="s">
        <v>291</v>
      </c>
      <c r="O603" t="s">
        <v>378</v>
      </c>
      <c r="P603">
        <v>0.15387831602347432</v>
      </c>
      <c r="Q603" t="s">
        <v>166</v>
      </c>
    </row>
    <row r="604" spans="9:17" x14ac:dyDescent="0.45">
      <c r="I604" t="s">
        <v>226</v>
      </c>
      <c r="J604" t="s">
        <v>379</v>
      </c>
      <c r="K604">
        <v>1.8015016862814367E-2</v>
      </c>
      <c r="L604" t="s">
        <v>166</v>
      </c>
      <c r="N604" t="s">
        <v>291</v>
      </c>
      <c r="O604" t="s">
        <v>379</v>
      </c>
      <c r="P604">
        <v>2.1704855736807988E-2</v>
      </c>
      <c r="Q604" t="s">
        <v>166</v>
      </c>
    </row>
    <row r="605" spans="9:17" x14ac:dyDescent="0.45">
      <c r="I605" t="s">
        <v>226</v>
      </c>
      <c r="J605" t="s">
        <v>380</v>
      </c>
      <c r="K605">
        <v>0.24553714245878702</v>
      </c>
      <c r="L605" t="s">
        <v>166</v>
      </c>
      <c r="N605" t="s">
        <v>291</v>
      </c>
      <c r="O605" t="s">
        <v>380</v>
      </c>
      <c r="P605">
        <v>9.0203092513940986E-2</v>
      </c>
      <c r="Q605" t="s">
        <v>166</v>
      </c>
    </row>
    <row r="606" spans="9:17" x14ac:dyDescent="0.45">
      <c r="I606" t="s">
        <v>226</v>
      </c>
      <c r="J606" t="s">
        <v>381</v>
      </c>
      <c r="K606">
        <v>0</v>
      </c>
      <c r="L606" t="s">
        <v>166</v>
      </c>
      <c r="N606" t="s">
        <v>291</v>
      </c>
      <c r="O606" t="s">
        <v>381</v>
      </c>
      <c r="P606">
        <v>0.18221892319355865</v>
      </c>
      <c r="Q606" t="s">
        <v>166</v>
      </c>
    </row>
    <row r="607" spans="9:17" x14ac:dyDescent="0.45">
      <c r="I607" t="s">
        <v>226</v>
      </c>
      <c r="J607" t="s">
        <v>382</v>
      </c>
      <c r="K607">
        <v>2.2827297430108105E-2</v>
      </c>
      <c r="L607" t="s">
        <v>166</v>
      </c>
      <c r="N607" t="s">
        <v>291</v>
      </c>
      <c r="O607" t="s">
        <v>382</v>
      </c>
      <c r="P607">
        <v>1.4573777763843016E-2</v>
      </c>
      <c r="Q607" t="s">
        <v>166</v>
      </c>
    </row>
    <row r="608" spans="9:17" x14ac:dyDescent="0.45">
      <c r="I608" t="s">
        <v>226</v>
      </c>
      <c r="J608" t="s">
        <v>383</v>
      </c>
      <c r="K608">
        <v>0.22150852504752383</v>
      </c>
      <c r="L608" t="s">
        <v>166</v>
      </c>
      <c r="N608" t="s">
        <v>291</v>
      </c>
      <c r="O608" t="s">
        <v>383</v>
      </c>
      <c r="P608">
        <v>7.4679818703817194E-2</v>
      </c>
      <c r="Q608" t="s">
        <v>166</v>
      </c>
    </row>
    <row r="609" spans="9:17" x14ac:dyDescent="0.45">
      <c r="I609" t="s">
        <v>226</v>
      </c>
      <c r="J609" t="s">
        <v>384</v>
      </c>
      <c r="K609">
        <v>0</v>
      </c>
      <c r="L609" t="s">
        <v>166</v>
      </c>
      <c r="N609" t="s">
        <v>291</v>
      </c>
      <c r="O609" t="s">
        <v>384</v>
      </c>
      <c r="P609">
        <v>0.1091432446753747</v>
      </c>
      <c r="Q609" t="s">
        <v>166</v>
      </c>
    </row>
    <row r="610" spans="9:17" x14ac:dyDescent="0.45">
      <c r="I610" t="s">
        <v>226</v>
      </c>
      <c r="J610" t="s">
        <v>385</v>
      </c>
      <c r="K610">
        <v>8.5999422257739284E-3</v>
      </c>
      <c r="L610" t="s">
        <v>166</v>
      </c>
      <c r="N610" t="s">
        <v>291</v>
      </c>
      <c r="O610" t="s">
        <v>385</v>
      </c>
      <c r="P610">
        <v>1.5101907880115359E-2</v>
      </c>
      <c r="Q610" t="s">
        <v>166</v>
      </c>
    </row>
    <row r="611" spans="9:17" x14ac:dyDescent="0.45">
      <c r="I611" t="s">
        <v>227</v>
      </c>
      <c r="J611" t="s">
        <v>374</v>
      </c>
      <c r="K611">
        <v>0.23039781319356012</v>
      </c>
      <c r="L611" t="s">
        <v>166</v>
      </c>
      <c r="N611" t="s">
        <v>292</v>
      </c>
      <c r="O611" t="s">
        <v>374</v>
      </c>
      <c r="P611">
        <v>6.9493197461379302E-2</v>
      </c>
      <c r="Q611" t="s">
        <v>166</v>
      </c>
    </row>
    <row r="612" spans="9:17" x14ac:dyDescent="0.45">
      <c r="I612" t="s">
        <v>227</v>
      </c>
      <c r="J612" t="s">
        <v>375</v>
      </c>
      <c r="K612">
        <v>0</v>
      </c>
      <c r="L612" t="s">
        <v>166</v>
      </c>
      <c r="N612" t="s">
        <v>292</v>
      </c>
      <c r="O612" t="s">
        <v>375</v>
      </c>
      <c r="P612">
        <v>0.11984573479678916</v>
      </c>
      <c r="Q612" t="s">
        <v>166</v>
      </c>
    </row>
    <row r="613" spans="9:17" x14ac:dyDescent="0.45">
      <c r="I613" t="s">
        <v>227</v>
      </c>
      <c r="J613" t="s">
        <v>376</v>
      </c>
      <c r="K613">
        <v>9.6260701523246082E-3</v>
      </c>
      <c r="L613" t="s">
        <v>166</v>
      </c>
      <c r="N613" t="s">
        <v>292</v>
      </c>
      <c r="O613" t="s">
        <v>376</v>
      </c>
      <c r="P613">
        <v>1.1814695760069969E-2</v>
      </c>
      <c r="Q613" t="s">
        <v>166</v>
      </c>
    </row>
    <row r="614" spans="9:17" x14ac:dyDescent="0.45">
      <c r="I614" t="s">
        <v>227</v>
      </c>
      <c r="J614" t="s">
        <v>377</v>
      </c>
      <c r="K614">
        <v>0.24539534267405394</v>
      </c>
      <c r="L614" t="s">
        <v>166</v>
      </c>
      <c r="N614" t="s">
        <v>292</v>
      </c>
      <c r="O614" t="s">
        <v>377</v>
      </c>
      <c r="P614">
        <v>0.11654268084491021</v>
      </c>
      <c r="Q614" t="s">
        <v>166</v>
      </c>
    </row>
    <row r="615" spans="9:17" x14ac:dyDescent="0.45">
      <c r="I615" t="s">
        <v>227</v>
      </c>
      <c r="J615" t="s">
        <v>378</v>
      </c>
      <c r="K615">
        <v>0</v>
      </c>
      <c r="L615" t="s">
        <v>166</v>
      </c>
      <c r="N615" t="s">
        <v>292</v>
      </c>
      <c r="O615" t="s">
        <v>378</v>
      </c>
      <c r="P615">
        <v>0.16207153195408283</v>
      </c>
      <c r="Q615" t="s">
        <v>166</v>
      </c>
    </row>
    <row r="616" spans="9:17" x14ac:dyDescent="0.45">
      <c r="I616" t="s">
        <v>227</v>
      </c>
      <c r="J616" t="s">
        <v>379</v>
      </c>
      <c r="K616">
        <v>1.8304002322715517E-2</v>
      </c>
      <c r="L616" t="s">
        <v>166</v>
      </c>
      <c r="N616" t="s">
        <v>292</v>
      </c>
      <c r="O616" t="s">
        <v>379</v>
      </c>
      <c r="P616">
        <v>2.1947303794538915E-2</v>
      </c>
      <c r="Q616" t="s">
        <v>166</v>
      </c>
    </row>
    <row r="617" spans="9:17" x14ac:dyDescent="0.45">
      <c r="I617" t="s">
        <v>227</v>
      </c>
      <c r="J617" t="s">
        <v>380</v>
      </c>
      <c r="K617">
        <v>0.23863588414734385</v>
      </c>
      <c r="L617" t="s">
        <v>166</v>
      </c>
      <c r="N617" t="s">
        <v>292</v>
      </c>
      <c r="O617" t="s">
        <v>380</v>
      </c>
      <c r="P617">
        <v>9.917801837839535E-2</v>
      </c>
      <c r="Q617" t="s">
        <v>166</v>
      </c>
    </row>
    <row r="618" spans="9:17" x14ac:dyDescent="0.45">
      <c r="I618" t="s">
        <v>227</v>
      </c>
      <c r="J618" t="s">
        <v>381</v>
      </c>
      <c r="K618">
        <v>0</v>
      </c>
      <c r="L618" t="s">
        <v>166</v>
      </c>
      <c r="N618" t="s">
        <v>292</v>
      </c>
      <c r="O618" t="s">
        <v>381</v>
      </c>
      <c r="P618">
        <v>0.18386702413389702</v>
      </c>
      <c r="Q618" t="s">
        <v>166</v>
      </c>
    </row>
    <row r="619" spans="9:17" x14ac:dyDescent="0.45">
      <c r="I619" t="s">
        <v>227</v>
      </c>
      <c r="J619" t="s">
        <v>382</v>
      </c>
      <c r="K619">
        <v>2.0490572284081597E-2</v>
      </c>
      <c r="L619" t="s">
        <v>166</v>
      </c>
      <c r="N619" t="s">
        <v>292</v>
      </c>
      <c r="O619" t="s">
        <v>382</v>
      </c>
      <c r="P619">
        <v>1.7973087306705687E-2</v>
      </c>
      <c r="Q619" t="s">
        <v>166</v>
      </c>
    </row>
    <row r="620" spans="9:17" x14ac:dyDescent="0.45">
      <c r="I620" t="s">
        <v>227</v>
      </c>
      <c r="J620" t="s">
        <v>383</v>
      </c>
      <c r="K620">
        <v>0.22643250191848474</v>
      </c>
      <c r="L620" t="s">
        <v>166</v>
      </c>
      <c r="N620" t="s">
        <v>292</v>
      </c>
      <c r="O620" t="s">
        <v>383</v>
      </c>
      <c r="P620">
        <v>7.1801733212763189E-2</v>
      </c>
      <c r="Q620" t="s">
        <v>166</v>
      </c>
    </row>
    <row r="621" spans="9:17" x14ac:dyDescent="0.45">
      <c r="I621" t="s">
        <v>227</v>
      </c>
      <c r="J621" t="s">
        <v>384</v>
      </c>
      <c r="K621">
        <v>0</v>
      </c>
      <c r="L621" t="s">
        <v>166</v>
      </c>
      <c r="N621" t="s">
        <v>292</v>
      </c>
      <c r="O621" t="s">
        <v>384</v>
      </c>
      <c r="P621">
        <v>0.11072399449723409</v>
      </c>
      <c r="Q621" t="s">
        <v>166</v>
      </c>
    </row>
    <row r="622" spans="9:17" x14ac:dyDescent="0.45">
      <c r="I622" t="s">
        <v>227</v>
      </c>
      <c r="J622" t="s">
        <v>385</v>
      </c>
      <c r="K622">
        <v>1.0717813307433332E-2</v>
      </c>
      <c r="L622" t="s">
        <v>166</v>
      </c>
      <c r="N622" t="s">
        <v>292</v>
      </c>
      <c r="O622" t="s">
        <v>385</v>
      </c>
      <c r="P622">
        <v>1.4740997859230531E-2</v>
      </c>
      <c r="Q622" t="s">
        <v>166</v>
      </c>
    </row>
    <row r="623" spans="9:17" x14ac:dyDescent="0.45">
      <c r="I623" t="s">
        <v>228</v>
      </c>
      <c r="J623" t="s">
        <v>374</v>
      </c>
      <c r="K623">
        <v>0.22667982761685038</v>
      </c>
      <c r="L623" t="s">
        <v>166</v>
      </c>
      <c r="N623" t="s">
        <v>293</v>
      </c>
      <c r="O623" t="s">
        <v>374</v>
      </c>
      <c r="P623">
        <v>6.6305569577957538E-2</v>
      </c>
      <c r="Q623" t="s">
        <v>166</v>
      </c>
    </row>
    <row r="624" spans="9:17" x14ac:dyDescent="0.45">
      <c r="I624" t="s">
        <v>228</v>
      </c>
      <c r="J624" t="s">
        <v>375</v>
      </c>
      <c r="K624">
        <v>0</v>
      </c>
      <c r="L624" t="s">
        <v>166</v>
      </c>
      <c r="N624" t="s">
        <v>293</v>
      </c>
      <c r="O624" t="s">
        <v>375</v>
      </c>
      <c r="P624">
        <v>0.10701601868569961</v>
      </c>
      <c r="Q624" t="s">
        <v>166</v>
      </c>
    </row>
    <row r="625" spans="9:17" x14ac:dyDescent="0.45">
      <c r="I625" t="s">
        <v>228</v>
      </c>
      <c r="J625" t="s">
        <v>376</v>
      </c>
      <c r="K625">
        <v>1.2767609516351697E-2</v>
      </c>
      <c r="L625" t="s">
        <v>166</v>
      </c>
      <c r="N625" t="s">
        <v>293</v>
      </c>
      <c r="O625" t="s">
        <v>376</v>
      </c>
      <c r="P625">
        <v>1.2129437018902088E-2</v>
      </c>
      <c r="Q625" t="s">
        <v>166</v>
      </c>
    </row>
    <row r="626" spans="9:17" x14ac:dyDescent="0.45">
      <c r="I626" t="s">
        <v>228</v>
      </c>
      <c r="J626" t="s">
        <v>377</v>
      </c>
      <c r="K626">
        <v>0.24693119845838882</v>
      </c>
      <c r="L626" t="s">
        <v>166</v>
      </c>
      <c r="N626" t="s">
        <v>293</v>
      </c>
      <c r="O626" t="s">
        <v>377</v>
      </c>
      <c r="P626">
        <v>0.12118345727127905</v>
      </c>
      <c r="Q626" t="s">
        <v>166</v>
      </c>
    </row>
    <row r="627" spans="9:17" x14ac:dyDescent="0.45">
      <c r="I627" t="s">
        <v>228</v>
      </c>
      <c r="J627" t="s">
        <v>378</v>
      </c>
      <c r="K627">
        <v>0</v>
      </c>
      <c r="L627" t="s">
        <v>166</v>
      </c>
      <c r="N627" t="s">
        <v>293</v>
      </c>
      <c r="O627" t="s">
        <v>378</v>
      </c>
      <c r="P627">
        <v>0.1476016999176048</v>
      </c>
      <c r="Q627" t="s">
        <v>166</v>
      </c>
    </row>
    <row r="628" spans="9:17" x14ac:dyDescent="0.45">
      <c r="I628" t="s">
        <v>228</v>
      </c>
      <c r="J628" t="s">
        <v>379</v>
      </c>
      <c r="K628">
        <v>2.4135087113380221E-2</v>
      </c>
      <c r="L628" t="s">
        <v>166</v>
      </c>
      <c r="N628" t="s">
        <v>293</v>
      </c>
      <c r="O628" t="s">
        <v>379</v>
      </c>
      <c r="P628">
        <v>2.247644146301352E-2</v>
      </c>
      <c r="Q628" t="s">
        <v>166</v>
      </c>
    </row>
    <row r="629" spans="9:17" x14ac:dyDescent="0.45">
      <c r="I629" t="s">
        <v>228</v>
      </c>
      <c r="J629" t="s">
        <v>380</v>
      </c>
      <c r="K629">
        <v>0.22792173299284771</v>
      </c>
      <c r="L629" t="s">
        <v>166</v>
      </c>
      <c r="N629" t="s">
        <v>293</v>
      </c>
      <c r="O629" t="s">
        <v>380</v>
      </c>
      <c r="P629">
        <v>0.11875614443444098</v>
      </c>
      <c r="Q629" t="s">
        <v>166</v>
      </c>
    </row>
    <row r="630" spans="9:17" x14ac:dyDescent="0.45">
      <c r="I630" t="s">
        <v>228</v>
      </c>
      <c r="J630" t="s">
        <v>381</v>
      </c>
      <c r="K630">
        <v>0</v>
      </c>
      <c r="L630" t="s">
        <v>166</v>
      </c>
      <c r="N630" t="s">
        <v>293</v>
      </c>
      <c r="O630" t="s">
        <v>381</v>
      </c>
      <c r="P630">
        <v>0.175974713090816</v>
      </c>
      <c r="Q630" t="s">
        <v>166</v>
      </c>
    </row>
    <row r="631" spans="9:17" x14ac:dyDescent="0.45">
      <c r="I631" t="s">
        <v>228</v>
      </c>
      <c r="J631" t="s">
        <v>382</v>
      </c>
      <c r="K631">
        <v>1.9543338363171334E-2</v>
      </c>
      <c r="L631" t="s">
        <v>166</v>
      </c>
      <c r="N631" t="s">
        <v>293</v>
      </c>
      <c r="O631" t="s">
        <v>382</v>
      </c>
      <c r="P631">
        <v>2.1277009454816771E-2</v>
      </c>
      <c r="Q631" t="s">
        <v>166</v>
      </c>
    </row>
    <row r="632" spans="9:17" x14ac:dyDescent="0.45">
      <c r="I632" t="s">
        <v>228</v>
      </c>
      <c r="J632" t="s">
        <v>383</v>
      </c>
      <c r="K632">
        <v>0.2278400321453557</v>
      </c>
      <c r="L632" t="s">
        <v>166</v>
      </c>
      <c r="N632" t="s">
        <v>293</v>
      </c>
      <c r="O632" t="s">
        <v>383</v>
      </c>
      <c r="P632">
        <v>8.4369655342225819E-2</v>
      </c>
      <c r="Q632" t="s">
        <v>166</v>
      </c>
    </row>
    <row r="633" spans="9:17" x14ac:dyDescent="0.45">
      <c r="I633" t="s">
        <v>228</v>
      </c>
      <c r="J633" t="s">
        <v>384</v>
      </c>
      <c r="K633">
        <v>0</v>
      </c>
      <c r="L633" t="s">
        <v>166</v>
      </c>
      <c r="N633" t="s">
        <v>293</v>
      </c>
      <c r="O633" t="s">
        <v>384</v>
      </c>
      <c r="P633">
        <v>0.10642165408971722</v>
      </c>
      <c r="Q633" t="s">
        <v>166</v>
      </c>
    </row>
    <row r="634" spans="9:17" x14ac:dyDescent="0.45">
      <c r="I634" t="s">
        <v>228</v>
      </c>
      <c r="J634" t="s">
        <v>385</v>
      </c>
      <c r="K634">
        <v>1.4181173793654373E-2</v>
      </c>
      <c r="L634" t="s">
        <v>166</v>
      </c>
      <c r="N634" t="s">
        <v>293</v>
      </c>
      <c r="O634" t="s">
        <v>385</v>
      </c>
      <c r="P634">
        <v>1.6488199653528695E-2</v>
      </c>
      <c r="Q634" t="s">
        <v>166</v>
      </c>
    </row>
    <row r="635" spans="9:17" x14ac:dyDescent="0.45">
      <c r="I635" t="s">
        <v>229</v>
      </c>
      <c r="J635" t="s">
        <v>374</v>
      </c>
      <c r="K635">
        <v>0.23040276282095865</v>
      </c>
      <c r="L635" t="s">
        <v>166</v>
      </c>
      <c r="N635" t="s">
        <v>294</v>
      </c>
      <c r="O635" t="s">
        <v>374</v>
      </c>
      <c r="P635">
        <v>6.5449676702297246E-2</v>
      </c>
      <c r="Q635" t="s">
        <v>166</v>
      </c>
    </row>
    <row r="636" spans="9:17" x14ac:dyDescent="0.45">
      <c r="I636" t="s">
        <v>229</v>
      </c>
      <c r="J636" t="s">
        <v>375</v>
      </c>
      <c r="K636">
        <v>0</v>
      </c>
      <c r="L636" t="s">
        <v>166</v>
      </c>
      <c r="N636" t="s">
        <v>294</v>
      </c>
      <c r="O636" t="s">
        <v>375</v>
      </c>
      <c r="P636">
        <v>0.10920370748147352</v>
      </c>
      <c r="Q636" t="s">
        <v>166</v>
      </c>
    </row>
    <row r="637" spans="9:17" x14ac:dyDescent="0.45">
      <c r="I637" t="s">
        <v>229</v>
      </c>
      <c r="J637" t="s">
        <v>376</v>
      </c>
      <c r="K637">
        <v>1.1333443270323923E-2</v>
      </c>
      <c r="L637" t="s">
        <v>166</v>
      </c>
      <c r="N637" t="s">
        <v>294</v>
      </c>
      <c r="O637" t="s">
        <v>376</v>
      </c>
      <c r="P637">
        <v>9.6431461285059732E-3</v>
      </c>
      <c r="Q637" t="s">
        <v>166</v>
      </c>
    </row>
    <row r="638" spans="9:17" x14ac:dyDescent="0.45">
      <c r="I638" t="s">
        <v>229</v>
      </c>
      <c r="J638" t="s">
        <v>377</v>
      </c>
      <c r="K638">
        <v>0.24379222629151426</v>
      </c>
      <c r="L638" t="s">
        <v>166</v>
      </c>
      <c r="N638" t="s">
        <v>294</v>
      </c>
      <c r="O638" t="s">
        <v>377</v>
      </c>
      <c r="P638">
        <v>0.12122297594207067</v>
      </c>
      <c r="Q638" t="s">
        <v>166</v>
      </c>
    </row>
    <row r="639" spans="9:17" x14ac:dyDescent="0.45">
      <c r="I639" t="s">
        <v>229</v>
      </c>
      <c r="J639" t="s">
        <v>378</v>
      </c>
      <c r="K639">
        <v>0</v>
      </c>
      <c r="L639" t="s">
        <v>166</v>
      </c>
      <c r="N639" t="s">
        <v>294</v>
      </c>
      <c r="O639" t="s">
        <v>378</v>
      </c>
      <c r="P639">
        <v>0.15290691853773936</v>
      </c>
      <c r="Q639" t="s">
        <v>166</v>
      </c>
    </row>
    <row r="640" spans="9:17" x14ac:dyDescent="0.45">
      <c r="I640" t="s">
        <v>229</v>
      </c>
      <c r="J640" t="s">
        <v>379</v>
      </c>
      <c r="K640">
        <v>1.9472170341915715E-2</v>
      </c>
      <c r="L640" t="s">
        <v>166</v>
      </c>
      <c r="N640" t="s">
        <v>294</v>
      </c>
      <c r="O640" t="s">
        <v>379</v>
      </c>
      <c r="P640">
        <v>2.1022503405122853E-2</v>
      </c>
      <c r="Q640" t="s">
        <v>166</v>
      </c>
    </row>
    <row r="641" spans="9:17" x14ac:dyDescent="0.45">
      <c r="I641" t="s">
        <v>229</v>
      </c>
      <c r="J641" t="s">
        <v>380</v>
      </c>
      <c r="K641">
        <v>0.23508404224443133</v>
      </c>
      <c r="L641" t="s">
        <v>166</v>
      </c>
      <c r="N641" t="s">
        <v>294</v>
      </c>
      <c r="O641" t="s">
        <v>380</v>
      </c>
      <c r="P641">
        <v>9.3580009977636922E-2</v>
      </c>
      <c r="Q641" t="s">
        <v>166</v>
      </c>
    </row>
    <row r="642" spans="9:17" x14ac:dyDescent="0.45">
      <c r="I642" t="s">
        <v>229</v>
      </c>
      <c r="J642" t="s">
        <v>381</v>
      </c>
      <c r="K642">
        <v>0</v>
      </c>
      <c r="L642" t="s">
        <v>166</v>
      </c>
      <c r="N642" t="s">
        <v>294</v>
      </c>
      <c r="O642" t="s">
        <v>381</v>
      </c>
      <c r="P642">
        <v>0.18139100557360394</v>
      </c>
      <c r="Q642" t="s">
        <v>166</v>
      </c>
    </row>
    <row r="643" spans="9:17" x14ac:dyDescent="0.45">
      <c r="I643" t="s">
        <v>229</v>
      </c>
      <c r="J643" t="s">
        <v>382</v>
      </c>
      <c r="K643">
        <v>2.0684234793965712E-2</v>
      </c>
      <c r="L643" t="s">
        <v>166</v>
      </c>
      <c r="N643" t="s">
        <v>294</v>
      </c>
      <c r="O643" t="s">
        <v>382</v>
      </c>
      <c r="P643">
        <v>1.4566949143368677E-2</v>
      </c>
      <c r="Q643" t="s">
        <v>166</v>
      </c>
    </row>
    <row r="644" spans="9:17" x14ac:dyDescent="0.45">
      <c r="I644" t="s">
        <v>229</v>
      </c>
      <c r="J644" t="s">
        <v>383</v>
      </c>
      <c r="K644">
        <v>0.22715661656951627</v>
      </c>
      <c r="L644" t="s">
        <v>166</v>
      </c>
      <c r="N644" t="s">
        <v>294</v>
      </c>
      <c r="O644" t="s">
        <v>383</v>
      </c>
      <c r="P644">
        <v>9.05013452873904E-2</v>
      </c>
      <c r="Q644" t="s">
        <v>166</v>
      </c>
    </row>
    <row r="645" spans="9:17" x14ac:dyDescent="0.45">
      <c r="I645" t="s">
        <v>229</v>
      </c>
      <c r="J645" t="s">
        <v>384</v>
      </c>
      <c r="K645">
        <v>0</v>
      </c>
      <c r="L645" t="s">
        <v>166</v>
      </c>
      <c r="N645" t="s">
        <v>294</v>
      </c>
      <c r="O645" t="s">
        <v>384</v>
      </c>
      <c r="P645">
        <v>0.12284163620142592</v>
      </c>
      <c r="Q645" t="s">
        <v>166</v>
      </c>
    </row>
    <row r="646" spans="9:17" x14ac:dyDescent="0.45">
      <c r="I646" t="s">
        <v>229</v>
      </c>
      <c r="J646" t="s">
        <v>385</v>
      </c>
      <c r="K646">
        <v>1.2074503667375258E-2</v>
      </c>
      <c r="L646" t="s">
        <v>166</v>
      </c>
      <c r="N646" t="s">
        <v>294</v>
      </c>
      <c r="O646" t="s">
        <v>385</v>
      </c>
      <c r="P646">
        <v>1.7670125619364513E-2</v>
      </c>
      <c r="Q646" t="s">
        <v>166</v>
      </c>
    </row>
    <row r="647" spans="9:17" x14ac:dyDescent="0.45">
      <c r="I647" t="s">
        <v>230</v>
      </c>
      <c r="J647" t="s">
        <v>374</v>
      </c>
      <c r="K647">
        <v>0.2198740851927751</v>
      </c>
      <c r="L647" t="s">
        <v>166</v>
      </c>
      <c r="N647" t="s">
        <v>295</v>
      </c>
      <c r="O647" t="s">
        <v>374</v>
      </c>
      <c r="P647">
        <v>6.8982672129163855E-2</v>
      </c>
      <c r="Q647" t="s">
        <v>166</v>
      </c>
    </row>
    <row r="648" spans="9:17" x14ac:dyDescent="0.45">
      <c r="I648" t="s">
        <v>230</v>
      </c>
      <c r="J648" t="s">
        <v>375</v>
      </c>
      <c r="K648">
        <v>0</v>
      </c>
      <c r="L648" t="s">
        <v>166</v>
      </c>
      <c r="N648" t="s">
        <v>295</v>
      </c>
      <c r="O648" t="s">
        <v>375</v>
      </c>
      <c r="P648">
        <v>0.10743830796198912</v>
      </c>
      <c r="Q648" t="s">
        <v>166</v>
      </c>
    </row>
    <row r="649" spans="9:17" x14ac:dyDescent="0.45">
      <c r="I649" t="s">
        <v>230</v>
      </c>
      <c r="J649" t="s">
        <v>376</v>
      </c>
      <c r="K649">
        <v>1.0128752025386373E-2</v>
      </c>
      <c r="L649" t="s">
        <v>166</v>
      </c>
      <c r="N649" t="s">
        <v>295</v>
      </c>
      <c r="O649" t="s">
        <v>376</v>
      </c>
      <c r="P649">
        <v>9.9755098965260709E-3</v>
      </c>
      <c r="Q649" t="s">
        <v>166</v>
      </c>
    </row>
    <row r="650" spans="9:17" x14ac:dyDescent="0.45">
      <c r="I650" t="s">
        <v>230</v>
      </c>
      <c r="J650" t="s">
        <v>377</v>
      </c>
      <c r="K650">
        <v>0.25782922331504809</v>
      </c>
      <c r="L650" t="s">
        <v>166</v>
      </c>
      <c r="N650" t="s">
        <v>295</v>
      </c>
      <c r="O650" t="s">
        <v>377</v>
      </c>
      <c r="P650">
        <v>0.11943544642402169</v>
      </c>
      <c r="Q650" t="s">
        <v>166</v>
      </c>
    </row>
    <row r="651" spans="9:17" x14ac:dyDescent="0.45">
      <c r="I651" t="s">
        <v>230</v>
      </c>
      <c r="J651" t="s">
        <v>378</v>
      </c>
      <c r="K651">
        <v>0</v>
      </c>
      <c r="L651" t="s">
        <v>166</v>
      </c>
      <c r="N651" t="s">
        <v>295</v>
      </c>
      <c r="O651" t="s">
        <v>378</v>
      </c>
      <c r="P651">
        <v>0.15775307886381018</v>
      </c>
      <c r="Q651" t="s">
        <v>166</v>
      </c>
    </row>
    <row r="652" spans="9:17" x14ac:dyDescent="0.45">
      <c r="I652" t="s">
        <v>230</v>
      </c>
      <c r="J652" t="s">
        <v>379</v>
      </c>
      <c r="K652">
        <v>2.5830347159082539E-2</v>
      </c>
      <c r="L652" t="s">
        <v>166</v>
      </c>
      <c r="N652" t="s">
        <v>295</v>
      </c>
      <c r="O652" t="s">
        <v>379</v>
      </c>
      <c r="P652">
        <v>2.0580900809486755E-2</v>
      </c>
      <c r="Q652" t="s">
        <v>166</v>
      </c>
    </row>
    <row r="653" spans="9:17" x14ac:dyDescent="0.45">
      <c r="I653" t="s">
        <v>230</v>
      </c>
      <c r="J653" t="s">
        <v>380</v>
      </c>
      <c r="K653">
        <v>0.24502112758606398</v>
      </c>
      <c r="L653" t="s">
        <v>166</v>
      </c>
      <c r="N653" t="s">
        <v>295</v>
      </c>
      <c r="O653" t="s">
        <v>380</v>
      </c>
      <c r="P653">
        <v>9.3831669670116566E-2</v>
      </c>
      <c r="Q653" t="s">
        <v>166</v>
      </c>
    </row>
    <row r="654" spans="9:17" x14ac:dyDescent="0.45">
      <c r="I654" t="s">
        <v>230</v>
      </c>
      <c r="J654" t="s">
        <v>381</v>
      </c>
      <c r="K654">
        <v>0</v>
      </c>
      <c r="L654" t="s">
        <v>166</v>
      </c>
      <c r="N654" t="s">
        <v>295</v>
      </c>
      <c r="O654" t="s">
        <v>381</v>
      </c>
      <c r="P654">
        <v>0.16610782813885544</v>
      </c>
      <c r="Q654" t="s">
        <v>166</v>
      </c>
    </row>
    <row r="655" spans="9:17" x14ac:dyDescent="0.45">
      <c r="I655" t="s">
        <v>230</v>
      </c>
      <c r="J655" t="s">
        <v>382</v>
      </c>
      <c r="K655">
        <v>2.4867883440003742E-2</v>
      </c>
      <c r="L655" t="s">
        <v>166</v>
      </c>
      <c r="N655" t="s">
        <v>295</v>
      </c>
      <c r="O655" t="s">
        <v>382</v>
      </c>
      <c r="P655">
        <v>1.6057088904191098E-2</v>
      </c>
      <c r="Q655" t="s">
        <v>166</v>
      </c>
    </row>
    <row r="656" spans="9:17" x14ac:dyDescent="0.45">
      <c r="I656" t="s">
        <v>230</v>
      </c>
      <c r="J656" t="s">
        <v>383</v>
      </c>
      <c r="K656">
        <v>0.20644267101569996</v>
      </c>
      <c r="L656" t="s">
        <v>166</v>
      </c>
      <c r="N656" t="s">
        <v>295</v>
      </c>
      <c r="O656" t="s">
        <v>383</v>
      </c>
      <c r="P656">
        <v>9.2863935036290091E-2</v>
      </c>
      <c r="Q656" t="s">
        <v>166</v>
      </c>
    </row>
    <row r="657" spans="9:17" x14ac:dyDescent="0.45">
      <c r="I657" t="s">
        <v>230</v>
      </c>
      <c r="J657" t="s">
        <v>384</v>
      </c>
      <c r="K657">
        <v>0</v>
      </c>
      <c r="L657" t="s">
        <v>166</v>
      </c>
      <c r="N657" t="s">
        <v>295</v>
      </c>
      <c r="O657" t="s">
        <v>384</v>
      </c>
      <c r="P657">
        <v>0.12898733888178901</v>
      </c>
      <c r="Q657" t="s">
        <v>166</v>
      </c>
    </row>
    <row r="658" spans="9:17" x14ac:dyDescent="0.45">
      <c r="I658" t="s">
        <v>230</v>
      </c>
      <c r="J658" t="s">
        <v>385</v>
      </c>
      <c r="K658">
        <v>1.0005910265943743E-2</v>
      </c>
      <c r="L658" t="s">
        <v>166</v>
      </c>
      <c r="N658" t="s">
        <v>295</v>
      </c>
      <c r="O658" t="s">
        <v>385</v>
      </c>
      <c r="P658">
        <v>1.798622328376347E-2</v>
      </c>
      <c r="Q658" t="s">
        <v>166</v>
      </c>
    </row>
    <row r="659" spans="9:17" x14ac:dyDescent="0.45">
      <c r="I659" t="s">
        <v>231</v>
      </c>
      <c r="J659" t="s">
        <v>374</v>
      </c>
      <c r="K659">
        <v>0.21802014017777857</v>
      </c>
      <c r="L659" t="s">
        <v>166</v>
      </c>
      <c r="N659" t="s">
        <v>296</v>
      </c>
      <c r="O659" t="s">
        <v>374</v>
      </c>
      <c r="P659">
        <v>7.0227328491102178E-2</v>
      </c>
      <c r="Q659" t="s">
        <v>166</v>
      </c>
    </row>
    <row r="660" spans="9:17" x14ac:dyDescent="0.45">
      <c r="I660" t="s">
        <v>231</v>
      </c>
      <c r="J660" t="s">
        <v>375</v>
      </c>
      <c r="K660">
        <v>0</v>
      </c>
      <c r="L660" t="s">
        <v>166</v>
      </c>
      <c r="N660" t="s">
        <v>296</v>
      </c>
      <c r="O660" t="s">
        <v>375</v>
      </c>
      <c r="P660">
        <v>0.11012897146520613</v>
      </c>
      <c r="Q660" t="s">
        <v>166</v>
      </c>
    </row>
    <row r="661" spans="9:17" x14ac:dyDescent="0.45">
      <c r="I661" t="s">
        <v>231</v>
      </c>
      <c r="J661" t="s">
        <v>376</v>
      </c>
      <c r="K661">
        <v>9.6682944401636894E-3</v>
      </c>
      <c r="L661" t="s">
        <v>166</v>
      </c>
      <c r="N661" t="s">
        <v>296</v>
      </c>
      <c r="O661" t="s">
        <v>376</v>
      </c>
      <c r="P661">
        <v>1.0839910276720146E-2</v>
      </c>
      <c r="Q661" t="s">
        <v>166</v>
      </c>
    </row>
    <row r="662" spans="9:17" x14ac:dyDescent="0.45">
      <c r="I662" t="s">
        <v>231</v>
      </c>
      <c r="J662" t="s">
        <v>377</v>
      </c>
      <c r="K662">
        <v>0.25918992972360339</v>
      </c>
      <c r="L662" t="s">
        <v>166</v>
      </c>
      <c r="N662" t="s">
        <v>296</v>
      </c>
      <c r="O662" t="s">
        <v>377</v>
      </c>
      <c r="P662">
        <v>0.1194236303348392</v>
      </c>
      <c r="Q662" t="s">
        <v>166</v>
      </c>
    </row>
    <row r="663" spans="9:17" x14ac:dyDescent="0.45">
      <c r="I663" t="s">
        <v>231</v>
      </c>
      <c r="J663" t="s">
        <v>378</v>
      </c>
      <c r="K663">
        <v>0</v>
      </c>
      <c r="L663" t="s">
        <v>166</v>
      </c>
      <c r="N663" t="s">
        <v>296</v>
      </c>
      <c r="O663" t="s">
        <v>378</v>
      </c>
      <c r="P663">
        <v>0.15016762795270583</v>
      </c>
      <c r="Q663" t="s">
        <v>166</v>
      </c>
    </row>
    <row r="664" spans="9:17" x14ac:dyDescent="0.45">
      <c r="I664" t="s">
        <v>231</v>
      </c>
      <c r="J664" t="s">
        <v>379</v>
      </c>
      <c r="K664">
        <v>2.4118769096254884E-2</v>
      </c>
      <c r="L664" t="s">
        <v>166</v>
      </c>
      <c r="N664" t="s">
        <v>296</v>
      </c>
      <c r="O664" t="s">
        <v>379</v>
      </c>
      <c r="P664">
        <v>2.0906036108823068E-2</v>
      </c>
      <c r="Q664" t="s">
        <v>166</v>
      </c>
    </row>
    <row r="665" spans="9:17" x14ac:dyDescent="0.45">
      <c r="I665" t="s">
        <v>231</v>
      </c>
      <c r="J665" t="s">
        <v>380</v>
      </c>
      <c r="K665">
        <v>0.24222657948806062</v>
      </c>
      <c r="L665" t="s">
        <v>166</v>
      </c>
      <c r="N665" t="s">
        <v>296</v>
      </c>
      <c r="O665" t="s">
        <v>380</v>
      </c>
      <c r="P665">
        <v>9.0174265379919141E-2</v>
      </c>
      <c r="Q665" t="s">
        <v>166</v>
      </c>
    </row>
    <row r="666" spans="9:17" x14ac:dyDescent="0.45">
      <c r="I666" t="s">
        <v>231</v>
      </c>
      <c r="J666" t="s">
        <v>381</v>
      </c>
      <c r="K666">
        <v>0</v>
      </c>
      <c r="L666" t="s">
        <v>166</v>
      </c>
      <c r="N666" t="s">
        <v>296</v>
      </c>
      <c r="O666" t="s">
        <v>381</v>
      </c>
      <c r="P666">
        <v>0.14768529925977048</v>
      </c>
      <c r="Q666" t="s">
        <v>166</v>
      </c>
    </row>
    <row r="667" spans="9:17" x14ac:dyDescent="0.45">
      <c r="I667" t="s">
        <v>231</v>
      </c>
      <c r="J667" t="s">
        <v>382</v>
      </c>
      <c r="K667">
        <v>2.3665280078216562E-2</v>
      </c>
      <c r="L667" t="s">
        <v>166</v>
      </c>
      <c r="N667" t="s">
        <v>296</v>
      </c>
      <c r="O667" t="s">
        <v>382</v>
      </c>
      <c r="P667">
        <v>1.4580427750622925E-2</v>
      </c>
      <c r="Q667" t="s">
        <v>166</v>
      </c>
    </row>
    <row r="668" spans="9:17" x14ac:dyDescent="0.45">
      <c r="I668" t="s">
        <v>231</v>
      </c>
      <c r="J668" t="s">
        <v>383</v>
      </c>
      <c r="K668">
        <v>0.21309165010248979</v>
      </c>
      <c r="L668" t="s">
        <v>166</v>
      </c>
      <c r="N668" t="s">
        <v>296</v>
      </c>
      <c r="O668" t="s">
        <v>383</v>
      </c>
      <c r="P668">
        <v>0.10975183961027314</v>
      </c>
      <c r="Q668" t="s">
        <v>166</v>
      </c>
    </row>
    <row r="669" spans="9:17" x14ac:dyDescent="0.45">
      <c r="I669" t="s">
        <v>231</v>
      </c>
      <c r="J669" t="s">
        <v>384</v>
      </c>
      <c r="K669">
        <v>0</v>
      </c>
      <c r="L669" t="s">
        <v>166</v>
      </c>
      <c r="N669" t="s">
        <v>296</v>
      </c>
      <c r="O669" t="s">
        <v>384</v>
      </c>
      <c r="P669">
        <v>0.137158674396089</v>
      </c>
      <c r="Q669" t="s">
        <v>166</v>
      </c>
    </row>
    <row r="670" spans="9:17" x14ac:dyDescent="0.45">
      <c r="I670" t="s">
        <v>231</v>
      </c>
      <c r="J670" t="s">
        <v>385</v>
      </c>
      <c r="K670">
        <v>1.0019356893431114E-2</v>
      </c>
      <c r="L670" t="s">
        <v>166</v>
      </c>
      <c r="N670" t="s">
        <v>296</v>
      </c>
      <c r="O670" t="s">
        <v>385</v>
      </c>
      <c r="P670">
        <v>1.8955988973933253E-2</v>
      </c>
      <c r="Q670" t="s">
        <v>166</v>
      </c>
    </row>
    <row r="671" spans="9:17" x14ac:dyDescent="0.45">
      <c r="I671" t="s">
        <v>232</v>
      </c>
      <c r="J671" t="s">
        <v>374</v>
      </c>
      <c r="K671">
        <v>0.22042227178549215</v>
      </c>
      <c r="L671" t="s">
        <v>166</v>
      </c>
      <c r="N671" t="s">
        <v>297</v>
      </c>
      <c r="O671" t="s">
        <v>374</v>
      </c>
      <c r="P671">
        <v>7.6111029404574496E-2</v>
      </c>
      <c r="Q671" t="s">
        <v>166</v>
      </c>
    </row>
    <row r="672" spans="9:17" x14ac:dyDescent="0.45">
      <c r="I672" t="s">
        <v>232</v>
      </c>
      <c r="J672" t="s">
        <v>375</v>
      </c>
      <c r="K672">
        <v>0</v>
      </c>
      <c r="L672" t="s">
        <v>166</v>
      </c>
      <c r="N672" t="s">
        <v>297</v>
      </c>
      <c r="O672" t="s">
        <v>375</v>
      </c>
      <c r="P672">
        <v>7.7669576289809805E-2</v>
      </c>
      <c r="Q672" t="s">
        <v>166</v>
      </c>
    </row>
    <row r="673" spans="9:17" x14ac:dyDescent="0.45">
      <c r="I673" t="s">
        <v>232</v>
      </c>
      <c r="J673" t="s">
        <v>376</v>
      </c>
      <c r="K673">
        <v>7.5003156264949892E-3</v>
      </c>
      <c r="L673" t="s">
        <v>166</v>
      </c>
      <c r="N673" t="s">
        <v>297</v>
      </c>
      <c r="O673" t="s">
        <v>376</v>
      </c>
      <c r="P673">
        <v>1.7205067848944114E-2</v>
      </c>
      <c r="Q673" t="s">
        <v>166</v>
      </c>
    </row>
    <row r="674" spans="9:17" x14ac:dyDescent="0.45">
      <c r="I674" t="s">
        <v>232</v>
      </c>
      <c r="J674" t="s">
        <v>377</v>
      </c>
      <c r="K674">
        <v>0.26027715641694799</v>
      </c>
      <c r="L674" t="s">
        <v>166</v>
      </c>
      <c r="N674" t="s">
        <v>297</v>
      </c>
      <c r="O674" t="s">
        <v>377</v>
      </c>
      <c r="P674">
        <v>0.14128466181736651</v>
      </c>
      <c r="Q674" t="s">
        <v>166</v>
      </c>
    </row>
    <row r="675" spans="9:17" x14ac:dyDescent="0.45">
      <c r="I675" t="s">
        <v>232</v>
      </c>
      <c r="J675" t="s">
        <v>378</v>
      </c>
      <c r="K675">
        <v>0</v>
      </c>
      <c r="L675" t="s">
        <v>166</v>
      </c>
      <c r="N675" t="s">
        <v>297</v>
      </c>
      <c r="O675" t="s">
        <v>378</v>
      </c>
      <c r="P675">
        <v>0.15098532694033992</v>
      </c>
      <c r="Q675" t="s">
        <v>166</v>
      </c>
    </row>
    <row r="676" spans="9:17" x14ac:dyDescent="0.45">
      <c r="I676" t="s">
        <v>232</v>
      </c>
      <c r="J676" t="s">
        <v>379</v>
      </c>
      <c r="K676">
        <v>2.2313475387364161E-2</v>
      </c>
      <c r="L676" t="s">
        <v>166</v>
      </c>
      <c r="N676" t="s">
        <v>297</v>
      </c>
      <c r="O676" t="s">
        <v>379</v>
      </c>
      <c r="P676">
        <v>2.7881899761091209E-2</v>
      </c>
      <c r="Q676" t="s">
        <v>166</v>
      </c>
    </row>
    <row r="677" spans="9:17" x14ac:dyDescent="0.45">
      <c r="I677" t="s">
        <v>232</v>
      </c>
      <c r="J677" t="s">
        <v>380</v>
      </c>
      <c r="K677">
        <v>0.2435758563423375</v>
      </c>
      <c r="L677" t="s">
        <v>166</v>
      </c>
      <c r="N677" t="s">
        <v>297</v>
      </c>
      <c r="O677" t="s">
        <v>380</v>
      </c>
      <c r="P677">
        <v>9.4194424343141264E-2</v>
      </c>
      <c r="Q677" t="s">
        <v>166</v>
      </c>
    </row>
    <row r="678" spans="9:17" x14ac:dyDescent="0.45">
      <c r="I678" t="s">
        <v>232</v>
      </c>
      <c r="J678" t="s">
        <v>381</v>
      </c>
      <c r="K678">
        <v>4.9851986338422561E-7</v>
      </c>
      <c r="L678" t="s">
        <v>166</v>
      </c>
      <c r="N678" t="s">
        <v>297</v>
      </c>
      <c r="O678" t="s">
        <v>381</v>
      </c>
      <c r="P678">
        <v>0.11222300526319214</v>
      </c>
      <c r="Q678" t="s">
        <v>166</v>
      </c>
    </row>
    <row r="679" spans="9:17" x14ac:dyDescent="0.45">
      <c r="I679" t="s">
        <v>232</v>
      </c>
      <c r="J679" t="s">
        <v>382</v>
      </c>
      <c r="K679">
        <v>2.2880348940636074E-2</v>
      </c>
      <c r="L679" t="s">
        <v>166</v>
      </c>
      <c r="N679" t="s">
        <v>297</v>
      </c>
      <c r="O679" t="s">
        <v>382</v>
      </c>
      <c r="P679">
        <v>1.8292437432334586E-2</v>
      </c>
      <c r="Q679" t="s">
        <v>166</v>
      </c>
    </row>
    <row r="680" spans="9:17" x14ac:dyDescent="0.45">
      <c r="I680" t="s">
        <v>232</v>
      </c>
      <c r="J680" t="s">
        <v>383</v>
      </c>
      <c r="K680">
        <v>0.21482962545862852</v>
      </c>
      <c r="L680" t="s">
        <v>166</v>
      </c>
      <c r="N680" t="s">
        <v>297</v>
      </c>
      <c r="O680" t="s">
        <v>383</v>
      </c>
      <c r="P680">
        <v>0.13992322988233938</v>
      </c>
      <c r="Q680" t="s">
        <v>166</v>
      </c>
    </row>
    <row r="681" spans="9:17" x14ac:dyDescent="0.45">
      <c r="I681" t="s">
        <v>232</v>
      </c>
      <c r="J681" t="s">
        <v>384</v>
      </c>
      <c r="K681">
        <v>0</v>
      </c>
      <c r="L681" t="s">
        <v>166</v>
      </c>
      <c r="N681" t="s">
        <v>297</v>
      </c>
      <c r="O681" t="s">
        <v>384</v>
      </c>
      <c r="P681">
        <v>0.11877095554860613</v>
      </c>
      <c r="Q681" t="s">
        <v>166</v>
      </c>
    </row>
    <row r="682" spans="9:17" x14ac:dyDescent="0.45">
      <c r="I682" t="s">
        <v>232</v>
      </c>
      <c r="J682" t="s">
        <v>385</v>
      </c>
      <c r="K682">
        <v>8.2004515222350825E-3</v>
      </c>
      <c r="L682" t="s">
        <v>166</v>
      </c>
      <c r="N682" t="s">
        <v>297</v>
      </c>
      <c r="O682" t="s">
        <v>385</v>
      </c>
      <c r="P682">
        <v>2.5458385468259698E-2</v>
      </c>
      <c r="Q682" t="s">
        <v>166</v>
      </c>
    </row>
    <row r="683" spans="9:17" x14ac:dyDescent="0.45">
      <c r="I683" t="s">
        <v>233</v>
      </c>
      <c r="J683" t="s">
        <v>374</v>
      </c>
      <c r="K683">
        <v>0.22118144731730827</v>
      </c>
      <c r="L683" t="s">
        <v>166</v>
      </c>
      <c r="N683" t="s">
        <v>298</v>
      </c>
      <c r="O683" t="s">
        <v>374</v>
      </c>
      <c r="P683">
        <v>7.548333554027957E-2</v>
      </c>
      <c r="Q683" t="s">
        <v>166</v>
      </c>
    </row>
    <row r="684" spans="9:17" x14ac:dyDescent="0.45">
      <c r="I684" t="s">
        <v>233</v>
      </c>
      <c r="J684" t="s">
        <v>375</v>
      </c>
      <c r="K684">
        <v>0</v>
      </c>
      <c r="L684" t="s">
        <v>166</v>
      </c>
      <c r="N684" t="s">
        <v>298</v>
      </c>
      <c r="O684" t="s">
        <v>375</v>
      </c>
      <c r="P684">
        <v>0.10269434319632559</v>
      </c>
      <c r="Q684" t="s">
        <v>166</v>
      </c>
    </row>
    <row r="685" spans="9:17" x14ac:dyDescent="0.45">
      <c r="I685" t="s">
        <v>233</v>
      </c>
      <c r="J685" t="s">
        <v>376</v>
      </c>
      <c r="K685">
        <v>6.5973580053124694E-3</v>
      </c>
      <c r="L685" t="s">
        <v>166</v>
      </c>
      <c r="N685" t="s">
        <v>298</v>
      </c>
      <c r="O685" t="s">
        <v>376</v>
      </c>
      <c r="P685">
        <v>1.86322352810574E-2</v>
      </c>
      <c r="Q685" t="s">
        <v>166</v>
      </c>
    </row>
    <row r="686" spans="9:17" x14ac:dyDescent="0.45">
      <c r="I686" t="s">
        <v>233</v>
      </c>
      <c r="J686" t="s">
        <v>377</v>
      </c>
      <c r="K686">
        <v>0.26029406259835253</v>
      </c>
      <c r="L686" t="s">
        <v>166</v>
      </c>
      <c r="N686" t="s">
        <v>298</v>
      </c>
      <c r="O686" t="s">
        <v>377</v>
      </c>
      <c r="P686">
        <v>0.12346342775827898</v>
      </c>
      <c r="Q686" t="s">
        <v>166</v>
      </c>
    </row>
    <row r="687" spans="9:17" x14ac:dyDescent="0.45">
      <c r="I687" t="s">
        <v>233</v>
      </c>
      <c r="J687" t="s">
        <v>378</v>
      </c>
      <c r="K687">
        <v>4.4392065751884118E-4</v>
      </c>
      <c r="L687" t="s">
        <v>166</v>
      </c>
      <c r="N687" t="s">
        <v>298</v>
      </c>
      <c r="O687" t="s">
        <v>378</v>
      </c>
      <c r="P687">
        <v>0.17517112931236467</v>
      </c>
      <c r="Q687" t="s">
        <v>166</v>
      </c>
    </row>
    <row r="688" spans="9:17" x14ac:dyDescent="0.45">
      <c r="I688" t="s">
        <v>233</v>
      </c>
      <c r="J688" t="s">
        <v>379</v>
      </c>
      <c r="K688">
        <v>2.0616182771531402E-2</v>
      </c>
      <c r="L688" t="s">
        <v>166</v>
      </c>
      <c r="N688" t="s">
        <v>298</v>
      </c>
      <c r="O688" t="s">
        <v>379</v>
      </c>
      <c r="P688">
        <v>2.1451639109042395E-2</v>
      </c>
      <c r="Q688" t="s">
        <v>166</v>
      </c>
    </row>
    <row r="689" spans="9:17" x14ac:dyDescent="0.45">
      <c r="I689" t="s">
        <v>233</v>
      </c>
      <c r="J689" t="s">
        <v>380</v>
      </c>
      <c r="K689">
        <v>0.24475577780693908</v>
      </c>
      <c r="L689" t="s">
        <v>166</v>
      </c>
      <c r="N689" t="s">
        <v>298</v>
      </c>
      <c r="O689" t="s">
        <v>380</v>
      </c>
      <c r="P689">
        <v>0.10154480174833903</v>
      </c>
      <c r="Q689" t="s">
        <v>166</v>
      </c>
    </row>
    <row r="690" spans="9:17" x14ac:dyDescent="0.45">
      <c r="I690" t="s">
        <v>233</v>
      </c>
      <c r="J690" t="s">
        <v>381</v>
      </c>
      <c r="K690">
        <v>1.323222336512063E-3</v>
      </c>
      <c r="L690" t="s">
        <v>166</v>
      </c>
      <c r="N690" t="s">
        <v>298</v>
      </c>
      <c r="O690" t="s">
        <v>381</v>
      </c>
      <c r="P690">
        <v>0.15095296844570527</v>
      </c>
      <c r="Q690" t="s">
        <v>166</v>
      </c>
    </row>
    <row r="691" spans="9:17" x14ac:dyDescent="0.45">
      <c r="I691" t="s">
        <v>233</v>
      </c>
      <c r="J691" t="s">
        <v>382</v>
      </c>
      <c r="K691">
        <v>2.2274930844612413E-2</v>
      </c>
      <c r="L691" t="s">
        <v>166</v>
      </c>
      <c r="N691" t="s">
        <v>298</v>
      </c>
      <c r="O691" t="s">
        <v>382</v>
      </c>
      <c r="P691">
        <v>1.6360825971306826E-2</v>
      </c>
      <c r="Q691" t="s">
        <v>166</v>
      </c>
    </row>
    <row r="692" spans="9:17" x14ac:dyDescent="0.45">
      <c r="I692" t="s">
        <v>233</v>
      </c>
      <c r="J692" t="s">
        <v>383</v>
      </c>
      <c r="K692">
        <v>0.21563095406969873</v>
      </c>
      <c r="L692" t="s">
        <v>166</v>
      </c>
      <c r="N692" t="s">
        <v>298</v>
      </c>
      <c r="O692" t="s">
        <v>383</v>
      </c>
      <c r="P692">
        <v>9.1562131512347156E-2</v>
      </c>
      <c r="Q692" t="s">
        <v>166</v>
      </c>
    </row>
    <row r="693" spans="9:17" x14ac:dyDescent="0.45">
      <c r="I693" t="s">
        <v>233</v>
      </c>
      <c r="J693" t="s">
        <v>384</v>
      </c>
      <c r="K693">
        <v>0</v>
      </c>
      <c r="L693" t="s">
        <v>166</v>
      </c>
      <c r="N693" t="s">
        <v>298</v>
      </c>
      <c r="O693" t="s">
        <v>384</v>
      </c>
      <c r="P693">
        <v>0.10510786495934882</v>
      </c>
      <c r="Q693" t="s">
        <v>166</v>
      </c>
    </row>
    <row r="694" spans="9:17" x14ac:dyDescent="0.45">
      <c r="I694" t="s">
        <v>233</v>
      </c>
      <c r="J694" t="s">
        <v>385</v>
      </c>
      <c r="K694">
        <v>6.8821435922167881E-3</v>
      </c>
      <c r="L694" t="s">
        <v>166</v>
      </c>
      <c r="N694" t="s">
        <v>298</v>
      </c>
      <c r="O694" t="s">
        <v>385</v>
      </c>
      <c r="P694">
        <v>1.7575297165604107E-2</v>
      </c>
      <c r="Q694" t="s">
        <v>166</v>
      </c>
    </row>
    <row r="695" spans="9:17" x14ac:dyDescent="0.45">
      <c r="I695" t="s">
        <v>234</v>
      </c>
      <c r="J695" t="s">
        <v>374</v>
      </c>
      <c r="K695">
        <v>0.22529698050096594</v>
      </c>
      <c r="L695" t="s">
        <v>166</v>
      </c>
      <c r="N695" t="s">
        <v>299</v>
      </c>
      <c r="O695" t="s">
        <v>374</v>
      </c>
      <c r="P695">
        <v>7.1158358053345167E-2</v>
      </c>
      <c r="Q695" t="s">
        <v>166</v>
      </c>
    </row>
    <row r="696" spans="9:17" x14ac:dyDescent="0.45">
      <c r="I696" t="s">
        <v>234</v>
      </c>
      <c r="J696" t="s">
        <v>375</v>
      </c>
      <c r="K696">
        <v>0</v>
      </c>
      <c r="L696" t="s">
        <v>166</v>
      </c>
      <c r="N696" t="s">
        <v>299</v>
      </c>
      <c r="O696" t="s">
        <v>375</v>
      </c>
      <c r="P696">
        <v>0.11783934925059568</v>
      </c>
      <c r="Q696" t="s">
        <v>166</v>
      </c>
    </row>
    <row r="697" spans="9:17" x14ac:dyDescent="0.45">
      <c r="I697" t="s">
        <v>234</v>
      </c>
      <c r="J697" t="s">
        <v>376</v>
      </c>
      <c r="K697">
        <v>6.4771679843255688E-3</v>
      </c>
      <c r="L697" t="s">
        <v>166</v>
      </c>
      <c r="N697" t="s">
        <v>299</v>
      </c>
      <c r="O697" t="s">
        <v>376</v>
      </c>
      <c r="P697">
        <v>1.2624907674305288E-2</v>
      </c>
      <c r="Q697" t="s">
        <v>166</v>
      </c>
    </row>
    <row r="698" spans="9:17" x14ac:dyDescent="0.45">
      <c r="I698" t="s">
        <v>234</v>
      </c>
      <c r="J698" t="s">
        <v>377</v>
      </c>
      <c r="K698">
        <v>0.26174906824034117</v>
      </c>
      <c r="L698" t="s">
        <v>166</v>
      </c>
      <c r="N698" t="s">
        <v>299</v>
      </c>
      <c r="O698" t="s">
        <v>377</v>
      </c>
      <c r="P698">
        <v>0.11817579767481448</v>
      </c>
      <c r="Q698" t="s">
        <v>166</v>
      </c>
    </row>
    <row r="699" spans="9:17" x14ac:dyDescent="0.45">
      <c r="I699" t="s">
        <v>234</v>
      </c>
      <c r="J699" t="s">
        <v>378</v>
      </c>
      <c r="K699">
        <v>7.1361377937020806E-6</v>
      </c>
      <c r="L699" t="s">
        <v>166</v>
      </c>
      <c r="N699" t="s">
        <v>299</v>
      </c>
      <c r="O699" t="s">
        <v>378</v>
      </c>
      <c r="P699">
        <v>0.15515300550167738</v>
      </c>
      <c r="Q699" t="s">
        <v>166</v>
      </c>
    </row>
    <row r="700" spans="9:17" x14ac:dyDescent="0.45">
      <c r="I700" t="s">
        <v>234</v>
      </c>
      <c r="J700" t="s">
        <v>379</v>
      </c>
      <c r="K700">
        <v>1.9165193364790112E-2</v>
      </c>
      <c r="L700" t="s">
        <v>166</v>
      </c>
      <c r="N700" t="s">
        <v>299</v>
      </c>
      <c r="O700" t="s">
        <v>379</v>
      </c>
      <c r="P700">
        <v>2.1771971577212043E-2</v>
      </c>
      <c r="Q700" t="s">
        <v>166</v>
      </c>
    </row>
    <row r="701" spans="9:17" x14ac:dyDescent="0.45">
      <c r="I701" t="s">
        <v>234</v>
      </c>
      <c r="J701" t="s">
        <v>380</v>
      </c>
      <c r="K701">
        <v>0.2398474951086903</v>
      </c>
      <c r="L701" t="s">
        <v>166</v>
      </c>
      <c r="N701" t="s">
        <v>299</v>
      </c>
      <c r="O701" t="s">
        <v>380</v>
      </c>
      <c r="P701">
        <v>9.0882195413751435E-2</v>
      </c>
      <c r="Q701" t="s">
        <v>166</v>
      </c>
    </row>
    <row r="702" spans="9:17" x14ac:dyDescent="0.45">
      <c r="I702" t="s">
        <v>234</v>
      </c>
      <c r="J702" t="s">
        <v>381</v>
      </c>
      <c r="K702">
        <v>7.725568910909309E-5</v>
      </c>
      <c r="L702" t="s">
        <v>166</v>
      </c>
      <c r="N702" t="s">
        <v>299</v>
      </c>
      <c r="O702" t="s">
        <v>381</v>
      </c>
      <c r="P702">
        <v>0.14452618400749073</v>
      </c>
      <c r="Q702" t="s">
        <v>166</v>
      </c>
    </row>
    <row r="703" spans="9:17" x14ac:dyDescent="0.45">
      <c r="I703" t="s">
        <v>234</v>
      </c>
      <c r="J703" t="s">
        <v>382</v>
      </c>
      <c r="K703">
        <v>1.955958131928413E-2</v>
      </c>
      <c r="L703" t="s">
        <v>166</v>
      </c>
      <c r="N703" t="s">
        <v>299</v>
      </c>
      <c r="O703" t="s">
        <v>382</v>
      </c>
      <c r="P703">
        <v>1.2561198837114545E-2</v>
      </c>
      <c r="Q703" t="s">
        <v>166</v>
      </c>
    </row>
    <row r="704" spans="9:17" x14ac:dyDescent="0.45">
      <c r="I704" t="s">
        <v>234</v>
      </c>
      <c r="J704" t="s">
        <v>383</v>
      </c>
      <c r="K704">
        <v>0.22029882018532093</v>
      </c>
      <c r="L704" t="s">
        <v>166</v>
      </c>
      <c r="N704" t="s">
        <v>299</v>
      </c>
      <c r="O704" t="s">
        <v>383</v>
      </c>
      <c r="P704">
        <v>0.10808978934653571</v>
      </c>
      <c r="Q704" t="s">
        <v>166</v>
      </c>
    </row>
    <row r="705" spans="9:17" x14ac:dyDescent="0.45">
      <c r="I705" t="s">
        <v>234</v>
      </c>
      <c r="J705" t="s">
        <v>384</v>
      </c>
      <c r="K705">
        <v>0</v>
      </c>
      <c r="L705" t="s">
        <v>166</v>
      </c>
      <c r="N705" t="s">
        <v>299</v>
      </c>
      <c r="O705" t="s">
        <v>384</v>
      </c>
      <c r="P705">
        <v>0.12825499643600469</v>
      </c>
      <c r="Q705" t="s">
        <v>166</v>
      </c>
    </row>
    <row r="706" spans="9:17" x14ac:dyDescent="0.45">
      <c r="I706" t="s">
        <v>234</v>
      </c>
      <c r="J706" t="s">
        <v>385</v>
      </c>
      <c r="K706">
        <v>7.5213014693778632E-3</v>
      </c>
      <c r="L706" t="s">
        <v>166</v>
      </c>
      <c r="N706" t="s">
        <v>299</v>
      </c>
      <c r="O706" t="s">
        <v>385</v>
      </c>
      <c r="P706">
        <v>1.8962246227155814E-2</v>
      </c>
      <c r="Q706" t="s">
        <v>166</v>
      </c>
    </row>
    <row r="707" spans="9:17" x14ac:dyDescent="0.45">
      <c r="I707" t="s">
        <v>235</v>
      </c>
      <c r="J707" t="s">
        <v>374</v>
      </c>
      <c r="K707">
        <v>0.21837348712784069</v>
      </c>
      <c r="L707" t="s">
        <v>166</v>
      </c>
      <c r="N707" t="s">
        <v>300</v>
      </c>
      <c r="O707" t="s">
        <v>374</v>
      </c>
      <c r="P707">
        <v>7.8345980596336059E-2</v>
      </c>
      <c r="Q707" t="s">
        <v>166</v>
      </c>
    </row>
    <row r="708" spans="9:17" x14ac:dyDescent="0.45">
      <c r="I708" t="s">
        <v>235</v>
      </c>
      <c r="J708" t="s">
        <v>375</v>
      </c>
      <c r="K708">
        <v>0</v>
      </c>
      <c r="L708" t="s">
        <v>166</v>
      </c>
      <c r="N708" t="s">
        <v>300</v>
      </c>
      <c r="O708" t="s">
        <v>375</v>
      </c>
      <c r="P708">
        <v>0.11720534347409182</v>
      </c>
      <c r="Q708" t="s">
        <v>166</v>
      </c>
    </row>
    <row r="709" spans="9:17" x14ac:dyDescent="0.45">
      <c r="I709" t="s">
        <v>235</v>
      </c>
      <c r="J709" t="s">
        <v>376</v>
      </c>
      <c r="K709">
        <v>7.8184415072283346E-3</v>
      </c>
      <c r="L709" t="s">
        <v>166</v>
      </c>
      <c r="N709" t="s">
        <v>300</v>
      </c>
      <c r="O709" t="s">
        <v>376</v>
      </c>
      <c r="P709">
        <v>1.0771760050016552E-2</v>
      </c>
      <c r="Q709" t="s">
        <v>166</v>
      </c>
    </row>
    <row r="710" spans="9:17" x14ac:dyDescent="0.45">
      <c r="I710" t="s">
        <v>235</v>
      </c>
      <c r="J710" t="s">
        <v>377</v>
      </c>
      <c r="K710">
        <v>0.25609681852450172</v>
      </c>
      <c r="L710" t="s">
        <v>166</v>
      </c>
      <c r="N710" t="s">
        <v>300</v>
      </c>
      <c r="O710" t="s">
        <v>377</v>
      </c>
      <c r="P710">
        <v>0.12160999291364367</v>
      </c>
      <c r="Q710" t="s">
        <v>166</v>
      </c>
    </row>
    <row r="711" spans="9:17" x14ac:dyDescent="0.45">
      <c r="I711" t="s">
        <v>235</v>
      </c>
      <c r="J711" t="s">
        <v>378</v>
      </c>
      <c r="K711">
        <v>9.0415946433670442E-5</v>
      </c>
      <c r="L711" t="s">
        <v>166</v>
      </c>
      <c r="N711" t="s">
        <v>300</v>
      </c>
      <c r="O711" t="s">
        <v>378</v>
      </c>
      <c r="P711">
        <v>0.14838553793184314</v>
      </c>
      <c r="Q711" t="s">
        <v>166</v>
      </c>
    </row>
    <row r="712" spans="9:17" x14ac:dyDescent="0.45">
      <c r="I712" t="s">
        <v>235</v>
      </c>
      <c r="J712" t="s">
        <v>379</v>
      </c>
      <c r="K712">
        <v>2.0821472735225305E-2</v>
      </c>
      <c r="L712" t="s">
        <v>166</v>
      </c>
      <c r="N712" t="s">
        <v>300</v>
      </c>
      <c r="O712" t="s">
        <v>379</v>
      </c>
      <c r="P712">
        <v>1.7584711111403101E-2</v>
      </c>
      <c r="Q712" t="s">
        <v>166</v>
      </c>
    </row>
    <row r="713" spans="9:17" x14ac:dyDescent="0.45">
      <c r="I713" t="s">
        <v>235</v>
      </c>
      <c r="J713" t="s">
        <v>380</v>
      </c>
      <c r="K713">
        <v>0.2605316606577775</v>
      </c>
      <c r="L713" t="s">
        <v>166</v>
      </c>
      <c r="N713" t="s">
        <v>300</v>
      </c>
      <c r="O713" t="s">
        <v>380</v>
      </c>
      <c r="P713">
        <v>0.11097093966459165</v>
      </c>
      <c r="Q713" t="s">
        <v>166</v>
      </c>
    </row>
    <row r="714" spans="9:17" x14ac:dyDescent="0.45">
      <c r="I714" t="s">
        <v>235</v>
      </c>
      <c r="J714" t="s">
        <v>381</v>
      </c>
      <c r="K714">
        <v>6.0508190891150838E-4</v>
      </c>
      <c r="L714" t="s">
        <v>166</v>
      </c>
      <c r="N714" t="s">
        <v>300</v>
      </c>
      <c r="O714" t="s">
        <v>381</v>
      </c>
      <c r="P714">
        <v>0.14904509969170127</v>
      </c>
      <c r="Q714" t="s">
        <v>166</v>
      </c>
    </row>
    <row r="715" spans="9:17" x14ac:dyDescent="0.45">
      <c r="I715" t="s">
        <v>235</v>
      </c>
      <c r="J715" t="s">
        <v>382</v>
      </c>
      <c r="K715">
        <v>2.6158286613073116E-2</v>
      </c>
      <c r="L715" t="s">
        <v>166</v>
      </c>
      <c r="N715" t="s">
        <v>300</v>
      </c>
      <c r="O715" t="s">
        <v>382</v>
      </c>
      <c r="P715">
        <v>1.397217911589854E-2</v>
      </c>
      <c r="Q715" t="s">
        <v>166</v>
      </c>
    </row>
    <row r="716" spans="9:17" x14ac:dyDescent="0.45">
      <c r="I716" t="s">
        <v>235</v>
      </c>
      <c r="J716" t="s">
        <v>383</v>
      </c>
      <c r="K716">
        <v>0.20210153094280661</v>
      </c>
      <c r="L716" t="s">
        <v>166</v>
      </c>
      <c r="N716" t="s">
        <v>300</v>
      </c>
      <c r="O716" t="s">
        <v>383</v>
      </c>
      <c r="P716">
        <v>9.7412489026975455E-2</v>
      </c>
      <c r="Q716" t="s">
        <v>166</v>
      </c>
    </row>
    <row r="717" spans="9:17" x14ac:dyDescent="0.45">
      <c r="I717" t="s">
        <v>235</v>
      </c>
      <c r="J717" t="s">
        <v>384</v>
      </c>
      <c r="K717">
        <v>0</v>
      </c>
      <c r="L717" t="s">
        <v>166</v>
      </c>
      <c r="N717" t="s">
        <v>300</v>
      </c>
      <c r="O717" t="s">
        <v>384</v>
      </c>
      <c r="P717">
        <v>0.11948641328648911</v>
      </c>
      <c r="Q717" t="s">
        <v>166</v>
      </c>
    </row>
    <row r="718" spans="9:17" x14ac:dyDescent="0.45">
      <c r="I718" t="s">
        <v>235</v>
      </c>
      <c r="J718" t="s">
        <v>385</v>
      </c>
      <c r="K718">
        <v>7.4028040361999448E-3</v>
      </c>
      <c r="L718" t="s">
        <v>166</v>
      </c>
      <c r="N718" t="s">
        <v>300</v>
      </c>
      <c r="O718" t="s">
        <v>385</v>
      </c>
      <c r="P718">
        <v>1.5209553137011181E-2</v>
      </c>
      <c r="Q718" t="s">
        <v>166</v>
      </c>
    </row>
    <row r="719" spans="9:17" x14ac:dyDescent="0.45">
      <c r="I719" t="s">
        <v>236</v>
      </c>
      <c r="J719" t="s">
        <v>374</v>
      </c>
      <c r="K719">
        <v>0.22097497579278333</v>
      </c>
      <c r="L719" t="s">
        <v>166</v>
      </c>
      <c r="N719" t="s">
        <v>301</v>
      </c>
      <c r="O719" t="s">
        <v>374</v>
      </c>
      <c r="P719">
        <v>6.519614448528098E-2</v>
      </c>
      <c r="Q719" t="s">
        <v>166</v>
      </c>
    </row>
    <row r="720" spans="9:17" x14ac:dyDescent="0.45">
      <c r="I720" t="s">
        <v>236</v>
      </c>
      <c r="J720" t="s">
        <v>375</v>
      </c>
      <c r="K720">
        <v>0</v>
      </c>
      <c r="L720" t="s">
        <v>166</v>
      </c>
      <c r="N720" t="s">
        <v>301</v>
      </c>
      <c r="O720" t="s">
        <v>375</v>
      </c>
      <c r="P720">
        <v>0.10004597817127253</v>
      </c>
      <c r="Q720" t="s">
        <v>166</v>
      </c>
    </row>
    <row r="721" spans="9:17" x14ac:dyDescent="0.45">
      <c r="I721" t="s">
        <v>236</v>
      </c>
      <c r="J721" t="s">
        <v>376</v>
      </c>
      <c r="K721">
        <v>1.0972826060928401E-2</v>
      </c>
      <c r="L721" t="s">
        <v>166</v>
      </c>
      <c r="N721" t="s">
        <v>301</v>
      </c>
      <c r="O721" t="s">
        <v>376</v>
      </c>
      <c r="P721">
        <v>1.0512943435468221E-2</v>
      </c>
      <c r="Q721" t="s">
        <v>166</v>
      </c>
    </row>
    <row r="722" spans="9:17" x14ac:dyDescent="0.45">
      <c r="I722" t="s">
        <v>236</v>
      </c>
      <c r="J722" t="s">
        <v>377</v>
      </c>
      <c r="K722">
        <v>0.25237644099615597</v>
      </c>
      <c r="L722" t="s">
        <v>166</v>
      </c>
      <c r="N722" t="s">
        <v>301</v>
      </c>
      <c r="O722" t="s">
        <v>377</v>
      </c>
      <c r="P722">
        <v>0.12489141502888355</v>
      </c>
      <c r="Q722" t="s">
        <v>166</v>
      </c>
    </row>
    <row r="723" spans="9:17" x14ac:dyDescent="0.45">
      <c r="I723" t="s">
        <v>236</v>
      </c>
      <c r="J723" t="s">
        <v>378</v>
      </c>
      <c r="K723">
        <v>1.1994085372442507E-8</v>
      </c>
      <c r="L723" t="s">
        <v>166</v>
      </c>
      <c r="N723" t="s">
        <v>301</v>
      </c>
      <c r="O723" t="s">
        <v>378</v>
      </c>
      <c r="P723">
        <v>0.16941509827872739</v>
      </c>
      <c r="Q723" t="s">
        <v>166</v>
      </c>
    </row>
    <row r="724" spans="9:17" x14ac:dyDescent="0.45">
      <c r="I724" t="s">
        <v>236</v>
      </c>
      <c r="J724" t="s">
        <v>379</v>
      </c>
      <c r="K724">
        <v>2.4741661532824873E-2</v>
      </c>
      <c r="L724" t="s">
        <v>166</v>
      </c>
      <c r="N724" t="s">
        <v>301</v>
      </c>
      <c r="O724" t="s">
        <v>379</v>
      </c>
      <c r="P724">
        <v>2.4636890307578811E-2</v>
      </c>
      <c r="Q724" t="s">
        <v>166</v>
      </c>
    </row>
    <row r="725" spans="9:17" x14ac:dyDescent="0.45">
      <c r="I725" t="s">
        <v>236</v>
      </c>
      <c r="J725" t="s">
        <v>380</v>
      </c>
      <c r="K725">
        <v>0.25193001745936106</v>
      </c>
      <c r="L725" t="s">
        <v>166</v>
      </c>
      <c r="N725" t="s">
        <v>301</v>
      </c>
      <c r="O725" t="s">
        <v>380</v>
      </c>
      <c r="P725">
        <v>8.4349000677843719E-2</v>
      </c>
      <c r="Q725" t="s">
        <v>166</v>
      </c>
    </row>
    <row r="726" spans="9:17" x14ac:dyDescent="0.45">
      <c r="I726" t="s">
        <v>236</v>
      </c>
      <c r="J726" t="s">
        <v>381</v>
      </c>
      <c r="K726">
        <v>1.4819991023572847E-3</v>
      </c>
      <c r="L726" t="s">
        <v>166</v>
      </c>
      <c r="N726" t="s">
        <v>301</v>
      </c>
      <c r="O726" t="s">
        <v>381</v>
      </c>
      <c r="P726">
        <v>0.16245323682480509</v>
      </c>
      <c r="Q726" t="s">
        <v>166</v>
      </c>
    </row>
    <row r="727" spans="9:17" x14ac:dyDescent="0.45">
      <c r="I727" t="s">
        <v>236</v>
      </c>
      <c r="J727" t="s">
        <v>382</v>
      </c>
      <c r="K727">
        <v>2.7715844015721934E-2</v>
      </c>
      <c r="L727" t="s">
        <v>166</v>
      </c>
      <c r="N727" t="s">
        <v>301</v>
      </c>
      <c r="O727" t="s">
        <v>382</v>
      </c>
      <c r="P727">
        <v>1.1811642639318587E-2</v>
      </c>
      <c r="Q727" t="s">
        <v>166</v>
      </c>
    </row>
    <row r="728" spans="9:17" x14ac:dyDescent="0.45">
      <c r="I728" t="s">
        <v>236</v>
      </c>
      <c r="J728" t="s">
        <v>383</v>
      </c>
      <c r="K728">
        <v>0.20036534887679816</v>
      </c>
      <c r="L728" t="s">
        <v>166</v>
      </c>
      <c r="N728" t="s">
        <v>301</v>
      </c>
      <c r="O728" t="s">
        <v>383</v>
      </c>
      <c r="P728">
        <v>0.10203664160749588</v>
      </c>
      <c r="Q728" t="s">
        <v>166</v>
      </c>
    </row>
    <row r="729" spans="9:17" x14ac:dyDescent="0.45">
      <c r="I729" t="s">
        <v>236</v>
      </c>
      <c r="J729" t="s">
        <v>384</v>
      </c>
      <c r="K729">
        <v>0</v>
      </c>
      <c r="L729" t="s">
        <v>166</v>
      </c>
      <c r="N729" t="s">
        <v>301</v>
      </c>
      <c r="O729" t="s">
        <v>384</v>
      </c>
      <c r="P729">
        <v>0.12489993729052129</v>
      </c>
      <c r="Q729" t="s">
        <v>166</v>
      </c>
    </row>
    <row r="730" spans="9:17" x14ac:dyDescent="0.45">
      <c r="I730" t="s">
        <v>236</v>
      </c>
      <c r="J730" t="s">
        <v>385</v>
      </c>
      <c r="K730">
        <v>9.440874168982984E-3</v>
      </c>
      <c r="L730" t="s">
        <v>166</v>
      </c>
      <c r="N730" t="s">
        <v>301</v>
      </c>
      <c r="O730" t="s">
        <v>385</v>
      </c>
      <c r="P730">
        <v>1.9751071252802274E-2</v>
      </c>
      <c r="Q730" t="s">
        <v>166</v>
      </c>
    </row>
    <row r="731" spans="9:17" x14ac:dyDescent="0.45">
      <c r="I731" t="s">
        <v>237</v>
      </c>
      <c r="J731" t="s">
        <v>374</v>
      </c>
      <c r="K731">
        <v>0.21901327278438149</v>
      </c>
      <c r="L731" t="s">
        <v>166</v>
      </c>
      <c r="N731" t="s">
        <v>302</v>
      </c>
      <c r="O731" t="s">
        <v>374</v>
      </c>
      <c r="P731">
        <v>6.91855829977783E-2</v>
      </c>
      <c r="Q731" t="s">
        <v>166</v>
      </c>
    </row>
    <row r="732" spans="9:17" x14ac:dyDescent="0.45">
      <c r="I732" t="s">
        <v>237</v>
      </c>
      <c r="J732" t="s">
        <v>375</v>
      </c>
      <c r="K732">
        <v>0</v>
      </c>
      <c r="L732" t="s">
        <v>166</v>
      </c>
      <c r="N732" t="s">
        <v>302</v>
      </c>
      <c r="O732" t="s">
        <v>375</v>
      </c>
      <c r="P732">
        <v>0.10811983506147305</v>
      </c>
      <c r="Q732" t="s">
        <v>166</v>
      </c>
    </row>
    <row r="733" spans="9:17" x14ac:dyDescent="0.45">
      <c r="I733" t="s">
        <v>237</v>
      </c>
      <c r="J733" t="s">
        <v>376</v>
      </c>
      <c r="K733">
        <v>9.0713828039959647E-3</v>
      </c>
      <c r="L733" t="s">
        <v>166</v>
      </c>
      <c r="N733" t="s">
        <v>302</v>
      </c>
      <c r="O733" t="s">
        <v>376</v>
      </c>
      <c r="P733">
        <v>9.3429040739427816E-3</v>
      </c>
      <c r="Q733" t="s">
        <v>166</v>
      </c>
    </row>
    <row r="734" spans="9:17" x14ac:dyDescent="0.45">
      <c r="I734" t="s">
        <v>237</v>
      </c>
      <c r="J734" t="s">
        <v>377</v>
      </c>
      <c r="K734">
        <v>0.25867544420197475</v>
      </c>
      <c r="L734" t="s">
        <v>166</v>
      </c>
      <c r="N734" t="s">
        <v>302</v>
      </c>
      <c r="O734" t="s">
        <v>377</v>
      </c>
      <c r="P734">
        <v>0.12532308535993691</v>
      </c>
      <c r="Q734" t="s">
        <v>166</v>
      </c>
    </row>
    <row r="735" spans="9:17" x14ac:dyDescent="0.45">
      <c r="I735" t="s">
        <v>237</v>
      </c>
      <c r="J735" t="s">
        <v>378</v>
      </c>
      <c r="K735">
        <v>2.4119074957665872E-5</v>
      </c>
      <c r="L735" t="s">
        <v>166</v>
      </c>
      <c r="N735" t="s">
        <v>302</v>
      </c>
      <c r="O735" t="s">
        <v>378</v>
      </c>
      <c r="P735">
        <v>0.1577456834080927</v>
      </c>
      <c r="Q735" t="s">
        <v>166</v>
      </c>
    </row>
    <row r="736" spans="9:17" x14ac:dyDescent="0.45">
      <c r="I736" t="s">
        <v>237</v>
      </c>
      <c r="J736" t="s">
        <v>379</v>
      </c>
      <c r="K736">
        <v>2.4337157010609418E-2</v>
      </c>
      <c r="L736" t="s">
        <v>166</v>
      </c>
      <c r="N736" t="s">
        <v>302</v>
      </c>
      <c r="O736" t="s">
        <v>379</v>
      </c>
      <c r="P736">
        <v>2.0436908943839972E-2</v>
      </c>
      <c r="Q736" t="s">
        <v>166</v>
      </c>
    </row>
    <row r="737" spans="9:17" x14ac:dyDescent="0.45">
      <c r="I737" t="s">
        <v>237</v>
      </c>
      <c r="J737" t="s">
        <v>380</v>
      </c>
      <c r="K737">
        <v>0.25742511933115458</v>
      </c>
      <c r="L737" t="s">
        <v>166</v>
      </c>
      <c r="N737" t="s">
        <v>302</v>
      </c>
      <c r="O737" t="s">
        <v>380</v>
      </c>
      <c r="P737">
        <v>9.1796287903688212E-2</v>
      </c>
      <c r="Q737" t="s">
        <v>166</v>
      </c>
    </row>
    <row r="738" spans="9:17" x14ac:dyDescent="0.45">
      <c r="I738" t="s">
        <v>237</v>
      </c>
      <c r="J738" t="s">
        <v>381</v>
      </c>
      <c r="K738">
        <v>1.6551496415065162E-3</v>
      </c>
      <c r="L738" t="s">
        <v>166</v>
      </c>
      <c r="N738" t="s">
        <v>302</v>
      </c>
      <c r="O738" t="s">
        <v>381</v>
      </c>
      <c r="P738">
        <v>0.15464038800292698</v>
      </c>
      <c r="Q738" t="s">
        <v>166</v>
      </c>
    </row>
    <row r="739" spans="9:17" x14ac:dyDescent="0.45">
      <c r="I739" t="s">
        <v>237</v>
      </c>
      <c r="J739" t="s">
        <v>382</v>
      </c>
      <c r="K739">
        <v>2.7639425749230638E-2</v>
      </c>
      <c r="L739" t="s">
        <v>166</v>
      </c>
      <c r="N739" t="s">
        <v>302</v>
      </c>
      <c r="O739" t="s">
        <v>382</v>
      </c>
      <c r="P739">
        <v>1.236381572500638E-2</v>
      </c>
      <c r="Q739" t="s">
        <v>166</v>
      </c>
    </row>
    <row r="740" spans="9:17" x14ac:dyDescent="0.45">
      <c r="I740" t="s">
        <v>237</v>
      </c>
      <c r="J740" t="s">
        <v>383</v>
      </c>
      <c r="K740">
        <v>0.19439336273346861</v>
      </c>
      <c r="L740" t="s">
        <v>166</v>
      </c>
      <c r="N740" t="s">
        <v>302</v>
      </c>
      <c r="O740" t="s">
        <v>383</v>
      </c>
      <c r="P740">
        <v>0.10221046741302849</v>
      </c>
      <c r="Q740" t="s">
        <v>166</v>
      </c>
    </row>
    <row r="741" spans="9:17" x14ac:dyDescent="0.45">
      <c r="I741" t="s">
        <v>237</v>
      </c>
      <c r="J741" t="s">
        <v>384</v>
      </c>
      <c r="K741">
        <v>0</v>
      </c>
      <c r="L741" t="s">
        <v>166</v>
      </c>
      <c r="N741" t="s">
        <v>302</v>
      </c>
      <c r="O741" t="s">
        <v>384</v>
      </c>
      <c r="P741">
        <v>0.13099226872121816</v>
      </c>
      <c r="Q741" t="s">
        <v>166</v>
      </c>
    </row>
    <row r="742" spans="9:17" x14ac:dyDescent="0.45">
      <c r="I742" t="s">
        <v>237</v>
      </c>
      <c r="J742" t="s">
        <v>385</v>
      </c>
      <c r="K742">
        <v>7.7655666687168057E-3</v>
      </c>
      <c r="L742" t="s">
        <v>166</v>
      </c>
      <c r="N742" t="s">
        <v>302</v>
      </c>
      <c r="O742" t="s">
        <v>385</v>
      </c>
      <c r="P742">
        <v>1.7842772389065648E-2</v>
      </c>
      <c r="Q742" t="s">
        <v>166</v>
      </c>
    </row>
    <row r="743" spans="9:17" x14ac:dyDescent="0.45">
      <c r="I743" t="s">
        <v>238</v>
      </c>
      <c r="J743" t="s">
        <v>374</v>
      </c>
      <c r="K743">
        <v>0.22413302101955906</v>
      </c>
      <c r="L743" t="s">
        <v>166</v>
      </c>
      <c r="N743" t="s">
        <v>303</v>
      </c>
      <c r="O743" t="s">
        <v>374</v>
      </c>
      <c r="P743">
        <v>7.3033679707287941E-2</v>
      </c>
      <c r="Q743" t="s">
        <v>166</v>
      </c>
    </row>
    <row r="744" spans="9:17" x14ac:dyDescent="0.45">
      <c r="I744" t="s">
        <v>238</v>
      </c>
      <c r="J744" t="s">
        <v>375</v>
      </c>
      <c r="K744">
        <v>0</v>
      </c>
      <c r="L744" t="s">
        <v>166</v>
      </c>
      <c r="N744" t="s">
        <v>303</v>
      </c>
      <c r="O744" t="s">
        <v>375</v>
      </c>
      <c r="P744">
        <v>0.11590433811086766</v>
      </c>
      <c r="Q744" t="s">
        <v>166</v>
      </c>
    </row>
    <row r="745" spans="9:17" x14ac:dyDescent="0.45">
      <c r="I745" t="s">
        <v>238</v>
      </c>
      <c r="J745" t="s">
        <v>376</v>
      </c>
      <c r="K745">
        <v>7.7307206754379269E-3</v>
      </c>
      <c r="L745" t="s">
        <v>166</v>
      </c>
      <c r="N745" t="s">
        <v>303</v>
      </c>
      <c r="O745" t="s">
        <v>376</v>
      </c>
      <c r="P745">
        <v>1.1769850186000172E-2</v>
      </c>
      <c r="Q745" t="s">
        <v>166</v>
      </c>
    </row>
    <row r="746" spans="9:17" x14ac:dyDescent="0.45">
      <c r="I746" t="s">
        <v>238</v>
      </c>
      <c r="J746" t="s">
        <v>377</v>
      </c>
      <c r="K746">
        <v>0.25116816296924022</v>
      </c>
      <c r="L746" t="s">
        <v>166</v>
      </c>
      <c r="N746" t="s">
        <v>303</v>
      </c>
      <c r="O746" t="s">
        <v>377</v>
      </c>
      <c r="P746">
        <v>0.11676617664466277</v>
      </c>
      <c r="Q746" t="s">
        <v>166</v>
      </c>
    </row>
    <row r="747" spans="9:17" x14ac:dyDescent="0.45">
      <c r="I747" t="s">
        <v>238</v>
      </c>
      <c r="J747" t="s">
        <v>378</v>
      </c>
      <c r="K747">
        <v>1.2486766526369783E-5</v>
      </c>
      <c r="L747" t="s">
        <v>166</v>
      </c>
      <c r="N747" t="s">
        <v>303</v>
      </c>
      <c r="O747" t="s">
        <v>378</v>
      </c>
      <c r="P747">
        <v>0.16009950666852135</v>
      </c>
      <c r="Q747" t="s">
        <v>166</v>
      </c>
    </row>
    <row r="748" spans="9:17" x14ac:dyDescent="0.45">
      <c r="I748" t="s">
        <v>238</v>
      </c>
      <c r="J748" t="s">
        <v>379</v>
      </c>
      <c r="K748">
        <v>1.8770221995240928E-2</v>
      </c>
      <c r="L748" t="s">
        <v>166</v>
      </c>
      <c r="N748" t="s">
        <v>303</v>
      </c>
      <c r="O748" t="s">
        <v>379</v>
      </c>
      <c r="P748">
        <v>2.0621773675828948E-2</v>
      </c>
      <c r="Q748" t="s">
        <v>166</v>
      </c>
    </row>
    <row r="749" spans="9:17" x14ac:dyDescent="0.45">
      <c r="I749" t="s">
        <v>238</v>
      </c>
      <c r="J749" t="s">
        <v>380</v>
      </c>
      <c r="K749">
        <v>0.25309029693640389</v>
      </c>
      <c r="L749" t="s">
        <v>166</v>
      </c>
      <c r="N749" t="s">
        <v>303</v>
      </c>
      <c r="O749" t="s">
        <v>380</v>
      </c>
      <c r="P749">
        <v>7.6845096681514319E-2</v>
      </c>
      <c r="Q749" t="s">
        <v>166</v>
      </c>
    </row>
    <row r="750" spans="9:17" x14ac:dyDescent="0.45">
      <c r="I750" t="s">
        <v>238</v>
      </c>
      <c r="J750" t="s">
        <v>381</v>
      </c>
      <c r="K750">
        <v>1.3303056139766598E-4</v>
      </c>
      <c r="L750" t="s">
        <v>166</v>
      </c>
      <c r="N750" t="s">
        <v>303</v>
      </c>
      <c r="O750" t="s">
        <v>381</v>
      </c>
      <c r="P750">
        <v>0.13536826728147253</v>
      </c>
      <c r="Q750" t="s">
        <v>166</v>
      </c>
    </row>
    <row r="751" spans="9:17" x14ac:dyDescent="0.45">
      <c r="I751" t="s">
        <v>238</v>
      </c>
      <c r="J751" t="s">
        <v>382</v>
      </c>
      <c r="K751">
        <v>2.3956257697918464E-2</v>
      </c>
      <c r="L751" t="s">
        <v>166</v>
      </c>
      <c r="N751" t="s">
        <v>303</v>
      </c>
      <c r="O751" t="s">
        <v>382</v>
      </c>
      <c r="P751">
        <v>1.1379851319449207E-2</v>
      </c>
      <c r="Q751" t="s">
        <v>166</v>
      </c>
    </row>
    <row r="752" spans="9:17" x14ac:dyDescent="0.45">
      <c r="I752" t="s">
        <v>238</v>
      </c>
      <c r="J752" t="s">
        <v>383</v>
      </c>
      <c r="K752">
        <v>0.213119853128201</v>
      </c>
      <c r="L752" t="s">
        <v>166</v>
      </c>
      <c r="N752" t="s">
        <v>303</v>
      </c>
      <c r="O752" t="s">
        <v>383</v>
      </c>
      <c r="P752">
        <v>0.11525343615518839</v>
      </c>
      <c r="Q752" t="s">
        <v>166</v>
      </c>
    </row>
    <row r="753" spans="9:17" x14ac:dyDescent="0.45">
      <c r="I753" t="s">
        <v>238</v>
      </c>
      <c r="J753" t="s">
        <v>384</v>
      </c>
      <c r="K753">
        <v>0</v>
      </c>
      <c r="L753" t="s">
        <v>166</v>
      </c>
      <c r="N753" t="s">
        <v>303</v>
      </c>
      <c r="O753" t="s">
        <v>384</v>
      </c>
      <c r="P753">
        <v>0.1447609893802386</v>
      </c>
      <c r="Q753" t="s">
        <v>166</v>
      </c>
    </row>
    <row r="754" spans="9:17" x14ac:dyDescent="0.45">
      <c r="I754" t="s">
        <v>238</v>
      </c>
      <c r="J754" t="s">
        <v>385</v>
      </c>
      <c r="K754">
        <v>7.885948250075837E-3</v>
      </c>
      <c r="L754" t="s">
        <v>166</v>
      </c>
      <c r="N754" t="s">
        <v>303</v>
      </c>
      <c r="O754" t="s">
        <v>385</v>
      </c>
      <c r="P754">
        <v>1.8197034188969022E-2</v>
      </c>
      <c r="Q754" t="s">
        <v>166</v>
      </c>
    </row>
    <row r="755" spans="9:17" x14ac:dyDescent="0.45">
      <c r="I755" t="s">
        <v>239</v>
      </c>
      <c r="J755" t="s">
        <v>374</v>
      </c>
      <c r="K755">
        <v>0.22688377474611368</v>
      </c>
      <c r="L755" t="s">
        <v>166</v>
      </c>
      <c r="N755" t="s">
        <v>304</v>
      </c>
      <c r="O755" t="s">
        <v>374</v>
      </c>
      <c r="P755">
        <v>8.5071493907727447E-2</v>
      </c>
      <c r="Q755" t="s">
        <v>166</v>
      </c>
    </row>
    <row r="756" spans="9:17" x14ac:dyDescent="0.45">
      <c r="I756" t="s">
        <v>239</v>
      </c>
      <c r="J756" t="s">
        <v>375</v>
      </c>
      <c r="K756">
        <v>0</v>
      </c>
      <c r="L756" t="s">
        <v>166</v>
      </c>
      <c r="N756" t="s">
        <v>304</v>
      </c>
      <c r="O756" t="s">
        <v>375</v>
      </c>
      <c r="P756">
        <v>0.10226804752012164</v>
      </c>
      <c r="Q756" t="s">
        <v>166</v>
      </c>
    </row>
    <row r="757" spans="9:17" x14ac:dyDescent="0.45">
      <c r="I757" t="s">
        <v>239</v>
      </c>
      <c r="J757" t="s">
        <v>376</v>
      </c>
      <c r="K757">
        <v>1.2348256034843649E-2</v>
      </c>
      <c r="L757" t="s">
        <v>166</v>
      </c>
      <c r="N757" t="s">
        <v>304</v>
      </c>
      <c r="O757" t="s">
        <v>376</v>
      </c>
      <c r="P757">
        <v>1.5669339431335614E-2</v>
      </c>
      <c r="Q757" t="s">
        <v>166</v>
      </c>
    </row>
    <row r="758" spans="9:17" x14ac:dyDescent="0.45">
      <c r="I758" t="s">
        <v>239</v>
      </c>
      <c r="J758" t="s">
        <v>377</v>
      </c>
      <c r="K758">
        <v>0.24514039094365983</v>
      </c>
      <c r="L758" t="s">
        <v>166</v>
      </c>
      <c r="N758" t="s">
        <v>304</v>
      </c>
      <c r="O758" t="s">
        <v>377</v>
      </c>
      <c r="P758">
        <v>0.1311378235624977</v>
      </c>
      <c r="Q758" t="s">
        <v>166</v>
      </c>
    </row>
    <row r="759" spans="9:17" x14ac:dyDescent="0.45">
      <c r="I759" t="s">
        <v>239</v>
      </c>
      <c r="J759" t="s">
        <v>378</v>
      </c>
      <c r="K759">
        <v>0</v>
      </c>
      <c r="L759" t="s">
        <v>166</v>
      </c>
      <c r="N759" t="s">
        <v>304</v>
      </c>
      <c r="O759" t="s">
        <v>378</v>
      </c>
      <c r="P759">
        <v>0.15128201730976623</v>
      </c>
      <c r="Q759" t="s">
        <v>166</v>
      </c>
    </row>
    <row r="760" spans="9:17" x14ac:dyDescent="0.45">
      <c r="I760" t="s">
        <v>239</v>
      </c>
      <c r="J760" t="s">
        <v>379</v>
      </c>
      <c r="K760">
        <v>2.2141276737476338E-2</v>
      </c>
      <c r="L760" t="s">
        <v>166</v>
      </c>
      <c r="N760" t="s">
        <v>304</v>
      </c>
      <c r="O760" t="s">
        <v>379</v>
      </c>
      <c r="P760">
        <v>2.4829902766252281E-2</v>
      </c>
      <c r="Q760" t="s">
        <v>166</v>
      </c>
    </row>
    <row r="761" spans="9:17" x14ac:dyDescent="0.45">
      <c r="I761" t="s">
        <v>239</v>
      </c>
      <c r="J761" t="s">
        <v>380</v>
      </c>
      <c r="K761">
        <v>0.23837441811117871</v>
      </c>
      <c r="L761" t="s">
        <v>166</v>
      </c>
      <c r="N761" t="s">
        <v>304</v>
      </c>
      <c r="O761" t="s">
        <v>380</v>
      </c>
      <c r="P761">
        <v>6.9221043267005775E-2</v>
      </c>
      <c r="Q761" t="s">
        <v>166</v>
      </c>
    </row>
    <row r="762" spans="9:17" x14ac:dyDescent="0.45">
      <c r="I762" t="s">
        <v>239</v>
      </c>
      <c r="J762" t="s">
        <v>381</v>
      </c>
      <c r="K762">
        <v>9.8412785664974138E-6</v>
      </c>
      <c r="L762" t="s">
        <v>166</v>
      </c>
      <c r="N762" t="s">
        <v>304</v>
      </c>
      <c r="O762" t="s">
        <v>381</v>
      </c>
      <c r="P762">
        <v>0.10997263888331164</v>
      </c>
      <c r="Q762" t="s">
        <v>166</v>
      </c>
    </row>
    <row r="763" spans="9:17" x14ac:dyDescent="0.45">
      <c r="I763" t="s">
        <v>239</v>
      </c>
      <c r="J763" t="s">
        <v>382</v>
      </c>
      <c r="K763">
        <v>2.3511271344102271E-2</v>
      </c>
      <c r="L763" t="s">
        <v>166</v>
      </c>
      <c r="N763" t="s">
        <v>304</v>
      </c>
      <c r="O763" t="s">
        <v>382</v>
      </c>
      <c r="P763">
        <v>1.3199653774618325E-2</v>
      </c>
      <c r="Q763" t="s">
        <v>166</v>
      </c>
    </row>
    <row r="764" spans="9:17" x14ac:dyDescent="0.45">
      <c r="I764" t="s">
        <v>239</v>
      </c>
      <c r="J764" t="s">
        <v>383</v>
      </c>
      <c r="K764">
        <v>0.21924943195404395</v>
      </c>
      <c r="L764" t="s">
        <v>166</v>
      </c>
      <c r="N764" t="s">
        <v>304</v>
      </c>
      <c r="O764" t="s">
        <v>383</v>
      </c>
      <c r="P764">
        <v>0.13400938008635344</v>
      </c>
      <c r="Q764" t="s">
        <v>166</v>
      </c>
    </row>
    <row r="765" spans="9:17" x14ac:dyDescent="0.45">
      <c r="I765" t="s">
        <v>239</v>
      </c>
      <c r="J765" t="s">
        <v>384</v>
      </c>
      <c r="K765">
        <v>0</v>
      </c>
      <c r="L765" t="s">
        <v>166</v>
      </c>
      <c r="N765" t="s">
        <v>304</v>
      </c>
      <c r="O765" t="s">
        <v>384</v>
      </c>
      <c r="P765">
        <v>0.14019132560963821</v>
      </c>
      <c r="Q765" t="s">
        <v>166</v>
      </c>
    </row>
    <row r="766" spans="9:17" x14ac:dyDescent="0.45">
      <c r="I766" t="s">
        <v>239</v>
      </c>
      <c r="J766" t="s">
        <v>385</v>
      </c>
      <c r="K766">
        <v>1.2341338850012561E-2</v>
      </c>
      <c r="L766" t="s">
        <v>166</v>
      </c>
      <c r="N766" t="s">
        <v>304</v>
      </c>
      <c r="O766" t="s">
        <v>385</v>
      </c>
      <c r="P766">
        <v>2.3147333881370802E-2</v>
      </c>
      <c r="Q766" t="s">
        <v>166</v>
      </c>
    </row>
    <row r="767" spans="9:17" x14ac:dyDescent="0.45">
      <c r="I767" t="s">
        <v>240</v>
      </c>
      <c r="J767" t="s">
        <v>374</v>
      </c>
      <c r="K767">
        <v>0.22306376709549097</v>
      </c>
      <c r="L767" t="s">
        <v>166</v>
      </c>
      <c r="N767" t="s">
        <v>305</v>
      </c>
      <c r="O767" t="s">
        <v>374</v>
      </c>
      <c r="P767">
        <v>9.2375738149580264E-2</v>
      </c>
      <c r="Q767" t="s">
        <v>166</v>
      </c>
    </row>
    <row r="768" spans="9:17" x14ac:dyDescent="0.45">
      <c r="I768" t="s">
        <v>240</v>
      </c>
      <c r="J768" t="s">
        <v>375</v>
      </c>
      <c r="K768">
        <v>0</v>
      </c>
      <c r="L768" t="s">
        <v>166</v>
      </c>
      <c r="N768" t="s">
        <v>305</v>
      </c>
      <c r="O768" t="s">
        <v>375</v>
      </c>
      <c r="P768">
        <v>8.1405895170314435E-2</v>
      </c>
      <c r="Q768" t="s">
        <v>166</v>
      </c>
    </row>
    <row r="769" spans="9:17" x14ac:dyDescent="0.45">
      <c r="I769" t="s">
        <v>240</v>
      </c>
      <c r="J769" t="s">
        <v>376</v>
      </c>
      <c r="K769">
        <v>9.8227856025945703E-3</v>
      </c>
      <c r="L769" t="s">
        <v>166</v>
      </c>
      <c r="N769" t="s">
        <v>305</v>
      </c>
      <c r="O769" t="s">
        <v>376</v>
      </c>
      <c r="P769">
        <v>1.5729794986847317E-2</v>
      </c>
      <c r="Q769" t="s">
        <v>166</v>
      </c>
    </row>
    <row r="770" spans="9:17" x14ac:dyDescent="0.45">
      <c r="I770" t="s">
        <v>240</v>
      </c>
      <c r="J770" t="s">
        <v>377</v>
      </c>
      <c r="K770">
        <v>0.2510972952229602</v>
      </c>
      <c r="L770" t="s">
        <v>166</v>
      </c>
      <c r="N770" t="s">
        <v>305</v>
      </c>
      <c r="O770" t="s">
        <v>377</v>
      </c>
      <c r="P770">
        <v>0.15681648603868564</v>
      </c>
      <c r="Q770" t="s">
        <v>166</v>
      </c>
    </row>
    <row r="771" spans="9:17" x14ac:dyDescent="0.45">
      <c r="I771" t="s">
        <v>240</v>
      </c>
      <c r="J771" t="s">
        <v>378</v>
      </c>
      <c r="K771">
        <v>0</v>
      </c>
      <c r="L771" t="s">
        <v>166</v>
      </c>
      <c r="N771" t="s">
        <v>305</v>
      </c>
      <c r="O771" t="s">
        <v>378</v>
      </c>
      <c r="P771">
        <v>0.13467732667523957</v>
      </c>
      <c r="Q771" t="s">
        <v>166</v>
      </c>
    </row>
    <row r="772" spans="9:17" x14ac:dyDescent="0.45">
      <c r="I772" t="s">
        <v>240</v>
      </c>
      <c r="J772" t="s">
        <v>379</v>
      </c>
      <c r="K772">
        <v>2.1739323389760194E-2</v>
      </c>
      <c r="L772" t="s">
        <v>166</v>
      </c>
      <c r="N772" t="s">
        <v>305</v>
      </c>
      <c r="O772" t="s">
        <v>379</v>
      </c>
      <c r="P772">
        <v>3.0560601678550431E-2</v>
      </c>
      <c r="Q772" t="s">
        <v>166</v>
      </c>
    </row>
    <row r="773" spans="9:17" x14ac:dyDescent="0.45">
      <c r="I773" t="s">
        <v>240</v>
      </c>
      <c r="J773" t="s">
        <v>380</v>
      </c>
      <c r="K773">
        <v>0.25196877468382523</v>
      </c>
      <c r="L773" t="s">
        <v>166</v>
      </c>
      <c r="N773" t="s">
        <v>305</v>
      </c>
      <c r="O773" t="s">
        <v>380</v>
      </c>
      <c r="P773">
        <v>7.3849046408984681E-2</v>
      </c>
      <c r="Q773" t="s">
        <v>166</v>
      </c>
    </row>
    <row r="774" spans="9:17" x14ac:dyDescent="0.45">
      <c r="I774" t="s">
        <v>240</v>
      </c>
      <c r="J774" t="s">
        <v>381</v>
      </c>
      <c r="K774">
        <v>3.5181948374152431E-5</v>
      </c>
      <c r="L774" t="s">
        <v>166</v>
      </c>
      <c r="N774" t="s">
        <v>305</v>
      </c>
      <c r="O774" t="s">
        <v>381</v>
      </c>
      <c r="P774">
        <v>8.6010791880669651E-2</v>
      </c>
      <c r="Q774" t="s">
        <v>166</v>
      </c>
    </row>
    <row r="775" spans="9:17" x14ac:dyDescent="0.45">
      <c r="I775" t="s">
        <v>240</v>
      </c>
      <c r="J775" t="s">
        <v>382</v>
      </c>
      <c r="K775">
        <v>2.5912264544540941E-2</v>
      </c>
      <c r="L775" t="s">
        <v>166</v>
      </c>
      <c r="N775" t="s">
        <v>305</v>
      </c>
      <c r="O775" t="s">
        <v>382</v>
      </c>
      <c r="P775">
        <v>1.4187963903067863E-2</v>
      </c>
      <c r="Q775" t="s">
        <v>166</v>
      </c>
    </row>
    <row r="776" spans="9:17" x14ac:dyDescent="0.45">
      <c r="I776" t="s">
        <v>240</v>
      </c>
      <c r="J776" t="s">
        <v>383</v>
      </c>
      <c r="K776">
        <v>0.20749022150026694</v>
      </c>
      <c r="L776" t="s">
        <v>166</v>
      </c>
      <c r="N776" t="s">
        <v>305</v>
      </c>
      <c r="O776" t="s">
        <v>383</v>
      </c>
      <c r="P776">
        <v>0.14431146826161334</v>
      </c>
      <c r="Q776" t="s">
        <v>166</v>
      </c>
    </row>
    <row r="777" spans="9:17" x14ac:dyDescent="0.45">
      <c r="I777" t="s">
        <v>240</v>
      </c>
      <c r="J777" t="s">
        <v>384</v>
      </c>
      <c r="K777">
        <v>0</v>
      </c>
      <c r="L777" t="s">
        <v>166</v>
      </c>
      <c r="N777" t="s">
        <v>305</v>
      </c>
      <c r="O777" t="s">
        <v>384</v>
      </c>
      <c r="P777">
        <v>0.14630505490075468</v>
      </c>
      <c r="Q777" t="s">
        <v>166</v>
      </c>
    </row>
    <row r="778" spans="9:17" x14ac:dyDescent="0.45">
      <c r="I778" t="s">
        <v>240</v>
      </c>
      <c r="J778" t="s">
        <v>385</v>
      </c>
      <c r="K778">
        <v>8.8703860121845998E-3</v>
      </c>
      <c r="L778" t="s">
        <v>166</v>
      </c>
      <c r="N778" t="s">
        <v>305</v>
      </c>
      <c r="O778" t="s">
        <v>385</v>
      </c>
      <c r="P778">
        <v>2.3769831945697102E-2</v>
      </c>
      <c r="Q778" t="s">
        <v>166</v>
      </c>
    </row>
    <row r="779" spans="9:17" x14ac:dyDescent="0.45">
      <c r="I779" t="s">
        <v>241</v>
      </c>
      <c r="J779" t="s">
        <v>374</v>
      </c>
      <c r="K779">
        <v>0.22626188604389641</v>
      </c>
      <c r="L779" t="s">
        <v>166</v>
      </c>
      <c r="N779" t="s">
        <v>306</v>
      </c>
      <c r="O779" t="s">
        <v>374</v>
      </c>
      <c r="P779">
        <v>8.4829812825308368E-2</v>
      </c>
      <c r="Q779" t="s">
        <v>166</v>
      </c>
    </row>
    <row r="780" spans="9:17" x14ac:dyDescent="0.45">
      <c r="I780" t="s">
        <v>241</v>
      </c>
      <c r="J780" t="s">
        <v>375</v>
      </c>
      <c r="K780">
        <v>0</v>
      </c>
      <c r="L780" t="s">
        <v>166</v>
      </c>
      <c r="N780" t="s">
        <v>306</v>
      </c>
      <c r="O780" t="s">
        <v>375</v>
      </c>
      <c r="P780">
        <v>0.10212468251661101</v>
      </c>
      <c r="Q780" t="s">
        <v>166</v>
      </c>
    </row>
    <row r="781" spans="9:17" x14ac:dyDescent="0.45">
      <c r="I781" t="s">
        <v>241</v>
      </c>
      <c r="J781" t="s">
        <v>376</v>
      </c>
      <c r="K781">
        <v>1.3116307034684265E-2</v>
      </c>
      <c r="L781" t="s">
        <v>166</v>
      </c>
      <c r="N781" t="s">
        <v>306</v>
      </c>
      <c r="O781" t="s">
        <v>376</v>
      </c>
      <c r="P781">
        <v>1.6983884104416085E-2</v>
      </c>
      <c r="Q781" t="s">
        <v>166</v>
      </c>
    </row>
    <row r="782" spans="9:17" x14ac:dyDescent="0.45">
      <c r="I782" t="s">
        <v>241</v>
      </c>
      <c r="J782" t="s">
        <v>377</v>
      </c>
      <c r="K782">
        <v>0.24647498021819594</v>
      </c>
      <c r="L782" t="s">
        <v>166</v>
      </c>
      <c r="N782" t="s">
        <v>306</v>
      </c>
      <c r="O782" t="s">
        <v>377</v>
      </c>
      <c r="P782">
        <v>0.13318398098758363</v>
      </c>
      <c r="Q782" t="s">
        <v>166</v>
      </c>
    </row>
    <row r="783" spans="9:17" x14ac:dyDescent="0.45">
      <c r="I783" t="s">
        <v>241</v>
      </c>
      <c r="J783" t="s">
        <v>378</v>
      </c>
      <c r="K783">
        <v>0</v>
      </c>
      <c r="L783" t="s">
        <v>166</v>
      </c>
      <c r="N783" t="s">
        <v>306</v>
      </c>
      <c r="O783" t="s">
        <v>378</v>
      </c>
      <c r="P783">
        <v>0.15907087118698426</v>
      </c>
      <c r="Q783" t="s">
        <v>166</v>
      </c>
    </row>
    <row r="784" spans="9:17" x14ac:dyDescent="0.45">
      <c r="I784" t="s">
        <v>241</v>
      </c>
      <c r="J784" t="s">
        <v>379</v>
      </c>
      <c r="K784">
        <v>2.3654304105716246E-2</v>
      </c>
      <c r="L784" t="s">
        <v>166</v>
      </c>
      <c r="N784" t="s">
        <v>306</v>
      </c>
      <c r="O784" t="s">
        <v>379</v>
      </c>
      <c r="P784">
        <v>2.9352974402406889E-2</v>
      </c>
      <c r="Q784" t="s">
        <v>166</v>
      </c>
    </row>
    <row r="785" spans="9:17" x14ac:dyDescent="0.45">
      <c r="I785" t="s">
        <v>241</v>
      </c>
      <c r="J785" t="s">
        <v>380</v>
      </c>
      <c r="K785">
        <v>0.24424477927081226</v>
      </c>
      <c r="L785" t="s">
        <v>166</v>
      </c>
      <c r="N785" t="s">
        <v>306</v>
      </c>
      <c r="O785" t="s">
        <v>380</v>
      </c>
      <c r="P785">
        <v>5.7584801144421362E-2</v>
      </c>
      <c r="Q785" t="s">
        <v>166</v>
      </c>
    </row>
    <row r="786" spans="9:17" x14ac:dyDescent="0.45">
      <c r="I786" t="s">
        <v>241</v>
      </c>
      <c r="J786" t="s">
        <v>381</v>
      </c>
      <c r="K786">
        <v>6.855157771714505E-4</v>
      </c>
      <c r="L786" t="s">
        <v>166</v>
      </c>
      <c r="N786" t="s">
        <v>306</v>
      </c>
      <c r="O786" t="s">
        <v>381</v>
      </c>
      <c r="P786">
        <v>0.10732003203613175</v>
      </c>
      <c r="Q786" t="s">
        <v>166</v>
      </c>
    </row>
    <row r="787" spans="9:17" x14ac:dyDescent="0.45">
      <c r="I787" t="s">
        <v>241</v>
      </c>
      <c r="J787" t="s">
        <v>382</v>
      </c>
      <c r="K787">
        <v>2.6178539493947165E-2</v>
      </c>
      <c r="L787" t="s">
        <v>166</v>
      </c>
      <c r="N787" t="s">
        <v>306</v>
      </c>
      <c r="O787" t="s">
        <v>382</v>
      </c>
      <c r="P787">
        <v>1.3546005253029767E-2</v>
      </c>
      <c r="Q787" t="s">
        <v>166</v>
      </c>
    </row>
    <row r="788" spans="9:17" x14ac:dyDescent="0.45">
      <c r="I788" t="s">
        <v>241</v>
      </c>
      <c r="J788" t="s">
        <v>383</v>
      </c>
      <c r="K788">
        <v>0.2080075048403168</v>
      </c>
      <c r="L788" t="s">
        <v>166</v>
      </c>
      <c r="N788" t="s">
        <v>306</v>
      </c>
      <c r="O788" t="s">
        <v>383</v>
      </c>
      <c r="P788">
        <v>0.13480304966336029</v>
      </c>
      <c r="Q788" t="s">
        <v>166</v>
      </c>
    </row>
    <row r="789" spans="9:17" x14ac:dyDescent="0.45">
      <c r="I789" t="s">
        <v>241</v>
      </c>
      <c r="J789" t="s">
        <v>384</v>
      </c>
      <c r="K789">
        <v>0</v>
      </c>
      <c r="L789" t="s">
        <v>166</v>
      </c>
      <c r="N789" t="s">
        <v>306</v>
      </c>
      <c r="O789" t="s">
        <v>384</v>
      </c>
      <c r="P789">
        <v>0.13676574976915215</v>
      </c>
      <c r="Q789" t="s">
        <v>166</v>
      </c>
    </row>
    <row r="790" spans="9:17" x14ac:dyDescent="0.45">
      <c r="I790" t="s">
        <v>241</v>
      </c>
      <c r="J790" t="s">
        <v>385</v>
      </c>
      <c r="K790">
        <v>1.1376183215257716E-2</v>
      </c>
      <c r="L790" t="s">
        <v>166</v>
      </c>
      <c r="N790" t="s">
        <v>306</v>
      </c>
      <c r="O790" t="s">
        <v>385</v>
      </c>
      <c r="P790">
        <v>2.4434156110589453E-2</v>
      </c>
      <c r="Q790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Veda</vt:lpstr>
      <vt:lpstr>fuel_prices</vt:lpstr>
      <vt:lpstr>iea_data</vt:lpstr>
      <vt:lpstr>ar6_r10</vt:lpstr>
      <vt:lpstr>ev_charging_uc</vt:lpstr>
      <vt:lpstr>ts_012</vt:lpstr>
      <vt:lpstr>ts_048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2025-09-20T12:54:46Z</dcterms:modified>
</cp:coreProperties>
</file>