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ppXLS\"/>
    </mc:Choice>
  </mc:AlternateContent>
  <xr:revisionPtr revIDLastSave="0" documentId="8_{E2944E65-51DE-4D11-B9EC-EC57FDEA7F4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<sst xmlns="http://schemas.openxmlformats.org/spreadsheetml/2006/main" count="58727" uniqueCount="95">
  <si>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</si>
  <si>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</si>
  <si>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</si>
  <si>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</si>
  <si>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</si>
  <si>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</si>
  <si>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</si>
  <si>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</si>
  <si>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</si>
  <si>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</si>
  <si>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</si>
  <si>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</si>
  <si>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</si>
  <si>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</si>
  <si>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</si>
  <si>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</si>
  <si>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</si>
  <si>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</si>
  <si>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</si>
  <si>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</si>
  <si>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</si>
  <si>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</si>
  <si>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</si>
  <si>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</si>
  <si>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</si>
  <si>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</si>
  <si>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</si>
  <si>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</si>
  <si>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</si>
  <si>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</si>
  <si>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</si>
  <si>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</si>
  <si>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</si>
  <si>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</si>
  <si>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</si>
  <si>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</si>
  <si>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</si>
  <si>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</si>
  <si>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</si>
  <si>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</si>
  <si>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</si>
  <si>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</si>
  <si>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</si>
  <si>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</si>
  <si>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</si>
  <si>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</si>
  <si>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</si>
  <si>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</si>
  <si>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</si>
  <si>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</si>
  <si>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</si>
  <si>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</si>
  <si>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</si>
  <si>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</si>
  <si>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</si>
  <si>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</si>
  <si>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</si>
  <si>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</si>
  <si>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</si>
  <si>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</si>
  <si>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</si>
  <si>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</si>
  <si>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</si>
  <si>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</si>
  <si>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</si>
  <si>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</si>
  <si>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</si>
  <si>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</si>
  <si>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</si>
  <si>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</si>
  <si>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</si>
  <si>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</si>
  <si>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</si>
  <si>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</si>
  <si>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</si>
  <si>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</si>
  <si>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</si>
  <si>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</si>
  <si>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</si>
  <si>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</si>
  <si>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</si>
  <si>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</si>
  <si>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</si>
  <si>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</si>
  <si>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DZA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</si>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</sst>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93.78</c:v>
                </c:pt>
                <c:pt idx="1">
                  <c:v>130.44903370786517</c:v>
                </c:pt>
                <c:pt idx="2">
                  <c:v>166.77184911717495</c:v>
                </c:pt>
                <c:pt idx="3">
                  <c:v>186.28049759229535</c:v>
                </c:pt>
                <c:pt idx="4">
                  <c:v>192.22642054574635</c:v>
                </c:pt>
                <c:pt idx="5">
                  <c:v>217.28961476725522</c:v>
                </c:pt>
                <c:pt idx="6">
                  <c:v>246.17626324237563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50.2</c:v>
                </c:pt>
                <c:pt idx="1">
                  <c:v>72.84369428707663</c:v>
                </c:pt>
                <c:pt idx="2">
                  <c:v>87.758819108269961</c:v>
                </c:pt>
                <c:pt idx="3">
                  <c:v>97.380583818906246</c:v>
                </c:pt>
                <c:pt idx="4">
                  <c:v>100.66715291303331</c:v>
                </c:pt>
                <c:pt idx="5">
                  <c:v>101.35887002270948</c:v>
                </c:pt>
                <c:pt idx="6">
                  <c:v>104.48275374382764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93.78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93.78</v>
      </c>
      <c r="S12" s="8">
        <f t="shared" ref="S12:X12" si="0">SUM(S17:S20)</f>
        <v>130.44903370786517</v>
      </c>
      <c r="T12" s="8">
        <f t="shared" si="0"/>
        <v>166.77184911717495</v>
      </c>
      <c r="U12" s="8">
        <f t="shared" si="0"/>
        <v>186.28049759229535</v>
      </c>
      <c r="V12" s="8">
        <f t="shared" si="0"/>
        <v>192.22642054574635</v>
      </c>
      <c r="W12" s="8">
        <f t="shared" si="0"/>
        <v>217.28961476725522</v>
      </c>
      <c r="X12" s="8">
        <f t="shared" si="0"/>
        <v>246.17626324237563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7.1999999999999998E-3</v>
      </c>
      <c r="H16" s="10">
        <f>SUMIFS(ngfs_median!$J$2:$J$17119,ngfs_median!$B$2:$B$17119,Veda!$C$5,ngfs_median!$H$2:$H$17119,Veda!$Q16,ngfs_median!$I$2:$I$17119,Veda!H$15)</f>
        <v>3.1300000000000001E-2</v>
      </c>
      <c r="I16" s="10">
        <f>SUMIFS(ngfs_median!$J$2:$J$17119,ngfs_median!$B$2:$B$17119,Veda!$C$5,ngfs_median!$H$2:$H$17119,Veda!$Q16,ngfs_median!$I$2:$I$17119,Veda!I$15)</f>
        <v>6.4750000000000002E-2</v>
      </c>
      <c r="J16" s="10">
        <f>SUMIFS(ngfs_median!$J$2:$J$17119,ngfs_median!$B$2:$B$17119,Veda!$C$5,ngfs_median!$H$2:$H$17119,Veda!$Q16,ngfs_median!$I$2:$I$17119,Veda!J$15)</f>
        <v>9.2249999999999999E-2</v>
      </c>
      <c r="K16" s="10">
        <f>SUMIFS(ngfs_median!$J$2:$J$17119,ngfs_median!$B$2:$B$17119,Veda!$C$5,ngfs_median!$H$2:$H$17119,Veda!$Q16,ngfs_median!$I$2:$I$17119,Veda!K$15)</f>
        <v>0.1203</v>
      </c>
      <c r="L16" s="10">
        <f>SUMIFS(ngfs_median!$J$2:$J$17119,ngfs_median!$B$2:$B$17119,Veda!$C$5,ngfs_median!$H$2:$H$17119,Veda!$Q16,ngfs_median!$I$2:$I$17119,Veda!L$15)</f>
        <v>0.16089999999999999</v>
      </c>
      <c r="M16" s="10">
        <f>SUMIFS(ngfs_median!$J$2:$J$17119,ngfs_median!$B$2:$B$17119,Veda!$C$5,ngfs_median!$H$2:$H$17119,Veda!$Q16,ngfs_median!$I$2:$I$17119,Veda!M$15)</f>
        <v>0.21105000000000002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9.2916666666666661</v>
      </c>
      <c r="U16" s="6">
        <f t="shared" si="2"/>
        <v>16.930555555555554</v>
      </c>
      <c r="V16" s="6">
        <f t="shared" si="2"/>
        <v>24.722222222222221</v>
      </c>
      <c r="W16" s="6">
        <f t="shared" si="2"/>
        <v>36</v>
      </c>
      <c r="X16" s="6">
        <f t="shared" si="2"/>
        <v>49.930555555555557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5.0499999999999998E-3</v>
      </c>
      <c r="H17" s="10">
        <f>SUMIFS(ngfs_median!$J$2:$J$17119,ngfs_median!$B$2:$B$17119,Veda!$C$5,ngfs_median!$H$2:$H$17119,Veda!$Q17,ngfs_median!$I$2:$I$17119,Veda!H$15)</f>
        <v>9.8999999999999991E-3</v>
      </c>
      <c r="I17" s="10">
        <f>SUMIFS(ngfs_median!$J$2:$J$17119,ngfs_median!$B$2:$B$17119,Veda!$C$5,ngfs_median!$H$2:$H$17119,Veda!$Q17,ngfs_median!$I$2:$I$17119,Veda!I$15)</f>
        <v>1.6449999999999999E-2</v>
      </c>
      <c r="J17" s="10">
        <f>SUMIFS(ngfs_median!$J$2:$J$17119,ngfs_median!$B$2:$B$17119,Veda!$C$5,ngfs_median!$H$2:$H$17119,Veda!$Q17,ngfs_median!$I$2:$I$17119,Veda!J$15)</f>
        <v>1.9950000000000002E-2</v>
      </c>
      <c r="K17" s="10">
        <f>SUMIFS(ngfs_median!$J$2:$J$17119,ngfs_median!$B$2:$B$17119,Veda!$C$5,ngfs_median!$H$2:$H$17119,Veda!$Q17,ngfs_median!$I$2:$I$17119,Veda!K$15)</f>
        <v>2.1899999999999999E-2</v>
      </c>
      <c r="L17" s="10">
        <f>SUMIFS(ngfs_median!$J$2:$J$17119,ngfs_median!$B$2:$B$17119,Veda!$C$5,ngfs_median!$H$2:$H$17119,Veda!$Q17,ngfs_median!$I$2:$I$17119,Veda!L$15)</f>
        <v>2.7450000000000002E-2</v>
      </c>
      <c r="M17" s="10">
        <f>SUMIFS(ngfs_median!$J$2:$J$17119,ngfs_median!$B$2:$B$17119,Veda!$C$5,ngfs_median!$H$2:$H$17119,Veda!$Q17,ngfs_median!$I$2:$I$17119,Veda!M$15)</f>
        <v>3.6199999999999996E-2</v>
      </c>
      <c r="Q17" s="12" t="s">
        <v>10</v>
      </c>
      <c r="R17" s="6">
        <f>$Q$10*G17/SUM($G$17:$G$19)</f>
        <v>1.520349919743178</v>
      </c>
      <c r="S17" s="6">
        <f>R17</f>
        <v>1.520349919743178</v>
      </c>
      <c r="T17" s="6">
        <f t="shared" ref="T17:X17" si="3">S17</f>
        <v>1.520349919743178</v>
      </c>
      <c r="U17" s="6">
        <f t="shared" si="3"/>
        <v>1.520349919743178</v>
      </c>
      <c r="V17" s="6">
        <f t="shared" si="3"/>
        <v>1.520349919743178</v>
      </c>
      <c r="W17" s="6">
        <f t="shared" si="3"/>
        <v>1.520349919743178</v>
      </c>
      <c r="X17" s="6">
        <f t="shared" si="3"/>
        <v>1.520349919743178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0.18145</v>
      </c>
      <c r="H18" s="10">
        <f>SUMIFS(ngfs_median!$J$2:$J$17119,ngfs_median!$B$2:$B$17119,Veda!$C$5,ngfs_median!$H$2:$H$17119,Veda!$Q18,ngfs_median!$I$2:$I$17119,Veda!H$15)</f>
        <v>0.25705</v>
      </c>
      <c r="I18" s="10">
        <f>SUMIFS(ngfs_median!$J$2:$J$17119,ngfs_median!$B$2:$B$17119,Veda!$C$5,ngfs_median!$H$2:$H$17119,Veda!$Q18,ngfs_median!$I$2:$I$17119,Veda!I$15)</f>
        <v>0.32355</v>
      </c>
      <c r="J18" s="10">
        <f>SUMIFS(ngfs_median!$J$2:$J$17119,ngfs_median!$B$2:$B$17119,Veda!$C$5,ngfs_median!$H$2:$H$17119,Veda!$Q18,ngfs_median!$I$2:$I$17119,Veda!J$15)</f>
        <v>0.37254999999999999</v>
      </c>
      <c r="K18" s="10">
        <f>SUMIFS(ngfs_median!$J$2:$J$17119,ngfs_median!$B$2:$B$17119,Veda!$C$5,ngfs_median!$H$2:$H$17119,Veda!$Q18,ngfs_median!$I$2:$I$17119,Veda!K$15)</f>
        <v>0.39074999999999999</v>
      </c>
      <c r="L18" s="10">
        <f>SUMIFS(ngfs_median!$J$2:$J$17119,ngfs_median!$B$2:$B$17119,Veda!$C$5,ngfs_median!$H$2:$H$17119,Veda!$Q18,ngfs_median!$I$2:$I$17119,Veda!L$15)</f>
        <v>0.42654999999999998</v>
      </c>
      <c r="M18" s="10">
        <f>SUMIFS(ngfs_median!$J$2:$J$17119,ngfs_median!$B$2:$B$17119,Veda!$C$5,ngfs_median!$H$2:$H$17119,Veda!$Q18,ngfs_median!$I$2:$I$17119,Veda!M$15)</f>
        <v>0.46540000000000004</v>
      </c>
      <c r="Q18" s="12" t="s">
        <v>12</v>
      </c>
      <c r="R18" s="6">
        <f>$Q$10*G18/SUM($G$17:$G$19)</f>
        <v>54.627226324237554</v>
      </c>
      <c r="S18" s="6">
        <f t="shared" ref="S18:X19" si="4">R18*H18/G18</f>
        <v>77.387316211878002</v>
      </c>
      <c r="T18" s="6">
        <f t="shared" si="4"/>
        <v>97.40776565008025</v>
      </c>
      <c r="U18" s="6">
        <f t="shared" si="4"/>
        <v>112.15967576243979</v>
      </c>
      <c r="V18" s="6">
        <f t="shared" si="4"/>
        <v>117.63895666131619</v>
      </c>
      <c r="W18" s="6">
        <f t="shared" si="4"/>
        <v>128.41688282504012</v>
      </c>
      <c r="X18" s="6">
        <f t="shared" si="4"/>
        <v>140.11304012841092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0.125</v>
      </c>
      <c r="H19" s="10">
        <f>SUMIFS(ngfs_median!$J$2:$J$17119,ngfs_median!$B$2:$B$17119,Veda!$C$5,ngfs_median!$H$2:$H$17119,Veda!$Q19,ngfs_median!$I$2:$I$17119,Veda!H$15)</f>
        <v>0.16635</v>
      </c>
      <c r="I19" s="10">
        <f>SUMIFS(ngfs_median!$J$2:$J$17119,ngfs_median!$B$2:$B$17119,Veda!$C$5,ngfs_median!$H$2:$H$17119,Veda!$Q19,ngfs_median!$I$2:$I$17119,Veda!I$15)</f>
        <v>0.21395</v>
      </c>
      <c r="J19" s="10">
        <f>SUMIFS(ngfs_median!$J$2:$J$17119,ngfs_median!$B$2:$B$17119,Veda!$C$5,ngfs_median!$H$2:$H$17119,Veda!$Q19,ngfs_median!$I$2:$I$17119,Veda!J$15)</f>
        <v>0.22625000000000001</v>
      </c>
      <c r="K19" s="10">
        <f>SUMIFS(ngfs_median!$J$2:$J$17119,ngfs_median!$B$2:$B$17119,Veda!$C$5,ngfs_median!$H$2:$H$17119,Veda!$Q19,ngfs_median!$I$2:$I$17119,Veda!K$15)</f>
        <v>0.22585</v>
      </c>
      <c r="L19" s="10">
        <f>SUMIFS(ngfs_median!$J$2:$J$17119,ngfs_median!$B$2:$B$17119,Veda!$C$5,ngfs_median!$H$2:$H$17119,Veda!$Q19,ngfs_median!$I$2:$I$17119,Veda!L$15)</f>
        <v>0.26774999999999999</v>
      </c>
      <c r="M19" s="10">
        <f>SUMIFS(ngfs_median!$J$2:$J$17119,ngfs_median!$B$2:$B$17119,Veda!$C$5,ngfs_median!$H$2:$H$17119,Veda!$Q19,ngfs_median!$I$2:$I$17119,Veda!M$15)</f>
        <v>0.31609999999999999</v>
      </c>
      <c r="Q19" s="12" t="s">
        <v>13</v>
      </c>
      <c r="R19" s="6">
        <f>$Q$10*G19/SUM($G$17:$G$19)</f>
        <v>37.632423756019264</v>
      </c>
      <c r="S19" s="6">
        <f t="shared" si="4"/>
        <v>50.081229534510435</v>
      </c>
      <c r="T19" s="6">
        <f t="shared" si="4"/>
        <v>64.411656500802579</v>
      </c>
      <c r="U19" s="6">
        <f t="shared" si="4"/>
        <v>68.114686998394873</v>
      </c>
      <c r="V19" s="6">
        <f t="shared" si="4"/>
        <v>67.994263242375609</v>
      </c>
      <c r="W19" s="6">
        <f t="shared" si="4"/>
        <v>80.608651685393255</v>
      </c>
      <c r="X19" s="6">
        <f t="shared" si="4"/>
        <v>95.164873194221514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1.4601380417335474</v>
      </c>
      <c r="T20" s="6">
        <f t="shared" si="5"/>
        <v>3.4320770465489563</v>
      </c>
      <c r="U20" s="6">
        <f t="shared" si="5"/>
        <v>4.4857849117174968</v>
      </c>
      <c r="V20" s="6">
        <f t="shared" si="5"/>
        <v>5.0728507223113963</v>
      </c>
      <c r="W20" s="6">
        <f t="shared" si="5"/>
        <v>6.7437303370786532</v>
      </c>
      <c r="X20" s="6">
        <f t="shared" si="5"/>
        <v>9.3780000000000001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50.2</v>
      </c>
      <c r="D22" s="12" t="s">
        <v>79</v>
      </c>
      <c r="G22" s="8">
        <f>G35/$G$35*$B22</f>
        <v>50.2</v>
      </c>
      <c r="H22" s="8">
        <f t="shared" ref="H22:M22" si="6">H35/$G$35*$B22</f>
        <v>72.84369428707663</v>
      </c>
      <c r="I22" s="8">
        <f t="shared" si="6"/>
        <v>87.758819108269961</v>
      </c>
      <c r="J22" s="8">
        <f t="shared" si="6"/>
        <v>97.380583818906246</v>
      </c>
      <c r="K22" s="8">
        <f t="shared" si="6"/>
        <v>100.66715291303331</v>
      </c>
      <c r="L22" s="8">
        <f t="shared" si="6"/>
        <v>101.35887002270948</v>
      </c>
      <c r="M22" s="8">
        <f t="shared" si="6"/>
        <v>104.48275374382764</v>
      </c>
      <c r="Q22" t="s">
        <v>64</v>
      </c>
      <c r="T22" s="8">
        <f>I35*1000</f>
        <v>43263</v>
      </c>
      <c r="U22" s="8">
        <f>J35*1000</f>
        <v>48006.3</v>
      </c>
      <c r="V22" s="8">
        <f>K35*1000</f>
        <v>49626.5</v>
      </c>
      <c r="W22" s="8">
        <f>L35*1000</f>
        <v>49967.5</v>
      </c>
      <c r="X22" s="8">
        <f>M35*1000</f>
        <v>51507.5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0.2</v>
      </c>
      <c r="S26" s="3">
        <f>AVERAGEIFS(historical_data_long!$D$3:$D$9999,historical_data_long!$B$3:$B$9999,"&gt;2017",historical_data_long!$A$3:$A$9999,$O26)</f>
        <v>0.42000000000000004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2.8</v>
      </c>
      <c r="S27" s="3">
        <f>AVERAGEIFS(historical_data_long!$D$3:$D$9999,historical_data_long!$B$3:$B$9999,"&gt;2017",historical_data_long!$A$3:$A$9999,$O27)</f>
        <v>1.2399999999999998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24.747399999999999</v>
      </c>
      <c r="H35" s="11">
        <f>SUMIFS(ngfs_median!$J$2:$J$17119,ngfs_median!$B$2:$B$17119,Veda!$C$5,ngfs_median!$D$2:$D$17119,Veda!$D22,ngfs_median!$I$2:$I$17119,Veda!H$15)</f>
        <v>35.910199999999996</v>
      </c>
      <c r="I35" s="11">
        <f>SUMIFS(ngfs_median!$J$2:$J$17119,ngfs_median!$B$2:$B$17119,Veda!$C$5,ngfs_median!$D$2:$D$17119,Veda!$D22,ngfs_median!$I$2:$I$17119,Veda!I$15)</f>
        <v>43.262999999999998</v>
      </c>
      <c r="J35" s="11">
        <f>SUMIFS(ngfs_median!$J$2:$J$17119,ngfs_median!$B$2:$B$17119,Veda!$C$5,ngfs_median!$D$2:$D$17119,Veda!$D22,ngfs_median!$I$2:$I$17119,Veda!J$15)</f>
        <v>48.006300000000003</v>
      </c>
      <c r="K35" s="11">
        <f>SUMIFS(ngfs_median!$J$2:$J$17119,ngfs_median!$B$2:$B$17119,Veda!$C$5,ngfs_median!$D$2:$D$17119,Veda!$D22,ngfs_median!$I$2:$I$17119,Veda!K$15)</f>
        <v>49.6265</v>
      </c>
      <c r="L35" s="11">
        <f>SUMIFS(ngfs_median!$J$2:$J$17119,ngfs_median!$B$2:$B$17119,Veda!$C$5,ngfs_median!$D$2:$D$17119,Veda!$D22,ngfs_median!$I$2:$I$17119,Veda!L$15)</f>
        <v>49.967500000000001</v>
      </c>
      <c r="M35" s="11">
        <f>SUMIFS(ngfs_median!$J$2:$J$17119,ngfs_median!$B$2:$B$17119,Veda!$C$5,ngfs_median!$D$2:$D$17119,Veda!$D22,ngfs_median!$I$2:$I$17119,Veda!M$15)</f>
        <v>51.5075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0</v>
      </c>
      <c r="T41">
        <v>1.25</v>
      </c>
      <c r="U41">
        <v>1.25</v>
      </c>
      <c r="V41" t="s">
        <v>94</v>
      </c>
    </row>
    <row r="42" spans="7:22" x14ac:dyDescent="0.45">
      <c r="Q42" t="s">
        <v>39</v>
      </c>
      <c r="R42" t="s">
        <v>93</v>
      </c>
      <c r="S42">
        <v>0</v>
      </c>
      <c r="T42">
        <v>0</v>
      </c>
      <c r="U42">
        <v>0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70"/>
  <sheetViews>
    <sheetView workbookViewId="0">
      <selection sqref="A1:D670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</v>
      </c>
    </row>
    <row r="3" spans="1:4" x14ac:dyDescent="0.45">
      <c r="A3" t="s">
        <v>34</v>
      </c>
      <c r="B3">
        <v>2000</v>
      </c>
      <c r="C3" t="s">
        <v>74</v>
      </c>
      <c r="D3">
        <v>0</v>
      </c>
    </row>
    <row r="4" spans="1:4" x14ac:dyDescent="0.45">
      <c r="A4" t="s">
        <v>36</v>
      </c>
      <c r="B4">
        <v>2000</v>
      </c>
      <c r="C4" t="s">
        <v>74</v>
      </c>
      <c r="D4">
        <v>24.58</v>
      </c>
    </row>
    <row r="5" spans="1:4" x14ac:dyDescent="0.45">
      <c r="A5" t="s">
        <v>56</v>
      </c>
      <c r="B5">
        <v>2000</v>
      </c>
      <c r="C5" t="s">
        <v>74</v>
      </c>
      <c r="D5">
        <v>0.05</v>
      </c>
    </row>
    <row r="6" spans="1:4" x14ac:dyDescent="0.45">
      <c r="A6" t="s">
        <v>57</v>
      </c>
      <c r="B6">
        <v>2000</v>
      </c>
      <c r="C6" t="s">
        <v>74</v>
      </c>
      <c r="D6">
        <v>0</v>
      </c>
    </row>
    <row r="7" spans="1:4" x14ac:dyDescent="0.45">
      <c r="A7" t="s">
        <v>38</v>
      </c>
      <c r="B7">
        <v>2000</v>
      </c>
      <c r="C7" t="s">
        <v>74</v>
      </c>
      <c r="D7">
        <v>0.77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</v>
      </c>
    </row>
    <row r="10" spans="1:4" x14ac:dyDescent="0.45">
      <c r="A10" t="s">
        <v>91</v>
      </c>
      <c r="B10">
        <v>2000</v>
      </c>
      <c r="C10" t="s">
        <v>74</v>
      </c>
      <c r="D10">
        <v>0</v>
      </c>
    </row>
    <row r="11" spans="1:4" x14ac:dyDescent="0.45">
      <c r="A11" t="s">
        <v>32</v>
      </c>
      <c r="B11">
        <v>2001</v>
      </c>
      <c r="C11" t="s">
        <v>74</v>
      </c>
      <c r="D11">
        <v>0</v>
      </c>
    </row>
    <row r="12" spans="1:4" x14ac:dyDescent="0.45">
      <c r="A12" t="s">
        <v>34</v>
      </c>
      <c r="B12">
        <v>2001</v>
      </c>
      <c r="C12" t="s">
        <v>74</v>
      </c>
      <c r="D12">
        <v>0</v>
      </c>
    </row>
    <row r="13" spans="1:4" x14ac:dyDescent="0.45">
      <c r="A13" t="s">
        <v>36</v>
      </c>
      <c r="B13">
        <v>2001</v>
      </c>
      <c r="C13" t="s">
        <v>74</v>
      </c>
      <c r="D13">
        <v>25.78</v>
      </c>
    </row>
    <row r="14" spans="1:4" x14ac:dyDescent="0.45">
      <c r="A14" t="s">
        <v>56</v>
      </c>
      <c r="B14">
        <v>2001</v>
      </c>
      <c r="C14" t="s">
        <v>74</v>
      </c>
      <c r="D14">
        <v>7.0000000000000007E-2</v>
      </c>
    </row>
    <row r="15" spans="1:4" x14ac:dyDescent="0.45">
      <c r="A15" t="s">
        <v>57</v>
      </c>
      <c r="B15">
        <v>2001</v>
      </c>
      <c r="C15" t="s">
        <v>74</v>
      </c>
      <c r="D15">
        <v>0</v>
      </c>
    </row>
    <row r="16" spans="1:4" x14ac:dyDescent="0.45">
      <c r="A16" t="s">
        <v>38</v>
      </c>
      <c r="B16">
        <v>2001</v>
      </c>
      <c r="C16" t="s">
        <v>74</v>
      </c>
      <c r="D16">
        <v>0.77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</v>
      </c>
    </row>
    <row r="19" spans="1:4" x14ac:dyDescent="0.45">
      <c r="A19" t="s">
        <v>91</v>
      </c>
      <c r="B19">
        <v>2001</v>
      </c>
      <c r="C19" t="s">
        <v>74</v>
      </c>
      <c r="D19">
        <v>0</v>
      </c>
    </row>
    <row r="20" spans="1:4" x14ac:dyDescent="0.45">
      <c r="A20" t="s">
        <v>32</v>
      </c>
      <c r="B20">
        <v>2002</v>
      </c>
      <c r="C20" t="s">
        <v>74</v>
      </c>
      <c r="D20">
        <v>0</v>
      </c>
    </row>
    <row r="21" spans="1:4" x14ac:dyDescent="0.45">
      <c r="A21" t="s">
        <v>34</v>
      </c>
      <c r="B21">
        <v>2002</v>
      </c>
      <c r="C21" t="s">
        <v>74</v>
      </c>
      <c r="D21">
        <v>0</v>
      </c>
    </row>
    <row r="22" spans="1:4" x14ac:dyDescent="0.45">
      <c r="A22" t="s">
        <v>36</v>
      </c>
      <c r="B22">
        <v>2002</v>
      </c>
      <c r="C22" t="s">
        <v>74</v>
      </c>
      <c r="D22">
        <v>26.99</v>
      </c>
    </row>
    <row r="23" spans="1:4" x14ac:dyDescent="0.45">
      <c r="A23" t="s">
        <v>56</v>
      </c>
      <c r="B23">
        <v>2002</v>
      </c>
      <c r="C23" t="s">
        <v>74</v>
      </c>
      <c r="D23">
        <v>0.06</v>
      </c>
    </row>
    <row r="24" spans="1:4" x14ac:dyDescent="0.45">
      <c r="A24" t="s">
        <v>57</v>
      </c>
      <c r="B24">
        <v>2002</v>
      </c>
      <c r="C24" t="s">
        <v>74</v>
      </c>
      <c r="D24">
        <v>0</v>
      </c>
    </row>
    <row r="25" spans="1:4" x14ac:dyDescent="0.45">
      <c r="A25" t="s">
        <v>38</v>
      </c>
      <c r="B25">
        <v>2002</v>
      </c>
      <c r="C25" t="s">
        <v>74</v>
      </c>
      <c r="D25">
        <v>0.6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</v>
      </c>
    </row>
    <row r="28" spans="1:4" x14ac:dyDescent="0.45">
      <c r="A28" t="s">
        <v>91</v>
      </c>
      <c r="B28">
        <v>2002</v>
      </c>
      <c r="C28" t="s">
        <v>74</v>
      </c>
      <c r="D28">
        <v>0</v>
      </c>
    </row>
    <row r="29" spans="1:4" x14ac:dyDescent="0.45">
      <c r="A29" t="s">
        <v>32</v>
      </c>
      <c r="B29">
        <v>2003</v>
      </c>
      <c r="C29" t="s">
        <v>74</v>
      </c>
      <c r="D29">
        <v>0</v>
      </c>
    </row>
    <row r="30" spans="1:4" x14ac:dyDescent="0.45">
      <c r="A30" t="s">
        <v>34</v>
      </c>
      <c r="B30">
        <v>2003</v>
      </c>
      <c r="C30" t="s">
        <v>74</v>
      </c>
      <c r="D30">
        <v>0</v>
      </c>
    </row>
    <row r="31" spans="1:4" x14ac:dyDescent="0.45">
      <c r="A31" t="s">
        <v>36</v>
      </c>
      <c r="B31">
        <v>2003</v>
      </c>
      <c r="C31" t="s">
        <v>74</v>
      </c>
      <c r="D31">
        <v>28.62</v>
      </c>
    </row>
    <row r="32" spans="1:4" x14ac:dyDescent="0.45">
      <c r="A32" t="s">
        <v>56</v>
      </c>
      <c r="B32">
        <v>2003</v>
      </c>
      <c r="C32" t="s">
        <v>74</v>
      </c>
      <c r="D32">
        <v>0.26</v>
      </c>
    </row>
    <row r="33" spans="1:4" x14ac:dyDescent="0.45">
      <c r="A33" t="s">
        <v>57</v>
      </c>
      <c r="B33">
        <v>2003</v>
      </c>
      <c r="C33" t="s">
        <v>74</v>
      </c>
      <c r="D33">
        <v>0</v>
      </c>
    </row>
    <row r="34" spans="1:4" x14ac:dyDescent="0.45">
      <c r="A34" t="s">
        <v>38</v>
      </c>
      <c r="B34">
        <v>2003</v>
      </c>
      <c r="C34" t="s">
        <v>74</v>
      </c>
      <c r="D34">
        <v>0.69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</v>
      </c>
    </row>
    <row r="37" spans="1:4" x14ac:dyDescent="0.45">
      <c r="A37" t="s">
        <v>91</v>
      </c>
      <c r="B37">
        <v>2003</v>
      </c>
      <c r="C37" t="s">
        <v>74</v>
      </c>
      <c r="D37">
        <v>0</v>
      </c>
    </row>
    <row r="38" spans="1:4" x14ac:dyDescent="0.45">
      <c r="A38" t="s">
        <v>32</v>
      </c>
      <c r="B38">
        <v>2004</v>
      </c>
      <c r="C38" t="s">
        <v>74</v>
      </c>
      <c r="D38">
        <v>0</v>
      </c>
    </row>
    <row r="39" spans="1:4" x14ac:dyDescent="0.45">
      <c r="A39" t="s">
        <v>34</v>
      </c>
      <c r="B39">
        <v>2004</v>
      </c>
      <c r="C39" t="s">
        <v>74</v>
      </c>
      <c r="D39">
        <v>0</v>
      </c>
    </row>
    <row r="40" spans="1:4" x14ac:dyDescent="0.45">
      <c r="A40" t="s">
        <v>36</v>
      </c>
      <c r="B40">
        <v>2004</v>
      </c>
      <c r="C40" t="s">
        <v>74</v>
      </c>
      <c r="D40">
        <v>30.31</v>
      </c>
    </row>
    <row r="41" spans="1:4" x14ac:dyDescent="0.45">
      <c r="A41" t="s">
        <v>56</v>
      </c>
      <c r="B41">
        <v>2004</v>
      </c>
      <c r="C41" t="s">
        <v>74</v>
      </c>
      <c r="D41">
        <v>0.25</v>
      </c>
    </row>
    <row r="42" spans="1:4" x14ac:dyDescent="0.45">
      <c r="A42" t="s">
        <v>57</v>
      </c>
      <c r="B42">
        <v>2004</v>
      </c>
      <c r="C42" t="s">
        <v>74</v>
      </c>
      <c r="D42">
        <v>0</v>
      </c>
    </row>
    <row r="43" spans="1:4" x14ac:dyDescent="0.45">
      <c r="A43" t="s">
        <v>38</v>
      </c>
      <c r="B43">
        <v>2004</v>
      </c>
      <c r="C43" t="s">
        <v>74</v>
      </c>
      <c r="D43">
        <v>0.69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</v>
      </c>
    </row>
    <row r="46" spans="1:4" x14ac:dyDescent="0.45">
      <c r="A46" t="s">
        <v>91</v>
      </c>
      <c r="B46">
        <v>2004</v>
      </c>
      <c r="C46" t="s">
        <v>74</v>
      </c>
      <c r="D46">
        <v>0</v>
      </c>
    </row>
    <row r="47" spans="1:4" x14ac:dyDescent="0.45">
      <c r="A47" t="s">
        <v>32</v>
      </c>
      <c r="B47">
        <v>2005</v>
      </c>
      <c r="C47" t="s">
        <v>74</v>
      </c>
      <c r="D47">
        <v>0</v>
      </c>
    </row>
    <row r="48" spans="1:4" x14ac:dyDescent="0.45">
      <c r="A48" t="s">
        <v>34</v>
      </c>
      <c r="B48">
        <v>2005</v>
      </c>
      <c r="C48" t="s">
        <v>74</v>
      </c>
      <c r="D48">
        <v>0</v>
      </c>
    </row>
    <row r="49" spans="1:4" x14ac:dyDescent="0.45">
      <c r="A49" t="s">
        <v>36</v>
      </c>
      <c r="B49">
        <v>2005</v>
      </c>
      <c r="C49" t="s">
        <v>74</v>
      </c>
      <c r="D49">
        <v>32.64</v>
      </c>
    </row>
    <row r="50" spans="1:4" x14ac:dyDescent="0.45">
      <c r="A50" t="s">
        <v>56</v>
      </c>
      <c r="B50">
        <v>2005</v>
      </c>
      <c r="C50" t="s">
        <v>74</v>
      </c>
      <c r="D50">
        <v>0.55000000000000004</v>
      </c>
    </row>
    <row r="51" spans="1:4" x14ac:dyDescent="0.45">
      <c r="A51" t="s">
        <v>57</v>
      </c>
      <c r="B51">
        <v>2005</v>
      </c>
      <c r="C51" t="s">
        <v>74</v>
      </c>
      <c r="D51">
        <v>0</v>
      </c>
    </row>
    <row r="52" spans="1:4" x14ac:dyDescent="0.45">
      <c r="A52" t="s">
        <v>38</v>
      </c>
      <c r="B52">
        <v>2005</v>
      </c>
      <c r="C52" t="s">
        <v>74</v>
      </c>
      <c r="D52">
        <v>0.72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</v>
      </c>
    </row>
    <row r="55" spans="1:4" x14ac:dyDescent="0.45">
      <c r="A55" t="s">
        <v>91</v>
      </c>
      <c r="B55">
        <v>2005</v>
      </c>
      <c r="C55" t="s">
        <v>74</v>
      </c>
      <c r="D55">
        <v>0</v>
      </c>
    </row>
    <row r="56" spans="1:4" x14ac:dyDescent="0.45">
      <c r="A56" t="s">
        <v>32</v>
      </c>
      <c r="B56">
        <v>2006</v>
      </c>
      <c r="C56" t="s">
        <v>74</v>
      </c>
      <c r="D56">
        <v>0</v>
      </c>
    </row>
    <row r="57" spans="1:4" x14ac:dyDescent="0.45">
      <c r="A57" t="s">
        <v>34</v>
      </c>
      <c r="B57">
        <v>2006</v>
      </c>
      <c r="C57" t="s">
        <v>74</v>
      </c>
      <c r="D57">
        <v>0</v>
      </c>
    </row>
    <row r="58" spans="1:4" x14ac:dyDescent="0.45">
      <c r="A58" t="s">
        <v>36</v>
      </c>
      <c r="B58">
        <v>2006</v>
      </c>
      <c r="C58" t="s">
        <v>74</v>
      </c>
      <c r="D58">
        <v>34.26</v>
      </c>
    </row>
    <row r="59" spans="1:4" x14ac:dyDescent="0.45">
      <c r="A59" t="s">
        <v>56</v>
      </c>
      <c r="B59">
        <v>2006</v>
      </c>
      <c r="C59" t="s">
        <v>74</v>
      </c>
      <c r="D59">
        <v>0.22</v>
      </c>
    </row>
    <row r="60" spans="1:4" x14ac:dyDescent="0.45">
      <c r="A60" t="s">
        <v>57</v>
      </c>
      <c r="B60">
        <v>2006</v>
      </c>
      <c r="C60" t="s">
        <v>74</v>
      </c>
      <c r="D60">
        <v>0</v>
      </c>
    </row>
    <row r="61" spans="1:4" x14ac:dyDescent="0.45">
      <c r="A61" t="s">
        <v>38</v>
      </c>
      <c r="B61">
        <v>2006</v>
      </c>
      <c r="C61" t="s">
        <v>74</v>
      </c>
      <c r="D61">
        <v>0.75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</v>
      </c>
    </row>
    <row r="64" spans="1:4" x14ac:dyDescent="0.45">
      <c r="A64" t="s">
        <v>91</v>
      </c>
      <c r="B64">
        <v>2006</v>
      </c>
      <c r="C64" t="s">
        <v>74</v>
      </c>
      <c r="D64">
        <v>0</v>
      </c>
    </row>
    <row r="65" spans="1:4" x14ac:dyDescent="0.45">
      <c r="A65" t="s">
        <v>32</v>
      </c>
      <c r="B65">
        <v>2007</v>
      </c>
      <c r="C65" t="s">
        <v>74</v>
      </c>
      <c r="D65">
        <v>0</v>
      </c>
    </row>
    <row r="66" spans="1:4" x14ac:dyDescent="0.45">
      <c r="A66" t="s">
        <v>34</v>
      </c>
      <c r="B66">
        <v>2007</v>
      </c>
      <c r="C66" t="s">
        <v>74</v>
      </c>
      <c r="D66">
        <v>0</v>
      </c>
    </row>
    <row r="67" spans="1:4" x14ac:dyDescent="0.45">
      <c r="A67" t="s">
        <v>36</v>
      </c>
      <c r="B67">
        <v>2007</v>
      </c>
      <c r="C67" t="s">
        <v>74</v>
      </c>
      <c r="D67">
        <v>36.18</v>
      </c>
    </row>
    <row r="68" spans="1:4" x14ac:dyDescent="0.45">
      <c r="A68" t="s">
        <v>56</v>
      </c>
      <c r="B68">
        <v>2007</v>
      </c>
      <c r="C68" t="s">
        <v>74</v>
      </c>
      <c r="D68">
        <v>0.22</v>
      </c>
    </row>
    <row r="69" spans="1:4" x14ac:dyDescent="0.45">
      <c r="A69" t="s">
        <v>57</v>
      </c>
      <c r="B69">
        <v>2007</v>
      </c>
      <c r="C69" t="s">
        <v>74</v>
      </c>
      <c r="D69">
        <v>0</v>
      </c>
    </row>
    <row r="70" spans="1:4" x14ac:dyDescent="0.45">
      <c r="A70" t="s">
        <v>38</v>
      </c>
      <c r="B70">
        <v>2007</v>
      </c>
      <c r="C70" t="s">
        <v>74</v>
      </c>
      <c r="D70">
        <v>0.79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</v>
      </c>
    </row>
    <row r="73" spans="1:4" x14ac:dyDescent="0.45">
      <c r="A73" t="s">
        <v>91</v>
      </c>
      <c r="B73">
        <v>2007</v>
      </c>
      <c r="C73" t="s">
        <v>74</v>
      </c>
      <c r="D73">
        <v>0</v>
      </c>
    </row>
    <row r="74" spans="1:4" x14ac:dyDescent="0.45">
      <c r="A74" t="s">
        <v>32</v>
      </c>
      <c r="B74">
        <v>2008</v>
      </c>
      <c r="C74" t="s">
        <v>74</v>
      </c>
      <c r="D74">
        <v>0</v>
      </c>
    </row>
    <row r="75" spans="1:4" x14ac:dyDescent="0.45">
      <c r="A75" t="s">
        <v>34</v>
      </c>
      <c r="B75">
        <v>2008</v>
      </c>
      <c r="C75" t="s">
        <v>74</v>
      </c>
      <c r="D75">
        <v>0</v>
      </c>
    </row>
    <row r="76" spans="1:4" x14ac:dyDescent="0.45">
      <c r="A76" t="s">
        <v>36</v>
      </c>
      <c r="B76">
        <v>2008</v>
      </c>
      <c r="C76" t="s">
        <v>74</v>
      </c>
      <c r="D76">
        <v>39.159999999999997</v>
      </c>
    </row>
    <row r="77" spans="1:4" x14ac:dyDescent="0.45">
      <c r="A77" t="s">
        <v>56</v>
      </c>
      <c r="B77">
        <v>2008</v>
      </c>
      <c r="C77" t="s">
        <v>74</v>
      </c>
      <c r="D77">
        <v>0.28000000000000003</v>
      </c>
    </row>
    <row r="78" spans="1:4" x14ac:dyDescent="0.45">
      <c r="A78" t="s">
        <v>57</v>
      </c>
      <c r="B78">
        <v>2008</v>
      </c>
      <c r="C78" t="s">
        <v>74</v>
      </c>
      <c r="D78">
        <v>0</v>
      </c>
    </row>
    <row r="79" spans="1:4" x14ac:dyDescent="0.45">
      <c r="A79" t="s">
        <v>38</v>
      </c>
      <c r="B79">
        <v>2008</v>
      </c>
      <c r="C79" t="s">
        <v>74</v>
      </c>
      <c r="D79">
        <v>0.79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0</v>
      </c>
    </row>
    <row r="82" spans="1:4" x14ac:dyDescent="0.45">
      <c r="A82" t="s">
        <v>91</v>
      </c>
      <c r="B82">
        <v>2008</v>
      </c>
      <c r="C82" t="s">
        <v>74</v>
      </c>
      <c r="D82">
        <v>0</v>
      </c>
    </row>
    <row r="83" spans="1:4" x14ac:dyDescent="0.45">
      <c r="A83" t="s">
        <v>32</v>
      </c>
      <c r="B83">
        <v>2009</v>
      </c>
      <c r="C83" t="s">
        <v>74</v>
      </c>
      <c r="D83">
        <v>0</v>
      </c>
    </row>
    <row r="84" spans="1:4" x14ac:dyDescent="0.45">
      <c r="A84" t="s">
        <v>34</v>
      </c>
      <c r="B84">
        <v>2009</v>
      </c>
      <c r="C84" t="s">
        <v>74</v>
      </c>
      <c r="D84">
        <v>0</v>
      </c>
    </row>
    <row r="85" spans="1:4" x14ac:dyDescent="0.45">
      <c r="A85" t="s">
        <v>36</v>
      </c>
      <c r="B85">
        <v>2009</v>
      </c>
      <c r="C85" t="s">
        <v>74</v>
      </c>
      <c r="D85">
        <v>37.590000000000003</v>
      </c>
    </row>
    <row r="86" spans="1:4" x14ac:dyDescent="0.45">
      <c r="A86" t="s">
        <v>56</v>
      </c>
      <c r="B86">
        <v>2009</v>
      </c>
      <c r="C86" t="s">
        <v>74</v>
      </c>
      <c r="D86">
        <v>0.3</v>
      </c>
    </row>
    <row r="87" spans="1:4" x14ac:dyDescent="0.45">
      <c r="A87" t="s">
        <v>57</v>
      </c>
      <c r="B87">
        <v>2009</v>
      </c>
      <c r="C87" t="s">
        <v>74</v>
      </c>
      <c r="D87">
        <v>0</v>
      </c>
    </row>
    <row r="88" spans="1:4" x14ac:dyDescent="0.45">
      <c r="A88" t="s">
        <v>38</v>
      </c>
      <c r="B88">
        <v>2009</v>
      </c>
      <c r="C88" t="s">
        <v>74</v>
      </c>
      <c r="D88">
        <v>0.61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0</v>
      </c>
    </row>
    <row r="91" spans="1:4" x14ac:dyDescent="0.45">
      <c r="A91" t="s">
        <v>91</v>
      </c>
      <c r="B91">
        <v>2009</v>
      </c>
      <c r="C91" t="s">
        <v>74</v>
      </c>
      <c r="D91">
        <v>0</v>
      </c>
    </row>
    <row r="92" spans="1:4" x14ac:dyDescent="0.45">
      <c r="A92" t="s">
        <v>32</v>
      </c>
      <c r="B92">
        <v>2010</v>
      </c>
      <c r="C92" t="s">
        <v>74</v>
      </c>
      <c r="D92">
        <v>0</v>
      </c>
    </row>
    <row r="93" spans="1:4" x14ac:dyDescent="0.45">
      <c r="A93" t="s">
        <v>34</v>
      </c>
      <c r="B93">
        <v>2010</v>
      </c>
      <c r="C93" t="s">
        <v>74</v>
      </c>
      <c r="D93">
        <v>0</v>
      </c>
    </row>
    <row r="94" spans="1:4" x14ac:dyDescent="0.45">
      <c r="A94" t="s">
        <v>36</v>
      </c>
      <c r="B94">
        <v>2010</v>
      </c>
      <c r="C94" t="s">
        <v>74</v>
      </c>
      <c r="D94">
        <v>44.6</v>
      </c>
    </row>
    <row r="95" spans="1:4" x14ac:dyDescent="0.45">
      <c r="A95" t="s">
        <v>56</v>
      </c>
      <c r="B95">
        <v>2010</v>
      </c>
      <c r="C95" t="s">
        <v>74</v>
      </c>
      <c r="D95">
        <v>0.17</v>
      </c>
    </row>
    <row r="96" spans="1:4" x14ac:dyDescent="0.45">
      <c r="A96" t="s">
        <v>57</v>
      </c>
      <c r="B96">
        <v>2010</v>
      </c>
      <c r="C96" t="s">
        <v>74</v>
      </c>
      <c r="D96">
        <v>0</v>
      </c>
    </row>
    <row r="97" spans="1:4" x14ac:dyDescent="0.45">
      <c r="A97" t="s">
        <v>38</v>
      </c>
      <c r="B97">
        <v>2010</v>
      </c>
      <c r="C97" t="s">
        <v>74</v>
      </c>
      <c r="D97">
        <v>0.96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0</v>
      </c>
    </row>
    <row r="100" spans="1:4" x14ac:dyDescent="0.45">
      <c r="A100" t="s">
        <v>91</v>
      </c>
      <c r="B100">
        <v>2010</v>
      </c>
      <c r="C100" t="s">
        <v>74</v>
      </c>
      <c r="D100">
        <v>0</v>
      </c>
    </row>
    <row r="101" spans="1:4" x14ac:dyDescent="0.45">
      <c r="A101" t="s">
        <v>32</v>
      </c>
      <c r="B101">
        <v>2011</v>
      </c>
      <c r="C101" t="s">
        <v>74</v>
      </c>
      <c r="D101">
        <v>0</v>
      </c>
    </row>
    <row r="102" spans="1:4" x14ac:dyDescent="0.45">
      <c r="A102" t="s">
        <v>34</v>
      </c>
      <c r="B102">
        <v>2011</v>
      </c>
      <c r="C102" t="s">
        <v>74</v>
      </c>
      <c r="D102">
        <v>0</v>
      </c>
    </row>
    <row r="103" spans="1:4" x14ac:dyDescent="0.45">
      <c r="A103" t="s">
        <v>36</v>
      </c>
      <c r="B103">
        <v>2011</v>
      </c>
      <c r="C103" t="s">
        <v>74</v>
      </c>
      <c r="D103">
        <v>49.65</v>
      </c>
    </row>
    <row r="104" spans="1:4" x14ac:dyDescent="0.45">
      <c r="A104" t="s">
        <v>56</v>
      </c>
      <c r="B104">
        <v>2011</v>
      </c>
      <c r="C104" t="s">
        <v>74</v>
      </c>
      <c r="D104">
        <v>0.5</v>
      </c>
    </row>
    <row r="105" spans="1:4" x14ac:dyDescent="0.45">
      <c r="A105" t="s">
        <v>57</v>
      </c>
      <c r="B105">
        <v>2011</v>
      </c>
      <c r="C105" t="s">
        <v>74</v>
      </c>
      <c r="D105">
        <v>0</v>
      </c>
    </row>
    <row r="106" spans="1:4" x14ac:dyDescent="0.45">
      <c r="A106" t="s">
        <v>38</v>
      </c>
      <c r="B106">
        <v>2011</v>
      </c>
      <c r="C106" t="s">
        <v>74</v>
      </c>
      <c r="D106">
        <v>1.07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0</v>
      </c>
    </row>
    <row r="109" spans="1:4" x14ac:dyDescent="0.45">
      <c r="A109" t="s">
        <v>91</v>
      </c>
      <c r="B109">
        <v>2011</v>
      </c>
      <c r="C109" t="s">
        <v>74</v>
      </c>
      <c r="D109">
        <v>0</v>
      </c>
    </row>
    <row r="110" spans="1:4" x14ac:dyDescent="0.45">
      <c r="A110" t="s">
        <v>32</v>
      </c>
      <c r="B110">
        <v>2012</v>
      </c>
      <c r="C110" t="s">
        <v>74</v>
      </c>
      <c r="D110">
        <v>0</v>
      </c>
    </row>
    <row r="111" spans="1:4" x14ac:dyDescent="0.45">
      <c r="A111" t="s">
        <v>34</v>
      </c>
      <c r="B111">
        <v>2012</v>
      </c>
      <c r="C111" t="s">
        <v>74</v>
      </c>
      <c r="D111">
        <v>0</v>
      </c>
    </row>
    <row r="112" spans="1:4" x14ac:dyDescent="0.45">
      <c r="A112" t="s">
        <v>36</v>
      </c>
      <c r="B112">
        <v>2012</v>
      </c>
      <c r="C112" t="s">
        <v>74</v>
      </c>
      <c r="D112">
        <v>55.72</v>
      </c>
    </row>
    <row r="113" spans="1:4" x14ac:dyDescent="0.45">
      <c r="A113" t="s">
        <v>56</v>
      </c>
      <c r="B113">
        <v>2012</v>
      </c>
      <c r="C113" t="s">
        <v>74</v>
      </c>
      <c r="D113">
        <v>0.62</v>
      </c>
    </row>
    <row r="114" spans="1:4" x14ac:dyDescent="0.45">
      <c r="A114" t="s">
        <v>57</v>
      </c>
      <c r="B114">
        <v>2012</v>
      </c>
      <c r="C114" t="s">
        <v>74</v>
      </c>
      <c r="D114">
        <v>0</v>
      </c>
    </row>
    <row r="115" spans="1:4" x14ac:dyDescent="0.45">
      <c r="A115" t="s">
        <v>38</v>
      </c>
      <c r="B115">
        <v>2012</v>
      </c>
      <c r="C115" t="s">
        <v>74</v>
      </c>
      <c r="D115">
        <v>1.06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0</v>
      </c>
    </row>
    <row r="118" spans="1:4" x14ac:dyDescent="0.45">
      <c r="A118" t="s">
        <v>91</v>
      </c>
      <c r="B118">
        <v>2012</v>
      </c>
      <c r="C118" t="s">
        <v>74</v>
      </c>
      <c r="D118">
        <v>0</v>
      </c>
    </row>
    <row r="119" spans="1:4" x14ac:dyDescent="0.45">
      <c r="A119" t="s">
        <v>32</v>
      </c>
      <c r="B119">
        <v>2013</v>
      </c>
      <c r="C119" t="s">
        <v>74</v>
      </c>
      <c r="D119">
        <v>0</v>
      </c>
    </row>
    <row r="120" spans="1:4" x14ac:dyDescent="0.45">
      <c r="A120" t="s">
        <v>34</v>
      </c>
      <c r="B120">
        <v>2013</v>
      </c>
      <c r="C120" t="s">
        <v>74</v>
      </c>
      <c r="D120">
        <v>0</v>
      </c>
    </row>
    <row r="121" spans="1:4" x14ac:dyDescent="0.45">
      <c r="A121" t="s">
        <v>36</v>
      </c>
      <c r="B121">
        <v>2013</v>
      </c>
      <c r="C121" t="s">
        <v>74</v>
      </c>
      <c r="D121">
        <v>58.66</v>
      </c>
    </row>
    <row r="122" spans="1:4" x14ac:dyDescent="0.45">
      <c r="A122" t="s">
        <v>56</v>
      </c>
      <c r="B122">
        <v>2013</v>
      </c>
      <c r="C122" t="s">
        <v>74</v>
      </c>
      <c r="D122">
        <v>0.33</v>
      </c>
    </row>
    <row r="123" spans="1:4" x14ac:dyDescent="0.45">
      <c r="A123" t="s">
        <v>57</v>
      </c>
      <c r="B123">
        <v>2013</v>
      </c>
      <c r="C123" t="s">
        <v>74</v>
      </c>
      <c r="D123">
        <v>0</v>
      </c>
    </row>
    <row r="124" spans="1:4" x14ac:dyDescent="0.45">
      <c r="A124" t="s">
        <v>38</v>
      </c>
      <c r="B124">
        <v>2013</v>
      </c>
      <c r="C124" t="s">
        <v>74</v>
      </c>
      <c r="D124">
        <v>0.9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0</v>
      </c>
    </row>
    <row r="127" spans="1:4" x14ac:dyDescent="0.45">
      <c r="A127" t="s">
        <v>91</v>
      </c>
      <c r="B127">
        <v>2013</v>
      </c>
      <c r="C127" t="s">
        <v>74</v>
      </c>
      <c r="D127">
        <v>0</v>
      </c>
    </row>
    <row r="128" spans="1:4" x14ac:dyDescent="0.45">
      <c r="A128" t="s">
        <v>32</v>
      </c>
      <c r="B128">
        <v>2014</v>
      </c>
      <c r="C128" t="s">
        <v>74</v>
      </c>
      <c r="D128">
        <v>0</v>
      </c>
    </row>
    <row r="129" spans="1:4" x14ac:dyDescent="0.45">
      <c r="A129" t="s">
        <v>34</v>
      </c>
      <c r="B129">
        <v>2014</v>
      </c>
      <c r="C129" t="s">
        <v>74</v>
      </c>
      <c r="D129">
        <v>0</v>
      </c>
    </row>
    <row r="130" spans="1:4" x14ac:dyDescent="0.45">
      <c r="A130" t="s">
        <v>36</v>
      </c>
      <c r="B130">
        <v>2014</v>
      </c>
      <c r="C130" t="s">
        <v>74</v>
      </c>
      <c r="D130">
        <v>63.35</v>
      </c>
    </row>
    <row r="131" spans="1:4" x14ac:dyDescent="0.45">
      <c r="A131" t="s">
        <v>56</v>
      </c>
      <c r="B131">
        <v>2014</v>
      </c>
      <c r="C131" t="s">
        <v>74</v>
      </c>
      <c r="D131">
        <v>0.25</v>
      </c>
    </row>
    <row r="132" spans="1:4" x14ac:dyDescent="0.45">
      <c r="A132" t="s">
        <v>57</v>
      </c>
      <c r="B132">
        <v>2014</v>
      </c>
      <c r="C132" t="s">
        <v>74</v>
      </c>
      <c r="D132">
        <v>0</v>
      </c>
    </row>
    <row r="133" spans="1:4" x14ac:dyDescent="0.45">
      <c r="A133" t="s">
        <v>38</v>
      </c>
      <c r="B133">
        <v>2014</v>
      </c>
      <c r="C133" t="s">
        <v>74</v>
      </c>
      <c r="D133">
        <v>0.67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0</v>
      </c>
    </row>
    <row r="136" spans="1:4" x14ac:dyDescent="0.45">
      <c r="A136" t="s">
        <v>91</v>
      </c>
      <c r="B136">
        <v>2014</v>
      </c>
      <c r="C136" t="s">
        <v>74</v>
      </c>
      <c r="D136">
        <v>0</v>
      </c>
    </row>
    <row r="137" spans="1:4" x14ac:dyDescent="0.45">
      <c r="A137" t="s">
        <v>32</v>
      </c>
      <c r="B137">
        <v>2015</v>
      </c>
      <c r="C137" t="s">
        <v>74</v>
      </c>
      <c r="D137">
        <v>0</v>
      </c>
    </row>
    <row r="138" spans="1:4" x14ac:dyDescent="0.45">
      <c r="A138" t="s">
        <v>34</v>
      </c>
      <c r="B138">
        <v>2015</v>
      </c>
      <c r="C138" t="s">
        <v>74</v>
      </c>
      <c r="D138">
        <v>0</v>
      </c>
    </row>
    <row r="139" spans="1:4" x14ac:dyDescent="0.45">
      <c r="A139" t="s">
        <v>36</v>
      </c>
      <c r="B139">
        <v>2015</v>
      </c>
      <c r="C139" t="s">
        <v>74</v>
      </c>
      <c r="D139">
        <v>67.67</v>
      </c>
    </row>
    <row r="140" spans="1:4" x14ac:dyDescent="0.45">
      <c r="A140" t="s">
        <v>56</v>
      </c>
      <c r="B140">
        <v>2015</v>
      </c>
      <c r="C140" t="s">
        <v>74</v>
      </c>
      <c r="D140">
        <v>0.14000000000000001</v>
      </c>
    </row>
    <row r="141" spans="1:4" x14ac:dyDescent="0.45">
      <c r="A141" t="s">
        <v>57</v>
      </c>
      <c r="B141">
        <v>2015</v>
      </c>
      <c r="C141" t="s">
        <v>74</v>
      </c>
      <c r="D141">
        <v>0</v>
      </c>
    </row>
    <row r="142" spans="1:4" x14ac:dyDescent="0.45">
      <c r="A142" t="s">
        <v>38</v>
      </c>
      <c r="B142">
        <v>2015</v>
      </c>
      <c r="C142" t="s">
        <v>74</v>
      </c>
      <c r="D142">
        <v>0.95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0.06</v>
      </c>
    </row>
    <row r="145" spans="1:4" x14ac:dyDescent="0.45">
      <c r="A145" t="s">
        <v>91</v>
      </c>
      <c r="B145">
        <v>2015</v>
      </c>
      <c r="C145" t="s">
        <v>74</v>
      </c>
      <c r="D145">
        <v>0.02</v>
      </c>
    </row>
    <row r="146" spans="1:4" x14ac:dyDescent="0.45">
      <c r="A146" t="s">
        <v>32</v>
      </c>
      <c r="B146">
        <v>2016</v>
      </c>
      <c r="C146" t="s">
        <v>74</v>
      </c>
      <c r="D146">
        <v>0</v>
      </c>
    </row>
    <row r="147" spans="1:4" x14ac:dyDescent="0.45">
      <c r="A147" t="s">
        <v>34</v>
      </c>
      <c r="B147">
        <v>2016</v>
      </c>
      <c r="C147" t="s">
        <v>74</v>
      </c>
      <c r="D147">
        <v>0</v>
      </c>
    </row>
    <row r="148" spans="1:4" x14ac:dyDescent="0.45">
      <c r="A148" t="s">
        <v>36</v>
      </c>
      <c r="B148">
        <v>2016</v>
      </c>
      <c r="C148" t="s">
        <v>74</v>
      </c>
      <c r="D148">
        <v>69.69</v>
      </c>
    </row>
    <row r="149" spans="1:4" x14ac:dyDescent="0.45">
      <c r="A149" t="s">
        <v>56</v>
      </c>
      <c r="B149">
        <v>2016</v>
      </c>
      <c r="C149" t="s">
        <v>74</v>
      </c>
      <c r="D149">
        <v>0.22</v>
      </c>
    </row>
    <row r="150" spans="1:4" x14ac:dyDescent="0.45">
      <c r="A150" t="s">
        <v>57</v>
      </c>
      <c r="B150">
        <v>2016</v>
      </c>
      <c r="C150" t="s">
        <v>74</v>
      </c>
      <c r="D150">
        <v>0</v>
      </c>
    </row>
    <row r="151" spans="1:4" x14ac:dyDescent="0.45">
      <c r="A151" t="s">
        <v>38</v>
      </c>
      <c r="B151">
        <v>2016</v>
      </c>
      <c r="C151" t="s">
        <v>74</v>
      </c>
      <c r="D151">
        <v>1.01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0.09</v>
      </c>
    </row>
    <row r="154" spans="1:4" x14ac:dyDescent="0.45">
      <c r="A154" t="s">
        <v>91</v>
      </c>
      <c r="B154">
        <v>2016</v>
      </c>
      <c r="C154" t="s">
        <v>74</v>
      </c>
      <c r="D154">
        <v>0.03</v>
      </c>
    </row>
    <row r="155" spans="1:4" x14ac:dyDescent="0.45">
      <c r="A155" t="s">
        <v>32</v>
      </c>
      <c r="B155">
        <v>2017</v>
      </c>
      <c r="C155" t="s">
        <v>74</v>
      </c>
      <c r="D155">
        <v>0</v>
      </c>
    </row>
    <row r="156" spans="1:4" x14ac:dyDescent="0.45">
      <c r="A156" t="s">
        <v>34</v>
      </c>
      <c r="B156">
        <v>2017</v>
      </c>
      <c r="C156" t="s">
        <v>74</v>
      </c>
      <c r="D156">
        <v>0</v>
      </c>
    </row>
    <row r="157" spans="1:4" x14ac:dyDescent="0.45">
      <c r="A157" t="s">
        <v>36</v>
      </c>
      <c r="B157">
        <v>2017</v>
      </c>
      <c r="C157" t="s">
        <v>74</v>
      </c>
      <c r="D157">
        <v>75.06</v>
      </c>
    </row>
    <row r="158" spans="1:4" x14ac:dyDescent="0.45">
      <c r="A158" t="s">
        <v>56</v>
      </c>
      <c r="B158">
        <v>2017</v>
      </c>
      <c r="C158" t="s">
        <v>74</v>
      </c>
      <c r="D158">
        <v>0.06</v>
      </c>
    </row>
    <row r="159" spans="1:4" x14ac:dyDescent="0.45">
      <c r="A159" t="s">
        <v>57</v>
      </c>
      <c r="B159">
        <v>2017</v>
      </c>
      <c r="C159" t="s">
        <v>74</v>
      </c>
      <c r="D159">
        <v>0</v>
      </c>
    </row>
    <row r="160" spans="1:4" x14ac:dyDescent="0.45">
      <c r="A160" t="s">
        <v>38</v>
      </c>
      <c r="B160">
        <v>2017</v>
      </c>
      <c r="C160" t="s">
        <v>74</v>
      </c>
      <c r="D160">
        <v>0.37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0.56999999999999995</v>
      </c>
    </row>
    <row r="163" spans="1:4" x14ac:dyDescent="0.45">
      <c r="A163" t="s">
        <v>91</v>
      </c>
      <c r="B163">
        <v>2017</v>
      </c>
      <c r="C163" t="s">
        <v>74</v>
      </c>
      <c r="D163">
        <v>0.01</v>
      </c>
    </row>
    <row r="164" spans="1:4" x14ac:dyDescent="0.45">
      <c r="A164" t="s">
        <v>32</v>
      </c>
      <c r="B164">
        <v>2018</v>
      </c>
      <c r="C164" t="s">
        <v>74</v>
      </c>
      <c r="D164">
        <v>0</v>
      </c>
    </row>
    <row r="165" spans="1:4" x14ac:dyDescent="0.45">
      <c r="A165" t="s">
        <v>34</v>
      </c>
      <c r="B165">
        <v>2018</v>
      </c>
      <c r="C165" t="s">
        <v>74</v>
      </c>
      <c r="D165">
        <v>0</v>
      </c>
    </row>
    <row r="166" spans="1:4" x14ac:dyDescent="0.45">
      <c r="A166" t="s">
        <v>36</v>
      </c>
      <c r="B166">
        <v>2018</v>
      </c>
      <c r="C166" t="s">
        <v>74</v>
      </c>
      <c r="D166">
        <v>75.5</v>
      </c>
    </row>
    <row r="167" spans="1:4" x14ac:dyDescent="0.45">
      <c r="A167" t="s">
        <v>56</v>
      </c>
      <c r="B167">
        <v>2018</v>
      </c>
      <c r="C167" t="s">
        <v>74</v>
      </c>
      <c r="D167">
        <v>0.12</v>
      </c>
    </row>
    <row r="168" spans="1:4" x14ac:dyDescent="0.45">
      <c r="A168" t="s">
        <v>57</v>
      </c>
      <c r="B168">
        <v>2018</v>
      </c>
      <c r="C168" t="s">
        <v>74</v>
      </c>
      <c r="D168">
        <v>0</v>
      </c>
    </row>
    <row r="169" spans="1:4" x14ac:dyDescent="0.45">
      <c r="A169" t="s">
        <v>38</v>
      </c>
      <c r="B169">
        <v>2018</v>
      </c>
      <c r="C169" t="s">
        <v>74</v>
      </c>
      <c r="D169">
        <v>0.43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0.65</v>
      </c>
    </row>
    <row r="172" spans="1:4" x14ac:dyDescent="0.45">
      <c r="A172" t="s">
        <v>91</v>
      </c>
      <c r="B172">
        <v>2018</v>
      </c>
      <c r="C172" t="s">
        <v>74</v>
      </c>
      <c r="D172">
        <v>0.01</v>
      </c>
    </row>
    <row r="173" spans="1:4" x14ac:dyDescent="0.45">
      <c r="A173" t="s">
        <v>32</v>
      </c>
      <c r="B173">
        <v>2019</v>
      </c>
      <c r="C173" t="s">
        <v>74</v>
      </c>
      <c r="D173">
        <v>0</v>
      </c>
    </row>
    <row r="174" spans="1:4" x14ac:dyDescent="0.45">
      <c r="A174" t="s">
        <v>34</v>
      </c>
      <c r="B174">
        <v>2019</v>
      </c>
      <c r="C174" t="s">
        <v>74</v>
      </c>
      <c r="D174">
        <v>0</v>
      </c>
    </row>
    <row r="175" spans="1:4" x14ac:dyDescent="0.45">
      <c r="A175" t="s">
        <v>36</v>
      </c>
      <c r="B175">
        <v>2019</v>
      </c>
      <c r="C175" t="s">
        <v>74</v>
      </c>
      <c r="D175">
        <v>80.36</v>
      </c>
    </row>
    <row r="176" spans="1:4" x14ac:dyDescent="0.45">
      <c r="A176" t="s">
        <v>56</v>
      </c>
      <c r="B176">
        <v>2019</v>
      </c>
      <c r="C176" t="s">
        <v>74</v>
      </c>
      <c r="D176">
        <v>0.15</v>
      </c>
    </row>
    <row r="177" spans="1:4" x14ac:dyDescent="0.45">
      <c r="A177" t="s">
        <v>57</v>
      </c>
      <c r="B177">
        <v>2019</v>
      </c>
      <c r="C177" t="s">
        <v>74</v>
      </c>
      <c r="D177">
        <v>0</v>
      </c>
    </row>
    <row r="178" spans="1:4" x14ac:dyDescent="0.45">
      <c r="A178" t="s">
        <v>38</v>
      </c>
      <c r="B178">
        <v>2019</v>
      </c>
      <c r="C178" t="s">
        <v>74</v>
      </c>
      <c r="D178">
        <v>0.38</v>
      </c>
    </row>
    <row r="179" spans="1:4" x14ac:dyDescent="0.45">
      <c r="A179" t="s">
        <v>32</v>
      </c>
      <c r="B179">
        <v>2019</v>
      </c>
      <c r="C179" t="s">
        <v>74</v>
      </c>
      <c r="D179">
        <v>0</v>
      </c>
    </row>
    <row r="180" spans="1:4" x14ac:dyDescent="0.45">
      <c r="A180" t="s">
        <v>58</v>
      </c>
      <c r="B180">
        <v>2019</v>
      </c>
      <c r="C180" t="s">
        <v>74</v>
      </c>
      <c r="D180">
        <v>0.68</v>
      </c>
    </row>
    <row r="181" spans="1:4" x14ac:dyDescent="0.45">
      <c r="A181" t="s">
        <v>91</v>
      </c>
      <c r="B181">
        <v>2019</v>
      </c>
      <c r="C181" t="s">
        <v>74</v>
      </c>
      <c r="D181">
        <v>0.01</v>
      </c>
    </row>
    <row r="182" spans="1:4" x14ac:dyDescent="0.45">
      <c r="A182" t="s">
        <v>32</v>
      </c>
      <c r="B182">
        <v>2020</v>
      </c>
      <c r="C182" t="s">
        <v>74</v>
      </c>
      <c r="D182">
        <v>0</v>
      </c>
    </row>
    <row r="183" spans="1:4" x14ac:dyDescent="0.45">
      <c r="A183" t="s">
        <v>34</v>
      </c>
      <c r="B183">
        <v>2020</v>
      </c>
      <c r="C183" t="s">
        <v>74</v>
      </c>
      <c r="D183">
        <v>0</v>
      </c>
    </row>
    <row r="184" spans="1:4" x14ac:dyDescent="0.45">
      <c r="A184" t="s">
        <v>36</v>
      </c>
      <c r="B184">
        <v>2020</v>
      </c>
      <c r="C184" t="s">
        <v>74</v>
      </c>
      <c r="D184">
        <v>78.13</v>
      </c>
    </row>
    <row r="185" spans="1:4" x14ac:dyDescent="0.45">
      <c r="A185" t="s">
        <v>56</v>
      </c>
      <c r="B185">
        <v>2020</v>
      </c>
      <c r="C185" t="s">
        <v>74</v>
      </c>
      <c r="D185">
        <v>0.05</v>
      </c>
    </row>
    <row r="186" spans="1:4" x14ac:dyDescent="0.45">
      <c r="A186" t="s">
        <v>57</v>
      </c>
      <c r="B186">
        <v>2020</v>
      </c>
      <c r="C186" t="s">
        <v>74</v>
      </c>
      <c r="D186">
        <v>0</v>
      </c>
    </row>
    <row r="187" spans="1:4" x14ac:dyDescent="0.45">
      <c r="A187" t="s">
        <v>38</v>
      </c>
      <c r="B187">
        <v>2020</v>
      </c>
      <c r="C187" t="s">
        <v>74</v>
      </c>
      <c r="D187">
        <v>0.36</v>
      </c>
    </row>
    <row r="188" spans="1:4" x14ac:dyDescent="0.45">
      <c r="A188" t="s">
        <v>32</v>
      </c>
      <c r="B188">
        <v>2020</v>
      </c>
      <c r="C188" t="s">
        <v>74</v>
      </c>
      <c r="D188">
        <v>0</v>
      </c>
    </row>
    <row r="189" spans="1:4" x14ac:dyDescent="0.45">
      <c r="A189" t="s">
        <v>58</v>
      </c>
      <c r="B189">
        <v>2020</v>
      </c>
      <c r="C189" t="s">
        <v>74</v>
      </c>
      <c r="D189">
        <v>0.67</v>
      </c>
    </row>
    <row r="190" spans="1:4" x14ac:dyDescent="0.45">
      <c r="A190" t="s">
        <v>91</v>
      </c>
      <c r="B190">
        <v>2020</v>
      </c>
      <c r="C190" t="s">
        <v>74</v>
      </c>
      <c r="D190">
        <v>0.01</v>
      </c>
    </row>
    <row r="191" spans="1:4" x14ac:dyDescent="0.45">
      <c r="A191" t="s">
        <v>32</v>
      </c>
      <c r="B191">
        <v>2021</v>
      </c>
      <c r="C191" t="s">
        <v>74</v>
      </c>
      <c r="D191">
        <v>0</v>
      </c>
    </row>
    <row r="192" spans="1:4" x14ac:dyDescent="0.45">
      <c r="A192" t="s">
        <v>34</v>
      </c>
      <c r="B192">
        <v>2021</v>
      </c>
      <c r="C192" t="s">
        <v>74</v>
      </c>
      <c r="D192">
        <v>0</v>
      </c>
    </row>
    <row r="193" spans="1:4" x14ac:dyDescent="0.45">
      <c r="A193" t="s">
        <v>36</v>
      </c>
      <c r="B193">
        <v>2021</v>
      </c>
      <c r="C193" t="s">
        <v>74</v>
      </c>
      <c r="D193">
        <v>84.42</v>
      </c>
    </row>
    <row r="194" spans="1:4" x14ac:dyDescent="0.45">
      <c r="A194" t="s">
        <v>56</v>
      </c>
      <c r="B194">
        <v>2021</v>
      </c>
      <c r="C194" t="s">
        <v>74</v>
      </c>
      <c r="D194">
        <v>0.01</v>
      </c>
    </row>
    <row r="195" spans="1:4" x14ac:dyDescent="0.45">
      <c r="A195" t="s">
        <v>57</v>
      </c>
      <c r="B195">
        <v>2021</v>
      </c>
      <c r="C195" t="s">
        <v>74</v>
      </c>
      <c r="D195">
        <v>0</v>
      </c>
    </row>
    <row r="196" spans="1:4" x14ac:dyDescent="0.45">
      <c r="A196" t="s">
        <v>38</v>
      </c>
      <c r="B196">
        <v>2021</v>
      </c>
      <c r="C196" t="s">
        <v>74</v>
      </c>
      <c r="D196">
        <v>0.37</v>
      </c>
    </row>
    <row r="197" spans="1:4" x14ac:dyDescent="0.45">
      <c r="A197" t="s">
        <v>32</v>
      </c>
      <c r="B197">
        <v>2021</v>
      </c>
      <c r="C197" t="s">
        <v>74</v>
      </c>
      <c r="D197">
        <v>0</v>
      </c>
    </row>
    <row r="198" spans="1:4" x14ac:dyDescent="0.45">
      <c r="A198" t="s">
        <v>58</v>
      </c>
      <c r="B198">
        <v>2021</v>
      </c>
      <c r="C198" t="s">
        <v>74</v>
      </c>
      <c r="D198">
        <v>0.64</v>
      </c>
    </row>
    <row r="199" spans="1:4" x14ac:dyDescent="0.45">
      <c r="A199" t="s">
        <v>91</v>
      </c>
      <c r="B199">
        <v>2021</v>
      </c>
      <c r="C199" t="s">
        <v>74</v>
      </c>
      <c r="D199">
        <v>0.01</v>
      </c>
    </row>
    <row r="200" spans="1:4" x14ac:dyDescent="0.45">
      <c r="A200" t="s">
        <v>32</v>
      </c>
      <c r="B200">
        <v>2022</v>
      </c>
      <c r="C200" t="s">
        <v>74</v>
      </c>
      <c r="D200">
        <v>0</v>
      </c>
    </row>
    <row r="201" spans="1:4" x14ac:dyDescent="0.45">
      <c r="A201" t="s">
        <v>34</v>
      </c>
      <c r="B201">
        <v>2022</v>
      </c>
      <c r="C201" t="s">
        <v>74</v>
      </c>
      <c r="D201">
        <v>0</v>
      </c>
    </row>
    <row r="202" spans="1:4" x14ac:dyDescent="0.45">
      <c r="A202" t="s">
        <v>36</v>
      </c>
      <c r="B202">
        <v>2022</v>
      </c>
      <c r="C202" t="s">
        <v>74</v>
      </c>
      <c r="D202">
        <v>87.12</v>
      </c>
    </row>
    <row r="203" spans="1:4" x14ac:dyDescent="0.45">
      <c r="A203" t="s">
        <v>56</v>
      </c>
      <c r="B203">
        <v>2022</v>
      </c>
      <c r="C203" t="s">
        <v>74</v>
      </c>
      <c r="D203">
        <v>0.01</v>
      </c>
    </row>
    <row r="204" spans="1:4" x14ac:dyDescent="0.45">
      <c r="A204" t="s">
        <v>57</v>
      </c>
      <c r="B204">
        <v>2022</v>
      </c>
      <c r="C204" t="s">
        <v>74</v>
      </c>
      <c r="D204">
        <v>0</v>
      </c>
    </row>
    <row r="205" spans="1:4" x14ac:dyDescent="0.45">
      <c r="A205" t="s">
        <v>38</v>
      </c>
      <c r="B205">
        <v>2022</v>
      </c>
      <c r="C205" t="s">
        <v>74</v>
      </c>
      <c r="D205">
        <v>0.38</v>
      </c>
    </row>
    <row r="206" spans="1:4" x14ac:dyDescent="0.45">
      <c r="A206" t="s">
        <v>32</v>
      </c>
      <c r="B206">
        <v>2022</v>
      </c>
      <c r="C206" t="s">
        <v>74</v>
      </c>
      <c r="D206">
        <v>0</v>
      </c>
    </row>
    <row r="207" spans="1:4" x14ac:dyDescent="0.45">
      <c r="A207" t="s">
        <v>58</v>
      </c>
      <c r="B207">
        <v>2022</v>
      </c>
      <c r="C207" t="s">
        <v>74</v>
      </c>
      <c r="D207">
        <v>0.66</v>
      </c>
    </row>
    <row r="208" spans="1:4" x14ac:dyDescent="0.45">
      <c r="A208" t="s">
        <v>91</v>
      </c>
      <c r="B208">
        <v>2022</v>
      </c>
      <c r="C208" t="s">
        <v>74</v>
      </c>
      <c r="D208">
        <v>0.01</v>
      </c>
    </row>
    <row r="209" spans="1:4" x14ac:dyDescent="0.45">
      <c r="A209" t="s">
        <v>32</v>
      </c>
      <c r="B209">
        <v>2000</v>
      </c>
      <c r="C209" t="s">
        <v>75</v>
      </c>
    </row>
    <row r="210" spans="1:4" x14ac:dyDescent="0.45">
      <c r="A210" t="s">
        <v>34</v>
      </c>
      <c r="B210">
        <v>2000</v>
      </c>
      <c r="C210" t="s">
        <v>75</v>
      </c>
    </row>
    <row r="211" spans="1:4" x14ac:dyDescent="0.45">
      <c r="A211" t="s">
        <v>36</v>
      </c>
      <c r="B211">
        <v>2000</v>
      </c>
      <c r="C211" t="s">
        <v>75</v>
      </c>
      <c r="D211">
        <v>4.05</v>
      </c>
    </row>
    <row r="212" spans="1:4" x14ac:dyDescent="0.45">
      <c r="A212" t="s">
        <v>56</v>
      </c>
      <c r="B212">
        <v>2000</v>
      </c>
      <c r="C212" t="s">
        <v>75</v>
      </c>
      <c r="D212">
        <v>0.28000000000000003</v>
      </c>
    </row>
    <row r="213" spans="1:4" x14ac:dyDescent="0.45">
      <c r="A213" t="s">
        <v>57</v>
      </c>
      <c r="B213">
        <v>2000</v>
      </c>
      <c r="C213" t="s">
        <v>75</v>
      </c>
    </row>
    <row r="214" spans="1:4" x14ac:dyDescent="0.45">
      <c r="A214" t="s">
        <v>38</v>
      </c>
      <c r="B214">
        <v>2000</v>
      </c>
      <c r="C214" t="s">
        <v>75</v>
      </c>
      <c r="D214">
        <v>0.39</v>
      </c>
    </row>
    <row r="215" spans="1:4" x14ac:dyDescent="0.45">
      <c r="A215" t="s">
        <v>32</v>
      </c>
      <c r="B215">
        <v>2000</v>
      </c>
      <c r="C215" t="s">
        <v>75</v>
      </c>
    </row>
    <row r="216" spans="1:4" x14ac:dyDescent="0.45">
      <c r="A216" t="s">
        <v>58</v>
      </c>
      <c r="B216">
        <v>2000</v>
      </c>
      <c r="C216" t="s">
        <v>75</v>
      </c>
      <c r="D216">
        <v>0</v>
      </c>
    </row>
    <row r="217" spans="1:4" x14ac:dyDescent="0.45">
      <c r="A217" t="s">
        <v>91</v>
      </c>
      <c r="B217">
        <v>2000</v>
      </c>
      <c r="C217" t="s">
        <v>75</v>
      </c>
      <c r="D217">
        <v>0</v>
      </c>
    </row>
    <row r="218" spans="1:4" x14ac:dyDescent="0.45">
      <c r="A218" t="s">
        <v>32</v>
      </c>
      <c r="B218">
        <v>2001</v>
      </c>
      <c r="C218" t="s">
        <v>75</v>
      </c>
    </row>
    <row r="219" spans="1:4" x14ac:dyDescent="0.45">
      <c r="A219" t="s">
        <v>34</v>
      </c>
      <c r="B219">
        <v>2001</v>
      </c>
      <c r="C219" t="s">
        <v>75</v>
      </c>
    </row>
    <row r="220" spans="1:4" x14ac:dyDescent="0.45">
      <c r="A220" t="s">
        <v>36</v>
      </c>
      <c r="B220">
        <v>2001</v>
      </c>
      <c r="C220" t="s">
        <v>75</v>
      </c>
      <c r="D220">
        <v>4.3499999999999996</v>
      </c>
    </row>
    <row r="221" spans="1:4" x14ac:dyDescent="0.45">
      <c r="A221" t="s">
        <v>56</v>
      </c>
      <c r="B221">
        <v>2001</v>
      </c>
      <c r="C221" t="s">
        <v>75</v>
      </c>
      <c r="D221">
        <v>0.28000000000000003</v>
      </c>
    </row>
    <row r="222" spans="1:4" x14ac:dyDescent="0.45">
      <c r="A222" t="s">
        <v>57</v>
      </c>
      <c r="B222">
        <v>2001</v>
      </c>
      <c r="C222" t="s">
        <v>75</v>
      </c>
    </row>
    <row r="223" spans="1:4" x14ac:dyDescent="0.45">
      <c r="A223" t="s">
        <v>38</v>
      </c>
      <c r="B223">
        <v>2001</v>
      </c>
      <c r="C223" t="s">
        <v>75</v>
      </c>
      <c r="D223">
        <v>0.39</v>
      </c>
    </row>
    <row r="224" spans="1:4" x14ac:dyDescent="0.45">
      <c r="A224" t="s">
        <v>32</v>
      </c>
      <c r="B224">
        <v>2001</v>
      </c>
      <c r="C224" t="s">
        <v>75</v>
      </c>
    </row>
    <row r="225" spans="1:4" x14ac:dyDescent="0.45">
      <c r="A225" t="s">
        <v>58</v>
      </c>
      <c r="B225">
        <v>2001</v>
      </c>
      <c r="C225" t="s">
        <v>75</v>
      </c>
      <c r="D225">
        <v>0</v>
      </c>
    </row>
    <row r="226" spans="1:4" x14ac:dyDescent="0.45">
      <c r="A226" t="s">
        <v>91</v>
      </c>
      <c r="B226">
        <v>2001</v>
      </c>
      <c r="C226" t="s">
        <v>75</v>
      </c>
      <c r="D226">
        <v>0</v>
      </c>
    </row>
    <row r="227" spans="1:4" x14ac:dyDescent="0.45">
      <c r="A227" t="s">
        <v>32</v>
      </c>
      <c r="B227">
        <v>2002</v>
      </c>
      <c r="C227" t="s">
        <v>75</v>
      </c>
    </row>
    <row r="228" spans="1:4" x14ac:dyDescent="0.45">
      <c r="A228" t="s">
        <v>34</v>
      </c>
      <c r="B228">
        <v>2002</v>
      </c>
      <c r="C228" t="s">
        <v>75</v>
      </c>
    </row>
    <row r="229" spans="1:4" x14ac:dyDescent="0.45">
      <c r="A229" t="s">
        <v>36</v>
      </c>
      <c r="B229">
        <v>2002</v>
      </c>
      <c r="C229" t="s">
        <v>75</v>
      </c>
      <c r="D229">
        <v>4.7699999999999996</v>
      </c>
    </row>
    <row r="230" spans="1:4" x14ac:dyDescent="0.45">
      <c r="A230" t="s">
        <v>56</v>
      </c>
      <c r="B230">
        <v>2002</v>
      </c>
      <c r="C230" t="s">
        <v>75</v>
      </c>
      <c r="D230">
        <v>0.28000000000000003</v>
      </c>
    </row>
    <row r="231" spans="1:4" x14ac:dyDescent="0.45">
      <c r="A231" t="s">
        <v>57</v>
      </c>
      <c r="B231">
        <v>2002</v>
      </c>
      <c r="C231" t="s">
        <v>75</v>
      </c>
    </row>
    <row r="232" spans="1:4" x14ac:dyDescent="0.45">
      <c r="A232" t="s">
        <v>38</v>
      </c>
      <c r="B232">
        <v>2002</v>
      </c>
      <c r="C232" t="s">
        <v>75</v>
      </c>
      <c r="D232">
        <v>0.44</v>
      </c>
    </row>
    <row r="233" spans="1:4" x14ac:dyDescent="0.45">
      <c r="A233" t="s">
        <v>32</v>
      </c>
      <c r="B233">
        <v>2002</v>
      </c>
      <c r="C233" t="s">
        <v>75</v>
      </c>
    </row>
    <row r="234" spans="1:4" x14ac:dyDescent="0.45">
      <c r="A234" t="s">
        <v>58</v>
      </c>
      <c r="B234">
        <v>2002</v>
      </c>
      <c r="C234" t="s">
        <v>75</v>
      </c>
      <c r="D234">
        <v>0</v>
      </c>
    </row>
    <row r="235" spans="1:4" x14ac:dyDescent="0.45">
      <c r="A235" t="s">
        <v>91</v>
      </c>
      <c r="B235">
        <v>2002</v>
      </c>
      <c r="C235" t="s">
        <v>75</v>
      </c>
      <c r="D235">
        <v>0</v>
      </c>
    </row>
    <row r="236" spans="1:4" x14ac:dyDescent="0.45">
      <c r="A236" t="s">
        <v>32</v>
      </c>
      <c r="B236">
        <v>2003</v>
      </c>
      <c r="C236" t="s">
        <v>75</v>
      </c>
    </row>
    <row r="237" spans="1:4" x14ac:dyDescent="0.45">
      <c r="A237" t="s">
        <v>34</v>
      </c>
      <c r="B237">
        <v>2003</v>
      </c>
      <c r="C237" t="s">
        <v>75</v>
      </c>
    </row>
    <row r="238" spans="1:4" x14ac:dyDescent="0.45">
      <c r="A238" t="s">
        <v>36</v>
      </c>
      <c r="B238">
        <v>2003</v>
      </c>
      <c r="C238" t="s">
        <v>75</v>
      </c>
      <c r="D238">
        <v>4.8899999999999997</v>
      </c>
    </row>
    <row r="239" spans="1:4" x14ac:dyDescent="0.45">
      <c r="A239" t="s">
        <v>56</v>
      </c>
      <c r="B239">
        <v>2003</v>
      </c>
      <c r="C239" t="s">
        <v>75</v>
      </c>
      <c r="D239">
        <v>0.28000000000000003</v>
      </c>
    </row>
    <row r="240" spans="1:4" x14ac:dyDescent="0.45">
      <c r="A240" t="s">
        <v>57</v>
      </c>
      <c r="B240">
        <v>2003</v>
      </c>
      <c r="C240" t="s">
        <v>75</v>
      </c>
    </row>
    <row r="241" spans="1:4" x14ac:dyDescent="0.45">
      <c r="A241" t="s">
        <v>38</v>
      </c>
      <c r="B241">
        <v>2003</v>
      </c>
      <c r="C241" t="s">
        <v>75</v>
      </c>
      <c r="D241">
        <v>0.45</v>
      </c>
    </row>
    <row r="242" spans="1:4" x14ac:dyDescent="0.45">
      <c r="A242" t="s">
        <v>32</v>
      </c>
      <c r="B242">
        <v>2003</v>
      </c>
      <c r="C242" t="s">
        <v>75</v>
      </c>
    </row>
    <row r="243" spans="1:4" x14ac:dyDescent="0.45">
      <c r="A243" t="s">
        <v>58</v>
      </c>
      <c r="B243">
        <v>2003</v>
      </c>
      <c r="C243" t="s">
        <v>75</v>
      </c>
      <c r="D243">
        <v>0</v>
      </c>
    </row>
    <row r="244" spans="1:4" x14ac:dyDescent="0.45">
      <c r="A244" t="s">
        <v>91</v>
      </c>
      <c r="B244">
        <v>2003</v>
      </c>
      <c r="C244" t="s">
        <v>75</v>
      </c>
      <c r="D244">
        <v>0</v>
      </c>
    </row>
    <row r="245" spans="1:4" x14ac:dyDescent="0.45">
      <c r="A245" t="s">
        <v>32</v>
      </c>
      <c r="B245">
        <v>2004</v>
      </c>
      <c r="C245" t="s">
        <v>75</v>
      </c>
    </row>
    <row r="246" spans="1:4" x14ac:dyDescent="0.45">
      <c r="A246" t="s">
        <v>34</v>
      </c>
      <c r="B246">
        <v>2004</v>
      </c>
      <c r="C246" t="s">
        <v>75</v>
      </c>
    </row>
    <row r="247" spans="1:4" x14ac:dyDescent="0.45">
      <c r="A247" t="s">
        <v>36</v>
      </c>
      <c r="B247">
        <v>2004</v>
      </c>
      <c r="C247" t="s">
        <v>75</v>
      </c>
      <c r="D247">
        <v>5.18</v>
      </c>
    </row>
    <row r="248" spans="1:4" x14ac:dyDescent="0.45">
      <c r="A248" t="s">
        <v>56</v>
      </c>
      <c r="B248">
        <v>2004</v>
      </c>
      <c r="C248" t="s">
        <v>75</v>
      </c>
      <c r="D248">
        <v>0.28000000000000003</v>
      </c>
    </row>
    <row r="249" spans="1:4" x14ac:dyDescent="0.45">
      <c r="A249" t="s">
        <v>57</v>
      </c>
      <c r="B249">
        <v>2004</v>
      </c>
      <c r="C249" t="s">
        <v>75</v>
      </c>
    </row>
    <row r="250" spans="1:4" x14ac:dyDescent="0.45">
      <c r="A250" t="s">
        <v>38</v>
      </c>
      <c r="B250">
        <v>2004</v>
      </c>
      <c r="C250" t="s">
        <v>75</v>
      </c>
      <c r="D250">
        <v>0.45</v>
      </c>
    </row>
    <row r="251" spans="1:4" x14ac:dyDescent="0.45">
      <c r="A251" t="s">
        <v>32</v>
      </c>
      <c r="B251">
        <v>2004</v>
      </c>
      <c r="C251" t="s">
        <v>75</v>
      </c>
    </row>
    <row r="252" spans="1:4" x14ac:dyDescent="0.45">
      <c r="A252" t="s">
        <v>58</v>
      </c>
      <c r="B252">
        <v>2004</v>
      </c>
      <c r="C252" t="s">
        <v>75</v>
      </c>
      <c r="D252">
        <v>0</v>
      </c>
    </row>
    <row r="253" spans="1:4" x14ac:dyDescent="0.45">
      <c r="A253" t="s">
        <v>91</v>
      </c>
      <c r="B253">
        <v>2004</v>
      </c>
      <c r="C253" t="s">
        <v>75</v>
      </c>
      <c r="D253">
        <v>0</v>
      </c>
    </row>
    <row r="254" spans="1:4" x14ac:dyDescent="0.45">
      <c r="A254" t="s">
        <v>32</v>
      </c>
      <c r="B254">
        <v>2005</v>
      </c>
      <c r="C254" t="s">
        <v>75</v>
      </c>
    </row>
    <row r="255" spans="1:4" x14ac:dyDescent="0.45">
      <c r="A255" t="s">
        <v>34</v>
      </c>
      <c r="B255">
        <v>2005</v>
      </c>
      <c r="C255" t="s">
        <v>75</v>
      </c>
    </row>
    <row r="256" spans="1:4" x14ac:dyDescent="0.45">
      <c r="A256" t="s">
        <v>36</v>
      </c>
      <c r="B256">
        <v>2005</v>
      </c>
      <c r="C256" t="s">
        <v>75</v>
      </c>
      <c r="D256">
        <v>5.53</v>
      </c>
    </row>
    <row r="257" spans="1:4" x14ac:dyDescent="0.45">
      <c r="A257" t="s">
        <v>56</v>
      </c>
      <c r="B257">
        <v>2005</v>
      </c>
      <c r="C257" t="s">
        <v>75</v>
      </c>
      <c r="D257">
        <v>0.28000000000000003</v>
      </c>
    </row>
    <row r="258" spans="1:4" x14ac:dyDescent="0.45">
      <c r="A258" t="s">
        <v>57</v>
      </c>
      <c r="B258">
        <v>2005</v>
      </c>
      <c r="C258" t="s">
        <v>75</v>
      </c>
    </row>
    <row r="259" spans="1:4" x14ac:dyDescent="0.45">
      <c r="A259" t="s">
        <v>38</v>
      </c>
      <c r="B259">
        <v>2005</v>
      </c>
      <c r="C259" t="s">
        <v>75</v>
      </c>
      <c r="D259">
        <v>0.53</v>
      </c>
    </row>
    <row r="260" spans="1:4" x14ac:dyDescent="0.45">
      <c r="A260" t="s">
        <v>32</v>
      </c>
      <c r="B260">
        <v>2005</v>
      </c>
      <c r="C260" t="s">
        <v>75</v>
      </c>
    </row>
    <row r="261" spans="1:4" x14ac:dyDescent="0.45">
      <c r="A261" t="s">
        <v>58</v>
      </c>
      <c r="B261">
        <v>2005</v>
      </c>
      <c r="C261" t="s">
        <v>75</v>
      </c>
      <c r="D261">
        <v>0</v>
      </c>
    </row>
    <row r="262" spans="1:4" x14ac:dyDescent="0.45">
      <c r="A262" t="s">
        <v>91</v>
      </c>
      <c r="B262">
        <v>2005</v>
      </c>
      <c r="C262" t="s">
        <v>75</v>
      </c>
      <c r="D262">
        <v>0</v>
      </c>
    </row>
    <row r="263" spans="1:4" x14ac:dyDescent="0.45">
      <c r="A263" t="s">
        <v>32</v>
      </c>
      <c r="B263">
        <v>2006</v>
      </c>
      <c r="C263" t="s">
        <v>75</v>
      </c>
    </row>
    <row r="264" spans="1:4" x14ac:dyDescent="0.45">
      <c r="A264" t="s">
        <v>34</v>
      </c>
      <c r="B264">
        <v>2006</v>
      </c>
      <c r="C264" t="s">
        <v>75</v>
      </c>
    </row>
    <row r="265" spans="1:4" x14ac:dyDescent="0.45">
      <c r="A265" t="s">
        <v>36</v>
      </c>
      <c r="B265">
        <v>2006</v>
      </c>
      <c r="C265" t="s">
        <v>75</v>
      </c>
      <c r="D265">
        <v>6.41</v>
      </c>
    </row>
    <row r="266" spans="1:4" x14ac:dyDescent="0.45">
      <c r="A266" t="s">
        <v>56</v>
      </c>
      <c r="B266">
        <v>2006</v>
      </c>
      <c r="C266" t="s">
        <v>75</v>
      </c>
      <c r="D266">
        <v>0.25</v>
      </c>
    </row>
    <row r="267" spans="1:4" x14ac:dyDescent="0.45">
      <c r="A267" t="s">
        <v>57</v>
      </c>
      <c r="B267">
        <v>2006</v>
      </c>
      <c r="C267" t="s">
        <v>75</v>
      </c>
    </row>
    <row r="268" spans="1:4" x14ac:dyDescent="0.45">
      <c r="A268" t="s">
        <v>38</v>
      </c>
      <c r="B268">
        <v>2006</v>
      </c>
      <c r="C268" t="s">
        <v>75</v>
      </c>
      <c r="D268">
        <v>0.53</v>
      </c>
    </row>
    <row r="269" spans="1:4" x14ac:dyDescent="0.45">
      <c r="A269" t="s">
        <v>32</v>
      </c>
      <c r="B269">
        <v>2006</v>
      </c>
      <c r="C269" t="s">
        <v>75</v>
      </c>
    </row>
    <row r="270" spans="1:4" x14ac:dyDescent="0.45">
      <c r="A270" t="s">
        <v>58</v>
      </c>
      <c r="B270">
        <v>2006</v>
      </c>
      <c r="C270" t="s">
        <v>75</v>
      </c>
      <c r="D270">
        <v>0</v>
      </c>
    </row>
    <row r="271" spans="1:4" x14ac:dyDescent="0.45">
      <c r="A271" t="s">
        <v>91</v>
      </c>
      <c r="B271">
        <v>2006</v>
      </c>
      <c r="C271" t="s">
        <v>75</v>
      </c>
      <c r="D271">
        <v>0</v>
      </c>
    </row>
    <row r="272" spans="1:4" x14ac:dyDescent="0.45">
      <c r="A272" t="s">
        <v>32</v>
      </c>
      <c r="B272">
        <v>2007</v>
      </c>
      <c r="C272" t="s">
        <v>75</v>
      </c>
    </row>
    <row r="273" spans="1:4" x14ac:dyDescent="0.45">
      <c r="A273" t="s">
        <v>34</v>
      </c>
      <c r="B273">
        <v>2007</v>
      </c>
      <c r="C273" t="s">
        <v>75</v>
      </c>
    </row>
    <row r="274" spans="1:4" x14ac:dyDescent="0.45">
      <c r="A274" t="s">
        <v>36</v>
      </c>
      <c r="B274">
        <v>2007</v>
      </c>
      <c r="C274" t="s">
        <v>75</v>
      </c>
      <c r="D274">
        <v>6.9</v>
      </c>
    </row>
    <row r="275" spans="1:4" x14ac:dyDescent="0.45">
      <c r="A275" t="s">
        <v>56</v>
      </c>
      <c r="B275">
        <v>2007</v>
      </c>
      <c r="C275" t="s">
        <v>75</v>
      </c>
      <c r="D275">
        <v>0.25</v>
      </c>
    </row>
    <row r="276" spans="1:4" x14ac:dyDescent="0.45">
      <c r="A276" t="s">
        <v>57</v>
      </c>
      <c r="B276">
        <v>2007</v>
      </c>
      <c r="C276" t="s">
        <v>75</v>
      </c>
    </row>
    <row r="277" spans="1:4" x14ac:dyDescent="0.45">
      <c r="A277" t="s">
        <v>38</v>
      </c>
      <c r="B277">
        <v>2007</v>
      </c>
      <c r="C277" t="s">
        <v>75</v>
      </c>
      <c r="D277">
        <v>0.66</v>
      </c>
    </row>
    <row r="278" spans="1:4" x14ac:dyDescent="0.45">
      <c r="A278" t="s">
        <v>32</v>
      </c>
      <c r="B278">
        <v>2007</v>
      </c>
      <c r="C278" t="s">
        <v>75</v>
      </c>
    </row>
    <row r="279" spans="1:4" x14ac:dyDescent="0.45">
      <c r="A279" t="s">
        <v>58</v>
      </c>
      <c r="B279">
        <v>2007</v>
      </c>
      <c r="C279" t="s">
        <v>75</v>
      </c>
      <c r="D279">
        <v>0</v>
      </c>
    </row>
    <row r="280" spans="1:4" x14ac:dyDescent="0.45">
      <c r="A280" t="s">
        <v>91</v>
      </c>
      <c r="B280">
        <v>2007</v>
      </c>
      <c r="C280" t="s">
        <v>75</v>
      </c>
      <c r="D280">
        <v>0</v>
      </c>
    </row>
    <row r="281" spans="1:4" x14ac:dyDescent="0.45">
      <c r="A281" t="s">
        <v>32</v>
      </c>
      <c r="B281">
        <v>2008</v>
      </c>
      <c r="C281" t="s">
        <v>75</v>
      </c>
    </row>
    <row r="282" spans="1:4" x14ac:dyDescent="0.45">
      <c r="A282" t="s">
        <v>34</v>
      </c>
      <c r="B282">
        <v>2008</v>
      </c>
      <c r="C282" t="s">
        <v>75</v>
      </c>
    </row>
    <row r="283" spans="1:4" x14ac:dyDescent="0.45">
      <c r="A283" t="s">
        <v>36</v>
      </c>
      <c r="B283">
        <v>2008</v>
      </c>
      <c r="C283" t="s">
        <v>75</v>
      </c>
      <c r="D283">
        <v>6.9</v>
      </c>
    </row>
    <row r="284" spans="1:4" x14ac:dyDescent="0.45">
      <c r="A284" t="s">
        <v>56</v>
      </c>
      <c r="B284">
        <v>2008</v>
      </c>
      <c r="C284" t="s">
        <v>75</v>
      </c>
      <c r="D284">
        <v>0.23</v>
      </c>
    </row>
    <row r="285" spans="1:4" x14ac:dyDescent="0.45">
      <c r="A285" t="s">
        <v>57</v>
      </c>
      <c r="B285">
        <v>2008</v>
      </c>
      <c r="C285" t="s">
        <v>75</v>
      </c>
    </row>
    <row r="286" spans="1:4" x14ac:dyDescent="0.45">
      <c r="A286" t="s">
        <v>38</v>
      </c>
      <c r="B286">
        <v>2008</v>
      </c>
      <c r="C286" t="s">
        <v>75</v>
      </c>
      <c r="D286">
        <v>0.68</v>
      </c>
    </row>
    <row r="287" spans="1:4" x14ac:dyDescent="0.45">
      <c r="A287" t="s">
        <v>32</v>
      </c>
      <c r="B287">
        <v>2008</v>
      </c>
      <c r="C287" t="s">
        <v>75</v>
      </c>
    </row>
    <row r="288" spans="1:4" x14ac:dyDescent="0.45">
      <c r="A288" t="s">
        <v>58</v>
      </c>
      <c r="B288">
        <v>2008</v>
      </c>
      <c r="C288" t="s">
        <v>75</v>
      </c>
      <c r="D288">
        <v>0</v>
      </c>
    </row>
    <row r="289" spans="1:4" x14ac:dyDescent="0.45">
      <c r="A289" t="s">
        <v>91</v>
      </c>
      <c r="B289">
        <v>2008</v>
      </c>
      <c r="C289" t="s">
        <v>75</v>
      </c>
      <c r="D289">
        <v>0</v>
      </c>
    </row>
    <row r="290" spans="1:4" x14ac:dyDescent="0.45">
      <c r="A290" t="s">
        <v>32</v>
      </c>
      <c r="B290">
        <v>2009</v>
      </c>
      <c r="C290" t="s">
        <v>75</v>
      </c>
    </row>
    <row r="291" spans="1:4" x14ac:dyDescent="0.45">
      <c r="A291" t="s">
        <v>34</v>
      </c>
      <c r="B291">
        <v>2009</v>
      </c>
      <c r="C291" t="s">
        <v>75</v>
      </c>
    </row>
    <row r="292" spans="1:4" x14ac:dyDescent="0.45">
      <c r="A292" t="s">
        <v>36</v>
      </c>
      <c r="B292">
        <v>2009</v>
      </c>
      <c r="C292" t="s">
        <v>75</v>
      </c>
      <c r="D292">
        <v>8.1199999999999992</v>
      </c>
    </row>
    <row r="293" spans="1:4" x14ac:dyDescent="0.45">
      <c r="A293" t="s">
        <v>56</v>
      </c>
      <c r="B293">
        <v>2009</v>
      </c>
      <c r="C293" t="s">
        <v>75</v>
      </c>
      <c r="D293">
        <v>0.23</v>
      </c>
    </row>
    <row r="294" spans="1:4" x14ac:dyDescent="0.45">
      <c r="A294" t="s">
        <v>57</v>
      </c>
      <c r="B294">
        <v>2009</v>
      </c>
      <c r="C294" t="s">
        <v>75</v>
      </c>
    </row>
    <row r="295" spans="1:4" x14ac:dyDescent="0.45">
      <c r="A295" t="s">
        <v>38</v>
      </c>
      <c r="B295">
        <v>2009</v>
      </c>
      <c r="C295" t="s">
        <v>75</v>
      </c>
      <c r="D295">
        <v>0.71</v>
      </c>
    </row>
    <row r="296" spans="1:4" x14ac:dyDescent="0.45">
      <c r="A296" t="s">
        <v>32</v>
      </c>
      <c r="B296">
        <v>2009</v>
      </c>
      <c r="C296" t="s">
        <v>75</v>
      </c>
    </row>
    <row r="297" spans="1:4" x14ac:dyDescent="0.45">
      <c r="A297" t="s">
        <v>58</v>
      </c>
      <c r="B297">
        <v>2009</v>
      </c>
      <c r="C297" t="s">
        <v>75</v>
      </c>
      <c r="D297">
        <v>0</v>
      </c>
    </row>
    <row r="298" spans="1:4" x14ac:dyDescent="0.45">
      <c r="A298" t="s">
        <v>91</v>
      </c>
      <c r="B298">
        <v>2009</v>
      </c>
      <c r="C298" t="s">
        <v>75</v>
      </c>
      <c r="D298">
        <v>0</v>
      </c>
    </row>
    <row r="299" spans="1:4" x14ac:dyDescent="0.45">
      <c r="A299" t="s">
        <v>32</v>
      </c>
      <c r="B299">
        <v>2010</v>
      </c>
      <c r="C299" t="s">
        <v>75</v>
      </c>
    </row>
    <row r="300" spans="1:4" x14ac:dyDescent="0.45">
      <c r="A300" t="s">
        <v>34</v>
      </c>
      <c r="B300">
        <v>2010</v>
      </c>
      <c r="C300" t="s">
        <v>75</v>
      </c>
    </row>
    <row r="301" spans="1:4" x14ac:dyDescent="0.45">
      <c r="A301" t="s">
        <v>36</v>
      </c>
      <c r="B301">
        <v>2010</v>
      </c>
      <c r="C301" t="s">
        <v>75</v>
      </c>
      <c r="D301">
        <v>9.83</v>
      </c>
    </row>
    <row r="302" spans="1:4" x14ac:dyDescent="0.45">
      <c r="A302" t="s">
        <v>56</v>
      </c>
      <c r="B302">
        <v>2010</v>
      </c>
      <c r="C302" t="s">
        <v>75</v>
      </c>
      <c r="D302">
        <v>0.23</v>
      </c>
    </row>
    <row r="303" spans="1:4" x14ac:dyDescent="0.45">
      <c r="A303" t="s">
        <v>57</v>
      </c>
      <c r="B303">
        <v>2010</v>
      </c>
      <c r="C303" t="s">
        <v>75</v>
      </c>
    </row>
    <row r="304" spans="1:4" x14ac:dyDescent="0.45">
      <c r="A304" t="s">
        <v>38</v>
      </c>
      <c r="B304">
        <v>2010</v>
      </c>
      <c r="C304" t="s">
        <v>75</v>
      </c>
      <c r="D304">
        <v>0.77</v>
      </c>
    </row>
    <row r="305" spans="1:4" x14ac:dyDescent="0.45">
      <c r="A305" t="s">
        <v>32</v>
      </c>
      <c r="B305">
        <v>2010</v>
      </c>
      <c r="C305" t="s">
        <v>75</v>
      </c>
    </row>
    <row r="306" spans="1:4" x14ac:dyDescent="0.45">
      <c r="A306" t="s">
        <v>58</v>
      </c>
      <c r="B306">
        <v>2010</v>
      </c>
      <c r="C306" t="s">
        <v>75</v>
      </c>
      <c r="D306">
        <v>0.03</v>
      </c>
    </row>
    <row r="307" spans="1:4" x14ac:dyDescent="0.45">
      <c r="A307" t="s">
        <v>91</v>
      </c>
      <c r="B307">
        <v>2010</v>
      </c>
      <c r="C307" t="s">
        <v>75</v>
      </c>
      <c r="D307">
        <v>0</v>
      </c>
    </row>
    <row r="308" spans="1:4" x14ac:dyDescent="0.45">
      <c r="A308" t="s">
        <v>32</v>
      </c>
      <c r="B308">
        <v>2011</v>
      </c>
      <c r="C308" t="s">
        <v>75</v>
      </c>
    </row>
    <row r="309" spans="1:4" x14ac:dyDescent="0.45">
      <c r="A309" t="s">
        <v>34</v>
      </c>
      <c r="B309">
        <v>2011</v>
      </c>
      <c r="C309" t="s">
        <v>75</v>
      </c>
    </row>
    <row r="310" spans="1:4" x14ac:dyDescent="0.45">
      <c r="A310" t="s">
        <v>36</v>
      </c>
      <c r="B310">
        <v>2011</v>
      </c>
      <c r="C310" t="s">
        <v>75</v>
      </c>
      <c r="D310">
        <v>10.11</v>
      </c>
    </row>
    <row r="311" spans="1:4" x14ac:dyDescent="0.45">
      <c r="A311" t="s">
        <v>56</v>
      </c>
      <c r="B311">
        <v>2011</v>
      </c>
      <c r="C311" t="s">
        <v>75</v>
      </c>
      <c r="D311">
        <v>0.23</v>
      </c>
    </row>
    <row r="312" spans="1:4" x14ac:dyDescent="0.45">
      <c r="A312" t="s">
        <v>57</v>
      </c>
      <c r="B312">
        <v>2011</v>
      </c>
      <c r="C312" t="s">
        <v>75</v>
      </c>
    </row>
    <row r="313" spans="1:4" x14ac:dyDescent="0.45">
      <c r="A313" t="s">
        <v>38</v>
      </c>
      <c r="B313">
        <v>2011</v>
      </c>
      <c r="C313" t="s">
        <v>75</v>
      </c>
      <c r="D313">
        <v>0.84</v>
      </c>
    </row>
    <row r="314" spans="1:4" x14ac:dyDescent="0.45">
      <c r="A314" t="s">
        <v>32</v>
      </c>
      <c r="B314">
        <v>2011</v>
      </c>
      <c r="C314" t="s">
        <v>75</v>
      </c>
    </row>
    <row r="315" spans="1:4" x14ac:dyDescent="0.45">
      <c r="A315" t="s">
        <v>58</v>
      </c>
      <c r="B315">
        <v>2011</v>
      </c>
      <c r="C315" t="s">
        <v>75</v>
      </c>
      <c r="D315">
        <v>0.03</v>
      </c>
    </row>
    <row r="316" spans="1:4" x14ac:dyDescent="0.45">
      <c r="A316" t="s">
        <v>91</v>
      </c>
      <c r="B316">
        <v>2011</v>
      </c>
      <c r="C316" t="s">
        <v>75</v>
      </c>
      <c r="D316">
        <v>0</v>
      </c>
    </row>
    <row r="317" spans="1:4" x14ac:dyDescent="0.45">
      <c r="A317" t="s">
        <v>32</v>
      </c>
      <c r="B317">
        <v>2012</v>
      </c>
      <c r="C317" t="s">
        <v>75</v>
      </c>
    </row>
    <row r="318" spans="1:4" x14ac:dyDescent="0.45">
      <c r="A318" t="s">
        <v>34</v>
      </c>
      <c r="B318">
        <v>2012</v>
      </c>
      <c r="C318" t="s">
        <v>75</v>
      </c>
    </row>
    <row r="319" spans="1:4" x14ac:dyDescent="0.45">
      <c r="A319" t="s">
        <v>36</v>
      </c>
      <c r="B319">
        <v>2012</v>
      </c>
      <c r="C319" t="s">
        <v>75</v>
      </c>
      <c r="D319">
        <v>11.31</v>
      </c>
    </row>
    <row r="320" spans="1:4" x14ac:dyDescent="0.45">
      <c r="A320" t="s">
        <v>56</v>
      </c>
      <c r="B320">
        <v>2012</v>
      </c>
      <c r="C320" t="s">
        <v>75</v>
      </c>
      <c r="D320">
        <v>0.23</v>
      </c>
    </row>
    <row r="321" spans="1:4" x14ac:dyDescent="0.45">
      <c r="A321" t="s">
        <v>57</v>
      </c>
      <c r="B321">
        <v>2012</v>
      </c>
      <c r="C321" t="s">
        <v>75</v>
      </c>
    </row>
    <row r="322" spans="1:4" x14ac:dyDescent="0.45">
      <c r="A322" t="s">
        <v>38</v>
      </c>
      <c r="B322">
        <v>2012</v>
      </c>
      <c r="C322" t="s">
        <v>75</v>
      </c>
      <c r="D322">
        <v>0.86</v>
      </c>
    </row>
    <row r="323" spans="1:4" x14ac:dyDescent="0.45">
      <c r="A323" t="s">
        <v>32</v>
      </c>
      <c r="B323">
        <v>2012</v>
      </c>
      <c r="C323" t="s">
        <v>75</v>
      </c>
    </row>
    <row r="324" spans="1:4" x14ac:dyDescent="0.45">
      <c r="A324" t="s">
        <v>58</v>
      </c>
      <c r="B324">
        <v>2012</v>
      </c>
      <c r="C324" t="s">
        <v>75</v>
      </c>
      <c r="D324">
        <v>0.03</v>
      </c>
    </row>
    <row r="325" spans="1:4" x14ac:dyDescent="0.45">
      <c r="A325" t="s">
        <v>91</v>
      </c>
      <c r="B325">
        <v>2012</v>
      </c>
      <c r="C325" t="s">
        <v>75</v>
      </c>
      <c r="D325">
        <v>0</v>
      </c>
    </row>
    <row r="326" spans="1:4" x14ac:dyDescent="0.45">
      <c r="A326" t="s">
        <v>32</v>
      </c>
      <c r="B326">
        <v>2013</v>
      </c>
      <c r="C326" t="s">
        <v>75</v>
      </c>
    </row>
    <row r="327" spans="1:4" x14ac:dyDescent="0.45">
      <c r="A327" t="s">
        <v>34</v>
      </c>
      <c r="B327">
        <v>2013</v>
      </c>
      <c r="C327" t="s">
        <v>75</v>
      </c>
    </row>
    <row r="328" spans="1:4" x14ac:dyDescent="0.45">
      <c r="A328" t="s">
        <v>36</v>
      </c>
      <c r="B328">
        <v>2013</v>
      </c>
      <c r="C328" t="s">
        <v>75</v>
      </c>
      <c r="D328">
        <v>12.51</v>
      </c>
    </row>
    <row r="329" spans="1:4" x14ac:dyDescent="0.45">
      <c r="A329" t="s">
        <v>56</v>
      </c>
      <c r="B329">
        <v>2013</v>
      </c>
      <c r="C329" t="s">
        <v>75</v>
      </c>
      <c r="D329">
        <v>0.23</v>
      </c>
    </row>
    <row r="330" spans="1:4" x14ac:dyDescent="0.45">
      <c r="A330" t="s">
        <v>57</v>
      </c>
      <c r="B330">
        <v>2013</v>
      </c>
      <c r="C330" t="s">
        <v>75</v>
      </c>
    </row>
    <row r="331" spans="1:4" x14ac:dyDescent="0.45">
      <c r="A331" t="s">
        <v>38</v>
      </c>
      <c r="B331">
        <v>2013</v>
      </c>
      <c r="C331" t="s">
        <v>75</v>
      </c>
      <c r="D331">
        <v>1.0900000000000001</v>
      </c>
    </row>
    <row r="332" spans="1:4" x14ac:dyDescent="0.45">
      <c r="A332" t="s">
        <v>32</v>
      </c>
      <c r="B332">
        <v>2013</v>
      </c>
      <c r="C332" t="s">
        <v>75</v>
      </c>
    </row>
    <row r="333" spans="1:4" x14ac:dyDescent="0.45">
      <c r="A333" t="s">
        <v>58</v>
      </c>
      <c r="B333">
        <v>2013</v>
      </c>
      <c r="C333" t="s">
        <v>75</v>
      </c>
      <c r="D333">
        <v>0.03</v>
      </c>
    </row>
    <row r="334" spans="1:4" x14ac:dyDescent="0.45">
      <c r="A334" t="s">
        <v>91</v>
      </c>
      <c r="B334">
        <v>2013</v>
      </c>
      <c r="C334" t="s">
        <v>75</v>
      </c>
      <c r="D334">
        <v>0</v>
      </c>
    </row>
    <row r="335" spans="1:4" x14ac:dyDescent="0.45">
      <c r="A335" t="s">
        <v>32</v>
      </c>
      <c r="B335">
        <v>2014</v>
      </c>
      <c r="C335" t="s">
        <v>75</v>
      </c>
    </row>
    <row r="336" spans="1:4" x14ac:dyDescent="0.45">
      <c r="A336" t="s">
        <v>34</v>
      </c>
      <c r="B336">
        <v>2014</v>
      </c>
      <c r="C336" t="s">
        <v>75</v>
      </c>
    </row>
    <row r="337" spans="1:4" x14ac:dyDescent="0.45">
      <c r="A337" t="s">
        <v>36</v>
      </c>
      <c r="B337">
        <v>2014</v>
      </c>
      <c r="C337" t="s">
        <v>75</v>
      </c>
      <c r="D337">
        <v>12.77</v>
      </c>
    </row>
    <row r="338" spans="1:4" x14ac:dyDescent="0.45">
      <c r="A338" t="s">
        <v>56</v>
      </c>
      <c r="B338">
        <v>2014</v>
      </c>
      <c r="C338" t="s">
        <v>75</v>
      </c>
      <c r="D338">
        <v>0.23</v>
      </c>
    </row>
    <row r="339" spans="1:4" x14ac:dyDescent="0.45">
      <c r="A339" t="s">
        <v>57</v>
      </c>
      <c r="B339">
        <v>2014</v>
      </c>
      <c r="C339" t="s">
        <v>75</v>
      </c>
    </row>
    <row r="340" spans="1:4" x14ac:dyDescent="0.45">
      <c r="A340" t="s">
        <v>38</v>
      </c>
      <c r="B340">
        <v>2014</v>
      </c>
      <c r="C340" t="s">
        <v>75</v>
      </c>
      <c r="D340">
        <v>1.1100000000000001</v>
      </c>
    </row>
    <row r="341" spans="1:4" x14ac:dyDescent="0.45">
      <c r="A341" t="s">
        <v>32</v>
      </c>
      <c r="B341">
        <v>2014</v>
      </c>
      <c r="C341" t="s">
        <v>75</v>
      </c>
    </row>
    <row r="342" spans="1:4" x14ac:dyDescent="0.45">
      <c r="A342" t="s">
        <v>58</v>
      </c>
      <c r="B342">
        <v>2014</v>
      </c>
      <c r="C342" t="s">
        <v>75</v>
      </c>
      <c r="D342">
        <v>0.03</v>
      </c>
    </row>
    <row r="343" spans="1:4" x14ac:dyDescent="0.45">
      <c r="A343" t="s">
        <v>91</v>
      </c>
      <c r="B343">
        <v>2014</v>
      </c>
      <c r="C343" t="s">
        <v>75</v>
      </c>
      <c r="D343">
        <v>0.01</v>
      </c>
    </row>
    <row r="344" spans="1:4" x14ac:dyDescent="0.45">
      <c r="A344" t="s">
        <v>32</v>
      </c>
      <c r="B344">
        <v>2015</v>
      </c>
      <c r="C344" t="s">
        <v>75</v>
      </c>
    </row>
    <row r="345" spans="1:4" x14ac:dyDescent="0.45">
      <c r="A345" t="s">
        <v>34</v>
      </c>
      <c r="B345">
        <v>2015</v>
      </c>
      <c r="C345" t="s">
        <v>75</v>
      </c>
    </row>
    <row r="346" spans="1:4" x14ac:dyDescent="0.45">
      <c r="A346" t="s">
        <v>36</v>
      </c>
      <c r="B346">
        <v>2015</v>
      </c>
      <c r="C346" t="s">
        <v>75</v>
      </c>
      <c r="D346">
        <v>14.25</v>
      </c>
    </row>
    <row r="347" spans="1:4" x14ac:dyDescent="0.45">
      <c r="A347" t="s">
        <v>56</v>
      </c>
      <c r="B347">
        <v>2015</v>
      </c>
      <c r="C347" t="s">
        <v>75</v>
      </c>
      <c r="D347">
        <v>0.23</v>
      </c>
    </row>
    <row r="348" spans="1:4" x14ac:dyDescent="0.45">
      <c r="A348" t="s">
        <v>57</v>
      </c>
      <c r="B348">
        <v>2015</v>
      </c>
      <c r="C348" t="s">
        <v>75</v>
      </c>
    </row>
    <row r="349" spans="1:4" x14ac:dyDescent="0.45">
      <c r="A349" t="s">
        <v>38</v>
      </c>
      <c r="B349">
        <v>2015</v>
      </c>
      <c r="C349" t="s">
        <v>75</v>
      </c>
      <c r="D349">
        <v>1.1499999999999999</v>
      </c>
    </row>
    <row r="350" spans="1:4" x14ac:dyDescent="0.45">
      <c r="A350" t="s">
        <v>32</v>
      </c>
      <c r="B350">
        <v>2015</v>
      </c>
      <c r="C350" t="s">
        <v>75</v>
      </c>
    </row>
    <row r="351" spans="1:4" x14ac:dyDescent="0.45">
      <c r="A351" t="s">
        <v>58</v>
      </c>
      <c r="B351">
        <v>2015</v>
      </c>
      <c r="C351" t="s">
        <v>75</v>
      </c>
      <c r="D351">
        <v>0.06</v>
      </c>
    </row>
    <row r="352" spans="1:4" x14ac:dyDescent="0.45">
      <c r="A352" t="s">
        <v>91</v>
      </c>
      <c r="B352">
        <v>2015</v>
      </c>
      <c r="C352" t="s">
        <v>75</v>
      </c>
      <c r="D352">
        <v>0.01</v>
      </c>
    </row>
    <row r="353" spans="1:4" x14ac:dyDescent="0.45">
      <c r="A353" t="s">
        <v>32</v>
      </c>
      <c r="B353">
        <v>2016</v>
      </c>
      <c r="C353" t="s">
        <v>75</v>
      </c>
    </row>
    <row r="354" spans="1:4" x14ac:dyDescent="0.45">
      <c r="A354" t="s">
        <v>34</v>
      </c>
      <c r="B354">
        <v>2016</v>
      </c>
      <c r="C354" t="s">
        <v>75</v>
      </c>
    </row>
    <row r="355" spans="1:4" x14ac:dyDescent="0.45">
      <c r="A355" t="s">
        <v>36</v>
      </c>
      <c r="B355">
        <v>2016</v>
      </c>
      <c r="C355" t="s">
        <v>75</v>
      </c>
      <c r="D355">
        <v>15.52</v>
      </c>
    </row>
    <row r="356" spans="1:4" x14ac:dyDescent="0.45">
      <c r="A356" t="s">
        <v>56</v>
      </c>
      <c r="B356">
        <v>2016</v>
      </c>
      <c r="C356" t="s">
        <v>75</v>
      </c>
      <c r="D356">
        <v>0.23</v>
      </c>
    </row>
    <row r="357" spans="1:4" x14ac:dyDescent="0.45">
      <c r="A357" t="s">
        <v>57</v>
      </c>
      <c r="B357">
        <v>2016</v>
      </c>
      <c r="C357" t="s">
        <v>75</v>
      </c>
    </row>
    <row r="358" spans="1:4" x14ac:dyDescent="0.45">
      <c r="A358" t="s">
        <v>38</v>
      </c>
      <c r="B358">
        <v>2016</v>
      </c>
      <c r="C358" t="s">
        <v>75</v>
      </c>
      <c r="D358">
        <v>1.35</v>
      </c>
    </row>
    <row r="359" spans="1:4" x14ac:dyDescent="0.45">
      <c r="A359" t="s">
        <v>32</v>
      </c>
      <c r="B359">
        <v>2016</v>
      </c>
      <c r="C359" t="s">
        <v>75</v>
      </c>
    </row>
    <row r="360" spans="1:4" x14ac:dyDescent="0.45">
      <c r="A360" t="s">
        <v>58</v>
      </c>
      <c r="B360">
        <v>2016</v>
      </c>
      <c r="C360" t="s">
        <v>75</v>
      </c>
      <c r="D360">
        <v>0.26</v>
      </c>
    </row>
    <row r="361" spans="1:4" x14ac:dyDescent="0.45">
      <c r="A361" t="s">
        <v>91</v>
      </c>
      <c r="B361">
        <v>2016</v>
      </c>
      <c r="C361" t="s">
        <v>75</v>
      </c>
      <c r="D361">
        <v>0.01</v>
      </c>
    </row>
    <row r="362" spans="1:4" x14ac:dyDescent="0.45">
      <c r="A362" t="s">
        <v>32</v>
      </c>
      <c r="B362">
        <v>2017</v>
      </c>
      <c r="C362" t="s">
        <v>75</v>
      </c>
    </row>
    <row r="363" spans="1:4" x14ac:dyDescent="0.45">
      <c r="A363" t="s">
        <v>34</v>
      </c>
      <c r="B363">
        <v>2017</v>
      </c>
      <c r="C363" t="s">
        <v>75</v>
      </c>
    </row>
    <row r="364" spans="1:4" x14ac:dyDescent="0.45">
      <c r="A364" t="s">
        <v>36</v>
      </c>
      <c r="B364">
        <v>2017</v>
      </c>
      <c r="C364" t="s">
        <v>75</v>
      </c>
      <c r="D364">
        <v>15.75</v>
      </c>
    </row>
    <row r="365" spans="1:4" x14ac:dyDescent="0.45">
      <c r="A365" t="s">
        <v>56</v>
      </c>
      <c r="B365">
        <v>2017</v>
      </c>
      <c r="C365" t="s">
        <v>75</v>
      </c>
      <c r="D365">
        <v>0.23</v>
      </c>
    </row>
    <row r="366" spans="1:4" x14ac:dyDescent="0.45">
      <c r="A366" t="s">
        <v>57</v>
      </c>
      <c r="B366">
        <v>2017</v>
      </c>
      <c r="C366" t="s">
        <v>75</v>
      </c>
    </row>
    <row r="367" spans="1:4" x14ac:dyDescent="0.45">
      <c r="A367" t="s">
        <v>38</v>
      </c>
      <c r="B367">
        <v>2017</v>
      </c>
      <c r="C367" t="s">
        <v>75</v>
      </c>
      <c r="D367">
        <v>1.49</v>
      </c>
    </row>
    <row r="368" spans="1:4" x14ac:dyDescent="0.45">
      <c r="A368" t="s">
        <v>32</v>
      </c>
      <c r="B368">
        <v>2017</v>
      </c>
      <c r="C368" t="s">
        <v>75</v>
      </c>
    </row>
    <row r="369" spans="1:4" x14ac:dyDescent="0.45">
      <c r="A369" t="s">
        <v>58</v>
      </c>
      <c r="B369">
        <v>2017</v>
      </c>
      <c r="C369" t="s">
        <v>75</v>
      </c>
      <c r="D369">
        <v>0.35</v>
      </c>
    </row>
    <row r="370" spans="1:4" x14ac:dyDescent="0.45">
      <c r="A370" t="s">
        <v>91</v>
      </c>
      <c r="B370">
        <v>2017</v>
      </c>
      <c r="C370" t="s">
        <v>75</v>
      </c>
      <c r="D370">
        <v>0.01</v>
      </c>
    </row>
    <row r="371" spans="1:4" x14ac:dyDescent="0.45">
      <c r="A371" t="s">
        <v>32</v>
      </c>
      <c r="B371">
        <v>2018</v>
      </c>
      <c r="C371" t="s">
        <v>75</v>
      </c>
    </row>
    <row r="372" spans="1:4" x14ac:dyDescent="0.45">
      <c r="A372" t="s">
        <v>34</v>
      </c>
      <c r="B372">
        <v>2018</v>
      </c>
      <c r="C372" t="s">
        <v>75</v>
      </c>
    </row>
    <row r="373" spans="1:4" x14ac:dyDescent="0.45">
      <c r="A373" t="s">
        <v>36</v>
      </c>
      <c r="B373">
        <v>2018</v>
      </c>
      <c r="C373" t="s">
        <v>75</v>
      </c>
      <c r="D373">
        <v>16.920000000000002</v>
      </c>
    </row>
    <row r="374" spans="1:4" x14ac:dyDescent="0.45">
      <c r="A374" t="s">
        <v>56</v>
      </c>
      <c r="B374">
        <v>2018</v>
      </c>
      <c r="C374" t="s">
        <v>75</v>
      </c>
      <c r="D374">
        <v>0.23</v>
      </c>
    </row>
    <row r="375" spans="1:4" x14ac:dyDescent="0.45">
      <c r="A375" t="s">
        <v>57</v>
      </c>
      <c r="B375">
        <v>2018</v>
      </c>
      <c r="C375" t="s">
        <v>75</v>
      </c>
    </row>
    <row r="376" spans="1:4" x14ac:dyDescent="0.45">
      <c r="A376" t="s">
        <v>38</v>
      </c>
      <c r="B376">
        <v>2018</v>
      </c>
      <c r="C376" t="s">
        <v>75</v>
      </c>
      <c r="D376">
        <v>1.46</v>
      </c>
    </row>
    <row r="377" spans="1:4" x14ac:dyDescent="0.45">
      <c r="A377" t="s">
        <v>32</v>
      </c>
      <c r="B377">
        <v>2018</v>
      </c>
      <c r="C377" t="s">
        <v>75</v>
      </c>
    </row>
    <row r="378" spans="1:4" x14ac:dyDescent="0.45">
      <c r="A378" t="s">
        <v>58</v>
      </c>
      <c r="B378">
        <v>2018</v>
      </c>
      <c r="C378" t="s">
        <v>75</v>
      </c>
      <c r="D378">
        <v>0.37</v>
      </c>
    </row>
    <row r="379" spans="1:4" x14ac:dyDescent="0.45">
      <c r="A379" t="s">
        <v>91</v>
      </c>
      <c r="B379">
        <v>2018</v>
      </c>
      <c r="C379" t="s">
        <v>75</v>
      </c>
      <c r="D379">
        <v>0.01</v>
      </c>
    </row>
    <row r="380" spans="1:4" x14ac:dyDescent="0.45">
      <c r="A380" t="s">
        <v>32</v>
      </c>
      <c r="B380">
        <v>2019</v>
      </c>
      <c r="C380" t="s">
        <v>75</v>
      </c>
    </row>
    <row r="381" spans="1:4" x14ac:dyDescent="0.45">
      <c r="A381" t="s">
        <v>34</v>
      </c>
      <c r="B381">
        <v>2019</v>
      </c>
      <c r="C381" t="s">
        <v>75</v>
      </c>
    </row>
    <row r="382" spans="1:4" x14ac:dyDescent="0.45">
      <c r="A382" t="s">
        <v>36</v>
      </c>
      <c r="B382">
        <v>2019</v>
      </c>
      <c r="C382" t="s">
        <v>75</v>
      </c>
      <c r="D382">
        <v>19.47</v>
      </c>
    </row>
    <row r="383" spans="1:4" x14ac:dyDescent="0.45">
      <c r="A383" t="s">
        <v>56</v>
      </c>
      <c r="B383">
        <v>2019</v>
      </c>
      <c r="C383" t="s">
        <v>75</v>
      </c>
      <c r="D383">
        <v>0.23</v>
      </c>
    </row>
    <row r="384" spans="1:4" x14ac:dyDescent="0.45">
      <c r="A384" t="s">
        <v>57</v>
      </c>
      <c r="B384">
        <v>2019</v>
      </c>
      <c r="C384" t="s">
        <v>75</v>
      </c>
    </row>
    <row r="385" spans="1:4" x14ac:dyDescent="0.45">
      <c r="A385" t="s">
        <v>38</v>
      </c>
      <c r="B385">
        <v>2019</v>
      </c>
      <c r="C385" t="s">
        <v>75</v>
      </c>
      <c r="D385">
        <v>1.46</v>
      </c>
    </row>
    <row r="386" spans="1:4" x14ac:dyDescent="0.45">
      <c r="A386" t="s">
        <v>32</v>
      </c>
      <c r="B386">
        <v>2019</v>
      </c>
      <c r="C386" t="s">
        <v>75</v>
      </c>
    </row>
    <row r="387" spans="1:4" x14ac:dyDescent="0.45">
      <c r="A387" t="s">
        <v>58</v>
      </c>
      <c r="B387">
        <v>2019</v>
      </c>
      <c r="C387" t="s">
        <v>75</v>
      </c>
      <c r="D387">
        <v>0.37</v>
      </c>
    </row>
    <row r="388" spans="1:4" x14ac:dyDescent="0.45">
      <c r="A388" t="s">
        <v>91</v>
      </c>
      <c r="B388">
        <v>2019</v>
      </c>
      <c r="C388" t="s">
        <v>75</v>
      </c>
      <c r="D388">
        <v>0.01</v>
      </c>
    </row>
    <row r="389" spans="1:4" x14ac:dyDescent="0.45">
      <c r="A389" t="s">
        <v>32</v>
      </c>
      <c r="B389">
        <v>2020</v>
      </c>
      <c r="C389" t="s">
        <v>75</v>
      </c>
    </row>
    <row r="390" spans="1:4" x14ac:dyDescent="0.45">
      <c r="A390" t="s">
        <v>34</v>
      </c>
      <c r="B390">
        <v>2020</v>
      </c>
      <c r="C390" t="s">
        <v>75</v>
      </c>
    </row>
    <row r="391" spans="1:4" x14ac:dyDescent="0.45">
      <c r="A391" t="s">
        <v>36</v>
      </c>
      <c r="B391">
        <v>2020</v>
      </c>
      <c r="C391" t="s">
        <v>75</v>
      </c>
      <c r="D391">
        <v>19.690000000000001</v>
      </c>
    </row>
    <row r="392" spans="1:4" x14ac:dyDescent="0.45">
      <c r="A392" t="s">
        <v>56</v>
      </c>
      <c r="B392">
        <v>2020</v>
      </c>
      <c r="C392" t="s">
        <v>75</v>
      </c>
      <c r="D392">
        <v>0.21</v>
      </c>
    </row>
    <row r="393" spans="1:4" x14ac:dyDescent="0.45">
      <c r="A393" t="s">
        <v>57</v>
      </c>
      <c r="B393">
        <v>2020</v>
      </c>
      <c r="C393" t="s">
        <v>75</v>
      </c>
    </row>
    <row r="394" spans="1:4" x14ac:dyDescent="0.45">
      <c r="A394" t="s">
        <v>38</v>
      </c>
      <c r="B394">
        <v>2020</v>
      </c>
      <c r="C394" t="s">
        <v>75</v>
      </c>
      <c r="D394">
        <v>1.56</v>
      </c>
    </row>
    <row r="395" spans="1:4" x14ac:dyDescent="0.45">
      <c r="A395" t="s">
        <v>32</v>
      </c>
      <c r="B395">
        <v>2020</v>
      </c>
      <c r="C395" t="s">
        <v>75</v>
      </c>
    </row>
    <row r="396" spans="1:4" x14ac:dyDescent="0.45">
      <c r="A396" t="s">
        <v>58</v>
      </c>
      <c r="B396">
        <v>2020</v>
      </c>
      <c r="C396" t="s">
        <v>75</v>
      </c>
      <c r="D396">
        <v>0.37</v>
      </c>
    </row>
    <row r="397" spans="1:4" x14ac:dyDescent="0.45">
      <c r="A397" t="s">
        <v>91</v>
      </c>
      <c r="B397">
        <v>2020</v>
      </c>
      <c r="C397" t="s">
        <v>75</v>
      </c>
      <c r="D397">
        <v>0.01</v>
      </c>
    </row>
    <row r="398" spans="1:4" x14ac:dyDescent="0.45">
      <c r="A398" t="s">
        <v>32</v>
      </c>
      <c r="B398">
        <v>2021</v>
      </c>
      <c r="C398" t="s">
        <v>75</v>
      </c>
    </row>
    <row r="399" spans="1:4" x14ac:dyDescent="0.45">
      <c r="A399" t="s">
        <v>34</v>
      </c>
      <c r="B399">
        <v>2021</v>
      </c>
      <c r="C399" t="s">
        <v>75</v>
      </c>
    </row>
    <row r="400" spans="1:4" x14ac:dyDescent="0.45">
      <c r="A400" t="s">
        <v>36</v>
      </c>
      <c r="B400">
        <v>2021</v>
      </c>
      <c r="C400" t="s">
        <v>75</v>
      </c>
      <c r="D400">
        <v>21.36</v>
      </c>
    </row>
    <row r="401" spans="1:4" x14ac:dyDescent="0.45">
      <c r="A401" t="s">
        <v>56</v>
      </c>
      <c r="B401">
        <v>2021</v>
      </c>
      <c r="C401" t="s">
        <v>75</v>
      </c>
      <c r="D401">
        <v>0.13</v>
      </c>
    </row>
    <row r="402" spans="1:4" x14ac:dyDescent="0.45">
      <c r="A402" t="s">
        <v>57</v>
      </c>
      <c r="B402">
        <v>2021</v>
      </c>
      <c r="C402" t="s">
        <v>75</v>
      </c>
    </row>
    <row r="403" spans="1:4" x14ac:dyDescent="0.45">
      <c r="A403" t="s">
        <v>38</v>
      </c>
      <c r="B403">
        <v>2021</v>
      </c>
      <c r="C403" t="s">
        <v>75</v>
      </c>
      <c r="D403">
        <v>1.56</v>
      </c>
    </row>
    <row r="404" spans="1:4" x14ac:dyDescent="0.45">
      <c r="A404" t="s">
        <v>32</v>
      </c>
      <c r="B404">
        <v>2021</v>
      </c>
      <c r="C404" t="s">
        <v>75</v>
      </c>
    </row>
    <row r="405" spans="1:4" x14ac:dyDescent="0.45">
      <c r="A405" t="s">
        <v>58</v>
      </c>
      <c r="B405">
        <v>2021</v>
      </c>
      <c r="C405" t="s">
        <v>75</v>
      </c>
      <c r="D405">
        <v>0.37</v>
      </c>
    </row>
    <row r="406" spans="1:4" x14ac:dyDescent="0.45">
      <c r="A406" t="s">
        <v>91</v>
      </c>
      <c r="B406">
        <v>2021</v>
      </c>
      <c r="C406" t="s">
        <v>75</v>
      </c>
      <c r="D406">
        <v>0.01</v>
      </c>
    </row>
    <row r="407" spans="1:4" x14ac:dyDescent="0.45">
      <c r="A407" t="s">
        <v>32</v>
      </c>
      <c r="B407">
        <v>2022</v>
      </c>
      <c r="C407" t="s">
        <v>75</v>
      </c>
    </row>
    <row r="408" spans="1:4" x14ac:dyDescent="0.45">
      <c r="A408" t="s">
        <v>34</v>
      </c>
      <c r="B408">
        <v>2022</v>
      </c>
      <c r="C408" t="s">
        <v>75</v>
      </c>
    </row>
    <row r="409" spans="1:4" x14ac:dyDescent="0.45">
      <c r="A409" t="s">
        <v>36</v>
      </c>
      <c r="B409">
        <v>2022</v>
      </c>
      <c r="C409" t="s">
        <v>75</v>
      </c>
      <c r="D409">
        <v>23.25</v>
      </c>
    </row>
    <row r="410" spans="1:4" x14ac:dyDescent="0.45">
      <c r="A410" t="s">
        <v>56</v>
      </c>
      <c r="B410">
        <v>2022</v>
      </c>
      <c r="C410" t="s">
        <v>75</v>
      </c>
      <c r="D410">
        <v>0.13</v>
      </c>
    </row>
    <row r="411" spans="1:4" x14ac:dyDescent="0.45">
      <c r="A411" t="s">
        <v>57</v>
      </c>
      <c r="B411">
        <v>2022</v>
      </c>
      <c r="C411" t="s">
        <v>75</v>
      </c>
    </row>
    <row r="412" spans="1:4" x14ac:dyDescent="0.45">
      <c r="A412" t="s">
        <v>38</v>
      </c>
      <c r="B412">
        <v>2022</v>
      </c>
      <c r="C412" t="s">
        <v>75</v>
      </c>
      <c r="D412">
        <v>1.56</v>
      </c>
    </row>
    <row r="413" spans="1:4" x14ac:dyDescent="0.45">
      <c r="A413" t="s">
        <v>32</v>
      </c>
      <c r="B413">
        <v>2022</v>
      </c>
      <c r="C413" t="s">
        <v>75</v>
      </c>
    </row>
    <row r="414" spans="1:4" x14ac:dyDescent="0.45">
      <c r="A414" t="s">
        <v>58</v>
      </c>
      <c r="B414">
        <v>2022</v>
      </c>
      <c r="C414" t="s">
        <v>75</v>
      </c>
      <c r="D414">
        <v>0.45</v>
      </c>
    </row>
    <row r="415" spans="1:4" x14ac:dyDescent="0.45">
      <c r="A415" t="s">
        <v>91</v>
      </c>
      <c r="B415">
        <v>2022</v>
      </c>
      <c r="C415" t="s">
        <v>75</v>
      </c>
      <c r="D415">
        <v>0.01</v>
      </c>
    </row>
    <row r="416" spans="1:4" x14ac:dyDescent="0.45">
      <c r="A416" t="s">
        <v>32</v>
      </c>
      <c r="B416">
        <v>2000</v>
      </c>
      <c r="C416" t="s">
        <v>76</v>
      </c>
      <c r="D416">
        <v>0</v>
      </c>
    </row>
    <row r="417" spans="1:4" x14ac:dyDescent="0.45">
      <c r="A417" t="s">
        <v>34</v>
      </c>
      <c r="B417">
        <v>2000</v>
      </c>
      <c r="C417" t="s">
        <v>76</v>
      </c>
      <c r="D417">
        <v>0</v>
      </c>
    </row>
    <row r="418" spans="1:4" x14ac:dyDescent="0.45">
      <c r="A418" t="s">
        <v>36</v>
      </c>
      <c r="B418">
        <v>2000</v>
      </c>
      <c r="C418" t="s">
        <v>76</v>
      </c>
      <c r="D418">
        <v>15.71</v>
      </c>
    </row>
    <row r="419" spans="1:4" x14ac:dyDescent="0.45">
      <c r="A419" t="s">
        <v>56</v>
      </c>
      <c r="B419">
        <v>2000</v>
      </c>
      <c r="C419" t="s">
        <v>76</v>
      </c>
      <c r="D419">
        <v>0</v>
      </c>
    </row>
    <row r="420" spans="1:4" x14ac:dyDescent="0.45">
      <c r="A420" t="s">
        <v>57</v>
      </c>
      <c r="B420">
        <v>2000</v>
      </c>
      <c r="C420" t="s">
        <v>76</v>
      </c>
      <c r="D420">
        <v>0</v>
      </c>
    </row>
    <row r="421" spans="1:4" x14ac:dyDescent="0.45">
      <c r="A421" t="s">
        <v>38</v>
      </c>
      <c r="B421">
        <v>2000</v>
      </c>
      <c r="C421" t="s">
        <v>76</v>
      </c>
      <c r="D421">
        <v>0.51</v>
      </c>
    </row>
    <row r="422" spans="1:4" x14ac:dyDescent="0.45">
      <c r="A422" t="s">
        <v>32</v>
      </c>
      <c r="B422">
        <v>2000</v>
      </c>
      <c r="C422" t="s">
        <v>76</v>
      </c>
      <c r="D422">
        <v>0</v>
      </c>
    </row>
    <row r="423" spans="1:4" x14ac:dyDescent="0.45">
      <c r="A423" t="s">
        <v>58</v>
      </c>
      <c r="B423">
        <v>2000</v>
      </c>
      <c r="C423" t="s">
        <v>76</v>
      </c>
      <c r="D423">
        <v>0</v>
      </c>
    </row>
    <row r="424" spans="1:4" x14ac:dyDescent="0.45">
      <c r="A424" t="s">
        <v>91</v>
      </c>
      <c r="B424">
        <v>2000</v>
      </c>
      <c r="C424" t="s">
        <v>76</v>
      </c>
      <c r="D424">
        <v>0</v>
      </c>
    </row>
    <row r="425" spans="1:4" x14ac:dyDescent="0.45">
      <c r="A425" t="s">
        <v>32</v>
      </c>
      <c r="B425">
        <v>2001</v>
      </c>
      <c r="C425" t="s">
        <v>76</v>
      </c>
      <c r="D425">
        <v>0</v>
      </c>
    </row>
    <row r="426" spans="1:4" x14ac:dyDescent="0.45">
      <c r="A426" t="s">
        <v>34</v>
      </c>
      <c r="B426">
        <v>2001</v>
      </c>
      <c r="C426" t="s">
        <v>76</v>
      </c>
      <c r="D426">
        <v>0</v>
      </c>
    </row>
    <row r="427" spans="1:4" x14ac:dyDescent="0.45">
      <c r="A427" t="s">
        <v>36</v>
      </c>
      <c r="B427">
        <v>2001</v>
      </c>
      <c r="C427" t="s">
        <v>76</v>
      </c>
      <c r="D427">
        <v>16.48</v>
      </c>
    </row>
    <row r="428" spans="1:4" x14ac:dyDescent="0.45">
      <c r="A428" t="s">
        <v>56</v>
      </c>
      <c r="B428">
        <v>2001</v>
      </c>
      <c r="C428" t="s">
        <v>76</v>
      </c>
      <c r="D428">
        <v>0</v>
      </c>
    </row>
    <row r="429" spans="1:4" x14ac:dyDescent="0.45">
      <c r="A429" t="s">
        <v>57</v>
      </c>
      <c r="B429">
        <v>2001</v>
      </c>
      <c r="C429" t="s">
        <v>76</v>
      </c>
      <c r="D429">
        <v>0</v>
      </c>
    </row>
    <row r="430" spans="1:4" x14ac:dyDescent="0.45">
      <c r="A430" t="s">
        <v>38</v>
      </c>
      <c r="B430">
        <v>2001</v>
      </c>
      <c r="C430" t="s">
        <v>76</v>
      </c>
      <c r="D430">
        <v>0.51</v>
      </c>
    </row>
    <row r="431" spans="1:4" x14ac:dyDescent="0.45">
      <c r="A431" t="s">
        <v>32</v>
      </c>
      <c r="B431">
        <v>2001</v>
      </c>
      <c r="C431" t="s">
        <v>76</v>
      </c>
      <c r="D431">
        <v>0</v>
      </c>
    </row>
    <row r="432" spans="1:4" x14ac:dyDescent="0.45">
      <c r="A432" t="s">
        <v>58</v>
      </c>
      <c r="B432">
        <v>2001</v>
      </c>
      <c r="C432" t="s">
        <v>76</v>
      </c>
      <c r="D432">
        <v>0</v>
      </c>
    </row>
    <row r="433" spans="1:4" x14ac:dyDescent="0.45">
      <c r="A433" t="s">
        <v>91</v>
      </c>
      <c r="B433">
        <v>2001</v>
      </c>
      <c r="C433" t="s">
        <v>76</v>
      </c>
      <c r="D433">
        <v>0</v>
      </c>
    </row>
    <row r="434" spans="1:4" x14ac:dyDescent="0.45">
      <c r="A434" t="s">
        <v>32</v>
      </c>
      <c r="B434">
        <v>2002</v>
      </c>
      <c r="C434" t="s">
        <v>76</v>
      </c>
      <c r="D434">
        <v>0</v>
      </c>
    </row>
    <row r="435" spans="1:4" x14ac:dyDescent="0.45">
      <c r="A435" t="s">
        <v>34</v>
      </c>
      <c r="B435">
        <v>2002</v>
      </c>
      <c r="C435" t="s">
        <v>76</v>
      </c>
      <c r="D435">
        <v>0</v>
      </c>
    </row>
    <row r="436" spans="1:4" x14ac:dyDescent="0.45">
      <c r="A436" t="s">
        <v>36</v>
      </c>
      <c r="B436">
        <v>2002</v>
      </c>
      <c r="C436" t="s">
        <v>76</v>
      </c>
      <c r="D436">
        <v>17.25</v>
      </c>
    </row>
    <row r="437" spans="1:4" x14ac:dyDescent="0.45">
      <c r="A437" t="s">
        <v>56</v>
      </c>
      <c r="B437">
        <v>2002</v>
      </c>
      <c r="C437" t="s">
        <v>76</v>
      </c>
      <c r="D437">
        <v>0</v>
      </c>
    </row>
    <row r="438" spans="1:4" x14ac:dyDescent="0.45">
      <c r="A438" t="s">
        <v>57</v>
      </c>
      <c r="B438">
        <v>2002</v>
      </c>
      <c r="C438" t="s">
        <v>76</v>
      </c>
      <c r="D438">
        <v>0</v>
      </c>
    </row>
    <row r="439" spans="1:4" x14ac:dyDescent="0.45">
      <c r="A439" t="s">
        <v>38</v>
      </c>
      <c r="B439">
        <v>2002</v>
      </c>
      <c r="C439" t="s">
        <v>76</v>
      </c>
      <c r="D439">
        <v>0.39</v>
      </c>
    </row>
    <row r="440" spans="1:4" x14ac:dyDescent="0.45">
      <c r="A440" t="s">
        <v>32</v>
      </c>
      <c r="B440">
        <v>2002</v>
      </c>
      <c r="C440" t="s">
        <v>76</v>
      </c>
      <c r="D440">
        <v>0</v>
      </c>
    </row>
    <row r="441" spans="1:4" x14ac:dyDescent="0.45">
      <c r="A441" t="s">
        <v>58</v>
      </c>
      <c r="B441">
        <v>2002</v>
      </c>
      <c r="C441" t="s">
        <v>76</v>
      </c>
      <c r="D441">
        <v>0</v>
      </c>
    </row>
    <row r="442" spans="1:4" x14ac:dyDescent="0.45">
      <c r="A442" t="s">
        <v>91</v>
      </c>
      <c r="B442">
        <v>2002</v>
      </c>
      <c r="C442" t="s">
        <v>76</v>
      </c>
      <c r="D442">
        <v>0</v>
      </c>
    </row>
    <row r="443" spans="1:4" x14ac:dyDescent="0.45">
      <c r="A443" t="s">
        <v>32</v>
      </c>
      <c r="B443">
        <v>2003</v>
      </c>
      <c r="C443" t="s">
        <v>76</v>
      </c>
      <c r="D443">
        <v>0</v>
      </c>
    </row>
    <row r="444" spans="1:4" x14ac:dyDescent="0.45">
      <c r="A444" t="s">
        <v>34</v>
      </c>
      <c r="B444">
        <v>2003</v>
      </c>
      <c r="C444" t="s">
        <v>76</v>
      </c>
      <c r="D444">
        <v>0</v>
      </c>
    </row>
    <row r="445" spans="1:4" x14ac:dyDescent="0.45">
      <c r="A445" t="s">
        <v>36</v>
      </c>
      <c r="B445">
        <v>2003</v>
      </c>
      <c r="C445" t="s">
        <v>76</v>
      </c>
      <c r="D445">
        <v>18.29</v>
      </c>
    </row>
    <row r="446" spans="1:4" x14ac:dyDescent="0.45">
      <c r="A446" t="s">
        <v>56</v>
      </c>
      <c r="B446">
        <v>2003</v>
      </c>
      <c r="C446" t="s">
        <v>76</v>
      </c>
      <c r="D446">
        <v>0.01</v>
      </c>
    </row>
    <row r="447" spans="1:4" x14ac:dyDescent="0.45">
      <c r="A447" t="s">
        <v>57</v>
      </c>
      <c r="B447">
        <v>2003</v>
      </c>
      <c r="C447" t="s">
        <v>76</v>
      </c>
      <c r="D447">
        <v>0</v>
      </c>
    </row>
    <row r="448" spans="1:4" x14ac:dyDescent="0.45">
      <c r="A448" t="s">
        <v>38</v>
      </c>
      <c r="B448">
        <v>2003</v>
      </c>
      <c r="C448" t="s">
        <v>76</v>
      </c>
      <c r="D448">
        <v>0.45</v>
      </c>
    </row>
    <row r="449" spans="1:4" x14ac:dyDescent="0.45">
      <c r="A449" t="s">
        <v>32</v>
      </c>
      <c r="B449">
        <v>2003</v>
      </c>
      <c r="C449" t="s">
        <v>76</v>
      </c>
      <c r="D449">
        <v>0</v>
      </c>
    </row>
    <row r="450" spans="1:4" x14ac:dyDescent="0.45">
      <c r="A450" t="s">
        <v>58</v>
      </c>
      <c r="B450">
        <v>2003</v>
      </c>
      <c r="C450" t="s">
        <v>76</v>
      </c>
      <c r="D450">
        <v>0</v>
      </c>
    </row>
    <row r="451" spans="1:4" x14ac:dyDescent="0.45">
      <c r="A451" t="s">
        <v>91</v>
      </c>
      <c r="B451">
        <v>2003</v>
      </c>
      <c r="C451" t="s">
        <v>76</v>
      </c>
      <c r="D451">
        <v>0</v>
      </c>
    </row>
    <row r="452" spans="1:4" x14ac:dyDescent="0.45">
      <c r="A452" t="s">
        <v>32</v>
      </c>
      <c r="B452">
        <v>2004</v>
      </c>
      <c r="C452" t="s">
        <v>76</v>
      </c>
      <c r="D452">
        <v>0</v>
      </c>
    </row>
    <row r="453" spans="1:4" x14ac:dyDescent="0.45">
      <c r="A453" t="s">
        <v>34</v>
      </c>
      <c r="B453">
        <v>2004</v>
      </c>
      <c r="C453" t="s">
        <v>76</v>
      </c>
      <c r="D453">
        <v>0</v>
      </c>
    </row>
    <row r="454" spans="1:4" x14ac:dyDescent="0.45">
      <c r="A454" t="s">
        <v>36</v>
      </c>
      <c r="B454">
        <v>2004</v>
      </c>
      <c r="C454" t="s">
        <v>76</v>
      </c>
      <c r="D454">
        <v>19.37</v>
      </c>
    </row>
    <row r="455" spans="1:4" x14ac:dyDescent="0.45">
      <c r="A455" t="s">
        <v>56</v>
      </c>
      <c r="B455">
        <v>2004</v>
      </c>
      <c r="C455" t="s">
        <v>76</v>
      </c>
      <c r="D455">
        <v>0.01</v>
      </c>
    </row>
    <row r="456" spans="1:4" x14ac:dyDescent="0.45">
      <c r="A456" t="s">
        <v>57</v>
      </c>
      <c r="B456">
        <v>2004</v>
      </c>
      <c r="C456" t="s">
        <v>76</v>
      </c>
      <c r="D456">
        <v>0</v>
      </c>
    </row>
    <row r="457" spans="1:4" x14ac:dyDescent="0.45">
      <c r="A457" t="s">
        <v>38</v>
      </c>
      <c r="B457">
        <v>2004</v>
      </c>
      <c r="C457" t="s">
        <v>76</v>
      </c>
      <c r="D457">
        <v>0.45</v>
      </c>
    </row>
    <row r="458" spans="1:4" x14ac:dyDescent="0.45">
      <c r="A458" t="s">
        <v>32</v>
      </c>
      <c r="B458">
        <v>2004</v>
      </c>
      <c r="C458" t="s">
        <v>76</v>
      </c>
      <c r="D458">
        <v>0</v>
      </c>
    </row>
    <row r="459" spans="1:4" x14ac:dyDescent="0.45">
      <c r="A459" t="s">
        <v>58</v>
      </c>
      <c r="B459">
        <v>2004</v>
      </c>
      <c r="C459" t="s">
        <v>76</v>
      </c>
      <c r="D459">
        <v>0</v>
      </c>
    </row>
    <row r="460" spans="1:4" x14ac:dyDescent="0.45">
      <c r="A460" t="s">
        <v>91</v>
      </c>
      <c r="B460">
        <v>2004</v>
      </c>
      <c r="C460" t="s">
        <v>76</v>
      </c>
      <c r="D460">
        <v>0</v>
      </c>
    </row>
    <row r="461" spans="1:4" x14ac:dyDescent="0.45">
      <c r="A461" t="s">
        <v>32</v>
      </c>
      <c r="B461">
        <v>2005</v>
      </c>
      <c r="C461" t="s">
        <v>76</v>
      </c>
      <c r="D461">
        <v>0</v>
      </c>
    </row>
    <row r="462" spans="1:4" x14ac:dyDescent="0.45">
      <c r="A462" t="s">
        <v>34</v>
      </c>
      <c r="B462">
        <v>2005</v>
      </c>
      <c r="C462" t="s">
        <v>76</v>
      </c>
      <c r="D462">
        <v>0</v>
      </c>
    </row>
    <row r="463" spans="1:4" x14ac:dyDescent="0.45">
      <c r="A463" t="s">
        <v>36</v>
      </c>
      <c r="B463">
        <v>2005</v>
      </c>
      <c r="C463" t="s">
        <v>76</v>
      </c>
      <c r="D463">
        <v>20.86</v>
      </c>
    </row>
    <row r="464" spans="1:4" x14ac:dyDescent="0.45">
      <c r="A464" t="s">
        <v>56</v>
      </c>
      <c r="B464">
        <v>2005</v>
      </c>
      <c r="C464" t="s">
        <v>76</v>
      </c>
      <c r="D464">
        <v>0.01</v>
      </c>
    </row>
    <row r="465" spans="1:4" x14ac:dyDescent="0.45">
      <c r="A465" t="s">
        <v>57</v>
      </c>
      <c r="B465">
        <v>2005</v>
      </c>
      <c r="C465" t="s">
        <v>76</v>
      </c>
      <c r="D465">
        <v>0</v>
      </c>
    </row>
    <row r="466" spans="1:4" x14ac:dyDescent="0.45">
      <c r="A466" t="s">
        <v>38</v>
      </c>
      <c r="B466">
        <v>2005</v>
      </c>
      <c r="C466" t="s">
        <v>76</v>
      </c>
      <c r="D466">
        <v>0.47</v>
      </c>
    </row>
    <row r="467" spans="1:4" x14ac:dyDescent="0.45">
      <c r="A467" t="s">
        <v>32</v>
      </c>
      <c r="B467">
        <v>2005</v>
      </c>
      <c r="C467" t="s">
        <v>76</v>
      </c>
      <c r="D467">
        <v>0</v>
      </c>
    </row>
    <row r="468" spans="1:4" x14ac:dyDescent="0.45">
      <c r="A468" t="s">
        <v>58</v>
      </c>
      <c r="B468">
        <v>2005</v>
      </c>
      <c r="C468" t="s">
        <v>76</v>
      </c>
      <c r="D468">
        <v>0</v>
      </c>
    </row>
    <row r="469" spans="1:4" x14ac:dyDescent="0.45">
      <c r="A469" t="s">
        <v>91</v>
      </c>
      <c r="B469">
        <v>2005</v>
      </c>
      <c r="C469" t="s">
        <v>76</v>
      </c>
      <c r="D469">
        <v>0</v>
      </c>
    </row>
    <row r="470" spans="1:4" x14ac:dyDescent="0.45">
      <c r="A470" t="s">
        <v>32</v>
      </c>
      <c r="B470">
        <v>2006</v>
      </c>
      <c r="C470" t="s">
        <v>76</v>
      </c>
      <c r="D470">
        <v>0</v>
      </c>
    </row>
    <row r="471" spans="1:4" x14ac:dyDescent="0.45">
      <c r="A471" t="s">
        <v>34</v>
      </c>
      <c r="B471">
        <v>2006</v>
      </c>
      <c r="C471" t="s">
        <v>76</v>
      </c>
      <c r="D471">
        <v>0</v>
      </c>
    </row>
    <row r="472" spans="1:4" x14ac:dyDescent="0.45">
      <c r="A472" t="s">
        <v>36</v>
      </c>
      <c r="B472">
        <v>2006</v>
      </c>
      <c r="C472" t="s">
        <v>76</v>
      </c>
      <c r="D472">
        <v>21.9</v>
      </c>
    </row>
    <row r="473" spans="1:4" x14ac:dyDescent="0.45">
      <c r="A473" t="s">
        <v>56</v>
      </c>
      <c r="B473">
        <v>2006</v>
      </c>
      <c r="C473" t="s">
        <v>76</v>
      </c>
      <c r="D473">
        <v>0.01</v>
      </c>
    </row>
    <row r="474" spans="1:4" x14ac:dyDescent="0.45">
      <c r="A474" t="s">
        <v>57</v>
      </c>
      <c r="B474">
        <v>2006</v>
      </c>
      <c r="C474" t="s">
        <v>76</v>
      </c>
      <c r="D474">
        <v>0</v>
      </c>
    </row>
    <row r="475" spans="1:4" x14ac:dyDescent="0.45">
      <c r="A475" t="s">
        <v>38</v>
      </c>
      <c r="B475">
        <v>2006</v>
      </c>
      <c r="C475" t="s">
        <v>76</v>
      </c>
      <c r="D475">
        <v>0.49</v>
      </c>
    </row>
    <row r="476" spans="1:4" x14ac:dyDescent="0.45">
      <c r="A476" t="s">
        <v>32</v>
      </c>
      <c r="B476">
        <v>2006</v>
      </c>
      <c r="C476" t="s">
        <v>76</v>
      </c>
      <c r="D476">
        <v>0</v>
      </c>
    </row>
    <row r="477" spans="1:4" x14ac:dyDescent="0.45">
      <c r="A477" t="s">
        <v>58</v>
      </c>
      <c r="B477">
        <v>2006</v>
      </c>
      <c r="C477" t="s">
        <v>76</v>
      </c>
      <c r="D477">
        <v>0</v>
      </c>
    </row>
    <row r="478" spans="1:4" x14ac:dyDescent="0.45">
      <c r="A478" t="s">
        <v>91</v>
      </c>
      <c r="B478">
        <v>2006</v>
      </c>
      <c r="C478" t="s">
        <v>76</v>
      </c>
      <c r="D478">
        <v>0</v>
      </c>
    </row>
    <row r="479" spans="1:4" x14ac:dyDescent="0.45">
      <c r="A479" t="s">
        <v>32</v>
      </c>
      <c r="B479">
        <v>2007</v>
      </c>
      <c r="C479" t="s">
        <v>76</v>
      </c>
      <c r="D479">
        <v>0</v>
      </c>
    </row>
    <row r="480" spans="1:4" x14ac:dyDescent="0.45">
      <c r="A480" t="s">
        <v>34</v>
      </c>
      <c r="B480">
        <v>2007</v>
      </c>
      <c r="C480" t="s">
        <v>76</v>
      </c>
      <c r="D480">
        <v>0</v>
      </c>
    </row>
    <row r="481" spans="1:4" x14ac:dyDescent="0.45">
      <c r="A481" t="s">
        <v>36</v>
      </c>
      <c r="B481">
        <v>2007</v>
      </c>
      <c r="C481" t="s">
        <v>76</v>
      </c>
      <c r="D481">
        <v>23.12</v>
      </c>
    </row>
    <row r="482" spans="1:4" x14ac:dyDescent="0.45">
      <c r="A482" t="s">
        <v>56</v>
      </c>
      <c r="B482">
        <v>2007</v>
      </c>
      <c r="C482" t="s">
        <v>76</v>
      </c>
      <c r="D482">
        <v>0.01</v>
      </c>
    </row>
    <row r="483" spans="1:4" x14ac:dyDescent="0.45">
      <c r="A483" t="s">
        <v>57</v>
      </c>
      <c r="B483">
        <v>2007</v>
      </c>
      <c r="C483" t="s">
        <v>76</v>
      </c>
      <c r="D483">
        <v>0</v>
      </c>
    </row>
    <row r="484" spans="1:4" x14ac:dyDescent="0.45">
      <c r="A484" t="s">
        <v>38</v>
      </c>
      <c r="B484">
        <v>2007</v>
      </c>
      <c r="C484" t="s">
        <v>76</v>
      </c>
      <c r="D484">
        <v>0.52</v>
      </c>
    </row>
    <row r="485" spans="1:4" x14ac:dyDescent="0.45">
      <c r="A485" t="s">
        <v>32</v>
      </c>
      <c r="B485">
        <v>2007</v>
      </c>
      <c r="C485" t="s">
        <v>76</v>
      </c>
      <c r="D485">
        <v>0</v>
      </c>
    </row>
    <row r="486" spans="1:4" x14ac:dyDescent="0.45">
      <c r="A486" t="s">
        <v>58</v>
      </c>
      <c r="B486">
        <v>2007</v>
      </c>
      <c r="C486" t="s">
        <v>76</v>
      </c>
      <c r="D486">
        <v>0</v>
      </c>
    </row>
    <row r="487" spans="1:4" x14ac:dyDescent="0.45">
      <c r="A487" t="s">
        <v>91</v>
      </c>
      <c r="B487">
        <v>2007</v>
      </c>
      <c r="C487" t="s">
        <v>76</v>
      </c>
      <c r="D487">
        <v>0</v>
      </c>
    </row>
    <row r="488" spans="1:4" x14ac:dyDescent="0.45">
      <c r="A488" t="s">
        <v>32</v>
      </c>
      <c r="B488">
        <v>2008</v>
      </c>
      <c r="C488" t="s">
        <v>76</v>
      </c>
      <c r="D488">
        <v>0</v>
      </c>
    </row>
    <row r="489" spans="1:4" x14ac:dyDescent="0.45">
      <c r="A489" t="s">
        <v>34</v>
      </c>
      <c r="B489">
        <v>2008</v>
      </c>
      <c r="C489" t="s">
        <v>76</v>
      </c>
      <c r="D489">
        <v>0</v>
      </c>
    </row>
    <row r="490" spans="1:4" x14ac:dyDescent="0.45">
      <c r="A490" t="s">
        <v>36</v>
      </c>
      <c r="B490">
        <v>2008</v>
      </c>
      <c r="C490" t="s">
        <v>76</v>
      </c>
      <c r="D490">
        <v>25.03</v>
      </c>
    </row>
    <row r="491" spans="1:4" x14ac:dyDescent="0.45">
      <c r="A491" t="s">
        <v>56</v>
      </c>
      <c r="B491">
        <v>2008</v>
      </c>
      <c r="C491" t="s">
        <v>76</v>
      </c>
      <c r="D491">
        <v>0.01</v>
      </c>
    </row>
    <row r="492" spans="1:4" x14ac:dyDescent="0.45">
      <c r="A492" t="s">
        <v>57</v>
      </c>
      <c r="B492">
        <v>2008</v>
      </c>
      <c r="C492" t="s">
        <v>76</v>
      </c>
      <c r="D492">
        <v>0</v>
      </c>
    </row>
    <row r="493" spans="1:4" x14ac:dyDescent="0.45">
      <c r="A493" t="s">
        <v>38</v>
      </c>
      <c r="B493">
        <v>2008</v>
      </c>
      <c r="C493" t="s">
        <v>76</v>
      </c>
      <c r="D493">
        <v>0.52</v>
      </c>
    </row>
    <row r="494" spans="1:4" x14ac:dyDescent="0.45">
      <c r="A494" t="s">
        <v>32</v>
      </c>
      <c r="B494">
        <v>2008</v>
      </c>
      <c r="C494" t="s">
        <v>76</v>
      </c>
      <c r="D494">
        <v>0</v>
      </c>
    </row>
    <row r="495" spans="1:4" x14ac:dyDescent="0.45">
      <c r="A495" t="s">
        <v>58</v>
      </c>
      <c r="B495">
        <v>2008</v>
      </c>
      <c r="C495" t="s">
        <v>76</v>
      </c>
      <c r="D495">
        <v>0</v>
      </c>
    </row>
    <row r="496" spans="1:4" x14ac:dyDescent="0.45">
      <c r="A496" t="s">
        <v>91</v>
      </c>
      <c r="B496">
        <v>2008</v>
      </c>
      <c r="C496" t="s">
        <v>76</v>
      </c>
      <c r="D496">
        <v>0</v>
      </c>
    </row>
    <row r="497" spans="1:4" x14ac:dyDescent="0.45">
      <c r="A497" t="s">
        <v>32</v>
      </c>
      <c r="B497">
        <v>2009</v>
      </c>
      <c r="C497" t="s">
        <v>76</v>
      </c>
      <c r="D497">
        <v>0</v>
      </c>
    </row>
    <row r="498" spans="1:4" x14ac:dyDescent="0.45">
      <c r="A498" t="s">
        <v>34</v>
      </c>
      <c r="B498">
        <v>2009</v>
      </c>
      <c r="C498" t="s">
        <v>76</v>
      </c>
      <c r="D498">
        <v>0</v>
      </c>
    </row>
    <row r="499" spans="1:4" x14ac:dyDescent="0.45">
      <c r="A499" t="s">
        <v>36</v>
      </c>
      <c r="B499">
        <v>2009</v>
      </c>
      <c r="C499" t="s">
        <v>76</v>
      </c>
      <c r="D499">
        <v>24.02</v>
      </c>
    </row>
    <row r="500" spans="1:4" x14ac:dyDescent="0.45">
      <c r="A500" t="s">
        <v>56</v>
      </c>
      <c r="B500">
        <v>2009</v>
      </c>
      <c r="C500" t="s">
        <v>76</v>
      </c>
      <c r="D500">
        <v>0.01</v>
      </c>
    </row>
    <row r="501" spans="1:4" x14ac:dyDescent="0.45">
      <c r="A501" t="s">
        <v>57</v>
      </c>
      <c r="B501">
        <v>2009</v>
      </c>
      <c r="C501" t="s">
        <v>76</v>
      </c>
      <c r="D501">
        <v>0</v>
      </c>
    </row>
    <row r="502" spans="1:4" x14ac:dyDescent="0.45">
      <c r="A502" t="s">
        <v>38</v>
      </c>
      <c r="B502">
        <v>2009</v>
      </c>
      <c r="C502" t="s">
        <v>76</v>
      </c>
      <c r="D502">
        <v>0.4</v>
      </c>
    </row>
    <row r="503" spans="1:4" x14ac:dyDescent="0.45">
      <c r="A503" t="s">
        <v>32</v>
      </c>
      <c r="B503">
        <v>2009</v>
      </c>
      <c r="C503" t="s">
        <v>76</v>
      </c>
      <c r="D503">
        <v>0</v>
      </c>
    </row>
    <row r="504" spans="1:4" x14ac:dyDescent="0.45">
      <c r="A504" t="s">
        <v>58</v>
      </c>
      <c r="B504">
        <v>2009</v>
      </c>
      <c r="C504" t="s">
        <v>76</v>
      </c>
      <c r="D504">
        <v>0</v>
      </c>
    </row>
    <row r="505" spans="1:4" x14ac:dyDescent="0.45">
      <c r="A505" t="s">
        <v>91</v>
      </c>
      <c r="B505">
        <v>2009</v>
      </c>
      <c r="C505" t="s">
        <v>76</v>
      </c>
      <c r="D505">
        <v>0</v>
      </c>
    </row>
    <row r="506" spans="1:4" x14ac:dyDescent="0.45">
      <c r="A506" t="s">
        <v>32</v>
      </c>
      <c r="B506">
        <v>2010</v>
      </c>
      <c r="C506" t="s">
        <v>76</v>
      </c>
      <c r="D506">
        <v>0</v>
      </c>
    </row>
    <row r="507" spans="1:4" x14ac:dyDescent="0.45">
      <c r="A507" t="s">
        <v>34</v>
      </c>
      <c r="B507">
        <v>2010</v>
      </c>
      <c r="C507" t="s">
        <v>76</v>
      </c>
      <c r="D507">
        <v>0</v>
      </c>
    </row>
    <row r="508" spans="1:4" x14ac:dyDescent="0.45">
      <c r="A508" t="s">
        <v>36</v>
      </c>
      <c r="B508">
        <v>2010</v>
      </c>
      <c r="C508" t="s">
        <v>76</v>
      </c>
      <c r="D508">
        <v>28.5</v>
      </c>
    </row>
    <row r="509" spans="1:4" x14ac:dyDescent="0.45">
      <c r="A509" t="s">
        <v>56</v>
      </c>
      <c r="B509">
        <v>2010</v>
      </c>
      <c r="C509" t="s">
        <v>76</v>
      </c>
      <c r="D509">
        <v>0</v>
      </c>
    </row>
    <row r="510" spans="1:4" x14ac:dyDescent="0.45">
      <c r="A510" t="s">
        <v>57</v>
      </c>
      <c r="B510">
        <v>2010</v>
      </c>
      <c r="C510" t="s">
        <v>76</v>
      </c>
      <c r="D510">
        <v>0</v>
      </c>
    </row>
    <row r="511" spans="1:4" x14ac:dyDescent="0.45">
      <c r="A511" t="s">
        <v>38</v>
      </c>
      <c r="B511">
        <v>2010</v>
      </c>
      <c r="C511" t="s">
        <v>76</v>
      </c>
      <c r="D511">
        <v>0.63</v>
      </c>
    </row>
    <row r="512" spans="1:4" x14ac:dyDescent="0.45">
      <c r="A512" t="s">
        <v>32</v>
      </c>
      <c r="B512">
        <v>2010</v>
      </c>
      <c r="C512" t="s">
        <v>76</v>
      </c>
      <c r="D512">
        <v>0</v>
      </c>
    </row>
    <row r="513" spans="1:4" x14ac:dyDescent="0.45">
      <c r="A513" t="s">
        <v>58</v>
      </c>
      <c r="B513">
        <v>2010</v>
      </c>
      <c r="C513" t="s">
        <v>76</v>
      </c>
      <c r="D513">
        <v>0</v>
      </c>
    </row>
    <row r="514" spans="1:4" x14ac:dyDescent="0.45">
      <c r="A514" t="s">
        <v>91</v>
      </c>
      <c r="B514">
        <v>2010</v>
      </c>
      <c r="C514" t="s">
        <v>76</v>
      </c>
      <c r="D514">
        <v>0</v>
      </c>
    </row>
    <row r="515" spans="1:4" x14ac:dyDescent="0.45">
      <c r="A515" t="s">
        <v>32</v>
      </c>
      <c r="B515">
        <v>2011</v>
      </c>
      <c r="C515" t="s">
        <v>76</v>
      </c>
      <c r="D515">
        <v>0</v>
      </c>
    </row>
    <row r="516" spans="1:4" x14ac:dyDescent="0.45">
      <c r="A516" t="s">
        <v>34</v>
      </c>
      <c r="B516">
        <v>2011</v>
      </c>
      <c r="C516" t="s">
        <v>76</v>
      </c>
      <c r="D516">
        <v>0</v>
      </c>
    </row>
    <row r="517" spans="1:4" x14ac:dyDescent="0.45">
      <c r="A517" t="s">
        <v>36</v>
      </c>
      <c r="B517">
        <v>2011</v>
      </c>
      <c r="C517" t="s">
        <v>76</v>
      </c>
      <c r="D517">
        <v>31.73</v>
      </c>
    </row>
    <row r="518" spans="1:4" x14ac:dyDescent="0.45">
      <c r="A518" t="s">
        <v>56</v>
      </c>
      <c r="B518">
        <v>2011</v>
      </c>
      <c r="C518" t="s">
        <v>76</v>
      </c>
      <c r="D518">
        <v>0.01</v>
      </c>
    </row>
    <row r="519" spans="1:4" x14ac:dyDescent="0.45">
      <c r="A519" t="s">
        <v>57</v>
      </c>
      <c r="B519">
        <v>2011</v>
      </c>
      <c r="C519" t="s">
        <v>76</v>
      </c>
      <c r="D519">
        <v>0</v>
      </c>
    </row>
    <row r="520" spans="1:4" x14ac:dyDescent="0.45">
      <c r="A520" t="s">
        <v>38</v>
      </c>
      <c r="B520">
        <v>2011</v>
      </c>
      <c r="C520" t="s">
        <v>76</v>
      </c>
      <c r="D520">
        <v>0.7</v>
      </c>
    </row>
    <row r="521" spans="1:4" x14ac:dyDescent="0.45">
      <c r="A521" t="s">
        <v>32</v>
      </c>
      <c r="B521">
        <v>2011</v>
      </c>
      <c r="C521" t="s">
        <v>76</v>
      </c>
      <c r="D521">
        <v>0</v>
      </c>
    </row>
    <row r="522" spans="1:4" x14ac:dyDescent="0.45">
      <c r="A522" t="s">
        <v>58</v>
      </c>
      <c r="B522">
        <v>2011</v>
      </c>
      <c r="C522" t="s">
        <v>76</v>
      </c>
      <c r="D522">
        <v>0</v>
      </c>
    </row>
    <row r="523" spans="1:4" x14ac:dyDescent="0.45">
      <c r="A523" t="s">
        <v>91</v>
      </c>
      <c r="B523">
        <v>2011</v>
      </c>
      <c r="C523" t="s">
        <v>76</v>
      </c>
      <c r="D523">
        <v>0</v>
      </c>
    </row>
    <row r="524" spans="1:4" x14ac:dyDescent="0.45">
      <c r="A524" t="s">
        <v>32</v>
      </c>
      <c r="B524">
        <v>2012</v>
      </c>
      <c r="C524" t="s">
        <v>76</v>
      </c>
      <c r="D524">
        <v>0</v>
      </c>
    </row>
    <row r="525" spans="1:4" x14ac:dyDescent="0.45">
      <c r="A525" t="s">
        <v>34</v>
      </c>
      <c r="B525">
        <v>2012</v>
      </c>
      <c r="C525" t="s">
        <v>76</v>
      </c>
      <c r="D525">
        <v>0</v>
      </c>
    </row>
    <row r="526" spans="1:4" x14ac:dyDescent="0.45">
      <c r="A526" t="s">
        <v>36</v>
      </c>
      <c r="B526">
        <v>2012</v>
      </c>
      <c r="C526" t="s">
        <v>76</v>
      </c>
      <c r="D526">
        <v>35.61</v>
      </c>
    </row>
    <row r="527" spans="1:4" x14ac:dyDescent="0.45">
      <c r="A527" t="s">
        <v>56</v>
      </c>
      <c r="B527">
        <v>2012</v>
      </c>
      <c r="C527" t="s">
        <v>76</v>
      </c>
      <c r="D527">
        <v>0.01</v>
      </c>
    </row>
    <row r="528" spans="1:4" x14ac:dyDescent="0.45">
      <c r="A528" t="s">
        <v>57</v>
      </c>
      <c r="B528">
        <v>2012</v>
      </c>
      <c r="C528" t="s">
        <v>76</v>
      </c>
      <c r="D528">
        <v>0</v>
      </c>
    </row>
    <row r="529" spans="1:4" x14ac:dyDescent="0.45">
      <c r="A529" t="s">
        <v>38</v>
      </c>
      <c r="B529">
        <v>2012</v>
      </c>
      <c r="C529" t="s">
        <v>76</v>
      </c>
      <c r="D529">
        <v>0.7</v>
      </c>
    </row>
    <row r="530" spans="1:4" x14ac:dyDescent="0.45">
      <c r="A530" t="s">
        <v>32</v>
      </c>
      <c r="B530">
        <v>2012</v>
      </c>
      <c r="C530" t="s">
        <v>76</v>
      </c>
      <c r="D530">
        <v>0</v>
      </c>
    </row>
    <row r="531" spans="1:4" x14ac:dyDescent="0.45">
      <c r="A531" t="s">
        <v>58</v>
      </c>
      <c r="B531">
        <v>2012</v>
      </c>
      <c r="C531" t="s">
        <v>76</v>
      </c>
      <c r="D531">
        <v>0</v>
      </c>
    </row>
    <row r="532" spans="1:4" x14ac:dyDescent="0.45">
      <c r="A532" t="s">
        <v>91</v>
      </c>
      <c r="B532">
        <v>2012</v>
      </c>
      <c r="C532" t="s">
        <v>76</v>
      </c>
      <c r="D532">
        <v>0</v>
      </c>
    </row>
    <row r="533" spans="1:4" x14ac:dyDescent="0.45">
      <c r="A533" t="s">
        <v>32</v>
      </c>
      <c r="B533">
        <v>2013</v>
      </c>
      <c r="C533" t="s">
        <v>76</v>
      </c>
      <c r="D533">
        <v>0</v>
      </c>
    </row>
    <row r="534" spans="1:4" x14ac:dyDescent="0.45">
      <c r="A534" t="s">
        <v>34</v>
      </c>
      <c r="B534">
        <v>2013</v>
      </c>
      <c r="C534" t="s">
        <v>76</v>
      </c>
      <c r="D534">
        <v>0</v>
      </c>
    </row>
    <row r="535" spans="1:4" x14ac:dyDescent="0.45">
      <c r="A535" t="s">
        <v>36</v>
      </c>
      <c r="B535">
        <v>2013</v>
      </c>
      <c r="C535" t="s">
        <v>76</v>
      </c>
      <c r="D535">
        <v>37.49</v>
      </c>
    </row>
    <row r="536" spans="1:4" x14ac:dyDescent="0.45">
      <c r="A536" t="s">
        <v>56</v>
      </c>
      <c r="B536">
        <v>2013</v>
      </c>
      <c r="C536" t="s">
        <v>76</v>
      </c>
      <c r="D536">
        <v>0.01</v>
      </c>
    </row>
    <row r="537" spans="1:4" x14ac:dyDescent="0.45">
      <c r="A537" t="s">
        <v>57</v>
      </c>
      <c r="B537">
        <v>2013</v>
      </c>
      <c r="C537" t="s">
        <v>76</v>
      </c>
      <c r="D537">
        <v>0</v>
      </c>
    </row>
    <row r="538" spans="1:4" x14ac:dyDescent="0.45">
      <c r="A538" t="s">
        <v>38</v>
      </c>
      <c r="B538">
        <v>2013</v>
      </c>
      <c r="C538" t="s">
        <v>76</v>
      </c>
      <c r="D538">
        <v>0.59</v>
      </c>
    </row>
    <row r="539" spans="1:4" x14ac:dyDescent="0.45">
      <c r="A539" t="s">
        <v>32</v>
      </c>
      <c r="B539">
        <v>2013</v>
      </c>
      <c r="C539" t="s">
        <v>76</v>
      </c>
      <c r="D539">
        <v>0</v>
      </c>
    </row>
    <row r="540" spans="1:4" x14ac:dyDescent="0.45">
      <c r="A540" t="s">
        <v>58</v>
      </c>
      <c r="B540">
        <v>2013</v>
      </c>
      <c r="C540" t="s">
        <v>76</v>
      </c>
      <c r="D540">
        <v>0</v>
      </c>
    </row>
    <row r="541" spans="1:4" x14ac:dyDescent="0.45">
      <c r="A541" t="s">
        <v>91</v>
      </c>
      <c r="B541">
        <v>2013</v>
      </c>
      <c r="C541" t="s">
        <v>76</v>
      </c>
      <c r="D541">
        <v>0</v>
      </c>
    </row>
    <row r="542" spans="1:4" x14ac:dyDescent="0.45">
      <c r="A542" t="s">
        <v>32</v>
      </c>
      <c r="B542">
        <v>2014</v>
      </c>
      <c r="C542" t="s">
        <v>76</v>
      </c>
      <c r="D542">
        <v>0</v>
      </c>
    </row>
    <row r="543" spans="1:4" x14ac:dyDescent="0.45">
      <c r="A543" t="s">
        <v>34</v>
      </c>
      <c r="B543">
        <v>2014</v>
      </c>
      <c r="C543" t="s">
        <v>76</v>
      </c>
      <c r="D543">
        <v>0</v>
      </c>
    </row>
    <row r="544" spans="1:4" x14ac:dyDescent="0.45">
      <c r="A544" t="s">
        <v>36</v>
      </c>
      <c r="B544">
        <v>2014</v>
      </c>
      <c r="C544" t="s">
        <v>76</v>
      </c>
      <c r="D544">
        <v>40.49</v>
      </c>
    </row>
    <row r="545" spans="1:4" x14ac:dyDescent="0.45">
      <c r="A545" t="s">
        <v>56</v>
      </c>
      <c r="B545">
        <v>2014</v>
      </c>
      <c r="C545" t="s">
        <v>76</v>
      </c>
      <c r="D545">
        <v>0.01</v>
      </c>
    </row>
    <row r="546" spans="1:4" x14ac:dyDescent="0.45">
      <c r="A546" t="s">
        <v>57</v>
      </c>
      <c r="B546">
        <v>2014</v>
      </c>
      <c r="C546" t="s">
        <v>76</v>
      </c>
      <c r="D546">
        <v>0</v>
      </c>
    </row>
    <row r="547" spans="1:4" x14ac:dyDescent="0.45">
      <c r="A547" t="s">
        <v>38</v>
      </c>
      <c r="B547">
        <v>2014</v>
      </c>
      <c r="C547" t="s">
        <v>76</v>
      </c>
      <c r="D547">
        <v>0.44</v>
      </c>
    </row>
    <row r="548" spans="1:4" x14ac:dyDescent="0.45">
      <c r="A548" t="s">
        <v>32</v>
      </c>
      <c r="B548">
        <v>2014</v>
      </c>
      <c r="C548" t="s">
        <v>76</v>
      </c>
      <c r="D548">
        <v>0</v>
      </c>
    </row>
    <row r="549" spans="1:4" x14ac:dyDescent="0.45">
      <c r="A549" t="s">
        <v>58</v>
      </c>
      <c r="B549">
        <v>2014</v>
      </c>
      <c r="C549" t="s">
        <v>76</v>
      </c>
      <c r="D549">
        <v>0</v>
      </c>
    </row>
    <row r="550" spans="1:4" x14ac:dyDescent="0.45">
      <c r="A550" t="s">
        <v>91</v>
      </c>
      <c r="B550">
        <v>2014</v>
      </c>
      <c r="C550" t="s">
        <v>76</v>
      </c>
      <c r="D550">
        <v>0</v>
      </c>
    </row>
    <row r="551" spans="1:4" x14ac:dyDescent="0.45">
      <c r="A551" t="s">
        <v>32</v>
      </c>
      <c r="B551">
        <v>2015</v>
      </c>
      <c r="C551" t="s">
        <v>76</v>
      </c>
      <c r="D551">
        <v>0</v>
      </c>
    </row>
    <row r="552" spans="1:4" x14ac:dyDescent="0.45">
      <c r="A552" t="s">
        <v>34</v>
      </c>
      <c r="B552">
        <v>2015</v>
      </c>
      <c r="C552" t="s">
        <v>76</v>
      </c>
      <c r="D552">
        <v>0</v>
      </c>
    </row>
    <row r="553" spans="1:4" x14ac:dyDescent="0.45">
      <c r="A553" t="s">
        <v>36</v>
      </c>
      <c r="B553">
        <v>2015</v>
      </c>
      <c r="C553" t="s">
        <v>76</v>
      </c>
      <c r="D553">
        <v>43.25</v>
      </c>
    </row>
    <row r="554" spans="1:4" x14ac:dyDescent="0.45">
      <c r="A554" t="s">
        <v>56</v>
      </c>
      <c r="B554">
        <v>2015</v>
      </c>
      <c r="C554" t="s">
        <v>76</v>
      </c>
      <c r="D554">
        <v>0</v>
      </c>
    </row>
    <row r="555" spans="1:4" x14ac:dyDescent="0.45">
      <c r="A555" t="s">
        <v>57</v>
      </c>
      <c r="B555">
        <v>2015</v>
      </c>
      <c r="C555" t="s">
        <v>76</v>
      </c>
      <c r="D555">
        <v>0</v>
      </c>
    </row>
    <row r="556" spans="1:4" x14ac:dyDescent="0.45">
      <c r="A556" t="s">
        <v>38</v>
      </c>
      <c r="B556">
        <v>2015</v>
      </c>
      <c r="C556" t="s">
        <v>76</v>
      </c>
      <c r="D556">
        <v>0.63</v>
      </c>
    </row>
    <row r="557" spans="1:4" x14ac:dyDescent="0.45">
      <c r="A557" t="s">
        <v>32</v>
      </c>
      <c r="B557">
        <v>2015</v>
      </c>
      <c r="C557" t="s">
        <v>76</v>
      </c>
      <c r="D557">
        <v>0</v>
      </c>
    </row>
    <row r="558" spans="1:4" x14ac:dyDescent="0.45">
      <c r="A558" t="s">
        <v>58</v>
      </c>
      <c r="B558">
        <v>2015</v>
      </c>
      <c r="C558" t="s">
        <v>76</v>
      </c>
      <c r="D558">
        <v>0</v>
      </c>
    </row>
    <row r="559" spans="1:4" x14ac:dyDescent="0.45">
      <c r="A559" t="s">
        <v>91</v>
      </c>
      <c r="B559">
        <v>2015</v>
      </c>
      <c r="C559" t="s">
        <v>76</v>
      </c>
      <c r="D559">
        <v>0</v>
      </c>
    </row>
    <row r="560" spans="1:4" x14ac:dyDescent="0.45">
      <c r="A560" t="s">
        <v>32</v>
      </c>
      <c r="B560">
        <v>2016</v>
      </c>
      <c r="C560" t="s">
        <v>76</v>
      </c>
      <c r="D560">
        <v>0</v>
      </c>
    </row>
    <row r="561" spans="1:4" x14ac:dyDescent="0.45">
      <c r="A561" t="s">
        <v>34</v>
      </c>
      <c r="B561">
        <v>2016</v>
      </c>
      <c r="C561" t="s">
        <v>76</v>
      </c>
      <c r="D561">
        <v>0</v>
      </c>
    </row>
    <row r="562" spans="1:4" x14ac:dyDescent="0.45">
      <c r="A562" t="s">
        <v>36</v>
      </c>
      <c r="B562">
        <v>2016</v>
      </c>
      <c r="C562" t="s">
        <v>76</v>
      </c>
      <c r="D562">
        <v>44.54</v>
      </c>
    </row>
    <row r="563" spans="1:4" x14ac:dyDescent="0.45">
      <c r="A563" t="s">
        <v>56</v>
      </c>
      <c r="B563">
        <v>2016</v>
      </c>
      <c r="C563" t="s">
        <v>76</v>
      </c>
      <c r="D563">
        <v>0.01</v>
      </c>
    </row>
    <row r="564" spans="1:4" x14ac:dyDescent="0.45">
      <c r="A564" t="s">
        <v>57</v>
      </c>
      <c r="B564">
        <v>2016</v>
      </c>
      <c r="C564" t="s">
        <v>76</v>
      </c>
      <c r="D564">
        <v>0</v>
      </c>
    </row>
    <row r="565" spans="1:4" x14ac:dyDescent="0.45">
      <c r="A565" t="s">
        <v>38</v>
      </c>
      <c r="B565">
        <v>2016</v>
      </c>
      <c r="C565" t="s">
        <v>76</v>
      </c>
      <c r="D565">
        <v>0.66</v>
      </c>
    </row>
    <row r="566" spans="1:4" x14ac:dyDescent="0.45">
      <c r="A566" t="s">
        <v>32</v>
      </c>
      <c r="B566">
        <v>2016</v>
      </c>
      <c r="C566" t="s">
        <v>76</v>
      </c>
      <c r="D566">
        <v>0</v>
      </c>
    </row>
    <row r="567" spans="1:4" x14ac:dyDescent="0.45">
      <c r="A567" t="s">
        <v>58</v>
      </c>
      <c r="B567">
        <v>2016</v>
      </c>
      <c r="C567" t="s">
        <v>76</v>
      </c>
      <c r="D567">
        <v>0</v>
      </c>
    </row>
    <row r="568" spans="1:4" x14ac:dyDescent="0.45">
      <c r="A568" t="s">
        <v>91</v>
      </c>
      <c r="B568">
        <v>2016</v>
      </c>
      <c r="C568" t="s">
        <v>76</v>
      </c>
      <c r="D568">
        <v>0</v>
      </c>
    </row>
    <row r="569" spans="1:4" x14ac:dyDescent="0.45">
      <c r="A569" t="s">
        <v>32</v>
      </c>
      <c r="B569">
        <v>2017</v>
      </c>
      <c r="C569" t="s">
        <v>76</v>
      </c>
      <c r="D569">
        <v>0</v>
      </c>
    </row>
    <row r="570" spans="1:4" x14ac:dyDescent="0.45">
      <c r="A570" t="s">
        <v>34</v>
      </c>
      <c r="B570">
        <v>2017</v>
      </c>
      <c r="C570" t="s">
        <v>76</v>
      </c>
      <c r="D570">
        <v>0</v>
      </c>
    </row>
    <row r="571" spans="1:4" x14ac:dyDescent="0.45">
      <c r="A571" t="s">
        <v>36</v>
      </c>
      <c r="B571">
        <v>2017</v>
      </c>
      <c r="C571" t="s">
        <v>76</v>
      </c>
      <c r="D571">
        <v>47.97</v>
      </c>
    </row>
    <row r="572" spans="1:4" x14ac:dyDescent="0.45">
      <c r="A572" t="s">
        <v>56</v>
      </c>
      <c r="B572">
        <v>2017</v>
      </c>
      <c r="C572" t="s">
        <v>76</v>
      </c>
      <c r="D572">
        <v>0</v>
      </c>
    </row>
    <row r="573" spans="1:4" x14ac:dyDescent="0.45">
      <c r="A573" t="s">
        <v>57</v>
      </c>
      <c r="B573">
        <v>2017</v>
      </c>
      <c r="C573" t="s">
        <v>76</v>
      </c>
      <c r="D573">
        <v>0</v>
      </c>
    </row>
    <row r="574" spans="1:4" x14ac:dyDescent="0.45">
      <c r="A574" t="s">
        <v>38</v>
      </c>
      <c r="B574">
        <v>2017</v>
      </c>
      <c r="C574" t="s">
        <v>76</v>
      </c>
      <c r="D574">
        <v>0.24</v>
      </c>
    </row>
    <row r="575" spans="1:4" x14ac:dyDescent="0.45">
      <c r="A575" t="s">
        <v>32</v>
      </c>
      <c r="B575">
        <v>2017</v>
      </c>
      <c r="C575" t="s">
        <v>76</v>
      </c>
      <c r="D575">
        <v>0</v>
      </c>
    </row>
    <row r="576" spans="1:4" x14ac:dyDescent="0.45">
      <c r="A576" t="s">
        <v>58</v>
      </c>
      <c r="B576">
        <v>2017</v>
      </c>
      <c r="C576" t="s">
        <v>76</v>
      </c>
      <c r="D576">
        <v>0.03</v>
      </c>
    </row>
    <row r="577" spans="1:4" x14ac:dyDescent="0.45">
      <c r="A577" t="s">
        <v>91</v>
      </c>
      <c r="B577">
        <v>2017</v>
      </c>
      <c r="C577" t="s">
        <v>76</v>
      </c>
      <c r="D577">
        <v>0</v>
      </c>
    </row>
    <row r="578" spans="1:4" x14ac:dyDescent="0.45">
      <c r="A578" t="s">
        <v>32</v>
      </c>
      <c r="B578">
        <v>2018</v>
      </c>
      <c r="C578" t="s">
        <v>76</v>
      </c>
      <c r="D578">
        <v>0</v>
      </c>
    </row>
    <row r="579" spans="1:4" x14ac:dyDescent="0.45">
      <c r="A579" t="s">
        <v>34</v>
      </c>
      <c r="B579">
        <v>2018</v>
      </c>
      <c r="C579" t="s">
        <v>76</v>
      </c>
      <c r="D579">
        <v>0</v>
      </c>
    </row>
    <row r="580" spans="1:4" x14ac:dyDescent="0.45">
      <c r="A580" t="s">
        <v>36</v>
      </c>
      <c r="B580">
        <v>2018</v>
      </c>
      <c r="C580" t="s">
        <v>76</v>
      </c>
      <c r="D580">
        <v>48.25</v>
      </c>
    </row>
    <row r="581" spans="1:4" x14ac:dyDescent="0.45">
      <c r="A581" t="s">
        <v>56</v>
      </c>
      <c r="B581">
        <v>2018</v>
      </c>
      <c r="C581" t="s">
        <v>76</v>
      </c>
      <c r="D581">
        <v>0</v>
      </c>
    </row>
    <row r="582" spans="1:4" x14ac:dyDescent="0.45">
      <c r="A582" t="s">
        <v>57</v>
      </c>
      <c r="B582">
        <v>2018</v>
      </c>
      <c r="C582" t="s">
        <v>76</v>
      </c>
      <c r="D582">
        <v>0</v>
      </c>
    </row>
    <row r="583" spans="1:4" x14ac:dyDescent="0.45">
      <c r="A583" t="s">
        <v>38</v>
      </c>
      <c r="B583">
        <v>2018</v>
      </c>
      <c r="C583" t="s">
        <v>76</v>
      </c>
      <c r="D583">
        <v>0.28000000000000003</v>
      </c>
    </row>
    <row r="584" spans="1:4" x14ac:dyDescent="0.45">
      <c r="A584" t="s">
        <v>32</v>
      </c>
      <c r="B584">
        <v>2018</v>
      </c>
      <c r="C584" t="s">
        <v>76</v>
      </c>
      <c r="D584">
        <v>0</v>
      </c>
    </row>
    <row r="585" spans="1:4" x14ac:dyDescent="0.45">
      <c r="A585" t="s">
        <v>58</v>
      </c>
      <c r="B585">
        <v>2018</v>
      </c>
      <c r="C585" t="s">
        <v>76</v>
      </c>
      <c r="D585">
        <v>0.03</v>
      </c>
    </row>
    <row r="586" spans="1:4" x14ac:dyDescent="0.45">
      <c r="A586" t="s">
        <v>91</v>
      </c>
      <c r="B586">
        <v>2018</v>
      </c>
      <c r="C586" t="s">
        <v>76</v>
      </c>
      <c r="D586">
        <v>0</v>
      </c>
    </row>
    <row r="587" spans="1:4" x14ac:dyDescent="0.45">
      <c r="A587" t="s">
        <v>32</v>
      </c>
      <c r="B587">
        <v>2019</v>
      </c>
      <c r="C587" t="s">
        <v>76</v>
      </c>
      <c r="D587">
        <v>0</v>
      </c>
    </row>
    <row r="588" spans="1:4" x14ac:dyDescent="0.45">
      <c r="A588" t="s">
        <v>34</v>
      </c>
      <c r="B588">
        <v>2019</v>
      </c>
      <c r="C588" t="s">
        <v>76</v>
      </c>
      <c r="D588">
        <v>0</v>
      </c>
    </row>
    <row r="589" spans="1:4" x14ac:dyDescent="0.45">
      <c r="A589" t="s">
        <v>36</v>
      </c>
      <c r="B589">
        <v>2019</v>
      </c>
      <c r="C589" t="s">
        <v>76</v>
      </c>
      <c r="D589">
        <v>51.36</v>
      </c>
    </row>
    <row r="590" spans="1:4" x14ac:dyDescent="0.45">
      <c r="A590" t="s">
        <v>56</v>
      </c>
      <c r="B590">
        <v>2019</v>
      </c>
      <c r="C590" t="s">
        <v>76</v>
      </c>
      <c r="D590">
        <v>0</v>
      </c>
    </row>
    <row r="591" spans="1:4" x14ac:dyDescent="0.45">
      <c r="A591" t="s">
        <v>57</v>
      </c>
      <c r="B591">
        <v>2019</v>
      </c>
      <c r="C591" t="s">
        <v>76</v>
      </c>
      <c r="D591">
        <v>0</v>
      </c>
    </row>
    <row r="592" spans="1:4" x14ac:dyDescent="0.45">
      <c r="A592" t="s">
        <v>38</v>
      </c>
      <c r="B592">
        <v>2019</v>
      </c>
      <c r="C592" t="s">
        <v>76</v>
      </c>
      <c r="D592">
        <v>0.25</v>
      </c>
    </row>
    <row r="593" spans="1:4" x14ac:dyDescent="0.45">
      <c r="A593" t="s">
        <v>32</v>
      </c>
      <c r="B593">
        <v>2019</v>
      </c>
      <c r="C593" t="s">
        <v>76</v>
      </c>
      <c r="D593">
        <v>0</v>
      </c>
    </row>
    <row r="594" spans="1:4" x14ac:dyDescent="0.45">
      <c r="A594" t="s">
        <v>58</v>
      </c>
      <c r="B594">
        <v>2019</v>
      </c>
      <c r="C594" t="s">
        <v>76</v>
      </c>
      <c r="D594">
        <v>0.03</v>
      </c>
    </row>
    <row r="595" spans="1:4" x14ac:dyDescent="0.45">
      <c r="A595" t="s">
        <v>91</v>
      </c>
      <c r="B595">
        <v>2019</v>
      </c>
      <c r="C595" t="s">
        <v>76</v>
      </c>
      <c r="D595">
        <v>0</v>
      </c>
    </row>
    <row r="596" spans="1:4" x14ac:dyDescent="0.45">
      <c r="A596" t="s">
        <v>32</v>
      </c>
      <c r="B596">
        <v>2020</v>
      </c>
      <c r="C596" t="s">
        <v>76</v>
      </c>
      <c r="D596">
        <v>0</v>
      </c>
    </row>
    <row r="597" spans="1:4" x14ac:dyDescent="0.45">
      <c r="A597" t="s">
        <v>34</v>
      </c>
      <c r="B597">
        <v>2020</v>
      </c>
      <c r="C597" t="s">
        <v>76</v>
      </c>
      <c r="D597">
        <v>0</v>
      </c>
    </row>
    <row r="598" spans="1:4" x14ac:dyDescent="0.45">
      <c r="A598" t="s">
        <v>36</v>
      </c>
      <c r="B598">
        <v>2020</v>
      </c>
      <c r="C598" t="s">
        <v>76</v>
      </c>
      <c r="D598">
        <v>49.93</v>
      </c>
    </row>
    <row r="599" spans="1:4" x14ac:dyDescent="0.45">
      <c r="A599" t="s">
        <v>56</v>
      </c>
      <c r="B599">
        <v>2020</v>
      </c>
      <c r="C599" t="s">
        <v>76</v>
      </c>
      <c r="D599">
        <v>0</v>
      </c>
    </row>
    <row r="600" spans="1:4" x14ac:dyDescent="0.45">
      <c r="A600" t="s">
        <v>57</v>
      </c>
      <c r="B600">
        <v>2020</v>
      </c>
      <c r="C600" t="s">
        <v>76</v>
      </c>
      <c r="D600">
        <v>0</v>
      </c>
    </row>
    <row r="601" spans="1:4" x14ac:dyDescent="0.45">
      <c r="A601" t="s">
        <v>38</v>
      </c>
      <c r="B601">
        <v>2020</v>
      </c>
      <c r="C601" t="s">
        <v>76</v>
      </c>
      <c r="D601">
        <v>0.24</v>
      </c>
    </row>
    <row r="602" spans="1:4" x14ac:dyDescent="0.45">
      <c r="A602" t="s">
        <v>32</v>
      </c>
      <c r="B602">
        <v>2020</v>
      </c>
      <c r="C602" t="s">
        <v>76</v>
      </c>
      <c r="D602">
        <v>0</v>
      </c>
    </row>
    <row r="603" spans="1:4" x14ac:dyDescent="0.45">
      <c r="A603" t="s">
        <v>58</v>
      </c>
      <c r="B603">
        <v>2020</v>
      </c>
      <c r="C603" t="s">
        <v>76</v>
      </c>
      <c r="D603">
        <v>0.03</v>
      </c>
    </row>
    <row r="604" spans="1:4" x14ac:dyDescent="0.45">
      <c r="A604" t="s">
        <v>91</v>
      </c>
      <c r="B604">
        <v>2020</v>
      </c>
      <c r="C604" t="s">
        <v>76</v>
      </c>
      <c r="D604">
        <v>0</v>
      </c>
    </row>
    <row r="605" spans="1:4" x14ac:dyDescent="0.45">
      <c r="A605" t="s">
        <v>32</v>
      </c>
      <c r="B605">
        <v>2021</v>
      </c>
      <c r="C605" t="s">
        <v>76</v>
      </c>
      <c r="D605">
        <v>0</v>
      </c>
    </row>
    <row r="606" spans="1:4" x14ac:dyDescent="0.45">
      <c r="A606" t="s">
        <v>34</v>
      </c>
      <c r="B606">
        <v>2021</v>
      </c>
      <c r="C606" t="s">
        <v>76</v>
      </c>
      <c r="D606">
        <v>0</v>
      </c>
    </row>
    <row r="607" spans="1:4" x14ac:dyDescent="0.45">
      <c r="A607" t="s">
        <v>36</v>
      </c>
      <c r="B607">
        <v>2021</v>
      </c>
      <c r="C607" t="s">
        <v>76</v>
      </c>
      <c r="D607">
        <v>53.95</v>
      </c>
    </row>
    <row r="608" spans="1:4" x14ac:dyDescent="0.45">
      <c r="A608" t="s">
        <v>56</v>
      </c>
      <c r="B608">
        <v>2021</v>
      </c>
      <c r="C608" t="s">
        <v>76</v>
      </c>
      <c r="D608">
        <v>0</v>
      </c>
    </row>
    <row r="609" spans="1:4" x14ac:dyDescent="0.45">
      <c r="A609" t="s">
        <v>57</v>
      </c>
      <c r="B609">
        <v>2021</v>
      </c>
      <c r="C609" t="s">
        <v>76</v>
      </c>
      <c r="D609">
        <v>0</v>
      </c>
    </row>
    <row r="610" spans="1:4" x14ac:dyDescent="0.45">
      <c r="A610" t="s">
        <v>38</v>
      </c>
      <c r="B610">
        <v>2021</v>
      </c>
      <c r="C610" t="s">
        <v>76</v>
      </c>
      <c r="D610">
        <v>0.24</v>
      </c>
    </row>
    <row r="611" spans="1:4" x14ac:dyDescent="0.45">
      <c r="A611" t="s">
        <v>32</v>
      </c>
      <c r="B611">
        <v>2021</v>
      </c>
      <c r="C611" t="s">
        <v>76</v>
      </c>
      <c r="D611">
        <v>0</v>
      </c>
    </row>
    <row r="612" spans="1:4" x14ac:dyDescent="0.45">
      <c r="A612" t="s">
        <v>58</v>
      </c>
      <c r="B612">
        <v>2021</v>
      </c>
      <c r="C612" t="s">
        <v>76</v>
      </c>
      <c r="D612">
        <v>0.03</v>
      </c>
    </row>
    <row r="613" spans="1:4" x14ac:dyDescent="0.45">
      <c r="A613" t="s">
        <v>91</v>
      </c>
      <c r="B613">
        <v>2021</v>
      </c>
      <c r="C613" t="s">
        <v>76</v>
      </c>
      <c r="D613">
        <v>0</v>
      </c>
    </row>
    <row r="614" spans="1:4" x14ac:dyDescent="0.45">
      <c r="A614" t="s">
        <v>32</v>
      </c>
      <c r="B614">
        <v>2022</v>
      </c>
      <c r="C614" t="s">
        <v>76</v>
      </c>
      <c r="D614">
        <v>0</v>
      </c>
    </row>
    <row r="615" spans="1:4" x14ac:dyDescent="0.45">
      <c r="A615" t="s">
        <v>34</v>
      </c>
      <c r="B615">
        <v>2022</v>
      </c>
      <c r="C615" t="s">
        <v>76</v>
      </c>
      <c r="D615">
        <v>0</v>
      </c>
    </row>
    <row r="616" spans="1:4" x14ac:dyDescent="0.45">
      <c r="A616" t="s">
        <v>36</v>
      </c>
      <c r="B616">
        <v>2022</v>
      </c>
      <c r="C616" t="s">
        <v>76</v>
      </c>
      <c r="D616">
        <v>55.68</v>
      </c>
    </row>
    <row r="617" spans="1:4" x14ac:dyDescent="0.45">
      <c r="A617" t="s">
        <v>56</v>
      </c>
      <c r="B617">
        <v>2022</v>
      </c>
      <c r="C617" t="s">
        <v>76</v>
      </c>
      <c r="D617">
        <v>0</v>
      </c>
    </row>
    <row r="618" spans="1:4" x14ac:dyDescent="0.45">
      <c r="A618" t="s">
        <v>57</v>
      </c>
      <c r="B618">
        <v>2022</v>
      </c>
      <c r="C618" t="s">
        <v>76</v>
      </c>
      <c r="D618">
        <v>0</v>
      </c>
    </row>
    <row r="619" spans="1:4" x14ac:dyDescent="0.45">
      <c r="A619" t="s">
        <v>38</v>
      </c>
      <c r="B619">
        <v>2022</v>
      </c>
      <c r="C619" t="s">
        <v>76</v>
      </c>
      <c r="D619">
        <v>0.25</v>
      </c>
    </row>
    <row r="620" spans="1:4" x14ac:dyDescent="0.45">
      <c r="A620" t="s">
        <v>32</v>
      </c>
      <c r="B620">
        <v>2022</v>
      </c>
      <c r="C620" t="s">
        <v>76</v>
      </c>
      <c r="D620">
        <v>0</v>
      </c>
    </row>
    <row r="621" spans="1:4" x14ac:dyDescent="0.45">
      <c r="A621" t="s">
        <v>58</v>
      </c>
      <c r="B621">
        <v>2022</v>
      </c>
      <c r="C621" t="s">
        <v>76</v>
      </c>
      <c r="D621">
        <v>0.03</v>
      </c>
    </row>
    <row r="622" spans="1:4" x14ac:dyDescent="0.45">
      <c r="A622" t="s">
        <v>91</v>
      </c>
      <c r="B622">
        <v>2022</v>
      </c>
      <c r="C622" t="s">
        <v>76</v>
      </c>
      <c r="D622">
        <v>0</v>
      </c>
    </row>
    <row r="623" spans="1:4" x14ac:dyDescent="0.45">
      <c r="A623" t="s">
        <v>59</v>
      </c>
      <c r="B623">
        <v>2000</v>
      </c>
      <c r="C623" t="s">
        <v>74</v>
      </c>
      <c r="D623">
        <v>0.3</v>
      </c>
    </row>
    <row r="624" spans="1:4" x14ac:dyDescent="0.45">
      <c r="A624" t="s">
        <v>60</v>
      </c>
      <c r="B624">
        <v>2000</v>
      </c>
      <c r="C624" t="s">
        <v>74</v>
      </c>
      <c r="D624">
        <v>0.2</v>
      </c>
    </row>
    <row r="625" spans="1:4" x14ac:dyDescent="0.45">
      <c r="A625" t="s">
        <v>59</v>
      </c>
      <c r="B625">
        <v>2001</v>
      </c>
      <c r="C625" t="s">
        <v>74</v>
      </c>
      <c r="D625">
        <v>0.2</v>
      </c>
    </row>
    <row r="626" spans="1:4" x14ac:dyDescent="0.45">
      <c r="A626" t="s">
        <v>60</v>
      </c>
      <c r="B626">
        <v>2001</v>
      </c>
      <c r="C626" t="s">
        <v>74</v>
      </c>
      <c r="D626">
        <v>0.2</v>
      </c>
    </row>
    <row r="627" spans="1:4" x14ac:dyDescent="0.45">
      <c r="A627" t="s">
        <v>59</v>
      </c>
      <c r="B627">
        <v>2002</v>
      </c>
      <c r="C627" t="s">
        <v>74</v>
      </c>
      <c r="D627">
        <v>0.3</v>
      </c>
    </row>
    <row r="628" spans="1:4" x14ac:dyDescent="0.45">
      <c r="A628" t="s">
        <v>60</v>
      </c>
      <c r="B628">
        <v>2002</v>
      </c>
      <c r="C628" t="s">
        <v>74</v>
      </c>
      <c r="D628">
        <v>0.2</v>
      </c>
    </row>
    <row r="629" spans="1:4" x14ac:dyDescent="0.45">
      <c r="A629" t="s">
        <v>59</v>
      </c>
      <c r="B629">
        <v>2003</v>
      </c>
      <c r="C629" t="s">
        <v>74</v>
      </c>
      <c r="D629">
        <v>0.2</v>
      </c>
    </row>
    <row r="630" spans="1:4" x14ac:dyDescent="0.45">
      <c r="A630" t="s">
        <v>60</v>
      </c>
      <c r="B630">
        <v>2003</v>
      </c>
      <c r="C630" t="s">
        <v>74</v>
      </c>
      <c r="D630">
        <v>0.2</v>
      </c>
    </row>
    <row r="631" spans="1:4" x14ac:dyDescent="0.45">
      <c r="A631" t="s">
        <v>59</v>
      </c>
      <c r="B631">
        <v>2004</v>
      </c>
      <c r="C631" t="s">
        <v>74</v>
      </c>
      <c r="D631">
        <v>0.2</v>
      </c>
    </row>
    <row r="632" spans="1:4" x14ac:dyDescent="0.45">
      <c r="A632" t="s">
        <v>60</v>
      </c>
      <c r="B632">
        <v>2004</v>
      </c>
      <c r="C632" t="s">
        <v>74</v>
      </c>
      <c r="D632">
        <v>0.2</v>
      </c>
    </row>
    <row r="633" spans="1:4" x14ac:dyDescent="0.45">
      <c r="A633" t="s">
        <v>59</v>
      </c>
      <c r="B633">
        <v>2005</v>
      </c>
      <c r="C633" t="s">
        <v>74</v>
      </c>
      <c r="D633">
        <v>0.3</v>
      </c>
    </row>
    <row r="634" spans="1:4" x14ac:dyDescent="0.45">
      <c r="A634" t="s">
        <v>60</v>
      </c>
      <c r="B634">
        <v>2005</v>
      </c>
      <c r="C634" t="s">
        <v>74</v>
      </c>
      <c r="D634">
        <v>0.2</v>
      </c>
    </row>
    <row r="635" spans="1:4" x14ac:dyDescent="0.45">
      <c r="A635" t="s">
        <v>59</v>
      </c>
      <c r="B635">
        <v>2006</v>
      </c>
      <c r="C635" t="s">
        <v>74</v>
      </c>
      <c r="D635">
        <v>0.3</v>
      </c>
    </row>
    <row r="636" spans="1:4" x14ac:dyDescent="0.45">
      <c r="A636" t="s">
        <v>60</v>
      </c>
      <c r="B636">
        <v>2006</v>
      </c>
      <c r="C636" t="s">
        <v>74</v>
      </c>
      <c r="D636">
        <v>0.4</v>
      </c>
    </row>
    <row r="637" spans="1:4" x14ac:dyDescent="0.45">
      <c r="A637" t="s">
        <v>59</v>
      </c>
      <c r="B637">
        <v>2007</v>
      </c>
      <c r="C637" t="s">
        <v>74</v>
      </c>
      <c r="D637">
        <v>0.3</v>
      </c>
    </row>
    <row r="638" spans="1:4" x14ac:dyDescent="0.45">
      <c r="A638" t="s">
        <v>60</v>
      </c>
      <c r="B638">
        <v>2007</v>
      </c>
      <c r="C638" t="s">
        <v>74</v>
      </c>
      <c r="D638">
        <v>0.3</v>
      </c>
    </row>
    <row r="639" spans="1:4" x14ac:dyDescent="0.45">
      <c r="A639" t="s">
        <v>59</v>
      </c>
      <c r="B639">
        <v>2008</v>
      </c>
      <c r="C639" t="s">
        <v>74</v>
      </c>
      <c r="D639">
        <v>0.3</v>
      </c>
    </row>
    <row r="640" spans="1:4" x14ac:dyDescent="0.45">
      <c r="A640" t="s">
        <v>60</v>
      </c>
      <c r="B640">
        <v>2008</v>
      </c>
      <c r="C640" t="s">
        <v>74</v>
      </c>
      <c r="D640">
        <v>0.3</v>
      </c>
    </row>
    <row r="641" spans="1:4" x14ac:dyDescent="0.45">
      <c r="A641" t="s">
        <v>59</v>
      </c>
      <c r="B641">
        <v>2009</v>
      </c>
      <c r="C641" t="s">
        <v>74</v>
      </c>
      <c r="D641">
        <v>0.4</v>
      </c>
    </row>
    <row r="642" spans="1:4" x14ac:dyDescent="0.45">
      <c r="A642" t="s">
        <v>60</v>
      </c>
      <c r="B642">
        <v>2009</v>
      </c>
      <c r="C642" t="s">
        <v>74</v>
      </c>
      <c r="D642">
        <v>0.3</v>
      </c>
    </row>
    <row r="643" spans="1:4" x14ac:dyDescent="0.45">
      <c r="A643" t="s">
        <v>59</v>
      </c>
      <c r="B643">
        <v>2010</v>
      </c>
      <c r="C643" t="s">
        <v>74</v>
      </c>
      <c r="D643">
        <v>0.8</v>
      </c>
    </row>
    <row r="644" spans="1:4" x14ac:dyDescent="0.45">
      <c r="A644" t="s">
        <v>60</v>
      </c>
      <c r="B644">
        <v>2010</v>
      </c>
      <c r="C644" t="s">
        <v>74</v>
      </c>
      <c r="D644">
        <v>0.7</v>
      </c>
    </row>
    <row r="645" spans="1:4" x14ac:dyDescent="0.45">
      <c r="A645" t="s">
        <v>59</v>
      </c>
      <c r="B645">
        <v>2011</v>
      </c>
      <c r="C645" t="s">
        <v>74</v>
      </c>
      <c r="D645">
        <v>0.8</v>
      </c>
    </row>
    <row r="646" spans="1:4" x14ac:dyDescent="0.45">
      <c r="A646" t="s">
        <v>60</v>
      </c>
      <c r="B646">
        <v>2011</v>
      </c>
      <c r="C646" t="s">
        <v>74</v>
      </c>
      <c r="D646">
        <v>0.7</v>
      </c>
    </row>
    <row r="647" spans="1:4" x14ac:dyDescent="0.45">
      <c r="A647" t="s">
        <v>59</v>
      </c>
      <c r="B647">
        <v>2012</v>
      </c>
      <c r="C647" t="s">
        <v>74</v>
      </c>
      <c r="D647">
        <v>1</v>
      </c>
    </row>
    <row r="648" spans="1:4" x14ac:dyDescent="0.45">
      <c r="A648" t="s">
        <v>60</v>
      </c>
      <c r="B648">
        <v>2012</v>
      </c>
      <c r="C648" t="s">
        <v>74</v>
      </c>
      <c r="D648">
        <v>0.9</v>
      </c>
    </row>
    <row r="649" spans="1:4" x14ac:dyDescent="0.45">
      <c r="A649" t="s">
        <v>59</v>
      </c>
      <c r="B649">
        <v>2013</v>
      </c>
      <c r="C649" t="s">
        <v>74</v>
      </c>
      <c r="D649">
        <v>0.4</v>
      </c>
    </row>
    <row r="650" spans="1:4" x14ac:dyDescent="0.45">
      <c r="A650" t="s">
        <v>60</v>
      </c>
      <c r="B650">
        <v>2013</v>
      </c>
      <c r="C650" t="s">
        <v>74</v>
      </c>
      <c r="D650">
        <v>0.3</v>
      </c>
    </row>
    <row r="651" spans="1:4" x14ac:dyDescent="0.45">
      <c r="A651" t="s">
        <v>59</v>
      </c>
      <c r="B651">
        <v>2014</v>
      </c>
      <c r="C651" t="s">
        <v>74</v>
      </c>
      <c r="D651">
        <v>0.9</v>
      </c>
    </row>
    <row r="652" spans="1:4" x14ac:dyDescent="0.45">
      <c r="A652" t="s">
        <v>60</v>
      </c>
      <c r="B652">
        <v>2014</v>
      </c>
      <c r="C652" t="s">
        <v>74</v>
      </c>
      <c r="D652">
        <v>0.7</v>
      </c>
    </row>
    <row r="653" spans="1:4" x14ac:dyDescent="0.45">
      <c r="A653" t="s">
        <v>59</v>
      </c>
      <c r="B653">
        <v>2015</v>
      </c>
      <c r="C653" t="s">
        <v>74</v>
      </c>
      <c r="D653">
        <v>0.6</v>
      </c>
    </row>
    <row r="654" spans="1:4" x14ac:dyDescent="0.45">
      <c r="A654" t="s">
        <v>60</v>
      </c>
      <c r="B654">
        <v>2015</v>
      </c>
      <c r="C654" t="s">
        <v>74</v>
      </c>
      <c r="D654">
        <v>0.6</v>
      </c>
    </row>
    <row r="655" spans="1:4" x14ac:dyDescent="0.45">
      <c r="A655" t="s">
        <v>59</v>
      </c>
      <c r="B655">
        <v>2016</v>
      </c>
      <c r="C655" t="s">
        <v>74</v>
      </c>
      <c r="D655">
        <v>0.5</v>
      </c>
    </row>
    <row r="656" spans="1:4" x14ac:dyDescent="0.45">
      <c r="A656" t="s">
        <v>60</v>
      </c>
      <c r="B656">
        <v>2016</v>
      </c>
      <c r="C656" t="s">
        <v>74</v>
      </c>
      <c r="D656">
        <v>0.3</v>
      </c>
    </row>
    <row r="657" spans="1:4" x14ac:dyDescent="0.45">
      <c r="A657" t="s">
        <v>59</v>
      </c>
      <c r="B657">
        <v>2017</v>
      </c>
      <c r="C657" t="s">
        <v>74</v>
      </c>
      <c r="D657">
        <v>0.9</v>
      </c>
    </row>
    <row r="658" spans="1:4" x14ac:dyDescent="0.45">
      <c r="A658" t="s">
        <v>60</v>
      </c>
      <c r="B658">
        <v>2017</v>
      </c>
      <c r="C658" t="s">
        <v>74</v>
      </c>
      <c r="D658">
        <v>0.5</v>
      </c>
    </row>
    <row r="659" spans="1:4" x14ac:dyDescent="0.45">
      <c r="A659" t="s">
        <v>59</v>
      </c>
      <c r="B659">
        <v>2018</v>
      </c>
      <c r="C659" t="s">
        <v>74</v>
      </c>
      <c r="D659">
        <v>0.6</v>
      </c>
    </row>
    <row r="660" spans="1:4" x14ac:dyDescent="0.45">
      <c r="A660" t="s">
        <v>60</v>
      </c>
      <c r="B660">
        <v>2018</v>
      </c>
      <c r="C660" t="s">
        <v>74</v>
      </c>
      <c r="D660">
        <v>0.5</v>
      </c>
    </row>
    <row r="661" spans="1:4" x14ac:dyDescent="0.45">
      <c r="A661" t="s">
        <v>59</v>
      </c>
      <c r="B661">
        <v>2019</v>
      </c>
      <c r="C661" t="s">
        <v>74</v>
      </c>
      <c r="D661">
        <v>0.7</v>
      </c>
    </row>
    <row r="662" spans="1:4" x14ac:dyDescent="0.45">
      <c r="A662" t="s">
        <v>60</v>
      </c>
      <c r="B662">
        <v>2019</v>
      </c>
      <c r="C662" t="s">
        <v>74</v>
      </c>
      <c r="D662">
        <v>0.5</v>
      </c>
    </row>
    <row r="663" spans="1:4" x14ac:dyDescent="0.45">
      <c r="A663" t="s">
        <v>59</v>
      </c>
      <c r="B663">
        <v>2020</v>
      </c>
      <c r="C663" t="s">
        <v>74</v>
      </c>
      <c r="D663">
        <v>0.6</v>
      </c>
    </row>
    <row r="664" spans="1:4" x14ac:dyDescent="0.45">
      <c r="A664" t="s">
        <v>60</v>
      </c>
      <c r="B664">
        <v>2020</v>
      </c>
      <c r="C664" t="s">
        <v>74</v>
      </c>
      <c r="D664">
        <v>0.5</v>
      </c>
    </row>
    <row r="665" spans="1:4" x14ac:dyDescent="0.45">
      <c r="A665" t="s">
        <v>59</v>
      </c>
      <c r="B665">
        <v>2021</v>
      </c>
      <c r="C665" t="s">
        <v>74</v>
      </c>
      <c r="D665">
        <v>1.5</v>
      </c>
    </row>
    <row r="666" spans="1:4" x14ac:dyDescent="0.45">
      <c r="A666" t="s">
        <v>60</v>
      </c>
      <c r="B666">
        <v>2021</v>
      </c>
      <c r="C666" t="s">
        <v>74</v>
      </c>
      <c r="D666">
        <v>0.4</v>
      </c>
    </row>
    <row r="667" spans="1:4" x14ac:dyDescent="0.45">
      <c r="A667" t="s">
        <v>59</v>
      </c>
      <c r="B667">
        <v>2022</v>
      </c>
      <c r="C667" t="s">
        <v>74</v>
      </c>
      <c r="D667">
        <v>2.8</v>
      </c>
    </row>
    <row r="668" spans="1:4" x14ac:dyDescent="0.45">
      <c r="A668" t="s">
        <v>60</v>
      </c>
      <c r="B668">
        <v>2022</v>
      </c>
      <c r="C668" t="s">
        <v>74</v>
      </c>
      <c r="D668">
        <v>0.2</v>
      </c>
    </row>
    <row r="669" spans="1:4" x14ac:dyDescent="0.45">
      <c r="A669" t="s">
        <v>59</v>
      </c>
      <c r="B669">
        <v>2023</v>
      </c>
      <c r="C669" t="s">
        <v>74</v>
      </c>
    </row>
    <row r="670" spans="1:4" x14ac:dyDescent="0.45">
      <c r="A670" t="s">
        <v>60</v>
      </c>
      <c r="B670">
        <v>2023</v>
      </c>
      <c r="C670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9.4000000000000004E-3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9.4000000000000004E-3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9.4000000000000004E-3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9.4000000000000004E-3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1.8800000000000001E-2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9.4000000000000004E-3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9.4000000000000004E-3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3.7600000000000001E-2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2.8199999999999996E-2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2.8199999999999996E-2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2.8199999999999996E-2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8.4599999999999995E-2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4.7E-2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5.6399999999999992E-2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8.4599999999999995E-2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1.8800000000000001E-2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9.4000000000000004E-3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0.10340000000000001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1.8800000000000001E-2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2.8199999999999996E-2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3.7600000000000001E-2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4.7E-2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25.266999999999999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24.64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24.689500000000002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25.316499999999998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25.420999999999999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25.233999999999998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25.266999999999999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35.194499999999998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35.881999999999998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36.046999999999997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34.859000000000002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36.855499999999999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35.161499999999997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34.969000000000001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40.721999999999994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43.262999999999998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43.554500000000004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41.6845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32.735999999999997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43.158499999999997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34.055999999999997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40.837500000000006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47.987500000000004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46.711500000000001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50.072000000000003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17.490000000000002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46.436500000000002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12.1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38.241500000000002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49.6265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42.223500000000001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57.447499999999998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4.1469999999999994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49.686999999999998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0.32450000000000001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41.167500000000004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49.967500000000001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37.526499999999999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61.836500000000001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11.978999999999999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52.673499999999997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0.16500000000000001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38.329499999999996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51.5075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28.369000000000003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55.241999999999997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15.631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49.951000000000001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0.56100000000000005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9.8000000000000004E-2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9.8000000000000004E-2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9.8000000000000004E-2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9.8000000000000004E-2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0.105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9.8000000000000004E-2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9.8000000000000004E-2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7.0000000000000001E-3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7.0000000000000001E-3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7.0000000000000001E-3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7.0000000000000001E-3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0.12504999999999999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0.125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0.12534999999999999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0.12494999999999999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0.11835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0.12475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0.11865000000000001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2025</v>
      </c>
      <c r="J156">
        <v>0.16564999999999999</v>
      </c>
      <c r="K156" t="s">
        <v>24</v>
      </c>
    </row>
    <row r="157" spans="1:12" x14ac:dyDescent="0.45">
      <c r="A157" t="s">
        <v>90</v>
      </c>
      <c r="B157" t="s">
        <v>4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2025</v>
      </c>
      <c r="J157">
        <v>0.16635</v>
      </c>
      <c r="K157" t="s">
        <v>24</v>
      </c>
    </row>
    <row r="158" spans="1:12" x14ac:dyDescent="0.45">
      <c r="A158" t="s">
        <v>90</v>
      </c>
      <c r="B158" t="s">
        <v>0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2025</v>
      </c>
      <c r="J158">
        <v>0.1668</v>
      </c>
      <c r="K158" t="s">
        <v>24</v>
      </c>
    </row>
    <row r="159" spans="1:12" x14ac:dyDescent="0.45">
      <c r="A159" t="s">
        <v>90</v>
      </c>
      <c r="B159" t="s">
        <v>6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2025</v>
      </c>
      <c r="J159">
        <v>0.16794999999999999</v>
      </c>
      <c r="K159" t="s">
        <v>24</v>
      </c>
    </row>
    <row r="160" spans="1:12" x14ac:dyDescent="0.45">
      <c r="A160" t="s">
        <v>90</v>
      </c>
      <c r="B160" t="s">
        <v>5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2025</v>
      </c>
      <c r="J160">
        <v>0.11225</v>
      </c>
      <c r="K160" t="s">
        <v>24</v>
      </c>
    </row>
    <row r="161" spans="1:11" x14ac:dyDescent="0.45">
      <c r="A161" t="s">
        <v>90</v>
      </c>
      <c r="B161" t="s">
        <v>2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2025</v>
      </c>
      <c r="J161">
        <v>0.16664999999999999</v>
      </c>
      <c r="K161" t="s">
        <v>24</v>
      </c>
    </row>
    <row r="162" spans="1:11" x14ac:dyDescent="0.45">
      <c r="A162" t="s">
        <v>90</v>
      </c>
      <c r="B162" t="s">
        <v>1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2025</v>
      </c>
      <c r="J162">
        <v>0.15725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2030</v>
      </c>
      <c r="J163">
        <v>0.2147</v>
      </c>
      <c r="K163" t="s">
        <v>24</v>
      </c>
    </row>
    <row r="164" spans="1:11" x14ac:dyDescent="0.45">
      <c r="A164" t="s">
        <v>90</v>
      </c>
      <c r="B164" t="s">
        <v>4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2030</v>
      </c>
      <c r="J164">
        <v>0.21395</v>
      </c>
      <c r="K164" t="s">
        <v>24</v>
      </c>
    </row>
    <row r="165" spans="1:11" x14ac:dyDescent="0.45">
      <c r="A165" t="s">
        <v>90</v>
      </c>
      <c r="B165" t="s">
        <v>0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2030</v>
      </c>
      <c r="J165">
        <v>0.21484999999999999</v>
      </c>
      <c r="K165" t="s">
        <v>24</v>
      </c>
    </row>
    <row r="166" spans="1:11" x14ac:dyDescent="0.45">
      <c r="A166" t="s">
        <v>90</v>
      </c>
      <c r="B166" t="s">
        <v>6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2030</v>
      </c>
      <c r="J166">
        <v>0.21765000000000001</v>
      </c>
      <c r="K166" t="s">
        <v>24</v>
      </c>
    </row>
    <row r="167" spans="1:11" x14ac:dyDescent="0.45">
      <c r="A167" t="s">
        <v>90</v>
      </c>
      <c r="B167" t="s">
        <v>5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2030</v>
      </c>
      <c r="J167">
        <v>0.11485000000000001</v>
      </c>
      <c r="K167" t="s">
        <v>24</v>
      </c>
    </row>
    <row r="168" spans="1:11" x14ac:dyDescent="0.45">
      <c r="A168" t="s">
        <v>90</v>
      </c>
      <c r="B168" t="s">
        <v>2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0.2157</v>
      </c>
      <c r="K168" t="s">
        <v>24</v>
      </c>
    </row>
    <row r="169" spans="1:11" x14ac:dyDescent="0.45">
      <c r="A169" t="s">
        <v>90</v>
      </c>
      <c r="B169" t="s">
        <v>1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2030</v>
      </c>
      <c r="J169">
        <v>0.18645</v>
      </c>
      <c r="K169" t="s">
        <v>24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2035</v>
      </c>
      <c r="J170">
        <v>0.22955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2035</v>
      </c>
      <c r="J171">
        <v>0.22625000000000001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2035</v>
      </c>
      <c r="J172">
        <v>0.22694999999999999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2035</v>
      </c>
      <c r="J173">
        <v>0.23899999999999999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2035</v>
      </c>
      <c r="J174">
        <v>8.7300000000000003E-2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2035</v>
      </c>
      <c r="J175">
        <v>0.22920000000000001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2035</v>
      </c>
      <c r="J176">
        <v>0.21284999999999998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2040</v>
      </c>
      <c r="J177">
        <v>0.23665</v>
      </c>
      <c r="K177" t="s">
        <v>24</v>
      </c>
    </row>
    <row r="178" spans="1:11" x14ac:dyDescent="0.45">
      <c r="A178" t="s">
        <v>90</v>
      </c>
      <c r="B178" t="s">
        <v>4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2040</v>
      </c>
      <c r="J178">
        <v>0.22585</v>
      </c>
      <c r="K178" t="s">
        <v>24</v>
      </c>
    </row>
    <row r="179" spans="1:11" x14ac:dyDescent="0.45">
      <c r="A179" t="s">
        <v>90</v>
      </c>
      <c r="B179" t="s">
        <v>0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2040</v>
      </c>
      <c r="J179">
        <v>0.22189999999999999</v>
      </c>
      <c r="K179" t="s">
        <v>24</v>
      </c>
    </row>
    <row r="180" spans="1:11" x14ac:dyDescent="0.45">
      <c r="A180" t="s">
        <v>90</v>
      </c>
      <c r="B180" t="s">
        <v>6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2040</v>
      </c>
      <c r="J180">
        <v>0.22475000000000001</v>
      </c>
      <c r="K180" t="s">
        <v>24</v>
      </c>
    </row>
    <row r="181" spans="1:11" x14ac:dyDescent="0.45">
      <c r="A181" t="s">
        <v>90</v>
      </c>
      <c r="B181" t="s">
        <v>5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2040</v>
      </c>
      <c r="J181">
        <v>7.8049999999999994E-2</v>
      </c>
      <c r="K181" t="s">
        <v>24</v>
      </c>
    </row>
    <row r="182" spans="1:11" x14ac:dyDescent="0.45">
      <c r="A182" t="s">
        <v>90</v>
      </c>
      <c r="B182" t="s">
        <v>2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2040</v>
      </c>
      <c r="J182">
        <v>0.22685</v>
      </c>
      <c r="K182" t="s">
        <v>24</v>
      </c>
    </row>
    <row r="183" spans="1:11" x14ac:dyDescent="0.45">
      <c r="A183" t="s">
        <v>90</v>
      </c>
      <c r="B183" t="s">
        <v>1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2040</v>
      </c>
      <c r="J183">
        <v>0.25165000000000004</v>
      </c>
      <c r="K183" t="s">
        <v>24</v>
      </c>
    </row>
    <row r="184" spans="1:11" x14ac:dyDescent="0.45">
      <c r="A184" t="s">
        <v>90</v>
      </c>
      <c r="B184" t="s">
        <v>3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2045</v>
      </c>
      <c r="J184">
        <v>0.30810000000000004</v>
      </c>
      <c r="K184" t="s">
        <v>24</v>
      </c>
    </row>
    <row r="185" spans="1:11" x14ac:dyDescent="0.45">
      <c r="A185" t="s">
        <v>90</v>
      </c>
      <c r="B185" t="s">
        <v>4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2045</v>
      </c>
      <c r="J185">
        <v>0.26774999999999999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2045</v>
      </c>
      <c r="J186">
        <v>0.27185000000000004</v>
      </c>
      <c r="K186" t="s">
        <v>24</v>
      </c>
    </row>
    <row r="187" spans="1:11" x14ac:dyDescent="0.45">
      <c r="A187" t="s">
        <v>90</v>
      </c>
      <c r="B187" t="s">
        <v>6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2045</v>
      </c>
      <c r="J187">
        <v>0.26400000000000001</v>
      </c>
      <c r="K187" t="s">
        <v>24</v>
      </c>
    </row>
    <row r="188" spans="1:11" x14ac:dyDescent="0.45">
      <c r="A188" t="s">
        <v>90</v>
      </c>
      <c r="B188" t="s">
        <v>5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8.6999999999999994E-2</v>
      </c>
      <c r="K188" t="s">
        <v>24</v>
      </c>
    </row>
    <row r="189" spans="1:11" x14ac:dyDescent="0.45">
      <c r="A189" t="s">
        <v>90</v>
      </c>
      <c r="B189" t="s">
        <v>2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2045</v>
      </c>
      <c r="J189">
        <v>0.27610000000000001</v>
      </c>
      <c r="K189" t="s">
        <v>24</v>
      </c>
    </row>
    <row r="190" spans="1:11" x14ac:dyDescent="0.45">
      <c r="A190" t="s">
        <v>90</v>
      </c>
      <c r="B190" t="s">
        <v>1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2045</v>
      </c>
      <c r="J190">
        <v>0.38619999999999999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2050</v>
      </c>
      <c r="J191">
        <v>0.37419999999999998</v>
      </c>
      <c r="K191" t="s">
        <v>24</v>
      </c>
    </row>
    <row r="192" spans="1:11" x14ac:dyDescent="0.45">
      <c r="A192" t="s">
        <v>90</v>
      </c>
      <c r="B192" t="s">
        <v>4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2050</v>
      </c>
      <c r="J192">
        <v>0.31609999999999999</v>
      </c>
      <c r="K192" t="s">
        <v>24</v>
      </c>
    </row>
    <row r="193" spans="1:11" x14ac:dyDescent="0.45">
      <c r="A193" t="s">
        <v>90</v>
      </c>
      <c r="B193" t="s">
        <v>0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2050</v>
      </c>
      <c r="J193">
        <v>0.35215000000000002</v>
      </c>
      <c r="K193" t="s">
        <v>24</v>
      </c>
    </row>
    <row r="194" spans="1:11" x14ac:dyDescent="0.45">
      <c r="A194" t="s">
        <v>90</v>
      </c>
      <c r="B194" t="s">
        <v>6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2050</v>
      </c>
      <c r="J194">
        <v>0.31064999999999998</v>
      </c>
      <c r="K194" t="s">
        <v>24</v>
      </c>
    </row>
    <row r="195" spans="1:11" x14ac:dyDescent="0.45">
      <c r="A195" t="s">
        <v>90</v>
      </c>
      <c r="B195" t="s">
        <v>5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2050</v>
      </c>
      <c r="J195">
        <v>0.1099</v>
      </c>
      <c r="K195" t="s">
        <v>24</v>
      </c>
    </row>
    <row r="196" spans="1:11" x14ac:dyDescent="0.45">
      <c r="A196" t="s">
        <v>90</v>
      </c>
      <c r="B196" t="s">
        <v>2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2050</v>
      </c>
      <c r="J196">
        <v>0.33340000000000003</v>
      </c>
      <c r="K196" t="s">
        <v>24</v>
      </c>
    </row>
    <row r="197" spans="1:11" x14ac:dyDescent="0.45">
      <c r="A197" t="s">
        <v>90</v>
      </c>
      <c r="B197" t="s">
        <v>1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2050</v>
      </c>
      <c r="J197">
        <v>0.46514999999999995</v>
      </c>
      <c r="K197" t="s">
        <v>24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2055</v>
      </c>
      <c r="J198">
        <v>0.437</v>
      </c>
      <c r="K198" t="s">
        <v>24</v>
      </c>
    </row>
    <row r="199" spans="1:11" x14ac:dyDescent="0.45">
      <c r="A199" t="s">
        <v>90</v>
      </c>
      <c r="B199" t="s">
        <v>4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2055</v>
      </c>
      <c r="J199">
        <v>0.36004999999999998</v>
      </c>
      <c r="K199" t="s">
        <v>24</v>
      </c>
    </row>
    <row r="200" spans="1:11" x14ac:dyDescent="0.45">
      <c r="A200" t="s">
        <v>90</v>
      </c>
      <c r="B200" t="s">
        <v>0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2055</v>
      </c>
      <c r="J200">
        <v>0.41735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2055</v>
      </c>
      <c r="J201">
        <v>0.3775</v>
      </c>
      <c r="K201" t="s">
        <v>24</v>
      </c>
    </row>
    <row r="202" spans="1:11" x14ac:dyDescent="0.45">
      <c r="A202" t="s">
        <v>90</v>
      </c>
      <c r="B202" t="s">
        <v>5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2055</v>
      </c>
      <c r="J202">
        <v>9.3150000000000011E-2</v>
      </c>
      <c r="K202" t="s">
        <v>24</v>
      </c>
    </row>
    <row r="203" spans="1:11" x14ac:dyDescent="0.45">
      <c r="A203" t="s">
        <v>90</v>
      </c>
      <c r="B203" t="s">
        <v>2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2055</v>
      </c>
      <c r="J203">
        <v>0.39555000000000001</v>
      </c>
      <c r="K203" t="s">
        <v>24</v>
      </c>
    </row>
    <row r="204" spans="1:11" x14ac:dyDescent="0.45">
      <c r="A204" t="s">
        <v>90</v>
      </c>
      <c r="B204" t="s">
        <v>1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2055</v>
      </c>
      <c r="J204">
        <v>0.48995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2060</v>
      </c>
      <c r="J205">
        <v>0.46750000000000003</v>
      </c>
      <c r="K205" t="s">
        <v>24</v>
      </c>
    </row>
    <row r="206" spans="1:11" x14ac:dyDescent="0.45">
      <c r="A206" t="s">
        <v>90</v>
      </c>
      <c r="B206" t="s">
        <v>4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2060</v>
      </c>
      <c r="J206">
        <v>0.41105000000000003</v>
      </c>
      <c r="K206" t="s">
        <v>24</v>
      </c>
    </row>
    <row r="207" spans="1:11" x14ac:dyDescent="0.45">
      <c r="A207" t="s">
        <v>90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2060</v>
      </c>
      <c r="J207">
        <v>0.44135000000000002</v>
      </c>
      <c r="K207" t="s">
        <v>24</v>
      </c>
    </row>
    <row r="208" spans="1:11" x14ac:dyDescent="0.45">
      <c r="A208" t="s">
        <v>90</v>
      </c>
      <c r="B208" t="s">
        <v>6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2060</v>
      </c>
      <c r="J208">
        <v>0.40570000000000001</v>
      </c>
      <c r="K208" t="s">
        <v>24</v>
      </c>
    </row>
    <row r="209" spans="1:11" x14ac:dyDescent="0.45">
      <c r="A209" t="s">
        <v>90</v>
      </c>
      <c r="B209" t="s">
        <v>5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2060</v>
      </c>
      <c r="J209">
        <v>7.7049999999999993E-2</v>
      </c>
      <c r="K209" t="s">
        <v>24</v>
      </c>
    </row>
    <row r="210" spans="1:11" x14ac:dyDescent="0.45">
      <c r="A210" t="s">
        <v>90</v>
      </c>
      <c r="B210" t="s">
        <v>2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2060</v>
      </c>
      <c r="J210">
        <v>0.44940000000000002</v>
      </c>
      <c r="K210" t="s">
        <v>24</v>
      </c>
    </row>
    <row r="211" spans="1:11" x14ac:dyDescent="0.45">
      <c r="A211" t="s">
        <v>90</v>
      </c>
      <c r="B211" t="s">
        <v>1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2060</v>
      </c>
      <c r="J211">
        <v>0.50635000000000008</v>
      </c>
      <c r="K211" t="s">
        <v>24</v>
      </c>
    </row>
    <row r="212" spans="1:11" x14ac:dyDescent="0.45">
      <c r="A212" t="s">
        <v>90</v>
      </c>
      <c r="B212" t="s">
        <v>3</v>
      </c>
      <c r="C212" t="s">
        <v>84</v>
      </c>
      <c r="D212" t="s">
        <v>24</v>
      </c>
      <c r="E212" t="s">
        <v>25</v>
      </c>
      <c r="F212" t="s">
        <v>24</v>
      </c>
      <c r="G212" t="s">
        <v>26</v>
      </c>
      <c r="H212" t="s">
        <v>13</v>
      </c>
      <c r="I212">
        <v>2065</v>
      </c>
      <c r="J212">
        <v>0.50475000000000003</v>
      </c>
      <c r="K212" t="s">
        <v>24</v>
      </c>
    </row>
    <row r="213" spans="1:11" x14ac:dyDescent="0.45">
      <c r="A213" t="s">
        <v>90</v>
      </c>
      <c r="B213" t="s">
        <v>4</v>
      </c>
      <c r="C213" t="s">
        <v>84</v>
      </c>
      <c r="D213" t="s">
        <v>24</v>
      </c>
      <c r="E213" t="s">
        <v>25</v>
      </c>
      <c r="F213" t="s">
        <v>24</v>
      </c>
      <c r="G213" t="s">
        <v>26</v>
      </c>
      <c r="H213" t="s">
        <v>13</v>
      </c>
      <c r="I213">
        <v>2065</v>
      </c>
      <c r="J213">
        <v>0.44345000000000001</v>
      </c>
      <c r="K213" t="s">
        <v>24</v>
      </c>
    </row>
    <row r="214" spans="1:11" x14ac:dyDescent="0.45">
      <c r="A214" t="s">
        <v>90</v>
      </c>
      <c r="B214" t="s">
        <v>0</v>
      </c>
      <c r="C214" t="s">
        <v>84</v>
      </c>
      <c r="D214" t="s">
        <v>24</v>
      </c>
      <c r="E214" t="s">
        <v>25</v>
      </c>
      <c r="F214" t="s">
        <v>24</v>
      </c>
      <c r="G214" t="s">
        <v>26</v>
      </c>
      <c r="H214" t="s">
        <v>13</v>
      </c>
      <c r="I214">
        <v>2065</v>
      </c>
      <c r="J214">
        <v>0.48020000000000002</v>
      </c>
      <c r="K214" t="s">
        <v>24</v>
      </c>
    </row>
    <row r="215" spans="1:11" x14ac:dyDescent="0.45">
      <c r="A215" t="s">
        <v>90</v>
      </c>
      <c r="B215" t="s">
        <v>6</v>
      </c>
      <c r="C215" t="s">
        <v>84</v>
      </c>
      <c r="D215" t="s">
        <v>24</v>
      </c>
      <c r="E215" t="s">
        <v>25</v>
      </c>
      <c r="F215" t="s">
        <v>24</v>
      </c>
      <c r="G215" t="s">
        <v>26</v>
      </c>
      <c r="H215" t="s">
        <v>13</v>
      </c>
      <c r="I215">
        <v>2065</v>
      </c>
      <c r="J215">
        <v>0.45094999999999996</v>
      </c>
      <c r="K215" t="s">
        <v>24</v>
      </c>
    </row>
    <row r="216" spans="1:11" x14ac:dyDescent="0.45">
      <c r="A216" t="s">
        <v>90</v>
      </c>
      <c r="B216" t="s">
        <v>5</v>
      </c>
      <c r="C216" t="s">
        <v>84</v>
      </c>
      <c r="D216" t="s">
        <v>24</v>
      </c>
      <c r="E216" t="s">
        <v>25</v>
      </c>
      <c r="F216" t="s">
        <v>24</v>
      </c>
      <c r="G216" t="s">
        <v>26</v>
      </c>
      <c r="H216" t="s">
        <v>13</v>
      </c>
      <c r="I216">
        <v>2065</v>
      </c>
      <c r="J216">
        <v>7.3499999999999996E-2</v>
      </c>
      <c r="K216" t="s">
        <v>24</v>
      </c>
    </row>
    <row r="217" spans="1:11" x14ac:dyDescent="0.45">
      <c r="A217" t="s">
        <v>90</v>
      </c>
      <c r="B217" t="s">
        <v>2</v>
      </c>
      <c r="C217" t="s">
        <v>84</v>
      </c>
      <c r="D217" t="s">
        <v>24</v>
      </c>
      <c r="E217" t="s">
        <v>25</v>
      </c>
      <c r="F217" t="s">
        <v>24</v>
      </c>
      <c r="G217" t="s">
        <v>26</v>
      </c>
      <c r="H217" t="s">
        <v>13</v>
      </c>
      <c r="I217">
        <v>2065</v>
      </c>
      <c r="J217">
        <v>0.4657</v>
      </c>
      <c r="K217" t="s">
        <v>24</v>
      </c>
    </row>
    <row r="218" spans="1:11" x14ac:dyDescent="0.45">
      <c r="A218" t="s">
        <v>90</v>
      </c>
      <c r="B218" t="s">
        <v>1</v>
      </c>
      <c r="C218" t="s">
        <v>84</v>
      </c>
      <c r="D218" t="s">
        <v>24</v>
      </c>
      <c r="E218" t="s">
        <v>25</v>
      </c>
      <c r="F218" t="s">
        <v>24</v>
      </c>
      <c r="G218" t="s">
        <v>26</v>
      </c>
      <c r="H218" t="s">
        <v>13</v>
      </c>
      <c r="I218">
        <v>2065</v>
      </c>
      <c r="J218">
        <v>0.54949999999999999</v>
      </c>
      <c r="K218" t="s">
        <v>24</v>
      </c>
    </row>
    <row r="219" spans="1:11" x14ac:dyDescent="0.45">
      <c r="A219" t="s">
        <v>90</v>
      </c>
      <c r="B219" t="s">
        <v>3</v>
      </c>
      <c r="C219" t="s">
        <v>84</v>
      </c>
      <c r="D219" t="s">
        <v>24</v>
      </c>
      <c r="E219" t="s">
        <v>25</v>
      </c>
      <c r="F219" t="s">
        <v>24</v>
      </c>
      <c r="G219" t="s">
        <v>26</v>
      </c>
      <c r="H219" t="s">
        <v>13</v>
      </c>
      <c r="I219">
        <v>2070</v>
      </c>
      <c r="J219">
        <v>0.54340000000000011</v>
      </c>
      <c r="K219" t="s">
        <v>24</v>
      </c>
    </row>
    <row r="220" spans="1:11" x14ac:dyDescent="0.45">
      <c r="A220" t="s">
        <v>90</v>
      </c>
      <c r="B220" t="s">
        <v>4</v>
      </c>
      <c r="C220" t="s">
        <v>84</v>
      </c>
      <c r="D220" t="s">
        <v>24</v>
      </c>
      <c r="E220" t="s">
        <v>25</v>
      </c>
      <c r="F220" t="s">
        <v>24</v>
      </c>
      <c r="G220" t="s">
        <v>26</v>
      </c>
      <c r="H220" t="s">
        <v>13</v>
      </c>
      <c r="I220">
        <v>2070</v>
      </c>
      <c r="J220">
        <v>0.47534999999999999</v>
      </c>
      <c r="K220" t="s">
        <v>24</v>
      </c>
    </row>
    <row r="221" spans="1:11" x14ac:dyDescent="0.45">
      <c r="A221" t="s">
        <v>90</v>
      </c>
      <c r="B221" t="s">
        <v>0</v>
      </c>
      <c r="C221" t="s">
        <v>84</v>
      </c>
      <c r="D221" t="s">
        <v>24</v>
      </c>
      <c r="E221" t="s">
        <v>25</v>
      </c>
      <c r="F221" t="s">
        <v>24</v>
      </c>
      <c r="G221" t="s">
        <v>26</v>
      </c>
      <c r="H221" t="s">
        <v>13</v>
      </c>
      <c r="I221">
        <v>2070</v>
      </c>
      <c r="J221">
        <v>0.51834999999999998</v>
      </c>
      <c r="K221" t="s">
        <v>24</v>
      </c>
    </row>
    <row r="222" spans="1:11" x14ac:dyDescent="0.45">
      <c r="A222" t="s">
        <v>90</v>
      </c>
      <c r="B222" t="s">
        <v>6</v>
      </c>
      <c r="C222" t="s">
        <v>84</v>
      </c>
      <c r="D222" t="s">
        <v>24</v>
      </c>
      <c r="E222" t="s">
        <v>25</v>
      </c>
      <c r="F222" t="s">
        <v>24</v>
      </c>
      <c r="G222" t="s">
        <v>26</v>
      </c>
      <c r="H222" t="s">
        <v>13</v>
      </c>
      <c r="I222">
        <v>2070</v>
      </c>
      <c r="J222">
        <v>0.49460000000000004</v>
      </c>
      <c r="K222" t="s">
        <v>24</v>
      </c>
    </row>
    <row r="223" spans="1:11" x14ac:dyDescent="0.45">
      <c r="A223" t="s">
        <v>90</v>
      </c>
      <c r="B223" t="s">
        <v>5</v>
      </c>
      <c r="C223" t="s">
        <v>84</v>
      </c>
      <c r="D223" t="s">
        <v>24</v>
      </c>
      <c r="E223" t="s">
        <v>25</v>
      </c>
      <c r="F223" t="s">
        <v>24</v>
      </c>
      <c r="G223" t="s">
        <v>26</v>
      </c>
      <c r="H223" t="s">
        <v>13</v>
      </c>
      <c r="I223">
        <v>2070</v>
      </c>
      <c r="J223">
        <v>7.1550000000000002E-2</v>
      </c>
      <c r="K223" t="s">
        <v>24</v>
      </c>
    </row>
    <row r="224" spans="1:11" x14ac:dyDescent="0.45">
      <c r="A224" t="s">
        <v>90</v>
      </c>
      <c r="B224" t="s">
        <v>2</v>
      </c>
      <c r="C224" t="s">
        <v>84</v>
      </c>
      <c r="D224" t="s">
        <v>24</v>
      </c>
      <c r="E224" t="s">
        <v>25</v>
      </c>
      <c r="F224" t="s">
        <v>24</v>
      </c>
      <c r="G224" t="s">
        <v>26</v>
      </c>
      <c r="H224" t="s">
        <v>13</v>
      </c>
      <c r="I224">
        <v>2070</v>
      </c>
      <c r="J224">
        <v>0.47825000000000001</v>
      </c>
      <c r="K224" t="s">
        <v>24</v>
      </c>
    </row>
    <row r="225" spans="1:11" x14ac:dyDescent="0.45">
      <c r="A225" t="s">
        <v>90</v>
      </c>
      <c r="B225" t="s">
        <v>1</v>
      </c>
      <c r="C225" t="s">
        <v>84</v>
      </c>
      <c r="D225" t="s">
        <v>24</v>
      </c>
      <c r="E225" t="s">
        <v>25</v>
      </c>
      <c r="F225" t="s">
        <v>24</v>
      </c>
      <c r="G225" t="s">
        <v>26</v>
      </c>
      <c r="H225" t="s">
        <v>13</v>
      </c>
      <c r="I225">
        <v>2070</v>
      </c>
      <c r="J225">
        <v>0.59204999999999997</v>
      </c>
      <c r="K225" t="s">
        <v>24</v>
      </c>
    </row>
    <row r="226" spans="1:11" x14ac:dyDescent="0.45">
      <c r="A226" t="s">
        <v>90</v>
      </c>
      <c r="B226" t="s">
        <v>3</v>
      </c>
      <c r="C226" t="s">
        <v>84</v>
      </c>
      <c r="D226" t="s">
        <v>24</v>
      </c>
      <c r="E226" t="s">
        <v>25</v>
      </c>
      <c r="F226" t="s">
        <v>24</v>
      </c>
      <c r="G226" t="s">
        <v>26</v>
      </c>
      <c r="H226" t="s">
        <v>13</v>
      </c>
      <c r="I226">
        <v>2075</v>
      </c>
      <c r="J226">
        <v>0.56719999999999993</v>
      </c>
      <c r="K226" t="s">
        <v>24</v>
      </c>
    </row>
    <row r="227" spans="1:11" x14ac:dyDescent="0.45">
      <c r="A227" t="s">
        <v>90</v>
      </c>
      <c r="B227" t="s">
        <v>4</v>
      </c>
      <c r="C227" t="s">
        <v>84</v>
      </c>
      <c r="D227" t="s">
        <v>24</v>
      </c>
      <c r="E227" t="s">
        <v>25</v>
      </c>
      <c r="F227" t="s">
        <v>24</v>
      </c>
      <c r="G227" t="s">
        <v>26</v>
      </c>
      <c r="H227" t="s">
        <v>13</v>
      </c>
      <c r="I227">
        <v>2075</v>
      </c>
      <c r="J227">
        <v>0.49724999999999997</v>
      </c>
      <c r="K227" t="s">
        <v>24</v>
      </c>
    </row>
    <row r="228" spans="1:11" x14ac:dyDescent="0.45">
      <c r="A228" t="s">
        <v>90</v>
      </c>
      <c r="B228" t="s">
        <v>0</v>
      </c>
      <c r="C228" t="s">
        <v>84</v>
      </c>
      <c r="D228" t="s">
        <v>24</v>
      </c>
      <c r="E228" t="s">
        <v>25</v>
      </c>
      <c r="F228" t="s">
        <v>24</v>
      </c>
      <c r="G228" t="s">
        <v>26</v>
      </c>
      <c r="H228" t="s">
        <v>13</v>
      </c>
      <c r="I228">
        <v>2075</v>
      </c>
      <c r="J228">
        <v>0.54919999999999991</v>
      </c>
      <c r="K228" t="s">
        <v>24</v>
      </c>
    </row>
    <row r="229" spans="1:11" x14ac:dyDescent="0.45">
      <c r="A229" t="s">
        <v>90</v>
      </c>
      <c r="B229" t="s">
        <v>6</v>
      </c>
      <c r="C229" t="s">
        <v>84</v>
      </c>
      <c r="D229" t="s">
        <v>24</v>
      </c>
      <c r="E229" t="s">
        <v>25</v>
      </c>
      <c r="F229" t="s">
        <v>24</v>
      </c>
      <c r="G229" t="s">
        <v>26</v>
      </c>
      <c r="H229" t="s">
        <v>13</v>
      </c>
      <c r="I229">
        <v>2075</v>
      </c>
      <c r="J229">
        <v>0.52500000000000002</v>
      </c>
      <c r="K229" t="s">
        <v>24</v>
      </c>
    </row>
    <row r="230" spans="1:11" x14ac:dyDescent="0.45">
      <c r="A230" t="s">
        <v>90</v>
      </c>
      <c r="B230" t="s">
        <v>5</v>
      </c>
      <c r="C230" t="s">
        <v>84</v>
      </c>
      <c r="D230" t="s">
        <v>24</v>
      </c>
      <c r="E230" t="s">
        <v>25</v>
      </c>
      <c r="F230" t="s">
        <v>24</v>
      </c>
      <c r="G230" t="s">
        <v>26</v>
      </c>
      <c r="H230" t="s">
        <v>13</v>
      </c>
      <c r="I230">
        <v>2075</v>
      </c>
      <c r="J230">
        <v>7.3599999999999999E-2</v>
      </c>
      <c r="K230" t="s">
        <v>24</v>
      </c>
    </row>
    <row r="231" spans="1:11" x14ac:dyDescent="0.45">
      <c r="A231" t="s">
        <v>90</v>
      </c>
      <c r="B231" t="s">
        <v>2</v>
      </c>
      <c r="C231" t="s">
        <v>84</v>
      </c>
      <c r="D231" t="s">
        <v>24</v>
      </c>
      <c r="E231" t="s">
        <v>25</v>
      </c>
      <c r="F231" t="s">
        <v>24</v>
      </c>
      <c r="G231" t="s">
        <v>26</v>
      </c>
      <c r="H231" t="s">
        <v>13</v>
      </c>
      <c r="I231">
        <v>2075</v>
      </c>
      <c r="J231">
        <v>0.51664999999999994</v>
      </c>
      <c r="K231" t="s">
        <v>24</v>
      </c>
    </row>
    <row r="232" spans="1:11" x14ac:dyDescent="0.45">
      <c r="A232" t="s">
        <v>90</v>
      </c>
      <c r="B232" t="s">
        <v>1</v>
      </c>
      <c r="C232" t="s">
        <v>84</v>
      </c>
      <c r="D232" t="s">
        <v>24</v>
      </c>
      <c r="E232" t="s">
        <v>25</v>
      </c>
      <c r="F232" t="s">
        <v>24</v>
      </c>
      <c r="G232" t="s">
        <v>26</v>
      </c>
      <c r="H232" t="s">
        <v>13</v>
      </c>
      <c r="I232">
        <v>2075</v>
      </c>
      <c r="J232">
        <v>0.62065000000000003</v>
      </c>
      <c r="K232" t="s">
        <v>24</v>
      </c>
    </row>
    <row r="233" spans="1:11" x14ac:dyDescent="0.45">
      <c r="A233" t="s">
        <v>90</v>
      </c>
      <c r="B233" t="s">
        <v>3</v>
      </c>
      <c r="C233" t="s">
        <v>84</v>
      </c>
      <c r="D233" t="s">
        <v>24</v>
      </c>
      <c r="E233" t="s">
        <v>25</v>
      </c>
      <c r="F233" t="s">
        <v>24</v>
      </c>
      <c r="G233" t="s">
        <v>26</v>
      </c>
      <c r="H233" t="s">
        <v>13</v>
      </c>
      <c r="I233">
        <v>2080</v>
      </c>
      <c r="J233">
        <v>0.59065000000000001</v>
      </c>
      <c r="K233" t="s">
        <v>24</v>
      </c>
    </row>
    <row r="234" spans="1:11" x14ac:dyDescent="0.45">
      <c r="A234" t="s">
        <v>90</v>
      </c>
      <c r="B234" t="s">
        <v>4</v>
      </c>
      <c r="C234" t="s">
        <v>84</v>
      </c>
      <c r="D234" t="s">
        <v>24</v>
      </c>
      <c r="E234" t="s">
        <v>25</v>
      </c>
      <c r="F234" t="s">
        <v>24</v>
      </c>
      <c r="G234" t="s">
        <v>26</v>
      </c>
      <c r="H234" t="s">
        <v>13</v>
      </c>
      <c r="I234">
        <v>2080</v>
      </c>
      <c r="J234">
        <v>0.51754999999999995</v>
      </c>
      <c r="K234" t="s">
        <v>24</v>
      </c>
    </row>
    <row r="235" spans="1:11" x14ac:dyDescent="0.45">
      <c r="A235" t="s">
        <v>90</v>
      </c>
      <c r="B235" t="s">
        <v>0</v>
      </c>
      <c r="C235" t="s">
        <v>84</v>
      </c>
      <c r="D235" t="s">
        <v>24</v>
      </c>
      <c r="E235" t="s">
        <v>25</v>
      </c>
      <c r="F235" t="s">
        <v>24</v>
      </c>
      <c r="G235" t="s">
        <v>26</v>
      </c>
      <c r="H235" t="s">
        <v>13</v>
      </c>
      <c r="I235">
        <v>2080</v>
      </c>
      <c r="J235">
        <v>0.58165</v>
      </c>
      <c r="K235" t="s">
        <v>24</v>
      </c>
    </row>
    <row r="236" spans="1:11" x14ac:dyDescent="0.45">
      <c r="A236" t="s">
        <v>90</v>
      </c>
      <c r="B236" t="s">
        <v>6</v>
      </c>
      <c r="C236" t="s">
        <v>84</v>
      </c>
      <c r="D236" t="s">
        <v>24</v>
      </c>
      <c r="E236" t="s">
        <v>25</v>
      </c>
      <c r="F236" t="s">
        <v>24</v>
      </c>
      <c r="G236" t="s">
        <v>26</v>
      </c>
      <c r="H236" t="s">
        <v>13</v>
      </c>
      <c r="I236">
        <v>2080</v>
      </c>
      <c r="J236">
        <v>0.55425000000000002</v>
      </c>
      <c r="K236" t="s">
        <v>24</v>
      </c>
    </row>
    <row r="237" spans="1:11" x14ac:dyDescent="0.45">
      <c r="A237" t="s">
        <v>90</v>
      </c>
      <c r="B237" t="s">
        <v>5</v>
      </c>
      <c r="C237" t="s">
        <v>84</v>
      </c>
      <c r="D237" t="s">
        <v>24</v>
      </c>
      <c r="E237" t="s">
        <v>25</v>
      </c>
      <c r="F237" t="s">
        <v>24</v>
      </c>
      <c r="G237" t="s">
        <v>26</v>
      </c>
      <c r="H237" t="s">
        <v>13</v>
      </c>
      <c r="I237">
        <v>2080</v>
      </c>
      <c r="J237">
        <v>7.5899999999999995E-2</v>
      </c>
      <c r="K237" t="s">
        <v>24</v>
      </c>
    </row>
    <row r="238" spans="1:11" x14ac:dyDescent="0.45">
      <c r="A238" t="s">
        <v>90</v>
      </c>
      <c r="B238" t="s">
        <v>2</v>
      </c>
      <c r="C238" t="s">
        <v>84</v>
      </c>
      <c r="D238" t="s">
        <v>24</v>
      </c>
      <c r="E238" t="s">
        <v>25</v>
      </c>
      <c r="F238" t="s">
        <v>24</v>
      </c>
      <c r="G238" t="s">
        <v>26</v>
      </c>
      <c r="H238" t="s">
        <v>13</v>
      </c>
      <c r="I238">
        <v>2080</v>
      </c>
      <c r="J238">
        <v>0.55200000000000005</v>
      </c>
      <c r="K238" t="s">
        <v>24</v>
      </c>
    </row>
    <row r="239" spans="1:11" x14ac:dyDescent="0.45">
      <c r="A239" t="s">
        <v>90</v>
      </c>
      <c r="B239" t="s">
        <v>1</v>
      </c>
      <c r="C239" t="s">
        <v>84</v>
      </c>
      <c r="D239" t="s">
        <v>24</v>
      </c>
      <c r="E239" t="s">
        <v>25</v>
      </c>
      <c r="F239" t="s">
        <v>24</v>
      </c>
      <c r="G239" t="s">
        <v>26</v>
      </c>
      <c r="H239" t="s">
        <v>13</v>
      </c>
      <c r="I239">
        <v>2080</v>
      </c>
      <c r="J239">
        <v>0.64680000000000004</v>
      </c>
      <c r="K239" t="s">
        <v>24</v>
      </c>
    </row>
    <row r="240" spans="1:11" x14ac:dyDescent="0.45">
      <c r="A240" t="s">
        <v>90</v>
      </c>
      <c r="B240" t="s">
        <v>3</v>
      </c>
      <c r="C240" t="s">
        <v>84</v>
      </c>
      <c r="D240" t="s">
        <v>24</v>
      </c>
      <c r="E240" t="s">
        <v>25</v>
      </c>
      <c r="F240" t="s">
        <v>24</v>
      </c>
      <c r="G240" t="s">
        <v>26</v>
      </c>
      <c r="H240" t="s">
        <v>13</v>
      </c>
      <c r="I240">
        <v>2085</v>
      </c>
      <c r="J240">
        <v>0.58894999999999997</v>
      </c>
      <c r="K240" t="s">
        <v>24</v>
      </c>
    </row>
    <row r="241" spans="1:11" x14ac:dyDescent="0.45">
      <c r="A241" t="s">
        <v>90</v>
      </c>
      <c r="B241" t="s">
        <v>4</v>
      </c>
      <c r="C241" t="s">
        <v>84</v>
      </c>
      <c r="D241" t="s">
        <v>24</v>
      </c>
      <c r="E241" t="s">
        <v>25</v>
      </c>
      <c r="F241" t="s">
        <v>24</v>
      </c>
      <c r="G241" t="s">
        <v>26</v>
      </c>
      <c r="H241" t="s">
        <v>13</v>
      </c>
      <c r="I241">
        <v>2085</v>
      </c>
      <c r="J241">
        <v>0.51760000000000006</v>
      </c>
      <c r="K241" t="s">
        <v>24</v>
      </c>
    </row>
    <row r="242" spans="1:11" x14ac:dyDescent="0.45">
      <c r="A242" t="s">
        <v>90</v>
      </c>
      <c r="B242" t="s">
        <v>0</v>
      </c>
      <c r="C242" t="s">
        <v>84</v>
      </c>
      <c r="D242" t="s">
        <v>24</v>
      </c>
      <c r="E242" t="s">
        <v>25</v>
      </c>
      <c r="F242" t="s">
        <v>24</v>
      </c>
      <c r="G242" t="s">
        <v>26</v>
      </c>
      <c r="H242" t="s">
        <v>13</v>
      </c>
      <c r="I242">
        <v>2085</v>
      </c>
      <c r="J242">
        <v>0.58160000000000001</v>
      </c>
      <c r="K242" t="s">
        <v>24</v>
      </c>
    </row>
    <row r="243" spans="1:11" x14ac:dyDescent="0.45">
      <c r="A243" t="s">
        <v>90</v>
      </c>
      <c r="B243" t="s">
        <v>6</v>
      </c>
      <c r="C243" t="s">
        <v>84</v>
      </c>
      <c r="D243" t="s">
        <v>24</v>
      </c>
      <c r="E243" t="s">
        <v>25</v>
      </c>
      <c r="F243" t="s">
        <v>24</v>
      </c>
      <c r="G243" t="s">
        <v>26</v>
      </c>
      <c r="H243" t="s">
        <v>13</v>
      </c>
      <c r="I243">
        <v>2085</v>
      </c>
      <c r="J243">
        <v>0.55149999999999999</v>
      </c>
      <c r="K243" t="s">
        <v>24</v>
      </c>
    </row>
    <row r="244" spans="1:11" x14ac:dyDescent="0.45">
      <c r="A244" t="s">
        <v>90</v>
      </c>
      <c r="B244" t="s">
        <v>5</v>
      </c>
      <c r="C244" t="s">
        <v>84</v>
      </c>
      <c r="D244" t="s">
        <v>24</v>
      </c>
      <c r="E244" t="s">
        <v>25</v>
      </c>
      <c r="F244" t="s">
        <v>24</v>
      </c>
      <c r="G244" t="s">
        <v>26</v>
      </c>
      <c r="H244" t="s">
        <v>13</v>
      </c>
      <c r="I244">
        <v>2085</v>
      </c>
      <c r="J244">
        <v>7.8800000000000009E-2</v>
      </c>
      <c r="K244" t="s">
        <v>24</v>
      </c>
    </row>
    <row r="245" spans="1:11" x14ac:dyDescent="0.45">
      <c r="A245" t="s">
        <v>90</v>
      </c>
      <c r="B245" t="s">
        <v>2</v>
      </c>
      <c r="C245" t="s">
        <v>84</v>
      </c>
      <c r="D245" t="s">
        <v>24</v>
      </c>
      <c r="E245" t="s">
        <v>25</v>
      </c>
      <c r="F245" t="s">
        <v>24</v>
      </c>
      <c r="G245" t="s">
        <v>26</v>
      </c>
      <c r="H245" t="s">
        <v>13</v>
      </c>
      <c r="I245">
        <v>2085</v>
      </c>
      <c r="J245">
        <v>0.54849999999999999</v>
      </c>
      <c r="K245" t="s">
        <v>24</v>
      </c>
    </row>
    <row r="246" spans="1:11" x14ac:dyDescent="0.45">
      <c r="A246" t="s">
        <v>90</v>
      </c>
      <c r="B246" t="s">
        <v>1</v>
      </c>
      <c r="C246" t="s">
        <v>84</v>
      </c>
      <c r="D246" t="s">
        <v>24</v>
      </c>
      <c r="E246" t="s">
        <v>25</v>
      </c>
      <c r="F246" t="s">
        <v>24</v>
      </c>
      <c r="G246" t="s">
        <v>26</v>
      </c>
      <c r="H246" t="s">
        <v>13</v>
      </c>
      <c r="I246">
        <v>2085</v>
      </c>
      <c r="J246">
        <v>0.64490000000000003</v>
      </c>
      <c r="K246" t="s">
        <v>24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2090</v>
      </c>
      <c r="J247">
        <v>0.58635000000000004</v>
      </c>
      <c r="K247" t="s">
        <v>24</v>
      </c>
    </row>
    <row r="248" spans="1:11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2090</v>
      </c>
      <c r="J248">
        <v>0.51665000000000005</v>
      </c>
      <c r="K248" t="s">
        <v>24</v>
      </c>
    </row>
    <row r="249" spans="1:11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2090</v>
      </c>
      <c r="J249">
        <v>0.58025000000000004</v>
      </c>
      <c r="K249" t="s">
        <v>24</v>
      </c>
    </row>
    <row r="250" spans="1:11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2090</v>
      </c>
      <c r="J250">
        <v>0.54659999999999997</v>
      </c>
      <c r="K250" t="s">
        <v>24</v>
      </c>
    </row>
    <row r="251" spans="1:11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2090</v>
      </c>
      <c r="J251">
        <v>8.2350000000000007E-2</v>
      </c>
      <c r="K251" t="s">
        <v>24</v>
      </c>
    </row>
    <row r="252" spans="1:11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2090</v>
      </c>
      <c r="J252">
        <v>0.54394999999999993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2090</v>
      </c>
      <c r="J253">
        <v>0.64234999999999998</v>
      </c>
      <c r="K253" t="s">
        <v>24</v>
      </c>
    </row>
    <row r="254" spans="1:11" x14ac:dyDescent="0.45">
      <c r="A254" t="s">
        <v>90</v>
      </c>
      <c r="B254" t="s">
        <v>3</v>
      </c>
      <c r="C254" t="s">
        <v>84</v>
      </c>
      <c r="D254" t="s">
        <v>24</v>
      </c>
      <c r="E254" t="s">
        <v>25</v>
      </c>
      <c r="F254" t="s">
        <v>24</v>
      </c>
      <c r="G254" t="s">
        <v>26</v>
      </c>
      <c r="H254" t="s">
        <v>13</v>
      </c>
      <c r="I254">
        <v>2095</v>
      </c>
      <c r="J254">
        <v>0.58000000000000007</v>
      </c>
      <c r="K254" t="s">
        <v>24</v>
      </c>
    </row>
    <row r="255" spans="1:11" x14ac:dyDescent="0.45">
      <c r="A255" t="s">
        <v>90</v>
      </c>
      <c r="B255" t="s">
        <v>4</v>
      </c>
      <c r="C255" t="s">
        <v>84</v>
      </c>
      <c r="D255" t="s">
        <v>24</v>
      </c>
      <c r="E255" t="s">
        <v>25</v>
      </c>
      <c r="F255" t="s">
        <v>24</v>
      </c>
      <c r="G255" t="s">
        <v>26</v>
      </c>
      <c r="H255" t="s">
        <v>13</v>
      </c>
      <c r="I255">
        <v>2095</v>
      </c>
      <c r="J255">
        <v>0.52205000000000001</v>
      </c>
      <c r="K255" t="s">
        <v>24</v>
      </c>
    </row>
    <row r="256" spans="1:11" x14ac:dyDescent="0.45">
      <c r="A256" t="s">
        <v>90</v>
      </c>
      <c r="B256" t="s">
        <v>0</v>
      </c>
      <c r="C256" t="s">
        <v>84</v>
      </c>
      <c r="D256" t="s">
        <v>24</v>
      </c>
      <c r="E256" t="s">
        <v>25</v>
      </c>
      <c r="F256" t="s">
        <v>24</v>
      </c>
      <c r="G256" t="s">
        <v>26</v>
      </c>
      <c r="H256" t="s">
        <v>13</v>
      </c>
      <c r="I256">
        <v>2095</v>
      </c>
      <c r="J256">
        <v>0.57769999999999999</v>
      </c>
      <c r="K256" t="s">
        <v>24</v>
      </c>
    </row>
    <row r="257" spans="1:11" x14ac:dyDescent="0.45">
      <c r="A257" t="s">
        <v>90</v>
      </c>
      <c r="B257" t="s">
        <v>6</v>
      </c>
      <c r="C257" t="s">
        <v>84</v>
      </c>
      <c r="D257" t="s">
        <v>24</v>
      </c>
      <c r="E257" t="s">
        <v>25</v>
      </c>
      <c r="F257" t="s">
        <v>24</v>
      </c>
      <c r="G257" t="s">
        <v>26</v>
      </c>
      <c r="H257" t="s">
        <v>13</v>
      </c>
      <c r="I257">
        <v>2095</v>
      </c>
      <c r="J257">
        <v>0.54615000000000002</v>
      </c>
      <c r="K257" t="s">
        <v>24</v>
      </c>
    </row>
    <row r="258" spans="1:11" x14ac:dyDescent="0.45">
      <c r="A258" t="s">
        <v>90</v>
      </c>
      <c r="B258" t="s">
        <v>5</v>
      </c>
      <c r="C258" t="s">
        <v>84</v>
      </c>
      <c r="D258" t="s">
        <v>24</v>
      </c>
      <c r="E258" t="s">
        <v>25</v>
      </c>
      <c r="F258" t="s">
        <v>24</v>
      </c>
      <c r="G258" t="s">
        <v>26</v>
      </c>
      <c r="H258" t="s">
        <v>13</v>
      </c>
      <c r="I258">
        <v>2095</v>
      </c>
      <c r="J258">
        <v>8.7300000000000003E-2</v>
      </c>
      <c r="K258" t="s">
        <v>24</v>
      </c>
    </row>
    <row r="259" spans="1:11" x14ac:dyDescent="0.45">
      <c r="A259" t="s">
        <v>90</v>
      </c>
      <c r="B259" t="s">
        <v>2</v>
      </c>
      <c r="C259" t="s">
        <v>84</v>
      </c>
      <c r="D259" t="s">
        <v>24</v>
      </c>
      <c r="E259" t="s">
        <v>25</v>
      </c>
      <c r="F259" t="s">
        <v>24</v>
      </c>
      <c r="G259" t="s">
        <v>26</v>
      </c>
      <c r="H259" t="s">
        <v>13</v>
      </c>
      <c r="I259">
        <v>2095</v>
      </c>
      <c r="J259">
        <v>0.54154999999999998</v>
      </c>
      <c r="K259" t="s">
        <v>24</v>
      </c>
    </row>
    <row r="260" spans="1:11" x14ac:dyDescent="0.45">
      <c r="A260" t="s">
        <v>90</v>
      </c>
      <c r="B260" t="s">
        <v>1</v>
      </c>
      <c r="C260" t="s">
        <v>84</v>
      </c>
      <c r="D260" t="s">
        <v>24</v>
      </c>
      <c r="E260" t="s">
        <v>25</v>
      </c>
      <c r="F260" t="s">
        <v>24</v>
      </c>
      <c r="G260" t="s">
        <v>26</v>
      </c>
      <c r="H260" t="s">
        <v>13</v>
      </c>
      <c r="I260">
        <v>2095</v>
      </c>
      <c r="J260">
        <v>0.63919999999999999</v>
      </c>
      <c r="K260" t="s">
        <v>24</v>
      </c>
    </row>
    <row r="261" spans="1:11" x14ac:dyDescent="0.45">
      <c r="A261" t="s">
        <v>90</v>
      </c>
      <c r="B261" t="s">
        <v>3</v>
      </c>
      <c r="C261" t="s">
        <v>84</v>
      </c>
      <c r="D261" t="s">
        <v>24</v>
      </c>
      <c r="E261" t="s">
        <v>25</v>
      </c>
      <c r="F261" t="s">
        <v>24</v>
      </c>
      <c r="G261" t="s">
        <v>26</v>
      </c>
      <c r="H261" t="s">
        <v>13</v>
      </c>
      <c r="I261">
        <v>2100</v>
      </c>
      <c r="J261">
        <v>0.57184999999999997</v>
      </c>
      <c r="K261" t="s">
        <v>24</v>
      </c>
    </row>
    <row r="262" spans="1:11" x14ac:dyDescent="0.45">
      <c r="A262" t="s">
        <v>90</v>
      </c>
      <c r="B262" t="s">
        <v>4</v>
      </c>
      <c r="C262" t="s">
        <v>84</v>
      </c>
      <c r="D262" t="s">
        <v>24</v>
      </c>
      <c r="E262" t="s">
        <v>25</v>
      </c>
      <c r="F262" t="s">
        <v>24</v>
      </c>
      <c r="G262" t="s">
        <v>26</v>
      </c>
      <c r="H262" t="s">
        <v>13</v>
      </c>
      <c r="I262">
        <v>2100</v>
      </c>
      <c r="J262">
        <v>0.52544999999999997</v>
      </c>
      <c r="K262" t="s">
        <v>24</v>
      </c>
    </row>
    <row r="263" spans="1:11" x14ac:dyDescent="0.45">
      <c r="A263" t="s">
        <v>90</v>
      </c>
      <c r="B263" t="s">
        <v>0</v>
      </c>
      <c r="C263" t="s">
        <v>84</v>
      </c>
      <c r="D263" t="s">
        <v>24</v>
      </c>
      <c r="E263" t="s">
        <v>25</v>
      </c>
      <c r="F263" t="s">
        <v>24</v>
      </c>
      <c r="G263" t="s">
        <v>26</v>
      </c>
      <c r="H263" t="s">
        <v>13</v>
      </c>
      <c r="I263">
        <v>2100</v>
      </c>
      <c r="J263">
        <v>0.57410000000000005</v>
      </c>
      <c r="K263" t="s">
        <v>24</v>
      </c>
    </row>
    <row r="264" spans="1:11" x14ac:dyDescent="0.45">
      <c r="A264" t="s">
        <v>90</v>
      </c>
      <c r="B264" t="s">
        <v>6</v>
      </c>
      <c r="C264" t="s">
        <v>84</v>
      </c>
      <c r="D264" t="s">
        <v>24</v>
      </c>
      <c r="E264" t="s">
        <v>25</v>
      </c>
      <c r="F264" t="s">
        <v>24</v>
      </c>
      <c r="G264" t="s">
        <v>26</v>
      </c>
      <c r="H264" t="s">
        <v>13</v>
      </c>
      <c r="I264">
        <v>2100</v>
      </c>
      <c r="J264">
        <v>0.54410000000000003</v>
      </c>
      <c r="K264" t="s">
        <v>24</v>
      </c>
    </row>
    <row r="265" spans="1:11" x14ac:dyDescent="0.45">
      <c r="A265" t="s">
        <v>90</v>
      </c>
      <c r="B265" t="s">
        <v>5</v>
      </c>
      <c r="C265" t="s">
        <v>84</v>
      </c>
      <c r="D265" t="s">
        <v>24</v>
      </c>
      <c r="E265" t="s">
        <v>25</v>
      </c>
      <c r="F265" t="s">
        <v>24</v>
      </c>
      <c r="G265" t="s">
        <v>26</v>
      </c>
      <c r="H265" t="s">
        <v>13</v>
      </c>
      <c r="I265">
        <v>2100</v>
      </c>
      <c r="J265">
        <v>9.1999999999999998E-2</v>
      </c>
      <c r="K265" t="s">
        <v>24</v>
      </c>
    </row>
    <row r="266" spans="1:11" x14ac:dyDescent="0.45">
      <c r="A266" t="s">
        <v>90</v>
      </c>
      <c r="B266" t="s">
        <v>2</v>
      </c>
      <c r="C266" t="s">
        <v>84</v>
      </c>
      <c r="D266" t="s">
        <v>24</v>
      </c>
      <c r="E266" t="s">
        <v>25</v>
      </c>
      <c r="F266" t="s">
        <v>24</v>
      </c>
      <c r="G266" t="s">
        <v>26</v>
      </c>
      <c r="H266" t="s">
        <v>13</v>
      </c>
      <c r="I266">
        <v>2100</v>
      </c>
      <c r="J266">
        <v>0.53839999999999999</v>
      </c>
      <c r="K266" t="s">
        <v>24</v>
      </c>
    </row>
    <row r="267" spans="1:11" x14ac:dyDescent="0.45">
      <c r="A267" t="s">
        <v>90</v>
      </c>
      <c r="B267" t="s">
        <v>1</v>
      </c>
      <c r="C267" t="s">
        <v>84</v>
      </c>
      <c r="D267" t="s">
        <v>24</v>
      </c>
      <c r="E267" t="s">
        <v>25</v>
      </c>
      <c r="F267" t="s">
        <v>24</v>
      </c>
      <c r="G267" t="s">
        <v>26</v>
      </c>
      <c r="H267" t="s">
        <v>13</v>
      </c>
      <c r="I267">
        <v>2100</v>
      </c>
      <c r="J267">
        <v>0.63614999999999999</v>
      </c>
      <c r="K267" t="s">
        <v>24</v>
      </c>
    </row>
    <row r="268" spans="1:11" x14ac:dyDescent="0.45">
      <c r="A268" t="s">
        <v>90</v>
      </c>
      <c r="B268" t="s">
        <v>3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0.1799</v>
      </c>
      <c r="K268" t="s">
        <v>28</v>
      </c>
    </row>
    <row r="269" spans="1:11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2020</v>
      </c>
      <c r="J269">
        <v>0.18145</v>
      </c>
      <c r="K269" t="s">
        <v>28</v>
      </c>
    </row>
    <row r="270" spans="1:11" x14ac:dyDescent="0.45">
      <c r="A270" t="s">
        <v>90</v>
      </c>
      <c r="B270" t="s">
        <v>0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2020</v>
      </c>
      <c r="J270">
        <v>0.17909999999999998</v>
      </c>
      <c r="K270" t="s">
        <v>28</v>
      </c>
    </row>
    <row r="271" spans="1:11" x14ac:dyDescent="0.45">
      <c r="A271" t="s">
        <v>90</v>
      </c>
      <c r="B271" t="s">
        <v>6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2020</v>
      </c>
      <c r="J271">
        <v>0.18145</v>
      </c>
      <c r="K271" t="s">
        <v>28</v>
      </c>
    </row>
    <row r="272" spans="1:11" x14ac:dyDescent="0.45">
      <c r="A272" t="s">
        <v>90</v>
      </c>
      <c r="B272" t="s">
        <v>5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2020</v>
      </c>
      <c r="J272">
        <v>0.17319999999999999</v>
      </c>
      <c r="K272" t="s">
        <v>28</v>
      </c>
    </row>
    <row r="273" spans="1:11" x14ac:dyDescent="0.45">
      <c r="A273" t="s">
        <v>90</v>
      </c>
      <c r="B273" t="s">
        <v>2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2020</v>
      </c>
      <c r="J273">
        <v>0.18204999999999999</v>
      </c>
      <c r="K273" t="s">
        <v>28</v>
      </c>
    </row>
    <row r="274" spans="1:11" x14ac:dyDescent="0.45">
      <c r="A274" t="s">
        <v>90</v>
      </c>
      <c r="B274" t="s">
        <v>1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2020</v>
      </c>
      <c r="J274">
        <v>0.17325000000000002</v>
      </c>
      <c r="K274" t="s">
        <v>28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0.25319999999999998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0.25705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0.25205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0.25675000000000003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0.27910000000000001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0.25455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0.24675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2030</v>
      </c>
      <c r="J282">
        <v>0.31714999999999999</v>
      </c>
      <c r="K282" t="s">
        <v>28</v>
      </c>
    </row>
    <row r="283" spans="1:11" x14ac:dyDescent="0.45">
      <c r="A283" t="s">
        <v>90</v>
      </c>
      <c r="B283" t="s">
        <v>4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2030</v>
      </c>
      <c r="J283">
        <v>0.32355</v>
      </c>
      <c r="K283" t="s">
        <v>28</v>
      </c>
    </row>
    <row r="284" spans="1:11" x14ac:dyDescent="0.45">
      <c r="A284" t="s">
        <v>90</v>
      </c>
      <c r="B284" t="s">
        <v>0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2030</v>
      </c>
      <c r="J284">
        <v>0.31974999999999998</v>
      </c>
      <c r="K284" t="s">
        <v>28</v>
      </c>
    </row>
    <row r="285" spans="1:11" x14ac:dyDescent="0.45">
      <c r="A285" t="s">
        <v>90</v>
      </c>
      <c r="B285" t="s">
        <v>6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2030</v>
      </c>
      <c r="J285">
        <v>0.32304999999999995</v>
      </c>
      <c r="K285" t="s">
        <v>28</v>
      </c>
    </row>
    <row r="286" spans="1:11" x14ac:dyDescent="0.45">
      <c r="A286" t="s">
        <v>90</v>
      </c>
      <c r="B286" t="s">
        <v>5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2030</v>
      </c>
      <c r="J286">
        <v>0.25195000000000001</v>
      </c>
      <c r="K286" t="s">
        <v>28</v>
      </c>
    </row>
    <row r="287" spans="1:11" x14ac:dyDescent="0.45">
      <c r="A287" t="s">
        <v>90</v>
      </c>
      <c r="B287" t="s">
        <v>2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0.32164999999999999</v>
      </c>
      <c r="K287" t="s">
        <v>28</v>
      </c>
    </row>
    <row r="288" spans="1:11" x14ac:dyDescent="0.45">
      <c r="A288" t="s">
        <v>90</v>
      </c>
      <c r="B288" t="s">
        <v>1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2030</v>
      </c>
      <c r="J288">
        <v>0.26200000000000001</v>
      </c>
      <c r="K288" t="s">
        <v>28</v>
      </c>
    </row>
    <row r="289" spans="1:11" x14ac:dyDescent="0.45">
      <c r="A289" t="s">
        <v>90</v>
      </c>
      <c r="B289" t="s">
        <v>3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2035</v>
      </c>
      <c r="J289">
        <v>0.35489999999999999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2035</v>
      </c>
      <c r="J290">
        <v>0.37254999999999999</v>
      </c>
      <c r="K290" t="s">
        <v>28</v>
      </c>
    </row>
    <row r="291" spans="1:11" x14ac:dyDescent="0.45">
      <c r="A291" t="s">
        <v>90</v>
      </c>
      <c r="B291" t="s">
        <v>0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2035</v>
      </c>
      <c r="J291">
        <v>0.379</v>
      </c>
      <c r="K291" t="s">
        <v>28</v>
      </c>
    </row>
    <row r="292" spans="1:11" x14ac:dyDescent="0.45">
      <c r="A292" t="s">
        <v>90</v>
      </c>
      <c r="B292" t="s">
        <v>6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2035</v>
      </c>
      <c r="J292">
        <v>0.36529999999999996</v>
      </c>
      <c r="K292" t="s">
        <v>28</v>
      </c>
    </row>
    <row r="293" spans="1:11" x14ac:dyDescent="0.45">
      <c r="A293" t="s">
        <v>90</v>
      </c>
      <c r="B293" t="s">
        <v>5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2035</v>
      </c>
      <c r="J293">
        <v>0.27959999999999996</v>
      </c>
      <c r="K293" t="s">
        <v>28</v>
      </c>
    </row>
    <row r="294" spans="1:11" x14ac:dyDescent="0.45">
      <c r="A294" t="s">
        <v>90</v>
      </c>
      <c r="B294" t="s">
        <v>2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2035</v>
      </c>
      <c r="J294">
        <v>0.37204999999999999</v>
      </c>
      <c r="K294" t="s">
        <v>28</v>
      </c>
    </row>
    <row r="295" spans="1:11" x14ac:dyDescent="0.45">
      <c r="A295" t="s">
        <v>90</v>
      </c>
      <c r="B295" t="s">
        <v>1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2035</v>
      </c>
      <c r="J295">
        <v>0.30185000000000001</v>
      </c>
      <c r="K295" t="s">
        <v>28</v>
      </c>
    </row>
    <row r="296" spans="1:11" x14ac:dyDescent="0.45">
      <c r="A296" t="s">
        <v>90</v>
      </c>
      <c r="B296" t="s">
        <v>3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2040</v>
      </c>
      <c r="J296">
        <v>0.37570000000000003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2040</v>
      </c>
      <c r="J297">
        <v>0.39074999999999999</v>
      </c>
      <c r="K297" t="s">
        <v>28</v>
      </c>
    </row>
    <row r="298" spans="1:11" x14ac:dyDescent="0.45">
      <c r="A298" t="s">
        <v>90</v>
      </c>
      <c r="B298" t="s">
        <v>0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2040</v>
      </c>
      <c r="J298">
        <v>0.36890000000000001</v>
      </c>
      <c r="K298" t="s">
        <v>28</v>
      </c>
    </row>
    <row r="299" spans="1:11" x14ac:dyDescent="0.45">
      <c r="A299" t="s">
        <v>90</v>
      </c>
      <c r="B299" t="s">
        <v>6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2040</v>
      </c>
      <c r="J299">
        <v>0.38369999999999999</v>
      </c>
      <c r="K299" t="s">
        <v>28</v>
      </c>
    </row>
    <row r="300" spans="1:11" x14ac:dyDescent="0.45">
      <c r="A300" t="s">
        <v>90</v>
      </c>
      <c r="B300" t="s">
        <v>5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2040</v>
      </c>
      <c r="J300">
        <v>0.31825000000000003</v>
      </c>
      <c r="K300" t="s">
        <v>28</v>
      </c>
    </row>
    <row r="301" spans="1:11" x14ac:dyDescent="0.45">
      <c r="A301" t="s">
        <v>90</v>
      </c>
      <c r="B301" t="s">
        <v>2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2040</v>
      </c>
      <c r="J301">
        <v>0.39039999999999997</v>
      </c>
      <c r="K301" t="s">
        <v>28</v>
      </c>
    </row>
    <row r="302" spans="1:11" x14ac:dyDescent="0.45">
      <c r="A302" t="s">
        <v>90</v>
      </c>
      <c r="B302" t="s">
        <v>1</v>
      </c>
      <c r="C302" t="s">
        <v>84</v>
      </c>
      <c r="D302" t="s">
        <v>28</v>
      </c>
      <c r="E302" t="s">
        <v>25</v>
      </c>
      <c r="F302" t="s">
        <v>28</v>
      </c>
      <c r="G302" t="s">
        <v>26</v>
      </c>
      <c r="H302" t="s">
        <v>12</v>
      </c>
      <c r="I302">
        <v>2040</v>
      </c>
      <c r="J302">
        <v>0.37575000000000003</v>
      </c>
      <c r="K302" t="s">
        <v>28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2045</v>
      </c>
      <c r="J303">
        <v>0.43295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2045</v>
      </c>
      <c r="J304">
        <v>0.42654999999999998</v>
      </c>
      <c r="K304" t="s">
        <v>28</v>
      </c>
    </row>
    <row r="305" spans="1:11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2045</v>
      </c>
      <c r="J305">
        <v>0.39190000000000003</v>
      </c>
      <c r="K305" t="s">
        <v>28</v>
      </c>
    </row>
    <row r="306" spans="1:11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2045</v>
      </c>
      <c r="J306">
        <v>0.42535000000000001</v>
      </c>
      <c r="K306" t="s">
        <v>28</v>
      </c>
    </row>
    <row r="307" spans="1:11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2045</v>
      </c>
      <c r="J307">
        <v>0.35275000000000001</v>
      </c>
      <c r="K307" t="s">
        <v>28</v>
      </c>
    </row>
    <row r="308" spans="1:11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2045</v>
      </c>
      <c r="J308">
        <v>0.43000000000000005</v>
      </c>
      <c r="K308" t="s">
        <v>28</v>
      </c>
    </row>
    <row r="309" spans="1:11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2045</v>
      </c>
      <c r="J309">
        <v>0.48460000000000003</v>
      </c>
      <c r="K309" t="s">
        <v>28</v>
      </c>
    </row>
    <row r="310" spans="1:11" x14ac:dyDescent="0.45">
      <c r="A310" t="s">
        <v>90</v>
      </c>
      <c r="B310" t="s">
        <v>3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2050</v>
      </c>
      <c r="J310">
        <v>0.48604999999999998</v>
      </c>
      <c r="K310" t="s">
        <v>28</v>
      </c>
    </row>
    <row r="311" spans="1:11" x14ac:dyDescent="0.45">
      <c r="A311" t="s">
        <v>90</v>
      </c>
      <c r="B311" t="s">
        <v>4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2050</v>
      </c>
      <c r="J311">
        <v>0.46540000000000004</v>
      </c>
      <c r="K311" t="s">
        <v>28</v>
      </c>
    </row>
    <row r="312" spans="1:11" x14ac:dyDescent="0.45">
      <c r="A312" t="s">
        <v>90</v>
      </c>
      <c r="B312" t="s">
        <v>0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2050</v>
      </c>
      <c r="J312">
        <v>0.4677</v>
      </c>
      <c r="K312" t="s">
        <v>28</v>
      </c>
    </row>
    <row r="313" spans="1:11" x14ac:dyDescent="0.45">
      <c r="A313" t="s">
        <v>90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2050</v>
      </c>
      <c r="J313">
        <v>0.47299999999999998</v>
      </c>
      <c r="K313" t="s">
        <v>28</v>
      </c>
    </row>
    <row r="314" spans="1:11" x14ac:dyDescent="0.45">
      <c r="A314" t="s">
        <v>90</v>
      </c>
      <c r="B314" t="s">
        <v>5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2050</v>
      </c>
      <c r="J314">
        <v>0.42230000000000001</v>
      </c>
      <c r="K314" t="s">
        <v>28</v>
      </c>
    </row>
    <row r="315" spans="1:11" x14ac:dyDescent="0.45">
      <c r="A315" t="s">
        <v>90</v>
      </c>
      <c r="B315" t="s">
        <v>2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2050</v>
      </c>
      <c r="J315">
        <v>0.4763</v>
      </c>
      <c r="K315" t="s">
        <v>28</v>
      </c>
    </row>
    <row r="316" spans="1:11" x14ac:dyDescent="0.45">
      <c r="A316" t="s">
        <v>90</v>
      </c>
      <c r="B316" t="s">
        <v>1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0.5474</v>
      </c>
      <c r="K316" t="s">
        <v>28</v>
      </c>
    </row>
    <row r="317" spans="1:11" x14ac:dyDescent="0.45">
      <c r="A317" t="s">
        <v>90</v>
      </c>
      <c r="B317" t="s">
        <v>3</v>
      </c>
      <c r="C317" t="s">
        <v>84</v>
      </c>
      <c r="D317" t="s">
        <v>28</v>
      </c>
      <c r="E317" t="s">
        <v>25</v>
      </c>
      <c r="F317" t="s">
        <v>28</v>
      </c>
      <c r="G317" t="s">
        <v>26</v>
      </c>
      <c r="H317" t="s">
        <v>12</v>
      </c>
      <c r="I317">
        <v>2055</v>
      </c>
      <c r="J317">
        <v>0.49920000000000003</v>
      </c>
      <c r="K317" t="s">
        <v>28</v>
      </c>
    </row>
    <row r="318" spans="1:11" x14ac:dyDescent="0.45">
      <c r="A318" t="s">
        <v>90</v>
      </c>
      <c r="B318" t="s">
        <v>4</v>
      </c>
      <c r="C318" t="s">
        <v>84</v>
      </c>
      <c r="D318" t="s">
        <v>28</v>
      </c>
      <c r="E318" t="s">
        <v>25</v>
      </c>
      <c r="F318" t="s">
        <v>28</v>
      </c>
      <c r="G318" t="s">
        <v>26</v>
      </c>
      <c r="H318" t="s">
        <v>12</v>
      </c>
      <c r="I318">
        <v>2055</v>
      </c>
      <c r="J318">
        <v>0.4652</v>
      </c>
      <c r="K318" t="s">
        <v>28</v>
      </c>
    </row>
    <row r="319" spans="1:11" x14ac:dyDescent="0.45">
      <c r="A319" t="s">
        <v>90</v>
      </c>
      <c r="B319" t="s">
        <v>0</v>
      </c>
      <c r="C319" t="s">
        <v>84</v>
      </c>
      <c r="D319" t="s">
        <v>28</v>
      </c>
      <c r="E319" t="s">
        <v>25</v>
      </c>
      <c r="F319" t="s">
        <v>28</v>
      </c>
      <c r="G319" t="s">
        <v>26</v>
      </c>
      <c r="H319" t="s">
        <v>12</v>
      </c>
      <c r="I319">
        <v>2055</v>
      </c>
      <c r="J319">
        <v>0.48365000000000002</v>
      </c>
      <c r="K319" t="s">
        <v>28</v>
      </c>
    </row>
    <row r="320" spans="1:11" x14ac:dyDescent="0.45">
      <c r="A320" t="s">
        <v>90</v>
      </c>
      <c r="B320" t="s">
        <v>6</v>
      </c>
      <c r="C320" t="s">
        <v>84</v>
      </c>
      <c r="D320" t="s">
        <v>28</v>
      </c>
      <c r="E320" t="s">
        <v>25</v>
      </c>
      <c r="F320" t="s">
        <v>28</v>
      </c>
      <c r="G320" t="s">
        <v>26</v>
      </c>
      <c r="H320" t="s">
        <v>12</v>
      </c>
      <c r="I320">
        <v>2055</v>
      </c>
      <c r="J320">
        <v>0.47725000000000001</v>
      </c>
      <c r="K320" t="s">
        <v>28</v>
      </c>
    </row>
    <row r="321" spans="1:11" x14ac:dyDescent="0.45">
      <c r="A321" t="s">
        <v>90</v>
      </c>
      <c r="B321" t="s">
        <v>5</v>
      </c>
      <c r="C321" t="s">
        <v>84</v>
      </c>
      <c r="D321" t="s">
        <v>28</v>
      </c>
      <c r="E321" t="s">
        <v>25</v>
      </c>
      <c r="F321" t="s">
        <v>28</v>
      </c>
      <c r="G321" t="s">
        <v>26</v>
      </c>
      <c r="H321" t="s">
        <v>12</v>
      </c>
      <c r="I321">
        <v>2055</v>
      </c>
      <c r="J321">
        <v>0.40984999999999999</v>
      </c>
      <c r="K321" t="s">
        <v>28</v>
      </c>
    </row>
    <row r="322" spans="1:11" x14ac:dyDescent="0.45">
      <c r="A322" t="s">
        <v>90</v>
      </c>
      <c r="B322" t="s">
        <v>2</v>
      </c>
      <c r="C322" t="s">
        <v>84</v>
      </c>
      <c r="D322" t="s">
        <v>28</v>
      </c>
      <c r="E322" t="s">
        <v>25</v>
      </c>
      <c r="F322" t="s">
        <v>28</v>
      </c>
      <c r="G322" t="s">
        <v>26</v>
      </c>
      <c r="H322" t="s">
        <v>12</v>
      </c>
      <c r="I322">
        <v>2055</v>
      </c>
      <c r="J322">
        <v>0.49095</v>
      </c>
      <c r="K322" t="s">
        <v>28</v>
      </c>
    </row>
    <row r="323" spans="1:11" x14ac:dyDescent="0.45">
      <c r="A323" t="s">
        <v>90</v>
      </c>
      <c r="B323" t="s">
        <v>1</v>
      </c>
      <c r="C323" t="s">
        <v>84</v>
      </c>
      <c r="D323" t="s">
        <v>28</v>
      </c>
      <c r="E323" t="s">
        <v>25</v>
      </c>
      <c r="F323" t="s">
        <v>28</v>
      </c>
      <c r="G323" t="s">
        <v>26</v>
      </c>
      <c r="H323" t="s">
        <v>12</v>
      </c>
      <c r="I323">
        <v>2055</v>
      </c>
      <c r="J323">
        <v>0.53325</v>
      </c>
      <c r="K323" t="s">
        <v>28</v>
      </c>
    </row>
    <row r="324" spans="1:11" x14ac:dyDescent="0.45">
      <c r="A324" t="s">
        <v>90</v>
      </c>
      <c r="B324" t="s">
        <v>3</v>
      </c>
      <c r="C324" t="s">
        <v>84</v>
      </c>
      <c r="D324" t="s">
        <v>28</v>
      </c>
      <c r="E324" t="s">
        <v>25</v>
      </c>
      <c r="F324" t="s">
        <v>28</v>
      </c>
      <c r="G324" t="s">
        <v>26</v>
      </c>
      <c r="H324" t="s">
        <v>12</v>
      </c>
      <c r="I324">
        <v>2060</v>
      </c>
      <c r="J324">
        <v>0.57869999999999999</v>
      </c>
      <c r="K324" t="s">
        <v>28</v>
      </c>
    </row>
    <row r="325" spans="1:11" x14ac:dyDescent="0.45">
      <c r="A325" t="s">
        <v>90</v>
      </c>
      <c r="B325" t="s">
        <v>4</v>
      </c>
      <c r="C325" t="s">
        <v>84</v>
      </c>
      <c r="D325" t="s">
        <v>28</v>
      </c>
      <c r="E325" t="s">
        <v>25</v>
      </c>
      <c r="F325" t="s">
        <v>28</v>
      </c>
      <c r="G325" t="s">
        <v>26</v>
      </c>
      <c r="H325" t="s">
        <v>12</v>
      </c>
      <c r="I325">
        <v>2060</v>
      </c>
      <c r="J325">
        <v>0.53764999999999996</v>
      </c>
      <c r="K325" t="s">
        <v>28</v>
      </c>
    </row>
    <row r="326" spans="1:11" x14ac:dyDescent="0.45">
      <c r="A326" t="s">
        <v>90</v>
      </c>
      <c r="B326" t="s">
        <v>0</v>
      </c>
      <c r="C326" t="s">
        <v>84</v>
      </c>
      <c r="D326" t="s">
        <v>28</v>
      </c>
      <c r="E326" t="s">
        <v>25</v>
      </c>
      <c r="F326" t="s">
        <v>28</v>
      </c>
      <c r="G326" t="s">
        <v>26</v>
      </c>
      <c r="H326" t="s">
        <v>12</v>
      </c>
      <c r="I326">
        <v>2060</v>
      </c>
      <c r="J326">
        <v>0.55499999999999994</v>
      </c>
      <c r="K326" t="s">
        <v>28</v>
      </c>
    </row>
    <row r="327" spans="1:11" x14ac:dyDescent="0.45">
      <c r="A327" t="s">
        <v>90</v>
      </c>
      <c r="B327" t="s">
        <v>6</v>
      </c>
      <c r="C327" t="s">
        <v>84</v>
      </c>
      <c r="D327" t="s">
        <v>28</v>
      </c>
      <c r="E327" t="s">
        <v>25</v>
      </c>
      <c r="F327" t="s">
        <v>28</v>
      </c>
      <c r="G327" t="s">
        <v>26</v>
      </c>
      <c r="H327" t="s">
        <v>12</v>
      </c>
      <c r="I327">
        <v>2060</v>
      </c>
      <c r="J327">
        <v>0.54100000000000004</v>
      </c>
      <c r="K327" t="s">
        <v>28</v>
      </c>
    </row>
    <row r="328" spans="1:11" x14ac:dyDescent="0.45">
      <c r="A328" t="s">
        <v>90</v>
      </c>
      <c r="B328" t="s">
        <v>5</v>
      </c>
      <c r="C328" t="s">
        <v>84</v>
      </c>
      <c r="D328" t="s">
        <v>28</v>
      </c>
      <c r="E328" t="s">
        <v>25</v>
      </c>
      <c r="F328" t="s">
        <v>28</v>
      </c>
      <c r="G328" t="s">
        <v>26</v>
      </c>
      <c r="H328" t="s">
        <v>12</v>
      </c>
      <c r="I328">
        <v>2060</v>
      </c>
      <c r="J328">
        <v>0.46199999999999997</v>
      </c>
      <c r="K328" t="s">
        <v>28</v>
      </c>
    </row>
    <row r="329" spans="1:11" x14ac:dyDescent="0.45">
      <c r="A329" t="s">
        <v>90</v>
      </c>
      <c r="B329" t="s">
        <v>2</v>
      </c>
      <c r="C329" t="s">
        <v>84</v>
      </c>
      <c r="D329" t="s">
        <v>28</v>
      </c>
      <c r="E329" t="s">
        <v>25</v>
      </c>
      <c r="F329" t="s">
        <v>28</v>
      </c>
      <c r="G329" t="s">
        <v>26</v>
      </c>
      <c r="H329" t="s">
        <v>12</v>
      </c>
      <c r="I329">
        <v>2060</v>
      </c>
      <c r="J329">
        <v>0.57250000000000001</v>
      </c>
      <c r="K329" t="s">
        <v>28</v>
      </c>
    </row>
    <row r="330" spans="1:11" x14ac:dyDescent="0.45">
      <c r="A330" t="s">
        <v>90</v>
      </c>
      <c r="B330" t="s">
        <v>1</v>
      </c>
      <c r="C330" t="s">
        <v>84</v>
      </c>
      <c r="D330" t="s">
        <v>28</v>
      </c>
      <c r="E330" t="s">
        <v>25</v>
      </c>
      <c r="F330" t="s">
        <v>28</v>
      </c>
      <c r="G330" t="s">
        <v>26</v>
      </c>
      <c r="H330" t="s">
        <v>12</v>
      </c>
      <c r="I330">
        <v>2060</v>
      </c>
      <c r="J330">
        <v>0.61329999999999996</v>
      </c>
      <c r="K330" t="s">
        <v>28</v>
      </c>
    </row>
    <row r="331" spans="1:11" x14ac:dyDescent="0.45">
      <c r="A331" t="s">
        <v>90</v>
      </c>
      <c r="B331" t="s">
        <v>3</v>
      </c>
      <c r="C331" t="s">
        <v>84</v>
      </c>
      <c r="D331" t="s">
        <v>28</v>
      </c>
      <c r="E331" t="s">
        <v>25</v>
      </c>
      <c r="F331" t="s">
        <v>28</v>
      </c>
      <c r="G331" t="s">
        <v>26</v>
      </c>
      <c r="H331" t="s">
        <v>12</v>
      </c>
      <c r="I331">
        <v>2065</v>
      </c>
      <c r="J331">
        <v>0.63295000000000001</v>
      </c>
      <c r="K331" t="s">
        <v>28</v>
      </c>
    </row>
    <row r="332" spans="1:11" x14ac:dyDescent="0.45">
      <c r="A332" t="s">
        <v>90</v>
      </c>
      <c r="B332" t="s">
        <v>4</v>
      </c>
      <c r="C332" t="s">
        <v>84</v>
      </c>
      <c r="D332" t="s">
        <v>28</v>
      </c>
      <c r="E332" t="s">
        <v>25</v>
      </c>
      <c r="F332" t="s">
        <v>28</v>
      </c>
      <c r="G332" t="s">
        <v>26</v>
      </c>
      <c r="H332" t="s">
        <v>12</v>
      </c>
      <c r="I332">
        <v>2065</v>
      </c>
      <c r="J332">
        <v>0.56955</v>
      </c>
      <c r="K332" t="s">
        <v>28</v>
      </c>
    </row>
    <row r="333" spans="1:11" x14ac:dyDescent="0.45">
      <c r="A333" t="s">
        <v>90</v>
      </c>
      <c r="B333" t="s">
        <v>0</v>
      </c>
      <c r="C333" t="s">
        <v>84</v>
      </c>
      <c r="D333" t="s">
        <v>28</v>
      </c>
      <c r="E333" t="s">
        <v>25</v>
      </c>
      <c r="F333" t="s">
        <v>28</v>
      </c>
      <c r="G333" t="s">
        <v>26</v>
      </c>
      <c r="H333" t="s">
        <v>12</v>
      </c>
      <c r="I333">
        <v>2065</v>
      </c>
      <c r="J333">
        <v>0.61244999999999994</v>
      </c>
      <c r="K333" t="s">
        <v>28</v>
      </c>
    </row>
    <row r="334" spans="1:11" x14ac:dyDescent="0.45">
      <c r="A334" t="s">
        <v>90</v>
      </c>
      <c r="B334" t="s">
        <v>6</v>
      </c>
      <c r="C334" t="s">
        <v>84</v>
      </c>
      <c r="D334" t="s">
        <v>28</v>
      </c>
      <c r="E334" t="s">
        <v>25</v>
      </c>
      <c r="F334" t="s">
        <v>28</v>
      </c>
      <c r="G334" t="s">
        <v>26</v>
      </c>
      <c r="H334" t="s">
        <v>12</v>
      </c>
      <c r="I334">
        <v>2065</v>
      </c>
      <c r="J334">
        <v>0.6008</v>
      </c>
      <c r="K334" t="s">
        <v>28</v>
      </c>
    </row>
    <row r="335" spans="1:11" x14ac:dyDescent="0.45">
      <c r="A335" t="s">
        <v>90</v>
      </c>
      <c r="B335" t="s">
        <v>5</v>
      </c>
      <c r="C335" t="s">
        <v>84</v>
      </c>
      <c r="D335" t="s">
        <v>28</v>
      </c>
      <c r="E335" t="s">
        <v>25</v>
      </c>
      <c r="F335" t="s">
        <v>28</v>
      </c>
      <c r="G335" t="s">
        <v>26</v>
      </c>
      <c r="H335" t="s">
        <v>12</v>
      </c>
      <c r="I335">
        <v>2065</v>
      </c>
      <c r="J335">
        <v>0.49409999999999998</v>
      </c>
      <c r="K335" t="s">
        <v>28</v>
      </c>
    </row>
    <row r="336" spans="1:11" x14ac:dyDescent="0.45">
      <c r="A336" t="s">
        <v>90</v>
      </c>
      <c r="B336" t="s">
        <v>2</v>
      </c>
      <c r="C336" t="s">
        <v>84</v>
      </c>
      <c r="D336" t="s">
        <v>28</v>
      </c>
      <c r="E336" t="s">
        <v>25</v>
      </c>
      <c r="F336" t="s">
        <v>28</v>
      </c>
      <c r="G336" t="s">
        <v>26</v>
      </c>
      <c r="H336" t="s">
        <v>12</v>
      </c>
      <c r="I336">
        <v>2065</v>
      </c>
      <c r="J336">
        <v>0.59020000000000006</v>
      </c>
      <c r="K336" t="s">
        <v>28</v>
      </c>
    </row>
    <row r="337" spans="1:11" x14ac:dyDescent="0.45">
      <c r="A337" t="s">
        <v>90</v>
      </c>
      <c r="B337" t="s">
        <v>1</v>
      </c>
      <c r="C337" t="s">
        <v>84</v>
      </c>
      <c r="D337" t="s">
        <v>28</v>
      </c>
      <c r="E337" t="s">
        <v>25</v>
      </c>
      <c r="F337" t="s">
        <v>28</v>
      </c>
      <c r="G337" t="s">
        <v>26</v>
      </c>
      <c r="H337" t="s">
        <v>12</v>
      </c>
      <c r="I337">
        <v>2065</v>
      </c>
      <c r="J337">
        <v>0.66354999999999997</v>
      </c>
      <c r="K337" t="s">
        <v>28</v>
      </c>
    </row>
    <row r="338" spans="1:11" x14ac:dyDescent="0.45">
      <c r="A338" t="s">
        <v>90</v>
      </c>
      <c r="B338" t="s">
        <v>3</v>
      </c>
      <c r="C338" t="s">
        <v>84</v>
      </c>
      <c r="D338" t="s">
        <v>28</v>
      </c>
      <c r="E338" t="s">
        <v>25</v>
      </c>
      <c r="F338" t="s">
        <v>28</v>
      </c>
      <c r="G338" t="s">
        <v>26</v>
      </c>
      <c r="H338" t="s">
        <v>12</v>
      </c>
      <c r="I338">
        <v>2070</v>
      </c>
      <c r="J338">
        <v>0.6895</v>
      </c>
      <c r="K338" t="s">
        <v>28</v>
      </c>
    </row>
    <row r="339" spans="1:11" x14ac:dyDescent="0.45">
      <c r="A339" t="s">
        <v>90</v>
      </c>
      <c r="B339" t="s">
        <v>4</v>
      </c>
      <c r="C339" t="s">
        <v>84</v>
      </c>
      <c r="D339" t="s">
        <v>28</v>
      </c>
      <c r="E339" t="s">
        <v>25</v>
      </c>
      <c r="F339" t="s">
        <v>28</v>
      </c>
      <c r="G339" t="s">
        <v>26</v>
      </c>
      <c r="H339" t="s">
        <v>12</v>
      </c>
      <c r="I339">
        <v>2070</v>
      </c>
      <c r="J339">
        <v>0.60224999999999995</v>
      </c>
      <c r="K339" t="s">
        <v>28</v>
      </c>
    </row>
    <row r="340" spans="1:11" x14ac:dyDescent="0.45">
      <c r="A340" t="s">
        <v>90</v>
      </c>
      <c r="B340" t="s">
        <v>0</v>
      </c>
      <c r="C340" t="s">
        <v>84</v>
      </c>
      <c r="D340" t="s">
        <v>28</v>
      </c>
      <c r="E340" t="s">
        <v>25</v>
      </c>
      <c r="F340" t="s">
        <v>28</v>
      </c>
      <c r="G340" t="s">
        <v>26</v>
      </c>
      <c r="H340" t="s">
        <v>12</v>
      </c>
      <c r="I340">
        <v>2070</v>
      </c>
      <c r="J340">
        <v>0.67084999999999995</v>
      </c>
      <c r="K340" t="s">
        <v>28</v>
      </c>
    </row>
    <row r="341" spans="1:11" x14ac:dyDescent="0.45">
      <c r="A341" t="s">
        <v>90</v>
      </c>
      <c r="B341" t="s">
        <v>6</v>
      </c>
      <c r="C341" t="s">
        <v>84</v>
      </c>
      <c r="D341" t="s">
        <v>28</v>
      </c>
      <c r="E341" t="s">
        <v>25</v>
      </c>
      <c r="F341" t="s">
        <v>28</v>
      </c>
      <c r="G341" t="s">
        <v>26</v>
      </c>
      <c r="H341" t="s">
        <v>12</v>
      </c>
      <c r="I341">
        <v>2070</v>
      </c>
      <c r="J341">
        <v>0.66205000000000003</v>
      </c>
      <c r="K341" t="s">
        <v>28</v>
      </c>
    </row>
    <row r="342" spans="1:11" x14ac:dyDescent="0.45">
      <c r="A342" t="s">
        <v>90</v>
      </c>
      <c r="B342" t="s">
        <v>5</v>
      </c>
      <c r="C342" t="s">
        <v>84</v>
      </c>
      <c r="D342" t="s">
        <v>28</v>
      </c>
      <c r="E342" t="s">
        <v>25</v>
      </c>
      <c r="F342" t="s">
        <v>28</v>
      </c>
      <c r="G342" t="s">
        <v>26</v>
      </c>
      <c r="H342" t="s">
        <v>12</v>
      </c>
      <c r="I342">
        <v>2070</v>
      </c>
      <c r="J342">
        <v>0.52849999999999997</v>
      </c>
      <c r="K342" t="s">
        <v>28</v>
      </c>
    </row>
    <row r="343" spans="1:11" x14ac:dyDescent="0.45">
      <c r="A343" t="s">
        <v>90</v>
      </c>
      <c r="B343" t="s">
        <v>2</v>
      </c>
      <c r="C343" t="s">
        <v>84</v>
      </c>
      <c r="D343" t="s">
        <v>28</v>
      </c>
      <c r="E343" t="s">
        <v>25</v>
      </c>
      <c r="F343" t="s">
        <v>28</v>
      </c>
      <c r="G343" t="s">
        <v>26</v>
      </c>
      <c r="H343" t="s">
        <v>12</v>
      </c>
      <c r="I343">
        <v>2070</v>
      </c>
      <c r="J343">
        <v>0.61799999999999999</v>
      </c>
      <c r="K343" t="s">
        <v>28</v>
      </c>
    </row>
    <row r="344" spans="1:11" x14ac:dyDescent="0.45">
      <c r="A344" t="s">
        <v>90</v>
      </c>
      <c r="B344" t="s">
        <v>1</v>
      </c>
      <c r="C344" t="s">
        <v>84</v>
      </c>
      <c r="D344" t="s">
        <v>28</v>
      </c>
      <c r="E344" t="s">
        <v>25</v>
      </c>
      <c r="F344" t="s">
        <v>28</v>
      </c>
      <c r="G344" t="s">
        <v>26</v>
      </c>
      <c r="H344" t="s">
        <v>12</v>
      </c>
      <c r="I344">
        <v>2070</v>
      </c>
      <c r="J344">
        <v>0.71250000000000002</v>
      </c>
      <c r="K344" t="s">
        <v>28</v>
      </c>
    </row>
    <row r="345" spans="1:11" x14ac:dyDescent="0.45">
      <c r="A345" t="s">
        <v>90</v>
      </c>
      <c r="B345" t="s">
        <v>3</v>
      </c>
      <c r="C345" t="s">
        <v>84</v>
      </c>
      <c r="D345" t="s">
        <v>28</v>
      </c>
      <c r="E345" t="s">
        <v>25</v>
      </c>
      <c r="F345" t="s">
        <v>28</v>
      </c>
      <c r="G345" t="s">
        <v>26</v>
      </c>
      <c r="H345" t="s">
        <v>12</v>
      </c>
      <c r="I345">
        <v>2075</v>
      </c>
      <c r="J345">
        <v>0.77410000000000001</v>
      </c>
      <c r="K345" t="s">
        <v>28</v>
      </c>
    </row>
    <row r="346" spans="1:11" x14ac:dyDescent="0.45">
      <c r="A346" t="s">
        <v>90</v>
      </c>
      <c r="B346" t="s">
        <v>4</v>
      </c>
      <c r="C346" t="s">
        <v>84</v>
      </c>
      <c r="D346" t="s">
        <v>28</v>
      </c>
      <c r="E346" t="s">
        <v>25</v>
      </c>
      <c r="F346" t="s">
        <v>28</v>
      </c>
      <c r="G346" t="s">
        <v>26</v>
      </c>
      <c r="H346" t="s">
        <v>12</v>
      </c>
      <c r="I346">
        <v>2075</v>
      </c>
      <c r="J346">
        <v>0.67484999999999995</v>
      </c>
      <c r="K346" t="s">
        <v>28</v>
      </c>
    </row>
    <row r="347" spans="1:11" x14ac:dyDescent="0.45">
      <c r="A347" t="s">
        <v>90</v>
      </c>
      <c r="B347" t="s">
        <v>0</v>
      </c>
      <c r="C347" t="s">
        <v>84</v>
      </c>
      <c r="D347" t="s">
        <v>28</v>
      </c>
      <c r="E347" t="s">
        <v>25</v>
      </c>
      <c r="F347" t="s">
        <v>28</v>
      </c>
      <c r="G347" t="s">
        <v>26</v>
      </c>
      <c r="H347" t="s">
        <v>12</v>
      </c>
      <c r="I347">
        <v>2075</v>
      </c>
      <c r="J347">
        <v>0.75965000000000005</v>
      </c>
      <c r="K347" t="s">
        <v>28</v>
      </c>
    </row>
    <row r="348" spans="1:11" x14ac:dyDescent="0.45">
      <c r="A348" t="s">
        <v>90</v>
      </c>
      <c r="B348" t="s">
        <v>6</v>
      </c>
      <c r="C348" t="s">
        <v>84</v>
      </c>
      <c r="D348" t="s">
        <v>28</v>
      </c>
      <c r="E348" t="s">
        <v>25</v>
      </c>
      <c r="F348" t="s">
        <v>28</v>
      </c>
      <c r="G348" t="s">
        <v>26</v>
      </c>
      <c r="H348" t="s">
        <v>12</v>
      </c>
      <c r="I348">
        <v>2075</v>
      </c>
      <c r="J348">
        <v>0.75090000000000001</v>
      </c>
      <c r="K348" t="s">
        <v>28</v>
      </c>
    </row>
    <row r="349" spans="1:11" x14ac:dyDescent="0.45">
      <c r="A349" t="s">
        <v>90</v>
      </c>
      <c r="B349" t="s">
        <v>5</v>
      </c>
      <c r="C349" t="s">
        <v>84</v>
      </c>
      <c r="D349" t="s">
        <v>28</v>
      </c>
      <c r="E349" t="s">
        <v>25</v>
      </c>
      <c r="F349" t="s">
        <v>28</v>
      </c>
      <c r="G349" t="s">
        <v>26</v>
      </c>
      <c r="H349" t="s">
        <v>12</v>
      </c>
      <c r="I349">
        <v>2075</v>
      </c>
      <c r="J349">
        <v>0.58899999999999997</v>
      </c>
      <c r="K349" t="s">
        <v>28</v>
      </c>
    </row>
    <row r="350" spans="1:11" x14ac:dyDescent="0.45">
      <c r="A350" t="s">
        <v>90</v>
      </c>
      <c r="B350" t="s">
        <v>2</v>
      </c>
      <c r="C350" t="s">
        <v>84</v>
      </c>
      <c r="D350" t="s">
        <v>28</v>
      </c>
      <c r="E350" t="s">
        <v>25</v>
      </c>
      <c r="F350" t="s">
        <v>28</v>
      </c>
      <c r="G350" t="s">
        <v>26</v>
      </c>
      <c r="H350" t="s">
        <v>12</v>
      </c>
      <c r="I350">
        <v>2075</v>
      </c>
      <c r="J350">
        <v>0.71379999999999999</v>
      </c>
      <c r="K350" t="s">
        <v>28</v>
      </c>
    </row>
    <row r="351" spans="1:11" x14ac:dyDescent="0.45">
      <c r="A351" t="s">
        <v>90</v>
      </c>
      <c r="B351" t="s">
        <v>1</v>
      </c>
      <c r="C351" t="s">
        <v>84</v>
      </c>
      <c r="D351" t="s">
        <v>28</v>
      </c>
      <c r="E351" t="s">
        <v>25</v>
      </c>
      <c r="F351" t="s">
        <v>28</v>
      </c>
      <c r="G351" t="s">
        <v>26</v>
      </c>
      <c r="H351" t="s">
        <v>12</v>
      </c>
      <c r="I351">
        <v>2075</v>
      </c>
      <c r="J351">
        <v>0.7954</v>
      </c>
      <c r="K351" t="s">
        <v>28</v>
      </c>
    </row>
    <row r="352" spans="1:11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2080</v>
      </c>
      <c r="J352">
        <v>0.85580000000000001</v>
      </c>
      <c r="K352" t="s">
        <v>28</v>
      </c>
    </row>
    <row r="353" spans="1:11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2080</v>
      </c>
      <c r="J353">
        <v>0.74629999999999996</v>
      </c>
      <c r="K353" t="s">
        <v>28</v>
      </c>
    </row>
    <row r="354" spans="1:11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2080</v>
      </c>
      <c r="J354">
        <v>0.8456999999999999</v>
      </c>
      <c r="K354" t="s">
        <v>28</v>
      </c>
    </row>
    <row r="355" spans="1:11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2080</v>
      </c>
      <c r="J355">
        <v>0.83319999999999994</v>
      </c>
      <c r="K355" t="s">
        <v>28</v>
      </c>
    </row>
    <row r="356" spans="1:11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2080</v>
      </c>
      <c r="J356">
        <v>0.65029999999999999</v>
      </c>
      <c r="K356" t="s">
        <v>28</v>
      </c>
    </row>
    <row r="357" spans="1:11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2080</v>
      </c>
      <c r="J357">
        <v>0.80604999999999993</v>
      </c>
      <c r="K357" t="s">
        <v>28</v>
      </c>
    </row>
    <row r="358" spans="1:11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2080</v>
      </c>
      <c r="J358">
        <v>0.87480000000000002</v>
      </c>
      <c r="K358" t="s">
        <v>28</v>
      </c>
    </row>
    <row r="359" spans="1:11" x14ac:dyDescent="0.45">
      <c r="A359" t="s">
        <v>90</v>
      </c>
      <c r="B359" t="s">
        <v>3</v>
      </c>
      <c r="C359" t="s">
        <v>84</v>
      </c>
      <c r="D359" t="s">
        <v>28</v>
      </c>
      <c r="E359" t="s">
        <v>25</v>
      </c>
      <c r="F359" t="s">
        <v>28</v>
      </c>
      <c r="G359" t="s">
        <v>26</v>
      </c>
      <c r="H359" t="s">
        <v>12</v>
      </c>
      <c r="I359">
        <v>2085</v>
      </c>
      <c r="J359">
        <v>0.90769999999999995</v>
      </c>
      <c r="K359" t="s">
        <v>28</v>
      </c>
    </row>
    <row r="360" spans="1:11" x14ac:dyDescent="0.45">
      <c r="A360" t="s">
        <v>90</v>
      </c>
      <c r="B360" t="s">
        <v>4</v>
      </c>
      <c r="C360" t="s">
        <v>84</v>
      </c>
      <c r="D360" t="s">
        <v>28</v>
      </c>
      <c r="E360" t="s">
        <v>25</v>
      </c>
      <c r="F360" t="s">
        <v>28</v>
      </c>
      <c r="G360" t="s">
        <v>26</v>
      </c>
      <c r="H360" t="s">
        <v>12</v>
      </c>
      <c r="I360">
        <v>2085</v>
      </c>
      <c r="J360">
        <v>0.79405000000000003</v>
      </c>
      <c r="K360" t="s">
        <v>28</v>
      </c>
    </row>
    <row r="361" spans="1:11" x14ac:dyDescent="0.45">
      <c r="A361" t="s">
        <v>90</v>
      </c>
      <c r="B361" t="s">
        <v>0</v>
      </c>
      <c r="C361" t="s">
        <v>84</v>
      </c>
      <c r="D361" t="s">
        <v>28</v>
      </c>
      <c r="E361" t="s">
        <v>25</v>
      </c>
      <c r="F361" t="s">
        <v>28</v>
      </c>
      <c r="G361" t="s">
        <v>26</v>
      </c>
      <c r="H361" t="s">
        <v>12</v>
      </c>
      <c r="I361">
        <v>2085</v>
      </c>
      <c r="J361">
        <v>0.89470000000000005</v>
      </c>
      <c r="K361" t="s">
        <v>28</v>
      </c>
    </row>
    <row r="362" spans="1:11" x14ac:dyDescent="0.45">
      <c r="A362" t="s">
        <v>90</v>
      </c>
      <c r="B362" t="s">
        <v>6</v>
      </c>
      <c r="C362" t="s">
        <v>84</v>
      </c>
      <c r="D362" t="s">
        <v>28</v>
      </c>
      <c r="E362" t="s">
        <v>25</v>
      </c>
      <c r="F362" t="s">
        <v>28</v>
      </c>
      <c r="G362" t="s">
        <v>26</v>
      </c>
      <c r="H362" t="s">
        <v>12</v>
      </c>
      <c r="I362">
        <v>2085</v>
      </c>
      <c r="J362">
        <v>0.87820000000000009</v>
      </c>
      <c r="K362" t="s">
        <v>28</v>
      </c>
    </row>
    <row r="363" spans="1:11" x14ac:dyDescent="0.45">
      <c r="A363" t="s">
        <v>90</v>
      </c>
      <c r="B363" t="s">
        <v>5</v>
      </c>
      <c r="C363" t="s">
        <v>84</v>
      </c>
      <c r="D363" t="s">
        <v>28</v>
      </c>
      <c r="E363" t="s">
        <v>25</v>
      </c>
      <c r="F363" t="s">
        <v>28</v>
      </c>
      <c r="G363" t="s">
        <v>26</v>
      </c>
      <c r="H363" t="s">
        <v>12</v>
      </c>
      <c r="I363">
        <v>2085</v>
      </c>
      <c r="J363">
        <v>0.70534999999999992</v>
      </c>
      <c r="K363" t="s">
        <v>28</v>
      </c>
    </row>
    <row r="364" spans="1:11" x14ac:dyDescent="0.45">
      <c r="A364" t="s">
        <v>90</v>
      </c>
      <c r="B364" t="s">
        <v>2</v>
      </c>
      <c r="C364" t="s">
        <v>84</v>
      </c>
      <c r="D364" t="s">
        <v>28</v>
      </c>
      <c r="E364" t="s">
        <v>25</v>
      </c>
      <c r="F364" t="s">
        <v>28</v>
      </c>
      <c r="G364" t="s">
        <v>26</v>
      </c>
      <c r="H364" t="s">
        <v>12</v>
      </c>
      <c r="I364">
        <v>2085</v>
      </c>
      <c r="J364">
        <v>0.85444999999999993</v>
      </c>
      <c r="K364" t="s">
        <v>28</v>
      </c>
    </row>
    <row r="365" spans="1:11" x14ac:dyDescent="0.45">
      <c r="A365" t="s">
        <v>90</v>
      </c>
      <c r="B365" t="s">
        <v>1</v>
      </c>
      <c r="C365" t="s">
        <v>84</v>
      </c>
      <c r="D365" t="s">
        <v>28</v>
      </c>
      <c r="E365" t="s">
        <v>25</v>
      </c>
      <c r="F365" t="s">
        <v>28</v>
      </c>
      <c r="G365" t="s">
        <v>26</v>
      </c>
      <c r="H365" t="s">
        <v>12</v>
      </c>
      <c r="I365">
        <v>2085</v>
      </c>
      <c r="J365">
        <v>0.92254999999999998</v>
      </c>
      <c r="K365" t="s">
        <v>28</v>
      </c>
    </row>
    <row r="366" spans="1:11" x14ac:dyDescent="0.45">
      <c r="A366" t="s">
        <v>90</v>
      </c>
      <c r="B366" t="s">
        <v>3</v>
      </c>
      <c r="C366" t="s">
        <v>84</v>
      </c>
      <c r="D366" t="s">
        <v>28</v>
      </c>
      <c r="E366" t="s">
        <v>25</v>
      </c>
      <c r="F366" t="s">
        <v>28</v>
      </c>
      <c r="G366" t="s">
        <v>26</v>
      </c>
      <c r="H366" t="s">
        <v>12</v>
      </c>
      <c r="I366">
        <v>2090</v>
      </c>
      <c r="J366">
        <v>0.95734999999999992</v>
      </c>
      <c r="K366" t="s">
        <v>28</v>
      </c>
    </row>
    <row r="367" spans="1:11" x14ac:dyDescent="0.45">
      <c r="A367" t="s">
        <v>90</v>
      </c>
      <c r="B367" t="s">
        <v>4</v>
      </c>
      <c r="C367" t="s">
        <v>84</v>
      </c>
      <c r="D367" t="s">
        <v>28</v>
      </c>
      <c r="E367" t="s">
        <v>25</v>
      </c>
      <c r="F367" t="s">
        <v>28</v>
      </c>
      <c r="G367" t="s">
        <v>26</v>
      </c>
      <c r="H367" t="s">
        <v>12</v>
      </c>
      <c r="I367">
        <v>2090</v>
      </c>
      <c r="J367">
        <v>0.83994999999999997</v>
      </c>
      <c r="K367" t="s">
        <v>28</v>
      </c>
    </row>
    <row r="368" spans="1:11" x14ac:dyDescent="0.45">
      <c r="A368" t="s">
        <v>90</v>
      </c>
      <c r="B368" t="s">
        <v>0</v>
      </c>
      <c r="C368" t="s">
        <v>84</v>
      </c>
      <c r="D368" t="s">
        <v>28</v>
      </c>
      <c r="E368" t="s">
        <v>25</v>
      </c>
      <c r="F368" t="s">
        <v>28</v>
      </c>
      <c r="G368" t="s">
        <v>26</v>
      </c>
      <c r="H368" t="s">
        <v>12</v>
      </c>
      <c r="I368">
        <v>2090</v>
      </c>
      <c r="J368">
        <v>0.94259999999999999</v>
      </c>
      <c r="K368" t="s">
        <v>28</v>
      </c>
    </row>
    <row r="369" spans="1:11" x14ac:dyDescent="0.45">
      <c r="A369" t="s">
        <v>90</v>
      </c>
      <c r="B369" t="s">
        <v>6</v>
      </c>
      <c r="C369" t="s">
        <v>84</v>
      </c>
      <c r="D369" t="s">
        <v>28</v>
      </c>
      <c r="E369" t="s">
        <v>25</v>
      </c>
      <c r="F369" t="s">
        <v>28</v>
      </c>
      <c r="G369" t="s">
        <v>26</v>
      </c>
      <c r="H369" t="s">
        <v>12</v>
      </c>
      <c r="I369">
        <v>2090</v>
      </c>
      <c r="J369">
        <v>0.92165000000000008</v>
      </c>
      <c r="K369" t="s">
        <v>28</v>
      </c>
    </row>
    <row r="370" spans="1:11" x14ac:dyDescent="0.45">
      <c r="A370" t="s">
        <v>90</v>
      </c>
      <c r="B370" t="s">
        <v>5</v>
      </c>
      <c r="C370" t="s">
        <v>84</v>
      </c>
      <c r="D370" t="s">
        <v>28</v>
      </c>
      <c r="E370" t="s">
        <v>25</v>
      </c>
      <c r="F370" t="s">
        <v>28</v>
      </c>
      <c r="G370" t="s">
        <v>26</v>
      </c>
      <c r="H370" t="s">
        <v>12</v>
      </c>
      <c r="I370">
        <v>2090</v>
      </c>
      <c r="J370">
        <v>0.76265000000000005</v>
      </c>
      <c r="K370" t="s">
        <v>28</v>
      </c>
    </row>
    <row r="371" spans="1:11" x14ac:dyDescent="0.45">
      <c r="A371" t="s">
        <v>90</v>
      </c>
      <c r="B371" t="s">
        <v>2</v>
      </c>
      <c r="C371" t="s">
        <v>84</v>
      </c>
      <c r="D371" t="s">
        <v>28</v>
      </c>
      <c r="E371" t="s">
        <v>25</v>
      </c>
      <c r="F371" t="s">
        <v>28</v>
      </c>
      <c r="G371" t="s">
        <v>26</v>
      </c>
      <c r="H371" t="s">
        <v>12</v>
      </c>
      <c r="I371">
        <v>2090</v>
      </c>
      <c r="J371">
        <v>0.9012</v>
      </c>
      <c r="K371" t="s">
        <v>28</v>
      </c>
    </row>
    <row r="372" spans="1:11" x14ac:dyDescent="0.45">
      <c r="A372" t="s">
        <v>90</v>
      </c>
      <c r="B372" t="s">
        <v>1</v>
      </c>
      <c r="C372" t="s">
        <v>84</v>
      </c>
      <c r="D372" t="s">
        <v>28</v>
      </c>
      <c r="E372" t="s">
        <v>25</v>
      </c>
      <c r="F372" t="s">
        <v>28</v>
      </c>
      <c r="G372" t="s">
        <v>26</v>
      </c>
      <c r="H372" t="s">
        <v>12</v>
      </c>
      <c r="I372">
        <v>2090</v>
      </c>
      <c r="J372">
        <v>0.96819999999999995</v>
      </c>
      <c r="K372" t="s">
        <v>28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2095</v>
      </c>
      <c r="J373">
        <v>0.96229999999999993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2095</v>
      </c>
      <c r="J374">
        <v>0.85585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2095</v>
      </c>
      <c r="J375">
        <v>0.95199999999999996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2095</v>
      </c>
      <c r="J376">
        <v>0.92964999999999998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2095</v>
      </c>
      <c r="J377">
        <v>0.79144999999999999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2095</v>
      </c>
      <c r="J378">
        <v>0.90849999999999997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2095</v>
      </c>
      <c r="J379">
        <v>0.96595000000000009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28</v>
      </c>
      <c r="E380" t="s">
        <v>25</v>
      </c>
      <c r="F380" t="s">
        <v>28</v>
      </c>
      <c r="G380" t="s">
        <v>26</v>
      </c>
      <c r="H380" t="s">
        <v>12</v>
      </c>
      <c r="I380">
        <v>2100</v>
      </c>
      <c r="J380">
        <v>0.96625000000000005</v>
      </c>
      <c r="K380" t="s">
        <v>28</v>
      </c>
    </row>
    <row r="381" spans="1:11" x14ac:dyDescent="0.45">
      <c r="A381" t="s">
        <v>90</v>
      </c>
      <c r="B381" t="s">
        <v>4</v>
      </c>
      <c r="C381" t="s">
        <v>84</v>
      </c>
      <c r="D381" t="s">
        <v>28</v>
      </c>
      <c r="E381" t="s">
        <v>25</v>
      </c>
      <c r="F381" t="s">
        <v>28</v>
      </c>
      <c r="G381" t="s">
        <v>26</v>
      </c>
      <c r="H381" t="s">
        <v>12</v>
      </c>
      <c r="I381">
        <v>2100</v>
      </c>
      <c r="J381">
        <v>0.87115000000000009</v>
      </c>
      <c r="K381" t="s">
        <v>28</v>
      </c>
    </row>
    <row r="382" spans="1:11" x14ac:dyDescent="0.45">
      <c r="A382" t="s">
        <v>90</v>
      </c>
      <c r="B382" t="s">
        <v>0</v>
      </c>
      <c r="C382" t="s">
        <v>84</v>
      </c>
      <c r="D382" t="s">
        <v>28</v>
      </c>
      <c r="E382" t="s">
        <v>25</v>
      </c>
      <c r="F382" t="s">
        <v>28</v>
      </c>
      <c r="G382" t="s">
        <v>26</v>
      </c>
      <c r="H382" t="s">
        <v>12</v>
      </c>
      <c r="I382">
        <v>2100</v>
      </c>
      <c r="J382">
        <v>0.95914999999999995</v>
      </c>
      <c r="K382" t="s">
        <v>28</v>
      </c>
    </row>
    <row r="383" spans="1:11" x14ac:dyDescent="0.45">
      <c r="A383" t="s">
        <v>90</v>
      </c>
      <c r="B383" t="s">
        <v>6</v>
      </c>
      <c r="C383" t="s">
        <v>84</v>
      </c>
      <c r="D383" t="s">
        <v>28</v>
      </c>
      <c r="E383" t="s">
        <v>25</v>
      </c>
      <c r="F383" t="s">
        <v>28</v>
      </c>
      <c r="G383" t="s">
        <v>26</v>
      </c>
      <c r="H383" t="s">
        <v>12</v>
      </c>
      <c r="I383">
        <v>2100</v>
      </c>
      <c r="J383">
        <v>0.9355500000000001</v>
      </c>
      <c r="K383" t="s">
        <v>28</v>
      </c>
    </row>
    <row r="384" spans="1:11" x14ac:dyDescent="0.45">
      <c r="A384" t="s">
        <v>90</v>
      </c>
      <c r="B384" t="s">
        <v>5</v>
      </c>
      <c r="C384" t="s">
        <v>84</v>
      </c>
      <c r="D384" t="s">
        <v>28</v>
      </c>
      <c r="E384" t="s">
        <v>25</v>
      </c>
      <c r="F384" t="s">
        <v>28</v>
      </c>
      <c r="G384" t="s">
        <v>26</v>
      </c>
      <c r="H384" t="s">
        <v>12</v>
      </c>
      <c r="I384">
        <v>2100</v>
      </c>
      <c r="J384">
        <v>0.81925000000000003</v>
      </c>
      <c r="K384" t="s">
        <v>28</v>
      </c>
    </row>
    <row r="385" spans="1:11" x14ac:dyDescent="0.45">
      <c r="A385" t="s">
        <v>90</v>
      </c>
      <c r="B385" t="s">
        <v>2</v>
      </c>
      <c r="C385" t="s">
        <v>84</v>
      </c>
      <c r="D385" t="s">
        <v>28</v>
      </c>
      <c r="E385" t="s">
        <v>25</v>
      </c>
      <c r="F385" t="s">
        <v>28</v>
      </c>
      <c r="G385" t="s">
        <v>26</v>
      </c>
      <c r="H385" t="s">
        <v>12</v>
      </c>
      <c r="I385">
        <v>2100</v>
      </c>
      <c r="J385">
        <v>0.91339999999999999</v>
      </c>
      <c r="K385" t="s">
        <v>28</v>
      </c>
    </row>
    <row r="386" spans="1:11" x14ac:dyDescent="0.45">
      <c r="A386" t="s">
        <v>90</v>
      </c>
      <c r="B386" t="s">
        <v>1</v>
      </c>
      <c r="C386" t="s">
        <v>84</v>
      </c>
      <c r="D386" t="s">
        <v>28</v>
      </c>
      <c r="E386" t="s">
        <v>25</v>
      </c>
      <c r="F386" t="s">
        <v>28</v>
      </c>
      <c r="G386" t="s">
        <v>26</v>
      </c>
      <c r="H386" t="s">
        <v>12</v>
      </c>
      <c r="I386">
        <v>2100</v>
      </c>
      <c r="J386">
        <v>0.96354999999999991</v>
      </c>
      <c r="K386" t="s">
        <v>28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2020</v>
      </c>
      <c r="J387">
        <v>5.2499999999999995E-3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2020</v>
      </c>
      <c r="J388">
        <v>5.0499999999999998E-3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2020</v>
      </c>
      <c r="J389">
        <v>5.0500000000000007E-3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2020</v>
      </c>
      <c r="J390">
        <v>4.7999999999999996E-3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2020</v>
      </c>
      <c r="J391">
        <v>4.0499999999999998E-3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2020</v>
      </c>
      <c r="J392">
        <v>4.8500000000000001E-3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2020</v>
      </c>
      <c r="J393">
        <v>4.9499999999999995E-3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27</v>
      </c>
      <c r="E394" t="s">
        <v>25</v>
      </c>
      <c r="F394" t="s">
        <v>27</v>
      </c>
      <c r="G394" t="s">
        <v>26</v>
      </c>
      <c r="H394" t="s">
        <v>10</v>
      </c>
      <c r="I394">
        <v>2025</v>
      </c>
      <c r="J394">
        <v>7.7000000000000002E-3</v>
      </c>
      <c r="K394" t="s">
        <v>27</v>
      </c>
    </row>
    <row r="395" spans="1:11" x14ac:dyDescent="0.45">
      <c r="A395" t="s">
        <v>90</v>
      </c>
      <c r="B395" t="s">
        <v>4</v>
      </c>
      <c r="C395" t="s">
        <v>84</v>
      </c>
      <c r="D395" t="s">
        <v>27</v>
      </c>
      <c r="E395" t="s">
        <v>25</v>
      </c>
      <c r="F395" t="s">
        <v>27</v>
      </c>
      <c r="G395" t="s">
        <v>26</v>
      </c>
      <c r="H395" t="s">
        <v>10</v>
      </c>
      <c r="I395">
        <v>2025</v>
      </c>
      <c r="J395">
        <v>9.8999999999999991E-3</v>
      </c>
      <c r="K395" t="s">
        <v>27</v>
      </c>
    </row>
    <row r="396" spans="1:11" x14ac:dyDescent="0.45">
      <c r="A396" t="s">
        <v>90</v>
      </c>
      <c r="B396" t="s">
        <v>0</v>
      </c>
      <c r="C396" t="s">
        <v>84</v>
      </c>
      <c r="D396" t="s">
        <v>27</v>
      </c>
      <c r="E396" t="s">
        <v>25</v>
      </c>
      <c r="F396" t="s">
        <v>27</v>
      </c>
      <c r="G396" t="s">
        <v>26</v>
      </c>
      <c r="H396" t="s">
        <v>10</v>
      </c>
      <c r="I396">
        <v>2025</v>
      </c>
      <c r="J396">
        <v>9.6499999999999989E-3</v>
      </c>
      <c r="K396" t="s">
        <v>27</v>
      </c>
    </row>
    <row r="397" spans="1:11" x14ac:dyDescent="0.45">
      <c r="A397" t="s">
        <v>90</v>
      </c>
      <c r="B397" t="s">
        <v>6</v>
      </c>
      <c r="C397" t="s">
        <v>84</v>
      </c>
      <c r="D397" t="s">
        <v>27</v>
      </c>
      <c r="E397" t="s">
        <v>25</v>
      </c>
      <c r="F397" t="s">
        <v>27</v>
      </c>
      <c r="G397" t="s">
        <v>26</v>
      </c>
      <c r="H397" t="s">
        <v>10</v>
      </c>
      <c r="I397">
        <v>2025</v>
      </c>
      <c r="J397">
        <v>9.3500000000000007E-3</v>
      </c>
      <c r="K397" t="s">
        <v>27</v>
      </c>
    </row>
    <row r="398" spans="1:11" x14ac:dyDescent="0.45">
      <c r="A398" t="s">
        <v>90</v>
      </c>
      <c r="B398" t="s">
        <v>5</v>
      </c>
      <c r="C398" t="s">
        <v>84</v>
      </c>
      <c r="D398" t="s">
        <v>27</v>
      </c>
      <c r="E398" t="s">
        <v>25</v>
      </c>
      <c r="F398" t="s">
        <v>27</v>
      </c>
      <c r="G398" t="s">
        <v>26</v>
      </c>
      <c r="H398" t="s">
        <v>10</v>
      </c>
      <c r="I398">
        <v>2025</v>
      </c>
      <c r="J398">
        <v>6.5500000000000003E-3</v>
      </c>
      <c r="K398" t="s">
        <v>27</v>
      </c>
    </row>
    <row r="399" spans="1:11" x14ac:dyDescent="0.45">
      <c r="A399" t="s">
        <v>90</v>
      </c>
      <c r="B399" t="s">
        <v>2</v>
      </c>
      <c r="C399" t="s">
        <v>84</v>
      </c>
      <c r="D399" t="s">
        <v>27</v>
      </c>
      <c r="E399" t="s">
        <v>25</v>
      </c>
      <c r="F399" t="s">
        <v>27</v>
      </c>
      <c r="G399" t="s">
        <v>26</v>
      </c>
      <c r="H399" t="s">
        <v>10</v>
      </c>
      <c r="I399">
        <v>2025</v>
      </c>
      <c r="J399">
        <v>9.2999999999999992E-3</v>
      </c>
      <c r="K399" t="s">
        <v>27</v>
      </c>
    </row>
    <row r="400" spans="1:11" x14ac:dyDescent="0.45">
      <c r="A400" t="s">
        <v>90</v>
      </c>
      <c r="B400" t="s">
        <v>1</v>
      </c>
      <c r="C400" t="s">
        <v>84</v>
      </c>
      <c r="D400" t="s">
        <v>27</v>
      </c>
      <c r="E400" t="s">
        <v>25</v>
      </c>
      <c r="F400" t="s">
        <v>27</v>
      </c>
      <c r="G400" t="s">
        <v>26</v>
      </c>
      <c r="H400" t="s">
        <v>10</v>
      </c>
      <c r="I400">
        <v>2025</v>
      </c>
      <c r="J400">
        <v>8.4000000000000012E-3</v>
      </c>
      <c r="K400" t="s">
        <v>27</v>
      </c>
    </row>
    <row r="401" spans="1:11" x14ac:dyDescent="0.45">
      <c r="A401" t="s">
        <v>90</v>
      </c>
      <c r="B401" t="s">
        <v>3</v>
      </c>
      <c r="C401" t="s">
        <v>84</v>
      </c>
      <c r="D401" t="s">
        <v>27</v>
      </c>
      <c r="E401" t="s">
        <v>25</v>
      </c>
      <c r="F401" t="s">
        <v>27</v>
      </c>
      <c r="G401" t="s">
        <v>26</v>
      </c>
      <c r="H401" t="s">
        <v>10</v>
      </c>
      <c r="I401">
        <v>2030</v>
      </c>
      <c r="J401">
        <v>1.6050000000000002E-2</v>
      </c>
      <c r="K401" t="s">
        <v>27</v>
      </c>
    </row>
    <row r="402" spans="1:11" x14ac:dyDescent="0.45">
      <c r="A402" t="s">
        <v>90</v>
      </c>
      <c r="B402" t="s">
        <v>4</v>
      </c>
      <c r="C402" t="s">
        <v>84</v>
      </c>
      <c r="D402" t="s">
        <v>27</v>
      </c>
      <c r="E402" t="s">
        <v>25</v>
      </c>
      <c r="F402" t="s">
        <v>27</v>
      </c>
      <c r="G402" t="s">
        <v>26</v>
      </c>
      <c r="H402" t="s">
        <v>10</v>
      </c>
      <c r="I402">
        <v>2030</v>
      </c>
      <c r="J402">
        <v>1.6449999999999999E-2</v>
      </c>
      <c r="K402" t="s">
        <v>27</v>
      </c>
    </row>
    <row r="403" spans="1:11" x14ac:dyDescent="0.45">
      <c r="A403" t="s">
        <v>90</v>
      </c>
      <c r="B403" t="s">
        <v>0</v>
      </c>
      <c r="C403" t="s">
        <v>84</v>
      </c>
      <c r="D403" t="s">
        <v>27</v>
      </c>
      <c r="E403" t="s">
        <v>25</v>
      </c>
      <c r="F403" t="s">
        <v>27</v>
      </c>
      <c r="G403" t="s">
        <v>26</v>
      </c>
      <c r="H403" t="s">
        <v>10</v>
      </c>
      <c r="I403">
        <v>2030</v>
      </c>
      <c r="J403">
        <v>1.6500000000000001E-2</v>
      </c>
      <c r="K403" t="s">
        <v>27</v>
      </c>
    </row>
    <row r="404" spans="1:11" x14ac:dyDescent="0.45">
      <c r="A404" t="s">
        <v>90</v>
      </c>
      <c r="B404" t="s">
        <v>6</v>
      </c>
      <c r="C404" t="s">
        <v>84</v>
      </c>
      <c r="D404" t="s">
        <v>27</v>
      </c>
      <c r="E404" t="s">
        <v>25</v>
      </c>
      <c r="F404" t="s">
        <v>27</v>
      </c>
      <c r="G404" t="s">
        <v>26</v>
      </c>
      <c r="H404" t="s">
        <v>10</v>
      </c>
      <c r="I404">
        <v>2030</v>
      </c>
      <c r="J404">
        <v>1.5899999999999997E-2</v>
      </c>
      <c r="K404" t="s">
        <v>27</v>
      </c>
    </row>
    <row r="405" spans="1:11" x14ac:dyDescent="0.45">
      <c r="A405" t="s">
        <v>90</v>
      </c>
      <c r="B405" t="s">
        <v>5</v>
      </c>
      <c r="C405" t="s">
        <v>84</v>
      </c>
      <c r="D405" t="s">
        <v>27</v>
      </c>
      <c r="E405" t="s">
        <v>25</v>
      </c>
      <c r="F405" t="s">
        <v>27</v>
      </c>
      <c r="G405" t="s">
        <v>26</v>
      </c>
      <c r="H405" t="s">
        <v>10</v>
      </c>
      <c r="I405">
        <v>2030</v>
      </c>
      <c r="J405">
        <v>2.0749999999999998E-2</v>
      </c>
      <c r="K405" t="s">
        <v>27</v>
      </c>
    </row>
    <row r="406" spans="1:11" x14ac:dyDescent="0.45">
      <c r="A406" t="s">
        <v>90</v>
      </c>
      <c r="B406" t="s">
        <v>2</v>
      </c>
      <c r="C406" t="s">
        <v>84</v>
      </c>
      <c r="D406" t="s">
        <v>27</v>
      </c>
      <c r="E406" t="s">
        <v>25</v>
      </c>
      <c r="F406" t="s">
        <v>27</v>
      </c>
      <c r="G406" t="s">
        <v>26</v>
      </c>
      <c r="H406" t="s">
        <v>10</v>
      </c>
      <c r="I406">
        <v>2030</v>
      </c>
      <c r="J406">
        <v>1.5800000000000002E-2</v>
      </c>
      <c r="K406" t="s">
        <v>27</v>
      </c>
    </row>
    <row r="407" spans="1:11" x14ac:dyDescent="0.45">
      <c r="A407" t="s">
        <v>90</v>
      </c>
      <c r="B407" t="s">
        <v>1</v>
      </c>
      <c r="C407" t="s">
        <v>84</v>
      </c>
      <c r="D407" t="s">
        <v>27</v>
      </c>
      <c r="E407" t="s">
        <v>25</v>
      </c>
      <c r="F407" t="s">
        <v>27</v>
      </c>
      <c r="G407" t="s">
        <v>26</v>
      </c>
      <c r="H407" t="s">
        <v>10</v>
      </c>
      <c r="I407">
        <v>2030</v>
      </c>
      <c r="J407">
        <v>1.3299999999999999E-2</v>
      </c>
      <c r="K407" t="s">
        <v>27</v>
      </c>
    </row>
    <row r="408" spans="1:11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2035</v>
      </c>
      <c r="J408">
        <v>2.1350000000000001E-2</v>
      </c>
      <c r="K408" t="s">
        <v>27</v>
      </c>
    </row>
    <row r="409" spans="1:11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2035</v>
      </c>
      <c r="J409">
        <v>1.9950000000000002E-2</v>
      </c>
      <c r="K409" t="s">
        <v>27</v>
      </c>
    </row>
    <row r="410" spans="1:11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2035</v>
      </c>
      <c r="J410">
        <v>1.9700000000000002E-2</v>
      </c>
      <c r="K410" t="s">
        <v>27</v>
      </c>
    </row>
    <row r="411" spans="1:11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2035</v>
      </c>
      <c r="J411">
        <v>2.155E-2</v>
      </c>
      <c r="K411" t="s">
        <v>27</v>
      </c>
    </row>
    <row r="412" spans="1:11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2035</v>
      </c>
      <c r="J412">
        <v>3.4299999999999997E-2</v>
      </c>
      <c r="K412" t="s">
        <v>27</v>
      </c>
    </row>
    <row r="413" spans="1:11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2035</v>
      </c>
      <c r="J413">
        <v>2.0049999999999998E-2</v>
      </c>
      <c r="K413" t="s">
        <v>27</v>
      </c>
    </row>
    <row r="414" spans="1:11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2035</v>
      </c>
      <c r="J414">
        <v>1.9650000000000001E-2</v>
      </c>
      <c r="K414" t="s">
        <v>27</v>
      </c>
    </row>
    <row r="415" spans="1:11" x14ac:dyDescent="0.45">
      <c r="A415" t="s">
        <v>90</v>
      </c>
      <c r="B415" t="s">
        <v>3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2040</v>
      </c>
      <c r="J415">
        <v>2.3550000000000001E-2</v>
      </c>
      <c r="K415" t="s">
        <v>27</v>
      </c>
    </row>
    <row r="416" spans="1:11" x14ac:dyDescent="0.45">
      <c r="A416" t="s">
        <v>90</v>
      </c>
      <c r="B416" t="s">
        <v>4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2040</v>
      </c>
      <c r="J416">
        <v>2.1899999999999999E-2</v>
      </c>
      <c r="K416" t="s">
        <v>27</v>
      </c>
    </row>
    <row r="417" spans="1:11" x14ac:dyDescent="0.45">
      <c r="A417" t="s">
        <v>90</v>
      </c>
      <c r="B417" t="s">
        <v>0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2040</v>
      </c>
      <c r="J417">
        <v>2.1499999999999998E-2</v>
      </c>
      <c r="K417" t="s">
        <v>27</v>
      </c>
    </row>
    <row r="418" spans="1:11" x14ac:dyDescent="0.45">
      <c r="A418" t="s">
        <v>90</v>
      </c>
      <c r="B418" t="s">
        <v>6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2040</v>
      </c>
      <c r="J418">
        <v>2.2699999999999998E-2</v>
      </c>
      <c r="K418" t="s">
        <v>27</v>
      </c>
    </row>
    <row r="419" spans="1:11" x14ac:dyDescent="0.45">
      <c r="A419" t="s">
        <v>90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4.845E-2</v>
      </c>
      <c r="K419" t="s">
        <v>27</v>
      </c>
    </row>
    <row r="420" spans="1:11" x14ac:dyDescent="0.45">
      <c r="A420" t="s">
        <v>90</v>
      </c>
      <c r="B420" t="s">
        <v>2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2040</v>
      </c>
      <c r="J420">
        <v>2.1700000000000001E-2</v>
      </c>
      <c r="K420" t="s">
        <v>27</v>
      </c>
    </row>
    <row r="421" spans="1:11" x14ac:dyDescent="0.45">
      <c r="A421" t="s">
        <v>90</v>
      </c>
      <c r="B421" t="s">
        <v>1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2040</v>
      </c>
      <c r="J421">
        <v>2.7299999999999998E-2</v>
      </c>
      <c r="K421" t="s">
        <v>27</v>
      </c>
    </row>
    <row r="422" spans="1:11" x14ac:dyDescent="0.45">
      <c r="A422" t="s">
        <v>90</v>
      </c>
      <c r="B422" t="s">
        <v>3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2045</v>
      </c>
      <c r="J422">
        <v>3.3100000000000004E-2</v>
      </c>
      <c r="K422" t="s">
        <v>27</v>
      </c>
    </row>
    <row r="423" spans="1:11" x14ac:dyDescent="0.45">
      <c r="A423" t="s">
        <v>90</v>
      </c>
      <c r="B423" t="s">
        <v>4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2045</v>
      </c>
      <c r="J423">
        <v>2.7450000000000002E-2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2045</v>
      </c>
      <c r="J424">
        <v>2.7250000000000003E-2</v>
      </c>
      <c r="K424" t="s">
        <v>27</v>
      </c>
    </row>
    <row r="425" spans="1:11" x14ac:dyDescent="0.45">
      <c r="A425" t="s">
        <v>90</v>
      </c>
      <c r="B425" t="s">
        <v>6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2045</v>
      </c>
      <c r="J425">
        <v>2.775E-2</v>
      </c>
      <c r="K425" t="s">
        <v>27</v>
      </c>
    </row>
    <row r="426" spans="1:11" x14ac:dyDescent="0.45">
      <c r="A426" t="s">
        <v>90</v>
      </c>
      <c r="B426" t="s">
        <v>5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6.6599999999999993E-2</v>
      </c>
      <c r="K426" t="s">
        <v>27</v>
      </c>
    </row>
    <row r="427" spans="1:11" x14ac:dyDescent="0.45">
      <c r="A427" t="s">
        <v>90</v>
      </c>
      <c r="B427" t="s">
        <v>2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2045</v>
      </c>
      <c r="J427">
        <v>2.6700000000000002E-2</v>
      </c>
      <c r="K427" t="s">
        <v>27</v>
      </c>
    </row>
    <row r="428" spans="1:11" x14ac:dyDescent="0.45">
      <c r="A428" t="s">
        <v>90</v>
      </c>
      <c r="B428" t="s">
        <v>1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2045</v>
      </c>
      <c r="J428">
        <v>4.6399999999999997E-2</v>
      </c>
      <c r="K428" t="s">
        <v>27</v>
      </c>
    </row>
    <row r="429" spans="1:11" x14ac:dyDescent="0.45">
      <c r="A429" t="s">
        <v>90</v>
      </c>
      <c r="B429" t="s">
        <v>3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2050</v>
      </c>
      <c r="J429">
        <v>4.6100000000000002E-2</v>
      </c>
      <c r="K429" t="s">
        <v>27</v>
      </c>
    </row>
    <row r="430" spans="1:11" x14ac:dyDescent="0.45">
      <c r="A430" t="s">
        <v>90</v>
      </c>
      <c r="B430" t="s">
        <v>4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2050</v>
      </c>
      <c r="J430">
        <v>3.6199999999999996E-2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2050</v>
      </c>
      <c r="J431">
        <v>3.8900000000000004E-2</v>
      </c>
      <c r="K431" t="s">
        <v>27</v>
      </c>
    </row>
    <row r="432" spans="1:11" x14ac:dyDescent="0.45">
      <c r="A432" t="s">
        <v>90</v>
      </c>
      <c r="B432" t="s">
        <v>6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2050</v>
      </c>
      <c r="J432">
        <v>3.6400000000000002E-2</v>
      </c>
      <c r="K432" t="s">
        <v>27</v>
      </c>
    </row>
    <row r="433" spans="1:11" x14ac:dyDescent="0.45">
      <c r="A433" t="s">
        <v>90</v>
      </c>
      <c r="B433" t="s">
        <v>5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2050</v>
      </c>
      <c r="J433">
        <v>7.2650000000000006E-2</v>
      </c>
      <c r="K433" t="s">
        <v>27</v>
      </c>
    </row>
    <row r="434" spans="1:11" x14ac:dyDescent="0.45">
      <c r="A434" t="s">
        <v>90</v>
      </c>
      <c r="B434" t="s">
        <v>2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2050</v>
      </c>
      <c r="J434">
        <v>3.5349999999999999E-2</v>
      </c>
      <c r="K434" t="s">
        <v>27</v>
      </c>
    </row>
    <row r="435" spans="1:11" x14ac:dyDescent="0.45">
      <c r="A435" t="s">
        <v>90</v>
      </c>
      <c r="B435" t="s">
        <v>1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2050</v>
      </c>
      <c r="J435">
        <v>6.6750000000000004E-2</v>
      </c>
      <c r="K435" t="s">
        <v>27</v>
      </c>
    </row>
    <row r="436" spans="1:11" x14ac:dyDescent="0.45">
      <c r="A436" t="s">
        <v>90</v>
      </c>
      <c r="B436" t="s">
        <v>3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2055</v>
      </c>
      <c r="J436">
        <v>5.985E-2</v>
      </c>
      <c r="K436" t="s">
        <v>27</v>
      </c>
    </row>
    <row r="437" spans="1:11" x14ac:dyDescent="0.45">
      <c r="A437" t="s">
        <v>90</v>
      </c>
      <c r="B437" t="s">
        <v>4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2055</v>
      </c>
      <c r="J437">
        <v>4.48E-2</v>
      </c>
      <c r="K437" t="s">
        <v>27</v>
      </c>
    </row>
    <row r="438" spans="1:11" x14ac:dyDescent="0.45">
      <c r="A438" t="s">
        <v>90</v>
      </c>
      <c r="B438" t="s">
        <v>0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2055</v>
      </c>
      <c r="J438">
        <v>5.1449999999999996E-2</v>
      </c>
      <c r="K438" t="s">
        <v>27</v>
      </c>
    </row>
    <row r="439" spans="1:11" x14ac:dyDescent="0.45">
      <c r="A439" t="s">
        <v>90</v>
      </c>
      <c r="B439" t="s">
        <v>6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2055</v>
      </c>
      <c r="J439">
        <v>4.8250000000000001E-2</v>
      </c>
      <c r="K439" t="s">
        <v>27</v>
      </c>
    </row>
    <row r="440" spans="1:11" x14ac:dyDescent="0.45">
      <c r="A440" t="s">
        <v>90</v>
      </c>
      <c r="B440" t="s">
        <v>5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2055</v>
      </c>
      <c r="J440">
        <v>0.10879999999999999</v>
      </c>
      <c r="K440" t="s">
        <v>27</v>
      </c>
    </row>
    <row r="441" spans="1:11" x14ac:dyDescent="0.45">
      <c r="A441" t="s">
        <v>90</v>
      </c>
      <c r="B441" t="s">
        <v>2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2055</v>
      </c>
      <c r="J441">
        <v>4.4999999999999998E-2</v>
      </c>
      <c r="K441" t="s">
        <v>27</v>
      </c>
    </row>
    <row r="442" spans="1:11" x14ac:dyDescent="0.45">
      <c r="A442" t="s">
        <v>90</v>
      </c>
      <c r="B442" t="s">
        <v>1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2055</v>
      </c>
      <c r="J442">
        <v>8.1550000000000011E-2</v>
      </c>
      <c r="K442" t="s">
        <v>27</v>
      </c>
    </row>
    <row r="443" spans="1:11" x14ac:dyDescent="0.45">
      <c r="A443" t="s">
        <v>90</v>
      </c>
      <c r="B443" t="s">
        <v>3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2060</v>
      </c>
      <c r="J443">
        <v>7.375000000000001E-2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2060</v>
      </c>
      <c r="J444">
        <v>5.6550000000000003E-2</v>
      </c>
      <c r="K444" t="s">
        <v>27</v>
      </c>
    </row>
    <row r="445" spans="1:11" x14ac:dyDescent="0.45">
      <c r="A445" t="s">
        <v>90</v>
      </c>
      <c r="B445" t="s">
        <v>0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2060</v>
      </c>
      <c r="J445">
        <v>6.2600000000000003E-2</v>
      </c>
      <c r="K445" t="s">
        <v>27</v>
      </c>
    </row>
    <row r="446" spans="1:11" x14ac:dyDescent="0.45">
      <c r="A446" t="s">
        <v>90</v>
      </c>
      <c r="B446" t="s">
        <v>6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5.8900000000000001E-2</v>
      </c>
      <c r="K446" t="s">
        <v>27</v>
      </c>
    </row>
    <row r="447" spans="1:11" x14ac:dyDescent="0.45">
      <c r="A447" t="s">
        <v>90</v>
      </c>
      <c r="B447" t="s">
        <v>5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2060</v>
      </c>
      <c r="J447">
        <v>0.1237</v>
      </c>
      <c r="K447" t="s">
        <v>27</v>
      </c>
    </row>
    <row r="448" spans="1:11" x14ac:dyDescent="0.45">
      <c r="A448" t="s">
        <v>90</v>
      </c>
      <c r="B448" t="s">
        <v>2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2060</v>
      </c>
      <c r="J448">
        <v>5.7800000000000004E-2</v>
      </c>
      <c r="K448" t="s">
        <v>27</v>
      </c>
    </row>
    <row r="449" spans="1:11" x14ac:dyDescent="0.45">
      <c r="A449" t="s">
        <v>90</v>
      </c>
      <c r="B449" t="s">
        <v>1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2060</v>
      </c>
      <c r="J449">
        <v>9.7000000000000003E-2</v>
      </c>
      <c r="K449" t="s">
        <v>27</v>
      </c>
    </row>
    <row r="450" spans="1:11" x14ac:dyDescent="0.45">
      <c r="A450" t="s">
        <v>90</v>
      </c>
      <c r="B450" t="s">
        <v>3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2065</v>
      </c>
      <c r="J450">
        <v>8.5550000000000001E-2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2065</v>
      </c>
      <c r="J451">
        <v>6.384999999999999E-2</v>
      </c>
      <c r="K451" t="s">
        <v>27</v>
      </c>
    </row>
    <row r="452" spans="1:11" x14ac:dyDescent="0.45">
      <c r="A452" t="s">
        <v>90</v>
      </c>
      <c r="B452" t="s">
        <v>0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2065</v>
      </c>
      <c r="J452">
        <v>7.2849999999999998E-2</v>
      </c>
      <c r="K452" t="s">
        <v>27</v>
      </c>
    </row>
    <row r="453" spans="1:11" x14ac:dyDescent="0.45">
      <c r="A453" t="s">
        <v>90</v>
      </c>
      <c r="B453" t="s">
        <v>6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2065</v>
      </c>
      <c r="J453">
        <v>6.8349999999999994E-2</v>
      </c>
      <c r="K453" t="s">
        <v>27</v>
      </c>
    </row>
    <row r="454" spans="1:11" x14ac:dyDescent="0.45">
      <c r="A454" t="s">
        <v>90</v>
      </c>
      <c r="B454" t="s">
        <v>5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2065</v>
      </c>
      <c r="J454">
        <v>0.13395000000000001</v>
      </c>
      <c r="K454" t="s">
        <v>27</v>
      </c>
    </row>
    <row r="455" spans="1:11" x14ac:dyDescent="0.45">
      <c r="A455" t="s">
        <v>90</v>
      </c>
      <c r="B455" t="s">
        <v>2</v>
      </c>
      <c r="C455" t="s">
        <v>84</v>
      </c>
      <c r="D455" t="s">
        <v>27</v>
      </c>
      <c r="E455" t="s">
        <v>25</v>
      </c>
      <c r="F455" t="s">
        <v>27</v>
      </c>
      <c r="G455" t="s">
        <v>26</v>
      </c>
      <c r="H455" t="s">
        <v>10</v>
      </c>
      <c r="I455">
        <v>2065</v>
      </c>
      <c r="J455">
        <v>6.4549999999999996E-2</v>
      </c>
      <c r="K455" t="s">
        <v>27</v>
      </c>
    </row>
    <row r="456" spans="1:11" x14ac:dyDescent="0.45">
      <c r="A456" t="s">
        <v>90</v>
      </c>
      <c r="B456" t="s">
        <v>1</v>
      </c>
      <c r="C456" t="s">
        <v>84</v>
      </c>
      <c r="D456" t="s">
        <v>27</v>
      </c>
      <c r="E456" t="s">
        <v>25</v>
      </c>
      <c r="F456" t="s">
        <v>27</v>
      </c>
      <c r="G456" t="s">
        <v>26</v>
      </c>
      <c r="H456" t="s">
        <v>10</v>
      </c>
      <c r="I456">
        <v>2065</v>
      </c>
      <c r="J456">
        <v>0.11094999999999999</v>
      </c>
      <c r="K456" t="s">
        <v>27</v>
      </c>
    </row>
    <row r="457" spans="1:11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2070</v>
      </c>
      <c r="J457">
        <v>9.8000000000000004E-2</v>
      </c>
      <c r="K457" t="s">
        <v>27</v>
      </c>
    </row>
    <row r="458" spans="1:11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2070</v>
      </c>
      <c r="J458">
        <v>7.1250000000000008E-2</v>
      </c>
      <c r="K458" t="s">
        <v>27</v>
      </c>
    </row>
    <row r="459" spans="1:11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2070</v>
      </c>
      <c r="J459">
        <v>8.3199999999999996E-2</v>
      </c>
      <c r="K459" t="s">
        <v>27</v>
      </c>
    </row>
    <row r="460" spans="1:11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2070</v>
      </c>
      <c r="J460">
        <v>7.8100000000000003E-2</v>
      </c>
      <c r="K460" t="s">
        <v>27</v>
      </c>
    </row>
    <row r="461" spans="1:11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2070</v>
      </c>
      <c r="J461">
        <v>0.14649999999999999</v>
      </c>
      <c r="K461" t="s">
        <v>27</v>
      </c>
    </row>
    <row r="462" spans="1:11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2070</v>
      </c>
      <c r="J462">
        <v>7.1550000000000002E-2</v>
      </c>
      <c r="K462" t="s">
        <v>27</v>
      </c>
    </row>
    <row r="463" spans="1:11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2070</v>
      </c>
      <c r="J463">
        <v>0.12529999999999999</v>
      </c>
      <c r="K463" t="s">
        <v>27</v>
      </c>
    </row>
    <row r="464" spans="1:11" x14ac:dyDescent="0.45">
      <c r="A464" t="s">
        <v>90</v>
      </c>
      <c r="B464" t="s">
        <v>3</v>
      </c>
      <c r="C464" t="s">
        <v>84</v>
      </c>
      <c r="D464" t="s">
        <v>27</v>
      </c>
      <c r="E464" t="s">
        <v>25</v>
      </c>
      <c r="F464" t="s">
        <v>27</v>
      </c>
      <c r="G464" t="s">
        <v>26</v>
      </c>
      <c r="H464" t="s">
        <v>10</v>
      </c>
      <c r="I464">
        <v>2075</v>
      </c>
      <c r="J464">
        <v>0.1103</v>
      </c>
      <c r="K464" t="s">
        <v>27</v>
      </c>
    </row>
    <row r="465" spans="1:11" x14ac:dyDescent="0.45">
      <c r="A465" t="s">
        <v>90</v>
      </c>
      <c r="B465" t="s">
        <v>4</v>
      </c>
      <c r="C465" t="s">
        <v>84</v>
      </c>
      <c r="D465" t="s">
        <v>27</v>
      </c>
      <c r="E465" t="s">
        <v>25</v>
      </c>
      <c r="F465" t="s">
        <v>27</v>
      </c>
      <c r="G465" t="s">
        <v>26</v>
      </c>
      <c r="H465" t="s">
        <v>10</v>
      </c>
      <c r="I465">
        <v>2075</v>
      </c>
      <c r="J465">
        <v>8.0100000000000005E-2</v>
      </c>
      <c r="K465" t="s">
        <v>27</v>
      </c>
    </row>
    <row r="466" spans="1:11" x14ac:dyDescent="0.45">
      <c r="A466" t="s">
        <v>90</v>
      </c>
      <c r="B466" t="s">
        <v>0</v>
      </c>
      <c r="C466" t="s">
        <v>84</v>
      </c>
      <c r="D466" t="s">
        <v>27</v>
      </c>
      <c r="E466" t="s">
        <v>25</v>
      </c>
      <c r="F466" t="s">
        <v>27</v>
      </c>
      <c r="G466" t="s">
        <v>26</v>
      </c>
      <c r="H466" t="s">
        <v>10</v>
      </c>
      <c r="I466">
        <v>2075</v>
      </c>
      <c r="J466">
        <v>9.4899999999999998E-2</v>
      </c>
      <c r="K466" t="s">
        <v>27</v>
      </c>
    </row>
    <row r="467" spans="1:11" x14ac:dyDescent="0.45">
      <c r="A467" t="s">
        <v>90</v>
      </c>
      <c r="B467" t="s">
        <v>6</v>
      </c>
      <c r="C467" t="s">
        <v>84</v>
      </c>
      <c r="D467" t="s">
        <v>27</v>
      </c>
      <c r="E467" t="s">
        <v>25</v>
      </c>
      <c r="F467" t="s">
        <v>27</v>
      </c>
      <c r="G467" t="s">
        <v>26</v>
      </c>
      <c r="H467" t="s">
        <v>10</v>
      </c>
      <c r="I467">
        <v>2075</v>
      </c>
      <c r="J467">
        <v>8.8749999999999996E-2</v>
      </c>
      <c r="K467" t="s">
        <v>27</v>
      </c>
    </row>
    <row r="468" spans="1:11" x14ac:dyDescent="0.45">
      <c r="A468" t="s">
        <v>90</v>
      </c>
      <c r="B468" t="s">
        <v>5</v>
      </c>
      <c r="C468" t="s">
        <v>84</v>
      </c>
      <c r="D468" t="s">
        <v>27</v>
      </c>
      <c r="E468" t="s">
        <v>25</v>
      </c>
      <c r="F468" t="s">
        <v>27</v>
      </c>
      <c r="G468" t="s">
        <v>26</v>
      </c>
      <c r="H468" t="s">
        <v>10</v>
      </c>
      <c r="I468">
        <v>2075</v>
      </c>
      <c r="J468">
        <v>0.1578</v>
      </c>
      <c r="K468" t="s">
        <v>27</v>
      </c>
    </row>
    <row r="469" spans="1:11" x14ac:dyDescent="0.45">
      <c r="A469" t="s">
        <v>90</v>
      </c>
      <c r="B469" t="s">
        <v>2</v>
      </c>
      <c r="C469" t="s">
        <v>84</v>
      </c>
      <c r="D469" t="s">
        <v>27</v>
      </c>
      <c r="E469" t="s">
        <v>25</v>
      </c>
      <c r="F469" t="s">
        <v>27</v>
      </c>
      <c r="G469" t="s">
        <v>26</v>
      </c>
      <c r="H469" t="s">
        <v>10</v>
      </c>
      <c r="I469">
        <v>2075</v>
      </c>
      <c r="J469">
        <v>8.2900000000000001E-2</v>
      </c>
      <c r="K469" t="s">
        <v>27</v>
      </c>
    </row>
    <row r="470" spans="1:11" x14ac:dyDescent="0.45">
      <c r="A470" t="s">
        <v>90</v>
      </c>
      <c r="B470" t="s">
        <v>1</v>
      </c>
      <c r="C470" t="s">
        <v>84</v>
      </c>
      <c r="D470" t="s">
        <v>27</v>
      </c>
      <c r="E470" t="s">
        <v>25</v>
      </c>
      <c r="F470" t="s">
        <v>27</v>
      </c>
      <c r="G470" t="s">
        <v>26</v>
      </c>
      <c r="H470" t="s">
        <v>10</v>
      </c>
      <c r="I470">
        <v>2075</v>
      </c>
      <c r="J470">
        <v>0.13945000000000002</v>
      </c>
      <c r="K470" t="s">
        <v>27</v>
      </c>
    </row>
    <row r="471" spans="1:11" x14ac:dyDescent="0.45">
      <c r="A471" t="s">
        <v>90</v>
      </c>
      <c r="B471" t="s">
        <v>3</v>
      </c>
      <c r="C471" t="s">
        <v>84</v>
      </c>
      <c r="D471" t="s">
        <v>27</v>
      </c>
      <c r="E471" t="s">
        <v>25</v>
      </c>
      <c r="F471" t="s">
        <v>27</v>
      </c>
      <c r="G471" t="s">
        <v>26</v>
      </c>
      <c r="H471" t="s">
        <v>10</v>
      </c>
      <c r="I471">
        <v>2080</v>
      </c>
      <c r="J471">
        <v>0.12280000000000001</v>
      </c>
      <c r="K471" t="s">
        <v>27</v>
      </c>
    </row>
    <row r="472" spans="1:11" x14ac:dyDescent="0.45">
      <c r="A472" t="s">
        <v>90</v>
      </c>
      <c r="B472" t="s">
        <v>4</v>
      </c>
      <c r="C472" t="s">
        <v>84</v>
      </c>
      <c r="D472" t="s">
        <v>27</v>
      </c>
      <c r="E472" t="s">
        <v>25</v>
      </c>
      <c r="F472" t="s">
        <v>27</v>
      </c>
      <c r="G472" t="s">
        <v>26</v>
      </c>
      <c r="H472" t="s">
        <v>10</v>
      </c>
      <c r="I472">
        <v>2080</v>
      </c>
      <c r="J472">
        <v>8.9650000000000007E-2</v>
      </c>
      <c r="K472" t="s">
        <v>27</v>
      </c>
    </row>
    <row r="473" spans="1:11" x14ac:dyDescent="0.45">
      <c r="A473" t="s">
        <v>90</v>
      </c>
      <c r="B473" t="s">
        <v>0</v>
      </c>
      <c r="C473" t="s">
        <v>84</v>
      </c>
      <c r="D473" t="s">
        <v>27</v>
      </c>
      <c r="E473" t="s">
        <v>25</v>
      </c>
      <c r="F473" t="s">
        <v>27</v>
      </c>
      <c r="G473" t="s">
        <v>26</v>
      </c>
      <c r="H473" t="s">
        <v>10</v>
      </c>
      <c r="I473">
        <v>2080</v>
      </c>
      <c r="J473">
        <v>0.10735</v>
      </c>
      <c r="K473" t="s">
        <v>27</v>
      </c>
    </row>
    <row r="474" spans="1:11" x14ac:dyDescent="0.45">
      <c r="A474" t="s">
        <v>90</v>
      </c>
      <c r="B474" t="s">
        <v>6</v>
      </c>
      <c r="C474" t="s">
        <v>84</v>
      </c>
      <c r="D474" t="s">
        <v>27</v>
      </c>
      <c r="E474" t="s">
        <v>25</v>
      </c>
      <c r="F474" t="s">
        <v>27</v>
      </c>
      <c r="G474" t="s">
        <v>26</v>
      </c>
      <c r="H474" t="s">
        <v>10</v>
      </c>
      <c r="I474">
        <v>2080</v>
      </c>
      <c r="J474">
        <v>9.9700000000000011E-2</v>
      </c>
      <c r="K474" t="s">
        <v>27</v>
      </c>
    </row>
    <row r="475" spans="1:11" x14ac:dyDescent="0.45">
      <c r="A475" t="s">
        <v>90</v>
      </c>
      <c r="B475" t="s">
        <v>5</v>
      </c>
      <c r="C475" t="s">
        <v>84</v>
      </c>
      <c r="D475" t="s">
        <v>27</v>
      </c>
      <c r="E475" t="s">
        <v>25</v>
      </c>
      <c r="F475" t="s">
        <v>27</v>
      </c>
      <c r="G475" t="s">
        <v>26</v>
      </c>
      <c r="H475" t="s">
        <v>10</v>
      </c>
      <c r="I475">
        <v>2080</v>
      </c>
      <c r="J475">
        <v>0.16994999999999999</v>
      </c>
      <c r="K475" t="s">
        <v>27</v>
      </c>
    </row>
    <row r="476" spans="1:11" x14ac:dyDescent="0.45">
      <c r="A476" t="s">
        <v>90</v>
      </c>
      <c r="B476" t="s">
        <v>2</v>
      </c>
      <c r="C476" t="s">
        <v>84</v>
      </c>
      <c r="D476" t="s">
        <v>27</v>
      </c>
      <c r="E476" t="s">
        <v>25</v>
      </c>
      <c r="F476" t="s">
        <v>27</v>
      </c>
      <c r="G476" t="s">
        <v>26</v>
      </c>
      <c r="H476" t="s">
        <v>10</v>
      </c>
      <c r="I476">
        <v>2080</v>
      </c>
      <c r="J476">
        <v>9.4299999999999995E-2</v>
      </c>
      <c r="K476" t="s">
        <v>27</v>
      </c>
    </row>
    <row r="477" spans="1:11" x14ac:dyDescent="0.45">
      <c r="A477" t="s">
        <v>90</v>
      </c>
      <c r="B477" t="s">
        <v>1</v>
      </c>
      <c r="C477" t="s">
        <v>84</v>
      </c>
      <c r="D477" t="s">
        <v>27</v>
      </c>
      <c r="E477" t="s">
        <v>25</v>
      </c>
      <c r="F477" t="s">
        <v>27</v>
      </c>
      <c r="G477" t="s">
        <v>26</v>
      </c>
      <c r="H477" t="s">
        <v>10</v>
      </c>
      <c r="I477">
        <v>2080</v>
      </c>
      <c r="J477">
        <v>0.15254999999999999</v>
      </c>
      <c r="K477" t="s">
        <v>27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2085</v>
      </c>
      <c r="J478">
        <v>0.1331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2085</v>
      </c>
      <c r="J479">
        <v>9.7949999999999995E-2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2085</v>
      </c>
      <c r="J480">
        <v>0.11685000000000001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2085</v>
      </c>
      <c r="J481">
        <v>0.10879999999999999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2085</v>
      </c>
      <c r="J482">
        <v>0.18275000000000002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2085</v>
      </c>
      <c r="J483">
        <v>0.10314999999999999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2085</v>
      </c>
      <c r="J484">
        <v>0.16249999999999998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2090</v>
      </c>
      <c r="J485">
        <v>0.14335000000000001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2090</v>
      </c>
      <c r="J486">
        <v>0.10605000000000001</v>
      </c>
      <c r="K486" t="s">
        <v>27</v>
      </c>
    </row>
    <row r="487" spans="1:11" x14ac:dyDescent="0.45">
      <c r="A487" t="s">
        <v>90</v>
      </c>
      <c r="B487" t="s">
        <v>0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2090</v>
      </c>
      <c r="J487">
        <v>0.12620000000000001</v>
      </c>
      <c r="K487" t="s">
        <v>27</v>
      </c>
    </row>
    <row r="488" spans="1:11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2090</v>
      </c>
      <c r="J488">
        <v>0.11735000000000001</v>
      </c>
      <c r="K488" t="s">
        <v>27</v>
      </c>
    </row>
    <row r="489" spans="1:11" x14ac:dyDescent="0.45">
      <c r="A489" t="s">
        <v>90</v>
      </c>
      <c r="B489" t="s">
        <v>5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2090</v>
      </c>
      <c r="J489">
        <v>0.19564999999999999</v>
      </c>
      <c r="K489" t="s">
        <v>27</v>
      </c>
    </row>
    <row r="490" spans="1:11" x14ac:dyDescent="0.45">
      <c r="A490" t="s">
        <v>90</v>
      </c>
      <c r="B490" t="s">
        <v>2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2090</v>
      </c>
      <c r="J490">
        <v>0.11180000000000001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2090</v>
      </c>
      <c r="J491">
        <v>0.1721</v>
      </c>
      <c r="K491" t="s">
        <v>27</v>
      </c>
    </row>
    <row r="492" spans="1:11" x14ac:dyDescent="0.45">
      <c r="A492" t="s">
        <v>90</v>
      </c>
      <c r="B492" t="s">
        <v>3</v>
      </c>
      <c r="C492" t="s">
        <v>84</v>
      </c>
      <c r="D492" t="s">
        <v>27</v>
      </c>
      <c r="E492" t="s">
        <v>25</v>
      </c>
      <c r="F492" t="s">
        <v>27</v>
      </c>
      <c r="G492" t="s">
        <v>26</v>
      </c>
      <c r="H492" t="s">
        <v>10</v>
      </c>
      <c r="I492">
        <v>2095</v>
      </c>
      <c r="J492">
        <v>0.15294999999999997</v>
      </c>
      <c r="K492" t="s">
        <v>27</v>
      </c>
    </row>
    <row r="493" spans="1:11" x14ac:dyDescent="0.45">
      <c r="A493" t="s">
        <v>90</v>
      </c>
      <c r="B493" t="s">
        <v>4</v>
      </c>
      <c r="C493" t="s">
        <v>84</v>
      </c>
      <c r="D493" t="s">
        <v>27</v>
      </c>
      <c r="E493" t="s">
        <v>25</v>
      </c>
      <c r="F493" t="s">
        <v>27</v>
      </c>
      <c r="G493" t="s">
        <v>26</v>
      </c>
      <c r="H493" t="s">
        <v>10</v>
      </c>
      <c r="I493">
        <v>2095</v>
      </c>
      <c r="J493">
        <v>0.11374999999999999</v>
      </c>
      <c r="K493" t="s">
        <v>27</v>
      </c>
    </row>
    <row r="494" spans="1:11" x14ac:dyDescent="0.45">
      <c r="A494" t="s">
        <v>90</v>
      </c>
      <c r="B494" t="s">
        <v>0</v>
      </c>
      <c r="C494" t="s">
        <v>84</v>
      </c>
      <c r="D494" t="s">
        <v>27</v>
      </c>
      <c r="E494" t="s">
        <v>25</v>
      </c>
      <c r="F494" t="s">
        <v>27</v>
      </c>
      <c r="G494" t="s">
        <v>26</v>
      </c>
      <c r="H494" t="s">
        <v>10</v>
      </c>
      <c r="I494">
        <v>2095</v>
      </c>
      <c r="J494">
        <v>0.13540000000000002</v>
      </c>
      <c r="K494" t="s">
        <v>27</v>
      </c>
    </row>
    <row r="495" spans="1:11" x14ac:dyDescent="0.45">
      <c r="A495" t="s">
        <v>90</v>
      </c>
      <c r="B495" t="s">
        <v>6</v>
      </c>
      <c r="C495" t="s">
        <v>84</v>
      </c>
      <c r="D495" t="s">
        <v>27</v>
      </c>
      <c r="E495" t="s">
        <v>25</v>
      </c>
      <c r="F495" t="s">
        <v>27</v>
      </c>
      <c r="G495" t="s">
        <v>26</v>
      </c>
      <c r="H495" t="s">
        <v>10</v>
      </c>
      <c r="I495">
        <v>2095</v>
      </c>
      <c r="J495">
        <v>0.12605</v>
      </c>
      <c r="K495" t="s">
        <v>27</v>
      </c>
    </row>
    <row r="496" spans="1:11" x14ac:dyDescent="0.45">
      <c r="A496" t="s">
        <v>90</v>
      </c>
      <c r="B496" t="s">
        <v>5</v>
      </c>
      <c r="C496" t="s">
        <v>84</v>
      </c>
      <c r="D496" t="s">
        <v>27</v>
      </c>
      <c r="E496" t="s">
        <v>25</v>
      </c>
      <c r="F496" t="s">
        <v>27</v>
      </c>
      <c r="G496" t="s">
        <v>26</v>
      </c>
      <c r="H496" t="s">
        <v>10</v>
      </c>
      <c r="I496">
        <v>2095</v>
      </c>
      <c r="J496">
        <v>0.20884999999999998</v>
      </c>
      <c r="K496" t="s">
        <v>27</v>
      </c>
    </row>
    <row r="497" spans="1:12" x14ac:dyDescent="0.45">
      <c r="A497" t="s">
        <v>90</v>
      </c>
      <c r="B497" t="s">
        <v>2</v>
      </c>
      <c r="C497" t="s">
        <v>84</v>
      </c>
      <c r="D497" t="s">
        <v>27</v>
      </c>
      <c r="E497" t="s">
        <v>25</v>
      </c>
      <c r="F497" t="s">
        <v>27</v>
      </c>
      <c r="G497" t="s">
        <v>26</v>
      </c>
      <c r="H497" t="s">
        <v>10</v>
      </c>
      <c r="I497">
        <v>2095</v>
      </c>
      <c r="J497">
        <v>0.12005</v>
      </c>
      <c r="K497" t="s">
        <v>27</v>
      </c>
    </row>
    <row r="498" spans="1:12" x14ac:dyDescent="0.45">
      <c r="A498" t="s">
        <v>90</v>
      </c>
      <c r="B498" t="s">
        <v>1</v>
      </c>
      <c r="C498" t="s">
        <v>84</v>
      </c>
      <c r="D498" t="s">
        <v>27</v>
      </c>
      <c r="E498" t="s">
        <v>25</v>
      </c>
      <c r="F498" t="s">
        <v>27</v>
      </c>
      <c r="G498" t="s">
        <v>26</v>
      </c>
      <c r="H498" t="s">
        <v>10</v>
      </c>
      <c r="I498">
        <v>2095</v>
      </c>
      <c r="J498">
        <v>0.182</v>
      </c>
      <c r="K498" t="s">
        <v>27</v>
      </c>
    </row>
    <row r="499" spans="1:12" x14ac:dyDescent="0.45">
      <c r="A499" t="s">
        <v>90</v>
      </c>
      <c r="B499" t="s">
        <v>3</v>
      </c>
      <c r="C499" t="s">
        <v>84</v>
      </c>
      <c r="D499" t="s">
        <v>27</v>
      </c>
      <c r="E499" t="s">
        <v>25</v>
      </c>
      <c r="F499" t="s">
        <v>27</v>
      </c>
      <c r="G499" t="s">
        <v>26</v>
      </c>
      <c r="H499" t="s">
        <v>10</v>
      </c>
      <c r="I499">
        <v>2100</v>
      </c>
      <c r="J499">
        <v>0.16205</v>
      </c>
      <c r="K499" t="s">
        <v>27</v>
      </c>
    </row>
    <row r="500" spans="1:12" x14ac:dyDescent="0.45">
      <c r="A500" t="s">
        <v>90</v>
      </c>
      <c r="B500" t="s">
        <v>4</v>
      </c>
      <c r="C500" t="s">
        <v>84</v>
      </c>
      <c r="D500" t="s">
        <v>27</v>
      </c>
      <c r="E500" t="s">
        <v>25</v>
      </c>
      <c r="F500" t="s">
        <v>27</v>
      </c>
      <c r="G500" t="s">
        <v>26</v>
      </c>
      <c r="H500" t="s">
        <v>10</v>
      </c>
      <c r="I500">
        <v>2100</v>
      </c>
      <c r="J500">
        <v>0.12110000000000001</v>
      </c>
      <c r="K500" t="s">
        <v>27</v>
      </c>
    </row>
    <row r="501" spans="1:12" x14ac:dyDescent="0.45">
      <c r="A501" t="s">
        <v>90</v>
      </c>
      <c r="B501" t="s">
        <v>0</v>
      </c>
      <c r="C501" t="s">
        <v>84</v>
      </c>
      <c r="D501" t="s">
        <v>27</v>
      </c>
      <c r="E501" t="s">
        <v>25</v>
      </c>
      <c r="F501" t="s">
        <v>27</v>
      </c>
      <c r="G501" t="s">
        <v>26</v>
      </c>
      <c r="H501" t="s">
        <v>10</v>
      </c>
      <c r="I501">
        <v>2100</v>
      </c>
      <c r="J501">
        <v>0.1444</v>
      </c>
      <c r="K501" t="s">
        <v>27</v>
      </c>
    </row>
    <row r="502" spans="1:12" x14ac:dyDescent="0.45">
      <c r="A502" t="s">
        <v>90</v>
      </c>
      <c r="B502" t="s">
        <v>6</v>
      </c>
      <c r="C502" t="s">
        <v>84</v>
      </c>
      <c r="D502" t="s">
        <v>27</v>
      </c>
      <c r="E502" t="s">
        <v>25</v>
      </c>
      <c r="F502" t="s">
        <v>27</v>
      </c>
      <c r="G502" t="s">
        <v>26</v>
      </c>
      <c r="H502" t="s">
        <v>10</v>
      </c>
      <c r="I502">
        <v>2100</v>
      </c>
      <c r="J502">
        <v>0.13445000000000001</v>
      </c>
      <c r="K502" t="s">
        <v>27</v>
      </c>
    </row>
    <row r="503" spans="1:12" x14ac:dyDescent="0.45">
      <c r="A503" t="s">
        <v>90</v>
      </c>
      <c r="B503" t="s">
        <v>5</v>
      </c>
      <c r="C503" t="s">
        <v>84</v>
      </c>
      <c r="D503" t="s">
        <v>27</v>
      </c>
      <c r="E503" t="s">
        <v>25</v>
      </c>
      <c r="F503" t="s">
        <v>27</v>
      </c>
      <c r="G503" t="s">
        <v>26</v>
      </c>
      <c r="H503" t="s">
        <v>10</v>
      </c>
      <c r="I503">
        <v>2100</v>
      </c>
      <c r="J503">
        <v>0.2205</v>
      </c>
      <c r="K503" t="s">
        <v>27</v>
      </c>
    </row>
    <row r="504" spans="1:12" x14ac:dyDescent="0.45">
      <c r="A504" t="s">
        <v>90</v>
      </c>
      <c r="B504" t="s">
        <v>2</v>
      </c>
      <c r="C504" t="s">
        <v>84</v>
      </c>
      <c r="D504" t="s">
        <v>27</v>
      </c>
      <c r="E504" t="s">
        <v>25</v>
      </c>
      <c r="F504" t="s">
        <v>27</v>
      </c>
      <c r="G504" t="s">
        <v>26</v>
      </c>
      <c r="H504" t="s">
        <v>10</v>
      </c>
      <c r="I504">
        <v>2100</v>
      </c>
      <c r="J504">
        <v>0.12809999999999999</v>
      </c>
      <c r="K504" t="s">
        <v>27</v>
      </c>
    </row>
    <row r="505" spans="1:12" x14ac:dyDescent="0.45">
      <c r="A505" t="s">
        <v>90</v>
      </c>
      <c r="B505" t="s">
        <v>1</v>
      </c>
      <c r="C505" t="s">
        <v>84</v>
      </c>
      <c r="D505" t="s">
        <v>27</v>
      </c>
      <c r="E505" t="s">
        <v>25</v>
      </c>
      <c r="F505" t="s">
        <v>27</v>
      </c>
      <c r="G505" t="s">
        <v>26</v>
      </c>
      <c r="H505" t="s">
        <v>10</v>
      </c>
      <c r="I505">
        <v>2100</v>
      </c>
      <c r="J505">
        <v>0.19159999999999999</v>
      </c>
      <c r="K505" t="s">
        <v>27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2020</v>
      </c>
      <c r="J506">
        <v>4.0000000000000002E-4</v>
      </c>
      <c r="K506" t="s">
        <v>52</v>
      </c>
      <c r="L506">
        <v>94</v>
      </c>
    </row>
    <row r="507" spans="1:12" x14ac:dyDescent="0.45">
      <c r="A507" t="s">
        <v>90</v>
      </c>
      <c r="B507" t="s">
        <v>4</v>
      </c>
      <c r="C507" t="s">
        <v>84</v>
      </c>
      <c r="D507" t="s">
        <v>52</v>
      </c>
      <c r="E507" t="s">
        <v>25</v>
      </c>
      <c r="F507" t="s">
        <v>52</v>
      </c>
      <c r="G507" t="s">
        <v>71</v>
      </c>
      <c r="H507" t="s">
        <v>89</v>
      </c>
      <c r="I507">
        <v>2020</v>
      </c>
      <c r="J507">
        <v>4.0000000000000002E-4</v>
      </c>
      <c r="K507" t="s">
        <v>52</v>
      </c>
      <c r="L507">
        <v>94</v>
      </c>
    </row>
    <row r="508" spans="1:12" x14ac:dyDescent="0.45">
      <c r="A508" t="s">
        <v>90</v>
      </c>
      <c r="B508" t="s">
        <v>0</v>
      </c>
      <c r="C508" t="s">
        <v>84</v>
      </c>
      <c r="D508" t="s">
        <v>52</v>
      </c>
      <c r="E508" t="s">
        <v>25</v>
      </c>
      <c r="F508" t="s">
        <v>52</v>
      </c>
      <c r="G508" t="s">
        <v>71</v>
      </c>
      <c r="H508" t="s">
        <v>89</v>
      </c>
      <c r="I508">
        <v>2020</v>
      </c>
      <c r="J508">
        <v>4.0000000000000002E-4</v>
      </c>
      <c r="K508" t="s">
        <v>52</v>
      </c>
      <c r="L508">
        <v>94</v>
      </c>
    </row>
    <row r="509" spans="1:12" x14ac:dyDescent="0.45">
      <c r="A509" t="s">
        <v>90</v>
      </c>
      <c r="B509" t="s">
        <v>6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2020</v>
      </c>
      <c r="J509">
        <v>4.0000000000000002E-4</v>
      </c>
      <c r="K509" t="s">
        <v>52</v>
      </c>
      <c r="L509">
        <v>94</v>
      </c>
    </row>
    <row r="510" spans="1:12" x14ac:dyDescent="0.45">
      <c r="A510" t="s">
        <v>90</v>
      </c>
      <c r="B510" t="s">
        <v>5</v>
      </c>
      <c r="C510" t="s">
        <v>84</v>
      </c>
      <c r="D510" t="s">
        <v>52</v>
      </c>
      <c r="E510" t="s">
        <v>25</v>
      </c>
      <c r="F510" t="s">
        <v>52</v>
      </c>
      <c r="G510" t="s">
        <v>71</v>
      </c>
      <c r="H510" t="s">
        <v>89</v>
      </c>
      <c r="I510">
        <v>2020</v>
      </c>
      <c r="J510">
        <v>4.0000000000000002E-4</v>
      </c>
      <c r="K510" t="s">
        <v>52</v>
      </c>
      <c r="L510">
        <v>94</v>
      </c>
    </row>
    <row r="511" spans="1:12" x14ac:dyDescent="0.45">
      <c r="A511" t="s">
        <v>90</v>
      </c>
      <c r="B511" t="s">
        <v>2</v>
      </c>
      <c r="C511" t="s">
        <v>84</v>
      </c>
      <c r="D511" t="s">
        <v>52</v>
      </c>
      <c r="E511" t="s">
        <v>25</v>
      </c>
      <c r="F511" t="s">
        <v>52</v>
      </c>
      <c r="G511" t="s">
        <v>71</v>
      </c>
      <c r="H511" t="s">
        <v>89</v>
      </c>
      <c r="I511">
        <v>2020</v>
      </c>
      <c r="J511">
        <v>4.0000000000000002E-4</v>
      </c>
      <c r="K511" t="s">
        <v>52</v>
      </c>
      <c r="L511">
        <v>94</v>
      </c>
    </row>
    <row r="512" spans="1:12" x14ac:dyDescent="0.45">
      <c r="A512" t="s">
        <v>90</v>
      </c>
      <c r="B512" t="s">
        <v>1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2020</v>
      </c>
      <c r="J512">
        <v>4.0000000000000002E-4</v>
      </c>
      <c r="K512" t="s">
        <v>52</v>
      </c>
      <c r="L512">
        <v>94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2025</v>
      </c>
      <c r="J513">
        <v>4.0000000000000002E-4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2025</v>
      </c>
      <c r="J514">
        <v>5.0000000000000001E-4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2025</v>
      </c>
      <c r="J515">
        <v>5.0000000000000001E-4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2025</v>
      </c>
      <c r="J516">
        <v>5.0000000000000001E-4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2025</v>
      </c>
      <c r="J517">
        <v>4.0000000000000002E-4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2025</v>
      </c>
      <c r="J518">
        <v>4.0000000000000002E-4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2025</v>
      </c>
      <c r="J519">
        <v>4.0000000000000002E-4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52</v>
      </c>
      <c r="E520" t="s">
        <v>25</v>
      </c>
      <c r="F520" t="s">
        <v>52</v>
      </c>
      <c r="G520" t="s">
        <v>71</v>
      </c>
      <c r="H520" t="s">
        <v>89</v>
      </c>
      <c r="I520">
        <v>2030</v>
      </c>
      <c r="J520">
        <v>2.0000000000000001E-4</v>
      </c>
      <c r="K520" t="s">
        <v>52</v>
      </c>
      <c r="L520">
        <v>94</v>
      </c>
    </row>
    <row r="521" spans="1:12" x14ac:dyDescent="0.45">
      <c r="A521" t="s">
        <v>90</v>
      </c>
      <c r="B521" t="s">
        <v>4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2030</v>
      </c>
      <c r="J521">
        <v>5.0000000000000001E-4</v>
      </c>
      <c r="K521" t="s">
        <v>52</v>
      </c>
      <c r="L521">
        <v>94</v>
      </c>
    </row>
    <row r="522" spans="1:12" x14ac:dyDescent="0.45">
      <c r="A522" t="s">
        <v>90</v>
      </c>
      <c r="B522" t="s">
        <v>0</v>
      </c>
      <c r="C522" t="s">
        <v>84</v>
      </c>
      <c r="D522" t="s">
        <v>52</v>
      </c>
      <c r="E522" t="s">
        <v>25</v>
      </c>
      <c r="F522" t="s">
        <v>52</v>
      </c>
      <c r="G522" t="s">
        <v>71</v>
      </c>
      <c r="H522" t="s">
        <v>89</v>
      </c>
      <c r="I522">
        <v>2030</v>
      </c>
      <c r="J522">
        <v>5.0000000000000001E-4</v>
      </c>
      <c r="K522" t="s">
        <v>52</v>
      </c>
      <c r="L522">
        <v>94</v>
      </c>
    </row>
    <row r="523" spans="1:12" x14ac:dyDescent="0.45">
      <c r="A523" t="s">
        <v>90</v>
      </c>
      <c r="B523" t="s">
        <v>6</v>
      </c>
      <c r="C523" t="s">
        <v>84</v>
      </c>
      <c r="D523" t="s">
        <v>52</v>
      </c>
      <c r="E523" t="s">
        <v>25</v>
      </c>
      <c r="F523" t="s">
        <v>52</v>
      </c>
      <c r="G523" t="s">
        <v>71</v>
      </c>
      <c r="H523" t="s">
        <v>89</v>
      </c>
      <c r="I523">
        <v>2030</v>
      </c>
      <c r="J523">
        <v>5.0000000000000001E-4</v>
      </c>
      <c r="K523" t="s">
        <v>52</v>
      </c>
      <c r="L523">
        <v>94</v>
      </c>
    </row>
    <row r="524" spans="1:12" x14ac:dyDescent="0.45">
      <c r="A524" t="s">
        <v>90</v>
      </c>
      <c r="B524" t="s">
        <v>5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2030</v>
      </c>
      <c r="J524">
        <v>1E-4</v>
      </c>
      <c r="K524" t="s">
        <v>52</v>
      </c>
      <c r="L524">
        <v>94</v>
      </c>
    </row>
    <row r="525" spans="1:12" x14ac:dyDescent="0.45">
      <c r="A525" t="s">
        <v>90</v>
      </c>
      <c r="B525" t="s">
        <v>2</v>
      </c>
      <c r="C525" t="s">
        <v>84</v>
      </c>
      <c r="D525" t="s">
        <v>52</v>
      </c>
      <c r="E525" t="s">
        <v>25</v>
      </c>
      <c r="F525" t="s">
        <v>52</v>
      </c>
      <c r="G525" t="s">
        <v>71</v>
      </c>
      <c r="H525" t="s">
        <v>89</v>
      </c>
      <c r="I525">
        <v>2030</v>
      </c>
      <c r="J525">
        <v>5.0000000000000001E-4</v>
      </c>
      <c r="K525" t="s">
        <v>52</v>
      </c>
      <c r="L525">
        <v>94</v>
      </c>
    </row>
    <row r="526" spans="1:12" x14ac:dyDescent="0.45">
      <c r="A526" t="s">
        <v>90</v>
      </c>
      <c r="B526" t="s">
        <v>1</v>
      </c>
      <c r="C526" t="s">
        <v>84</v>
      </c>
      <c r="D526" t="s">
        <v>52</v>
      </c>
      <c r="E526" t="s">
        <v>25</v>
      </c>
      <c r="F526" t="s">
        <v>52</v>
      </c>
      <c r="G526" t="s">
        <v>71</v>
      </c>
      <c r="H526" t="s">
        <v>89</v>
      </c>
      <c r="I526">
        <v>2030</v>
      </c>
      <c r="J526">
        <v>1E-4</v>
      </c>
      <c r="K526" t="s">
        <v>52</v>
      </c>
      <c r="L526">
        <v>94</v>
      </c>
    </row>
    <row r="527" spans="1:12" x14ac:dyDescent="0.45">
      <c r="A527" t="s">
        <v>90</v>
      </c>
      <c r="B527" t="s">
        <v>3</v>
      </c>
      <c r="C527" t="s">
        <v>84</v>
      </c>
      <c r="D527" t="s">
        <v>52</v>
      </c>
      <c r="E527" t="s">
        <v>25</v>
      </c>
      <c r="F527" t="s">
        <v>52</v>
      </c>
      <c r="G527" t="s">
        <v>71</v>
      </c>
      <c r="H527" t="s">
        <v>89</v>
      </c>
      <c r="I527">
        <v>2035</v>
      </c>
      <c r="J527">
        <v>0</v>
      </c>
      <c r="K527" t="s">
        <v>52</v>
      </c>
      <c r="L527">
        <v>94</v>
      </c>
    </row>
    <row r="528" spans="1:12" x14ac:dyDescent="0.45">
      <c r="A528" t="s">
        <v>90</v>
      </c>
      <c r="B528" t="s">
        <v>4</v>
      </c>
      <c r="C528" t="s">
        <v>84</v>
      </c>
      <c r="D528" t="s">
        <v>52</v>
      </c>
      <c r="E528" t="s">
        <v>25</v>
      </c>
      <c r="F528" t="s">
        <v>52</v>
      </c>
      <c r="G528" t="s">
        <v>71</v>
      </c>
      <c r="H528" t="s">
        <v>89</v>
      </c>
      <c r="I528">
        <v>2035</v>
      </c>
      <c r="J528">
        <v>2.9999999999999997E-4</v>
      </c>
      <c r="K528" t="s">
        <v>52</v>
      </c>
      <c r="L528">
        <v>94</v>
      </c>
    </row>
    <row r="529" spans="1:12" x14ac:dyDescent="0.45">
      <c r="A529" t="s">
        <v>90</v>
      </c>
      <c r="B529" t="s">
        <v>0</v>
      </c>
      <c r="C529" t="s">
        <v>84</v>
      </c>
      <c r="D529" t="s">
        <v>52</v>
      </c>
      <c r="E529" t="s">
        <v>25</v>
      </c>
      <c r="F529" t="s">
        <v>52</v>
      </c>
      <c r="G529" t="s">
        <v>71</v>
      </c>
      <c r="H529" t="s">
        <v>89</v>
      </c>
      <c r="I529">
        <v>2035</v>
      </c>
      <c r="J529">
        <v>2.0000000000000001E-4</v>
      </c>
      <c r="K529" t="s">
        <v>52</v>
      </c>
      <c r="L529">
        <v>94</v>
      </c>
    </row>
    <row r="530" spans="1:12" x14ac:dyDescent="0.45">
      <c r="A530" t="s">
        <v>90</v>
      </c>
      <c r="B530" t="s">
        <v>6</v>
      </c>
      <c r="C530" t="s">
        <v>84</v>
      </c>
      <c r="D530" t="s">
        <v>52</v>
      </c>
      <c r="E530" t="s">
        <v>25</v>
      </c>
      <c r="F530" t="s">
        <v>52</v>
      </c>
      <c r="G530" t="s">
        <v>71</v>
      </c>
      <c r="H530" t="s">
        <v>89</v>
      </c>
      <c r="I530">
        <v>2035</v>
      </c>
      <c r="J530">
        <v>2.0000000000000001E-4</v>
      </c>
      <c r="K530" t="s">
        <v>52</v>
      </c>
      <c r="L530">
        <v>94</v>
      </c>
    </row>
    <row r="531" spans="1:12" x14ac:dyDescent="0.45">
      <c r="A531" t="s">
        <v>90</v>
      </c>
      <c r="B531" t="s">
        <v>5</v>
      </c>
      <c r="C531" t="s">
        <v>84</v>
      </c>
      <c r="D531" t="s">
        <v>52</v>
      </c>
      <c r="E531" t="s">
        <v>25</v>
      </c>
      <c r="F531" t="s">
        <v>52</v>
      </c>
      <c r="G531" t="s">
        <v>71</v>
      </c>
      <c r="H531" t="s">
        <v>89</v>
      </c>
      <c r="I531">
        <v>2035</v>
      </c>
      <c r="J531">
        <v>0</v>
      </c>
      <c r="K531" t="s">
        <v>52</v>
      </c>
      <c r="L531">
        <v>94</v>
      </c>
    </row>
    <row r="532" spans="1:12" x14ac:dyDescent="0.45">
      <c r="A532" t="s">
        <v>90</v>
      </c>
      <c r="B532" t="s">
        <v>2</v>
      </c>
      <c r="C532" t="s">
        <v>84</v>
      </c>
      <c r="D532" t="s">
        <v>52</v>
      </c>
      <c r="E532" t="s">
        <v>25</v>
      </c>
      <c r="F532" t="s">
        <v>52</v>
      </c>
      <c r="G532" t="s">
        <v>71</v>
      </c>
      <c r="H532" t="s">
        <v>89</v>
      </c>
      <c r="I532">
        <v>2035</v>
      </c>
      <c r="J532">
        <v>2.9999999999999997E-4</v>
      </c>
      <c r="K532" t="s">
        <v>52</v>
      </c>
      <c r="L532">
        <v>94</v>
      </c>
    </row>
    <row r="533" spans="1:12" x14ac:dyDescent="0.45">
      <c r="A533" t="s">
        <v>90</v>
      </c>
      <c r="B533" t="s">
        <v>1</v>
      </c>
      <c r="C533" t="s">
        <v>84</v>
      </c>
      <c r="D533" t="s">
        <v>52</v>
      </c>
      <c r="E533" t="s">
        <v>25</v>
      </c>
      <c r="F533" t="s">
        <v>52</v>
      </c>
      <c r="G533" t="s">
        <v>71</v>
      </c>
      <c r="H533" t="s">
        <v>89</v>
      </c>
      <c r="I533">
        <v>2035</v>
      </c>
      <c r="J533">
        <v>0</v>
      </c>
      <c r="K533" t="s">
        <v>52</v>
      </c>
      <c r="L533">
        <v>94</v>
      </c>
    </row>
    <row r="534" spans="1:12" x14ac:dyDescent="0.45">
      <c r="A534" t="s">
        <v>90</v>
      </c>
      <c r="B534" t="s">
        <v>3</v>
      </c>
      <c r="C534" t="s">
        <v>84</v>
      </c>
      <c r="D534" t="s">
        <v>52</v>
      </c>
      <c r="E534" t="s">
        <v>25</v>
      </c>
      <c r="F534" t="s">
        <v>52</v>
      </c>
      <c r="G534" t="s">
        <v>71</v>
      </c>
      <c r="H534" t="s">
        <v>89</v>
      </c>
      <c r="I534">
        <v>2040</v>
      </c>
      <c r="J534">
        <v>0</v>
      </c>
      <c r="K534" t="s">
        <v>52</v>
      </c>
      <c r="L534">
        <v>94</v>
      </c>
    </row>
    <row r="535" spans="1:12" x14ac:dyDescent="0.45">
      <c r="A535" t="s">
        <v>90</v>
      </c>
      <c r="B535" t="s">
        <v>4</v>
      </c>
      <c r="C535" t="s">
        <v>84</v>
      </c>
      <c r="D535" t="s">
        <v>52</v>
      </c>
      <c r="E535" t="s">
        <v>25</v>
      </c>
      <c r="F535" t="s">
        <v>52</v>
      </c>
      <c r="G535" t="s">
        <v>71</v>
      </c>
      <c r="H535" t="s">
        <v>89</v>
      </c>
      <c r="I535">
        <v>2040</v>
      </c>
      <c r="J535">
        <v>0</v>
      </c>
      <c r="K535" t="s">
        <v>52</v>
      </c>
      <c r="L535">
        <v>94</v>
      </c>
    </row>
    <row r="536" spans="1:12" x14ac:dyDescent="0.45">
      <c r="A536" t="s">
        <v>90</v>
      </c>
      <c r="B536" t="s">
        <v>0</v>
      </c>
      <c r="C536" t="s">
        <v>84</v>
      </c>
      <c r="D536" t="s">
        <v>52</v>
      </c>
      <c r="E536" t="s">
        <v>25</v>
      </c>
      <c r="F536" t="s">
        <v>52</v>
      </c>
      <c r="G536" t="s">
        <v>71</v>
      </c>
      <c r="H536" t="s">
        <v>89</v>
      </c>
      <c r="I536">
        <v>2040</v>
      </c>
      <c r="J536">
        <v>0</v>
      </c>
      <c r="K536" t="s">
        <v>52</v>
      </c>
      <c r="L536">
        <v>94</v>
      </c>
    </row>
    <row r="537" spans="1:12" x14ac:dyDescent="0.45">
      <c r="A537" t="s">
        <v>90</v>
      </c>
      <c r="B537" t="s">
        <v>6</v>
      </c>
      <c r="C537" t="s">
        <v>84</v>
      </c>
      <c r="D537" t="s">
        <v>52</v>
      </c>
      <c r="E537" t="s">
        <v>25</v>
      </c>
      <c r="F537" t="s">
        <v>52</v>
      </c>
      <c r="G537" t="s">
        <v>71</v>
      </c>
      <c r="H537" t="s">
        <v>89</v>
      </c>
      <c r="I537">
        <v>2040</v>
      </c>
      <c r="J537">
        <v>0</v>
      </c>
      <c r="K537" t="s">
        <v>52</v>
      </c>
      <c r="L537">
        <v>94</v>
      </c>
    </row>
    <row r="538" spans="1:12" x14ac:dyDescent="0.45">
      <c r="A538" t="s">
        <v>90</v>
      </c>
      <c r="B538" t="s">
        <v>5</v>
      </c>
      <c r="C538" t="s">
        <v>84</v>
      </c>
      <c r="D538" t="s">
        <v>52</v>
      </c>
      <c r="E538" t="s">
        <v>25</v>
      </c>
      <c r="F538" t="s">
        <v>52</v>
      </c>
      <c r="G538" t="s">
        <v>71</v>
      </c>
      <c r="H538" t="s">
        <v>89</v>
      </c>
      <c r="I538">
        <v>2040</v>
      </c>
      <c r="J538">
        <v>0</v>
      </c>
      <c r="K538" t="s">
        <v>52</v>
      </c>
      <c r="L538">
        <v>94</v>
      </c>
    </row>
    <row r="539" spans="1:12" x14ac:dyDescent="0.45">
      <c r="A539" t="s">
        <v>90</v>
      </c>
      <c r="B539" t="s">
        <v>2</v>
      </c>
      <c r="C539" t="s">
        <v>84</v>
      </c>
      <c r="D539" t="s">
        <v>52</v>
      </c>
      <c r="E539" t="s">
        <v>25</v>
      </c>
      <c r="F539" t="s">
        <v>52</v>
      </c>
      <c r="G539" t="s">
        <v>71</v>
      </c>
      <c r="H539" t="s">
        <v>89</v>
      </c>
      <c r="I539">
        <v>2040</v>
      </c>
      <c r="J539">
        <v>0</v>
      </c>
      <c r="K539" t="s">
        <v>52</v>
      </c>
      <c r="L539">
        <v>94</v>
      </c>
    </row>
    <row r="540" spans="1:12" x14ac:dyDescent="0.45">
      <c r="A540" t="s">
        <v>90</v>
      </c>
      <c r="B540" t="s">
        <v>1</v>
      </c>
      <c r="C540" t="s">
        <v>84</v>
      </c>
      <c r="D540" t="s">
        <v>52</v>
      </c>
      <c r="E540" t="s">
        <v>25</v>
      </c>
      <c r="F540" t="s">
        <v>52</v>
      </c>
      <c r="G540" t="s">
        <v>71</v>
      </c>
      <c r="H540" t="s">
        <v>89</v>
      </c>
      <c r="I540">
        <v>2040</v>
      </c>
      <c r="J540">
        <v>0</v>
      </c>
      <c r="K540" t="s">
        <v>52</v>
      </c>
      <c r="L540">
        <v>94</v>
      </c>
    </row>
    <row r="541" spans="1:12" x14ac:dyDescent="0.45">
      <c r="A541" t="s">
        <v>90</v>
      </c>
      <c r="B541" t="s">
        <v>3</v>
      </c>
      <c r="C541" t="s">
        <v>84</v>
      </c>
      <c r="D541" t="s">
        <v>52</v>
      </c>
      <c r="E541" t="s">
        <v>25</v>
      </c>
      <c r="F541" t="s">
        <v>52</v>
      </c>
      <c r="G541" t="s">
        <v>71</v>
      </c>
      <c r="H541" t="s">
        <v>89</v>
      </c>
      <c r="I541">
        <v>2045</v>
      </c>
      <c r="J541">
        <v>0</v>
      </c>
      <c r="K541" t="s">
        <v>52</v>
      </c>
      <c r="L541">
        <v>94</v>
      </c>
    </row>
    <row r="542" spans="1:12" x14ac:dyDescent="0.45">
      <c r="A542" t="s">
        <v>90</v>
      </c>
      <c r="B542" t="s">
        <v>4</v>
      </c>
      <c r="C542" t="s">
        <v>84</v>
      </c>
      <c r="D542" t="s">
        <v>52</v>
      </c>
      <c r="E542" t="s">
        <v>25</v>
      </c>
      <c r="F542" t="s">
        <v>52</v>
      </c>
      <c r="G542" t="s">
        <v>71</v>
      </c>
      <c r="H542" t="s">
        <v>89</v>
      </c>
      <c r="I542">
        <v>2045</v>
      </c>
      <c r="J542">
        <v>0</v>
      </c>
      <c r="K542" t="s">
        <v>52</v>
      </c>
      <c r="L542">
        <v>94</v>
      </c>
    </row>
    <row r="543" spans="1:12" x14ac:dyDescent="0.45">
      <c r="A543" t="s">
        <v>90</v>
      </c>
      <c r="B543" t="s">
        <v>0</v>
      </c>
      <c r="C543" t="s">
        <v>84</v>
      </c>
      <c r="D543" t="s">
        <v>52</v>
      </c>
      <c r="E543" t="s">
        <v>25</v>
      </c>
      <c r="F543" t="s">
        <v>52</v>
      </c>
      <c r="G543" t="s">
        <v>71</v>
      </c>
      <c r="H543" t="s">
        <v>89</v>
      </c>
      <c r="I543">
        <v>2045</v>
      </c>
      <c r="J543">
        <v>0</v>
      </c>
      <c r="K543" t="s">
        <v>52</v>
      </c>
      <c r="L543">
        <v>94</v>
      </c>
    </row>
    <row r="544" spans="1:12" x14ac:dyDescent="0.45">
      <c r="A544" t="s">
        <v>90</v>
      </c>
      <c r="B544" t="s">
        <v>6</v>
      </c>
      <c r="C544" t="s">
        <v>84</v>
      </c>
      <c r="D544" t="s">
        <v>52</v>
      </c>
      <c r="E544" t="s">
        <v>25</v>
      </c>
      <c r="F544" t="s">
        <v>52</v>
      </c>
      <c r="G544" t="s">
        <v>71</v>
      </c>
      <c r="H544" t="s">
        <v>89</v>
      </c>
      <c r="I544">
        <v>2045</v>
      </c>
      <c r="J544">
        <v>0</v>
      </c>
      <c r="K544" t="s">
        <v>52</v>
      </c>
      <c r="L544">
        <v>94</v>
      </c>
    </row>
    <row r="545" spans="1:12" x14ac:dyDescent="0.45">
      <c r="A545" t="s">
        <v>90</v>
      </c>
      <c r="B545" t="s">
        <v>5</v>
      </c>
      <c r="C545" t="s">
        <v>84</v>
      </c>
      <c r="D545" t="s">
        <v>52</v>
      </c>
      <c r="E545" t="s">
        <v>25</v>
      </c>
      <c r="F545" t="s">
        <v>52</v>
      </c>
      <c r="G545" t="s">
        <v>71</v>
      </c>
      <c r="H545" t="s">
        <v>89</v>
      </c>
      <c r="I545">
        <v>2045</v>
      </c>
      <c r="J545">
        <v>0</v>
      </c>
      <c r="K545" t="s">
        <v>52</v>
      </c>
      <c r="L545">
        <v>94</v>
      </c>
    </row>
    <row r="546" spans="1:12" x14ac:dyDescent="0.45">
      <c r="A546" t="s">
        <v>90</v>
      </c>
      <c r="B546" t="s">
        <v>2</v>
      </c>
      <c r="C546" t="s">
        <v>84</v>
      </c>
      <c r="D546" t="s">
        <v>52</v>
      </c>
      <c r="E546" t="s">
        <v>25</v>
      </c>
      <c r="F546" t="s">
        <v>52</v>
      </c>
      <c r="G546" t="s">
        <v>71</v>
      </c>
      <c r="H546" t="s">
        <v>89</v>
      </c>
      <c r="I546">
        <v>2045</v>
      </c>
      <c r="J546">
        <v>0</v>
      </c>
      <c r="K546" t="s">
        <v>52</v>
      </c>
      <c r="L546">
        <v>94</v>
      </c>
    </row>
    <row r="547" spans="1:12" x14ac:dyDescent="0.45">
      <c r="A547" t="s">
        <v>90</v>
      </c>
      <c r="B547" t="s">
        <v>1</v>
      </c>
      <c r="C547" t="s">
        <v>84</v>
      </c>
      <c r="D547" t="s">
        <v>52</v>
      </c>
      <c r="E547" t="s">
        <v>25</v>
      </c>
      <c r="F547" t="s">
        <v>52</v>
      </c>
      <c r="G547" t="s">
        <v>71</v>
      </c>
      <c r="H547" t="s">
        <v>89</v>
      </c>
      <c r="I547">
        <v>2045</v>
      </c>
      <c r="J547">
        <v>0</v>
      </c>
      <c r="K547" t="s">
        <v>52</v>
      </c>
      <c r="L547">
        <v>94</v>
      </c>
    </row>
    <row r="548" spans="1:12" x14ac:dyDescent="0.45">
      <c r="A548" t="s">
        <v>90</v>
      </c>
      <c r="B548" t="s">
        <v>3</v>
      </c>
      <c r="C548" t="s">
        <v>84</v>
      </c>
      <c r="D548" t="s">
        <v>52</v>
      </c>
      <c r="E548" t="s">
        <v>25</v>
      </c>
      <c r="F548" t="s">
        <v>52</v>
      </c>
      <c r="G548" t="s">
        <v>71</v>
      </c>
      <c r="H548" t="s">
        <v>89</v>
      </c>
      <c r="I548">
        <v>2050</v>
      </c>
      <c r="J548">
        <v>0</v>
      </c>
      <c r="K548" t="s">
        <v>52</v>
      </c>
      <c r="L548">
        <v>94</v>
      </c>
    </row>
    <row r="549" spans="1:12" x14ac:dyDescent="0.45">
      <c r="A549" t="s">
        <v>90</v>
      </c>
      <c r="B549" t="s">
        <v>4</v>
      </c>
      <c r="C549" t="s">
        <v>84</v>
      </c>
      <c r="D549" t="s">
        <v>52</v>
      </c>
      <c r="E549" t="s">
        <v>25</v>
      </c>
      <c r="F549" t="s">
        <v>52</v>
      </c>
      <c r="G549" t="s">
        <v>71</v>
      </c>
      <c r="H549" t="s">
        <v>89</v>
      </c>
      <c r="I549">
        <v>2050</v>
      </c>
      <c r="J549">
        <v>0</v>
      </c>
      <c r="K549" t="s">
        <v>52</v>
      </c>
      <c r="L549">
        <v>94</v>
      </c>
    </row>
    <row r="550" spans="1:12" x14ac:dyDescent="0.45">
      <c r="A550" t="s">
        <v>90</v>
      </c>
      <c r="B550" t="s">
        <v>0</v>
      </c>
      <c r="C550" t="s">
        <v>84</v>
      </c>
      <c r="D550" t="s">
        <v>52</v>
      </c>
      <c r="E550" t="s">
        <v>25</v>
      </c>
      <c r="F550" t="s">
        <v>52</v>
      </c>
      <c r="G550" t="s">
        <v>71</v>
      </c>
      <c r="H550" t="s">
        <v>89</v>
      </c>
      <c r="I550">
        <v>2050</v>
      </c>
      <c r="J550">
        <v>0</v>
      </c>
      <c r="K550" t="s">
        <v>52</v>
      </c>
      <c r="L550">
        <v>94</v>
      </c>
    </row>
    <row r="551" spans="1:12" x14ac:dyDescent="0.45">
      <c r="A551" t="s">
        <v>90</v>
      </c>
      <c r="B551" t="s">
        <v>6</v>
      </c>
      <c r="C551" t="s">
        <v>84</v>
      </c>
      <c r="D551" t="s">
        <v>52</v>
      </c>
      <c r="E551" t="s">
        <v>25</v>
      </c>
      <c r="F551" t="s">
        <v>52</v>
      </c>
      <c r="G551" t="s">
        <v>71</v>
      </c>
      <c r="H551" t="s">
        <v>89</v>
      </c>
      <c r="I551">
        <v>2050</v>
      </c>
      <c r="J551">
        <v>0</v>
      </c>
      <c r="K551" t="s">
        <v>52</v>
      </c>
      <c r="L551">
        <v>94</v>
      </c>
    </row>
    <row r="552" spans="1:12" x14ac:dyDescent="0.45">
      <c r="A552" t="s">
        <v>90</v>
      </c>
      <c r="B552" t="s">
        <v>5</v>
      </c>
      <c r="C552" t="s">
        <v>84</v>
      </c>
      <c r="D552" t="s">
        <v>52</v>
      </c>
      <c r="E552" t="s">
        <v>25</v>
      </c>
      <c r="F552" t="s">
        <v>52</v>
      </c>
      <c r="G552" t="s">
        <v>71</v>
      </c>
      <c r="H552" t="s">
        <v>89</v>
      </c>
      <c r="I552">
        <v>2050</v>
      </c>
      <c r="J552">
        <v>0</v>
      </c>
      <c r="K552" t="s">
        <v>52</v>
      </c>
      <c r="L552">
        <v>94</v>
      </c>
    </row>
    <row r="553" spans="1:12" x14ac:dyDescent="0.45">
      <c r="A553" t="s">
        <v>90</v>
      </c>
      <c r="B553" t="s">
        <v>2</v>
      </c>
      <c r="C553" t="s">
        <v>84</v>
      </c>
      <c r="D553" t="s">
        <v>52</v>
      </c>
      <c r="E553" t="s">
        <v>25</v>
      </c>
      <c r="F553" t="s">
        <v>52</v>
      </c>
      <c r="G553" t="s">
        <v>71</v>
      </c>
      <c r="H553" t="s">
        <v>89</v>
      </c>
      <c r="I553">
        <v>2050</v>
      </c>
      <c r="J553">
        <v>0</v>
      </c>
      <c r="K553" t="s">
        <v>52</v>
      </c>
      <c r="L553">
        <v>94</v>
      </c>
    </row>
    <row r="554" spans="1:12" x14ac:dyDescent="0.45">
      <c r="A554" t="s">
        <v>90</v>
      </c>
      <c r="B554" t="s">
        <v>1</v>
      </c>
      <c r="C554" t="s">
        <v>84</v>
      </c>
      <c r="D554" t="s">
        <v>52</v>
      </c>
      <c r="E554" t="s">
        <v>25</v>
      </c>
      <c r="F554" t="s">
        <v>52</v>
      </c>
      <c r="G554" t="s">
        <v>71</v>
      </c>
      <c r="H554" t="s">
        <v>89</v>
      </c>
      <c r="I554">
        <v>2050</v>
      </c>
      <c r="J554">
        <v>0</v>
      </c>
      <c r="K554" t="s">
        <v>52</v>
      </c>
      <c r="L554">
        <v>94</v>
      </c>
    </row>
    <row r="555" spans="1:12" x14ac:dyDescent="0.45">
      <c r="A555" t="s">
        <v>90</v>
      </c>
      <c r="B555" t="s">
        <v>3</v>
      </c>
      <c r="C555" t="s">
        <v>84</v>
      </c>
      <c r="D555" t="s">
        <v>52</v>
      </c>
      <c r="E555" t="s">
        <v>25</v>
      </c>
      <c r="F555" t="s">
        <v>52</v>
      </c>
      <c r="G555" t="s">
        <v>71</v>
      </c>
      <c r="H555" t="s">
        <v>89</v>
      </c>
      <c r="I555">
        <v>2055</v>
      </c>
      <c r="J555">
        <v>0</v>
      </c>
      <c r="K555" t="s">
        <v>52</v>
      </c>
      <c r="L555">
        <v>94</v>
      </c>
    </row>
    <row r="556" spans="1:12" x14ac:dyDescent="0.45">
      <c r="A556" t="s">
        <v>90</v>
      </c>
      <c r="B556" t="s">
        <v>4</v>
      </c>
      <c r="C556" t="s">
        <v>84</v>
      </c>
      <c r="D556" t="s">
        <v>52</v>
      </c>
      <c r="E556" t="s">
        <v>25</v>
      </c>
      <c r="F556" t="s">
        <v>52</v>
      </c>
      <c r="G556" t="s">
        <v>71</v>
      </c>
      <c r="H556" t="s">
        <v>89</v>
      </c>
      <c r="I556">
        <v>2055</v>
      </c>
      <c r="J556">
        <v>0</v>
      </c>
      <c r="K556" t="s">
        <v>52</v>
      </c>
      <c r="L556">
        <v>94</v>
      </c>
    </row>
    <row r="557" spans="1:12" x14ac:dyDescent="0.45">
      <c r="A557" t="s">
        <v>90</v>
      </c>
      <c r="B557" t="s">
        <v>0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2055</v>
      </c>
      <c r="J557">
        <v>0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2055</v>
      </c>
      <c r="J558">
        <v>0</v>
      </c>
      <c r="K558" t="s">
        <v>52</v>
      </c>
      <c r="L558">
        <v>94</v>
      </c>
    </row>
    <row r="559" spans="1:12" x14ac:dyDescent="0.45">
      <c r="A559" t="s">
        <v>90</v>
      </c>
      <c r="B559" t="s">
        <v>5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2055</v>
      </c>
      <c r="J559">
        <v>0</v>
      </c>
      <c r="K559" t="s">
        <v>52</v>
      </c>
      <c r="L559">
        <v>94</v>
      </c>
    </row>
    <row r="560" spans="1:12" x14ac:dyDescent="0.45">
      <c r="A560" t="s">
        <v>90</v>
      </c>
      <c r="B560" t="s">
        <v>2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2055</v>
      </c>
      <c r="J560">
        <v>0</v>
      </c>
      <c r="K560" t="s">
        <v>52</v>
      </c>
      <c r="L560">
        <v>94</v>
      </c>
    </row>
    <row r="561" spans="1:12" x14ac:dyDescent="0.45">
      <c r="A561" t="s">
        <v>90</v>
      </c>
      <c r="B561" t="s">
        <v>1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2055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3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2060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2060</v>
      </c>
      <c r="J563">
        <v>1.9999999999999998E-4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2060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2060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2060</v>
      </c>
      <c r="J567">
        <v>1.5000000000000001E-4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2060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2065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4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2065</v>
      </c>
      <c r="J570">
        <v>7.5000000000000002E-4</v>
      </c>
      <c r="K570" t="s">
        <v>52</v>
      </c>
      <c r="L570">
        <v>94</v>
      </c>
    </row>
    <row r="571" spans="1:12" x14ac:dyDescent="0.45">
      <c r="A571" t="s">
        <v>90</v>
      </c>
      <c r="B571" t="s">
        <v>0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2065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2065</v>
      </c>
      <c r="J572">
        <v>5.0000000000000002E-5</v>
      </c>
      <c r="K572" t="s">
        <v>52</v>
      </c>
      <c r="L572">
        <v>94</v>
      </c>
    </row>
    <row r="573" spans="1:12" x14ac:dyDescent="0.45">
      <c r="A573" t="s">
        <v>90</v>
      </c>
      <c r="B573" t="s">
        <v>5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2065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2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2065</v>
      </c>
      <c r="J574">
        <v>2.5000000000000001E-4</v>
      </c>
      <c r="K574" t="s">
        <v>52</v>
      </c>
      <c r="L574">
        <v>94</v>
      </c>
    </row>
    <row r="575" spans="1:12" x14ac:dyDescent="0.45">
      <c r="A575" t="s">
        <v>90</v>
      </c>
      <c r="B575" t="s">
        <v>1</v>
      </c>
      <c r="C575" t="s">
        <v>84</v>
      </c>
      <c r="D575" t="s">
        <v>52</v>
      </c>
      <c r="E575" t="s">
        <v>25</v>
      </c>
      <c r="F575" t="s">
        <v>52</v>
      </c>
      <c r="G575" t="s">
        <v>71</v>
      </c>
      <c r="H575" t="s">
        <v>89</v>
      </c>
      <c r="I575">
        <v>2065</v>
      </c>
      <c r="J575">
        <v>0</v>
      </c>
      <c r="K575" t="s">
        <v>52</v>
      </c>
      <c r="L575">
        <v>94</v>
      </c>
    </row>
    <row r="576" spans="1:12" x14ac:dyDescent="0.45">
      <c r="A576" t="s">
        <v>90</v>
      </c>
      <c r="B576" t="s">
        <v>3</v>
      </c>
      <c r="C576" t="s">
        <v>84</v>
      </c>
      <c r="D576" t="s">
        <v>52</v>
      </c>
      <c r="E576" t="s">
        <v>25</v>
      </c>
      <c r="F576" t="s">
        <v>52</v>
      </c>
      <c r="G576" t="s">
        <v>71</v>
      </c>
      <c r="H576" t="s">
        <v>89</v>
      </c>
      <c r="I576">
        <v>2070</v>
      </c>
      <c r="J576">
        <v>0</v>
      </c>
      <c r="K576" t="s">
        <v>52</v>
      </c>
      <c r="L576">
        <v>94</v>
      </c>
    </row>
    <row r="577" spans="1:12" x14ac:dyDescent="0.45">
      <c r="A577" t="s">
        <v>90</v>
      </c>
      <c r="B577" t="s">
        <v>4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2070</v>
      </c>
      <c r="J577">
        <v>1.3500000000000001E-3</v>
      </c>
      <c r="K577" t="s">
        <v>52</v>
      </c>
      <c r="L577">
        <v>94</v>
      </c>
    </row>
    <row r="578" spans="1:12" x14ac:dyDescent="0.45">
      <c r="A578" t="s">
        <v>90</v>
      </c>
      <c r="B578" t="s">
        <v>0</v>
      </c>
      <c r="C578" t="s">
        <v>84</v>
      </c>
      <c r="D578" t="s">
        <v>52</v>
      </c>
      <c r="E578" t="s">
        <v>25</v>
      </c>
      <c r="F578" t="s">
        <v>52</v>
      </c>
      <c r="G578" t="s">
        <v>71</v>
      </c>
      <c r="H578" t="s">
        <v>89</v>
      </c>
      <c r="I578">
        <v>2070</v>
      </c>
      <c r="J578">
        <v>0</v>
      </c>
      <c r="K578" t="s">
        <v>52</v>
      </c>
      <c r="L578">
        <v>94</v>
      </c>
    </row>
    <row r="579" spans="1:12" x14ac:dyDescent="0.45">
      <c r="A579" t="s">
        <v>90</v>
      </c>
      <c r="B579" t="s">
        <v>6</v>
      </c>
      <c r="C579" t="s">
        <v>84</v>
      </c>
      <c r="D579" t="s">
        <v>52</v>
      </c>
      <c r="E579" t="s">
        <v>25</v>
      </c>
      <c r="F579" t="s">
        <v>52</v>
      </c>
      <c r="G579" t="s">
        <v>71</v>
      </c>
      <c r="H579" t="s">
        <v>89</v>
      </c>
      <c r="I579">
        <v>2070</v>
      </c>
      <c r="J579">
        <v>1E-4</v>
      </c>
      <c r="K579" t="s">
        <v>52</v>
      </c>
      <c r="L579">
        <v>94</v>
      </c>
    </row>
    <row r="580" spans="1:12" x14ac:dyDescent="0.45">
      <c r="A580" t="s">
        <v>90</v>
      </c>
      <c r="B580" t="s">
        <v>5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2070</v>
      </c>
      <c r="J580">
        <v>0</v>
      </c>
      <c r="K580" t="s">
        <v>52</v>
      </c>
      <c r="L580">
        <v>94</v>
      </c>
    </row>
    <row r="581" spans="1:12" x14ac:dyDescent="0.45">
      <c r="A581" t="s">
        <v>90</v>
      </c>
      <c r="B581" t="s">
        <v>2</v>
      </c>
      <c r="C581" t="s">
        <v>84</v>
      </c>
      <c r="D581" t="s">
        <v>52</v>
      </c>
      <c r="E581" t="s">
        <v>25</v>
      </c>
      <c r="F581" t="s">
        <v>52</v>
      </c>
      <c r="G581" t="s">
        <v>71</v>
      </c>
      <c r="H581" t="s">
        <v>89</v>
      </c>
      <c r="I581">
        <v>2070</v>
      </c>
      <c r="J581">
        <v>5.0000000000000001E-4</v>
      </c>
      <c r="K581" t="s">
        <v>52</v>
      </c>
      <c r="L581">
        <v>94</v>
      </c>
    </row>
    <row r="582" spans="1:12" x14ac:dyDescent="0.45">
      <c r="A582" t="s">
        <v>90</v>
      </c>
      <c r="B582" t="s">
        <v>1</v>
      </c>
      <c r="C582" t="s">
        <v>84</v>
      </c>
      <c r="D582" t="s">
        <v>52</v>
      </c>
      <c r="E582" t="s">
        <v>25</v>
      </c>
      <c r="F582" t="s">
        <v>52</v>
      </c>
      <c r="G582" t="s">
        <v>71</v>
      </c>
      <c r="H582" t="s">
        <v>89</v>
      </c>
      <c r="I582">
        <v>2070</v>
      </c>
      <c r="J582">
        <v>0</v>
      </c>
      <c r="K582" t="s">
        <v>52</v>
      </c>
      <c r="L582">
        <v>94</v>
      </c>
    </row>
    <row r="583" spans="1:12" x14ac:dyDescent="0.45">
      <c r="A583" t="s">
        <v>90</v>
      </c>
      <c r="B583" t="s">
        <v>3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2075</v>
      </c>
      <c r="J583">
        <v>0</v>
      </c>
      <c r="K583" t="s">
        <v>52</v>
      </c>
      <c r="L583">
        <v>94</v>
      </c>
    </row>
    <row r="584" spans="1:12" x14ac:dyDescent="0.45">
      <c r="A584" t="s">
        <v>90</v>
      </c>
      <c r="B584" t="s">
        <v>4</v>
      </c>
      <c r="C584" t="s">
        <v>84</v>
      </c>
      <c r="D584" t="s">
        <v>52</v>
      </c>
      <c r="E584" t="s">
        <v>25</v>
      </c>
      <c r="F584" t="s">
        <v>52</v>
      </c>
      <c r="G584" t="s">
        <v>71</v>
      </c>
      <c r="H584" t="s">
        <v>89</v>
      </c>
      <c r="I584">
        <v>2075</v>
      </c>
      <c r="J584">
        <v>3.7499999999999999E-3</v>
      </c>
      <c r="K584" t="s">
        <v>52</v>
      </c>
      <c r="L584">
        <v>94</v>
      </c>
    </row>
    <row r="585" spans="1:12" x14ac:dyDescent="0.45">
      <c r="A585" t="s">
        <v>90</v>
      </c>
      <c r="B585" t="s">
        <v>0</v>
      </c>
      <c r="C585" t="s">
        <v>84</v>
      </c>
      <c r="D585" t="s">
        <v>52</v>
      </c>
      <c r="E585" t="s">
        <v>25</v>
      </c>
      <c r="F585" t="s">
        <v>52</v>
      </c>
      <c r="G585" t="s">
        <v>71</v>
      </c>
      <c r="H585" t="s">
        <v>89</v>
      </c>
      <c r="I585">
        <v>2075</v>
      </c>
      <c r="J585">
        <v>0</v>
      </c>
      <c r="K585" t="s">
        <v>52</v>
      </c>
      <c r="L585">
        <v>94</v>
      </c>
    </row>
    <row r="586" spans="1:12" x14ac:dyDescent="0.45">
      <c r="A586" t="s">
        <v>90</v>
      </c>
      <c r="B586" t="s">
        <v>6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2075</v>
      </c>
      <c r="J586">
        <v>2.5000000000000001E-4</v>
      </c>
      <c r="K586" t="s">
        <v>52</v>
      </c>
      <c r="L586">
        <v>94</v>
      </c>
    </row>
    <row r="587" spans="1:12" x14ac:dyDescent="0.45">
      <c r="A587" t="s">
        <v>90</v>
      </c>
      <c r="B587" t="s">
        <v>5</v>
      </c>
      <c r="C587" t="s">
        <v>84</v>
      </c>
      <c r="D587" t="s">
        <v>52</v>
      </c>
      <c r="E587" t="s">
        <v>25</v>
      </c>
      <c r="F587" t="s">
        <v>52</v>
      </c>
      <c r="G587" t="s">
        <v>71</v>
      </c>
      <c r="H587" t="s">
        <v>89</v>
      </c>
      <c r="I587">
        <v>2075</v>
      </c>
      <c r="J587">
        <v>0</v>
      </c>
      <c r="K587" t="s">
        <v>52</v>
      </c>
      <c r="L587">
        <v>94</v>
      </c>
    </row>
    <row r="588" spans="1:12" x14ac:dyDescent="0.45">
      <c r="A588" t="s">
        <v>90</v>
      </c>
      <c r="B588" t="s">
        <v>2</v>
      </c>
      <c r="C588" t="s">
        <v>84</v>
      </c>
      <c r="D588" t="s">
        <v>52</v>
      </c>
      <c r="E588" t="s">
        <v>25</v>
      </c>
      <c r="F588" t="s">
        <v>52</v>
      </c>
      <c r="G588" t="s">
        <v>71</v>
      </c>
      <c r="H588" t="s">
        <v>89</v>
      </c>
      <c r="I588">
        <v>2075</v>
      </c>
      <c r="J588">
        <v>1.4499999999999999E-3</v>
      </c>
      <c r="K588" t="s">
        <v>52</v>
      </c>
      <c r="L588">
        <v>94</v>
      </c>
    </row>
    <row r="589" spans="1:12" x14ac:dyDescent="0.45">
      <c r="A589" t="s">
        <v>90</v>
      </c>
      <c r="B589" t="s">
        <v>1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2075</v>
      </c>
      <c r="J589">
        <v>0</v>
      </c>
      <c r="K589" t="s">
        <v>52</v>
      </c>
      <c r="L589">
        <v>94</v>
      </c>
    </row>
    <row r="590" spans="1:12" x14ac:dyDescent="0.45">
      <c r="A590" t="s">
        <v>90</v>
      </c>
      <c r="B590" t="s">
        <v>3</v>
      </c>
      <c r="C590" t="s">
        <v>84</v>
      </c>
      <c r="D590" t="s">
        <v>52</v>
      </c>
      <c r="E590" t="s">
        <v>25</v>
      </c>
      <c r="F590" t="s">
        <v>52</v>
      </c>
      <c r="G590" t="s">
        <v>71</v>
      </c>
      <c r="H590" t="s">
        <v>89</v>
      </c>
      <c r="I590">
        <v>2080</v>
      </c>
      <c r="J590">
        <v>0</v>
      </c>
      <c r="K590" t="s">
        <v>52</v>
      </c>
      <c r="L590">
        <v>94</v>
      </c>
    </row>
    <row r="591" spans="1:12" x14ac:dyDescent="0.45">
      <c r="A591" t="s">
        <v>90</v>
      </c>
      <c r="B591" t="s">
        <v>4</v>
      </c>
      <c r="C591" t="s">
        <v>84</v>
      </c>
      <c r="D591" t="s">
        <v>52</v>
      </c>
      <c r="E591" t="s">
        <v>25</v>
      </c>
      <c r="F591" t="s">
        <v>52</v>
      </c>
      <c r="G591" t="s">
        <v>71</v>
      </c>
      <c r="H591" t="s">
        <v>89</v>
      </c>
      <c r="I591">
        <v>2080</v>
      </c>
      <c r="J591">
        <v>6.4500000000000009E-3</v>
      </c>
      <c r="K591" t="s">
        <v>52</v>
      </c>
      <c r="L591">
        <v>94</v>
      </c>
    </row>
    <row r="592" spans="1:12" x14ac:dyDescent="0.45">
      <c r="A592" t="s">
        <v>90</v>
      </c>
      <c r="B592" t="s">
        <v>0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2080</v>
      </c>
      <c r="J592">
        <v>0</v>
      </c>
      <c r="K592" t="s">
        <v>52</v>
      </c>
      <c r="L592">
        <v>94</v>
      </c>
    </row>
    <row r="593" spans="1:12" x14ac:dyDescent="0.45">
      <c r="A593" t="s">
        <v>90</v>
      </c>
      <c r="B593" t="s">
        <v>6</v>
      </c>
      <c r="C593" t="s">
        <v>84</v>
      </c>
      <c r="D593" t="s">
        <v>52</v>
      </c>
      <c r="E593" t="s">
        <v>25</v>
      </c>
      <c r="F593" t="s">
        <v>52</v>
      </c>
      <c r="G593" t="s">
        <v>71</v>
      </c>
      <c r="H593" t="s">
        <v>89</v>
      </c>
      <c r="I593">
        <v>2080</v>
      </c>
      <c r="J593">
        <v>4.4999999999999999E-4</v>
      </c>
      <c r="K593" t="s">
        <v>52</v>
      </c>
      <c r="L593">
        <v>94</v>
      </c>
    </row>
    <row r="594" spans="1:12" x14ac:dyDescent="0.45">
      <c r="A594" t="s">
        <v>90</v>
      </c>
      <c r="B594" t="s">
        <v>5</v>
      </c>
      <c r="C594" t="s">
        <v>84</v>
      </c>
      <c r="D594" t="s">
        <v>52</v>
      </c>
      <c r="E594" t="s">
        <v>25</v>
      </c>
      <c r="F594" t="s">
        <v>52</v>
      </c>
      <c r="G594" t="s">
        <v>71</v>
      </c>
      <c r="H594" t="s">
        <v>89</v>
      </c>
      <c r="I594">
        <v>2080</v>
      </c>
      <c r="J594">
        <v>0</v>
      </c>
      <c r="K594" t="s">
        <v>52</v>
      </c>
      <c r="L594">
        <v>94</v>
      </c>
    </row>
    <row r="595" spans="1:12" x14ac:dyDescent="0.45">
      <c r="A595" t="s">
        <v>90</v>
      </c>
      <c r="B595" t="s">
        <v>2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2080</v>
      </c>
      <c r="J595">
        <v>2.5500000000000002E-3</v>
      </c>
      <c r="K595" t="s">
        <v>52</v>
      </c>
      <c r="L595">
        <v>94</v>
      </c>
    </row>
    <row r="596" spans="1:12" x14ac:dyDescent="0.45">
      <c r="A596" t="s">
        <v>90</v>
      </c>
      <c r="B596" t="s">
        <v>1</v>
      </c>
      <c r="C596" t="s">
        <v>84</v>
      </c>
      <c r="D596" t="s">
        <v>52</v>
      </c>
      <c r="E596" t="s">
        <v>25</v>
      </c>
      <c r="F596" t="s">
        <v>52</v>
      </c>
      <c r="G596" t="s">
        <v>71</v>
      </c>
      <c r="H596" t="s">
        <v>89</v>
      </c>
      <c r="I596">
        <v>2080</v>
      </c>
      <c r="J596">
        <v>0</v>
      </c>
      <c r="K596" t="s">
        <v>52</v>
      </c>
      <c r="L596">
        <v>94</v>
      </c>
    </row>
    <row r="597" spans="1:12" x14ac:dyDescent="0.45">
      <c r="A597" t="s">
        <v>90</v>
      </c>
      <c r="B597" t="s">
        <v>3</v>
      </c>
      <c r="C597" t="s">
        <v>84</v>
      </c>
      <c r="D597" t="s">
        <v>52</v>
      </c>
      <c r="E597" t="s">
        <v>25</v>
      </c>
      <c r="F597" t="s">
        <v>52</v>
      </c>
      <c r="G597" t="s">
        <v>71</v>
      </c>
      <c r="H597" t="s">
        <v>89</v>
      </c>
      <c r="I597">
        <v>2085</v>
      </c>
      <c r="J597">
        <v>0</v>
      </c>
      <c r="K597" t="s">
        <v>52</v>
      </c>
      <c r="L597">
        <v>94</v>
      </c>
    </row>
    <row r="598" spans="1:12" x14ac:dyDescent="0.45">
      <c r="A598" t="s">
        <v>90</v>
      </c>
      <c r="B598" t="s">
        <v>4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2085</v>
      </c>
      <c r="J598">
        <v>1.3650000000000001E-2</v>
      </c>
      <c r="K598" t="s">
        <v>52</v>
      </c>
      <c r="L598">
        <v>94</v>
      </c>
    </row>
    <row r="599" spans="1:12" x14ac:dyDescent="0.45">
      <c r="A599" t="s">
        <v>90</v>
      </c>
      <c r="B599" t="s">
        <v>0</v>
      </c>
      <c r="C599" t="s">
        <v>84</v>
      </c>
      <c r="D599" t="s">
        <v>52</v>
      </c>
      <c r="E599" t="s">
        <v>25</v>
      </c>
      <c r="F599" t="s">
        <v>52</v>
      </c>
      <c r="G599" t="s">
        <v>71</v>
      </c>
      <c r="H599" t="s">
        <v>89</v>
      </c>
      <c r="I599">
        <v>2085</v>
      </c>
      <c r="J599">
        <v>0</v>
      </c>
      <c r="K599" t="s">
        <v>52</v>
      </c>
      <c r="L599">
        <v>94</v>
      </c>
    </row>
    <row r="600" spans="1:12" x14ac:dyDescent="0.45">
      <c r="A600" t="s">
        <v>90</v>
      </c>
      <c r="B600" t="s">
        <v>6</v>
      </c>
      <c r="C600" t="s">
        <v>84</v>
      </c>
      <c r="D600" t="s">
        <v>52</v>
      </c>
      <c r="E600" t="s">
        <v>25</v>
      </c>
      <c r="F600" t="s">
        <v>52</v>
      </c>
      <c r="G600" t="s">
        <v>71</v>
      </c>
      <c r="H600" t="s">
        <v>89</v>
      </c>
      <c r="I600">
        <v>2085</v>
      </c>
      <c r="J600">
        <v>1.15E-3</v>
      </c>
      <c r="K600" t="s">
        <v>52</v>
      </c>
      <c r="L600">
        <v>94</v>
      </c>
    </row>
    <row r="601" spans="1:12" x14ac:dyDescent="0.45">
      <c r="A601" t="s">
        <v>90</v>
      </c>
      <c r="B601" t="s">
        <v>5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2085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2</v>
      </c>
      <c r="C602" t="s">
        <v>84</v>
      </c>
      <c r="D602" t="s">
        <v>52</v>
      </c>
      <c r="E602" t="s">
        <v>25</v>
      </c>
      <c r="F602" t="s">
        <v>52</v>
      </c>
      <c r="G602" t="s">
        <v>71</v>
      </c>
      <c r="H602" t="s">
        <v>89</v>
      </c>
      <c r="I602">
        <v>2085</v>
      </c>
      <c r="J602">
        <v>4.9499999999999995E-3</v>
      </c>
      <c r="K602" t="s">
        <v>52</v>
      </c>
      <c r="L602">
        <v>94</v>
      </c>
    </row>
    <row r="603" spans="1:12" x14ac:dyDescent="0.45">
      <c r="A603" t="s">
        <v>90</v>
      </c>
      <c r="B603" t="s">
        <v>1</v>
      </c>
      <c r="C603" t="s">
        <v>84</v>
      </c>
      <c r="D603" t="s">
        <v>52</v>
      </c>
      <c r="E603" t="s">
        <v>25</v>
      </c>
      <c r="F603" t="s">
        <v>52</v>
      </c>
      <c r="G603" t="s">
        <v>71</v>
      </c>
      <c r="H603" t="s">
        <v>89</v>
      </c>
      <c r="I603">
        <v>2085</v>
      </c>
      <c r="J603">
        <v>0</v>
      </c>
      <c r="K603" t="s">
        <v>52</v>
      </c>
      <c r="L603">
        <v>94</v>
      </c>
    </row>
    <row r="604" spans="1:12" x14ac:dyDescent="0.45">
      <c r="A604" t="s">
        <v>90</v>
      </c>
      <c r="B604" t="s">
        <v>3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2090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4</v>
      </c>
      <c r="C605" t="s">
        <v>84</v>
      </c>
      <c r="D605" t="s">
        <v>52</v>
      </c>
      <c r="E605" t="s">
        <v>25</v>
      </c>
      <c r="F605" t="s">
        <v>52</v>
      </c>
      <c r="G605" t="s">
        <v>71</v>
      </c>
      <c r="H605" t="s">
        <v>89</v>
      </c>
      <c r="I605">
        <v>2090</v>
      </c>
      <c r="J605">
        <v>2.1600000000000001E-2</v>
      </c>
      <c r="K605" t="s">
        <v>52</v>
      </c>
      <c r="L605">
        <v>94</v>
      </c>
    </row>
    <row r="606" spans="1:12" x14ac:dyDescent="0.45">
      <c r="A606" t="s">
        <v>90</v>
      </c>
      <c r="B606" t="s">
        <v>0</v>
      </c>
      <c r="C606" t="s">
        <v>84</v>
      </c>
      <c r="D606" t="s">
        <v>52</v>
      </c>
      <c r="E606" t="s">
        <v>25</v>
      </c>
      <c r="F606" t="s">
        <v>52</v>
      </c>
      <c r="G606" t="s">
        <v>71</v>
      </c>
      <c r="H606" t="s">
        <v>89</v>
      </c>
      <c r="I606">
        <v>2090</v>
      </c>
      <c r="J606">
        <v>0</v>
      </c>
      <c r="K606" t="s">
        <v>52</v>
      </c>
      <c r="L606">
        <v>94</v>
      </c>
    </row>
    <row r="607" spans="1:12" x14ac:dyDescent="0.45">
      <c r="A607" t="s">
        <v>90</v>
      </c>
      <c r="B607" t="s">
        <v>6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2090</v>
      </c>
      <c r="J607">
        <v>1.8500000000000001E-3</v>
      </c>
      <c r="K607" t="s">
        <v>52</v>
      </c>
      <c r="L607">
        <v>94</v>
      </c>
    </row>
    <row r="608" spans="1:12" x14ac:dyDescent="0.45">
      <c r="A608" t="s">
        <v>90</v>
      </c>
      <c r="B608" t="s">
        <v>5</v>
      </c>
      <c r="C608" t="s">
        <v>84</v>
      </c>
      <c r="D608" t="s">
        <v>52</v>
      </c>
      <c r="E608" t="s">
        <v>25</v>
      </c>
      <c r="F608" t="s">
        <v>52</v>
      </c>
      <c r="G608" t="s">
        <v>71</v>
      </c>
      <c r="H608" t="s">
        <v>89</v>
      </c>
      <c r="I608">
        <v>2090</v>
      </c>
      <c r="J608">
        <v>0</v>
      </c>
      <c r="K608" t="s">
        <v>52</v>
      </c>
      <c r="L608">
        <v>94</v>
      </c>
    </row>
    <row r="609" spans="1:12" x14ac:dyDescent="0.45">
      <c r="A609" t="s">
        <v>90</v>
      </c>
      <c r="B609" t="s">
        <v>2</v>
      </c>
      <c r="C609" t="s">
        <v>84</v>
      </c>
      <c r="D609" t="s">
        <v>52</v>
      </c>
      <c r="E609" t="s">
        <v>25</v>
      </c>
      <c r="F609" t="s">
        <v>52</v>
      </c>
      <c r="G609" t="s">
        <v>71</v>
      </c>
      <c r="H609" t="s">
        <v>89</v>
      </c>
      <c r="I609">
        <v>2090</v>
      </c>
      <c r="J609">
        <v>7.6E-3</v>
      </c>
      <c r="K609" t="s">
        <v>52</v>
      </c>
      <c r="L609">
        <v>94</v>
      </c>
    </row>
    <row r="610" spans="1:12" x14ac:dyDescent="0.45">
      <c r="A610" t="s">
        <v>90</v>
      </c>
      <c r="B610" t="s">
        <v>1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2090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2095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2095</v>
      </c>
      <c r="J612">
        <v>3.6299999999999999E-2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2095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2095</v>
      </c>
      <c r="J614">
        <v>3.7000000000000002E-3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2095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2095</v>
      </c>
      <c r="J616">
        <v>1.175E-2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2095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52</v>
      </c>
      <c r="E618" t="s">
        <v>25</v>
      </c>
      <c r="F618" t="s">
        <v>52</v>
      </c>
      <c r="G618" t="s">
        <v>71</v>
      </c>
      <c r="H618" t="s">
        <v>89</v>
      </c>
      <c r="I618">
        <v>2100</v>
      </c>
      <c r="J618">
        <v>0</v>
      </c>
      <c r="K618" t="s">
        <v>52</v>
      </c>
      <c r="L618">
        <v>94</v>
      </c>
    </row>
    <row r="619" spans="1:12" x14ac:dyDescent="0.45">
      <c r="A619" t="s">
        <v>90</v>
      </c>
      <c r="B619" t="s">
        <v>4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2100</v>
      </c>
      <c r="J619">
        <v>5.2400000000000002E-2</v>
      </c>
      <c r="K619" t="s">
        <v>52</v>
      </c>
      <c r="L619">
        <v>94</v>
      </c>
    </row>
    <row r="620" spans="1:12" x14ac:dyDescent="0.45">
      <c r="A620" t="s">
        <v>90</v>
      </c>
      <c r="B620" t="s">
        <v>0</v>
      </c>
      <c r="C620" t="s">
        <v>84</v>
      </c>
      <c r="D620" t="s">
        <v>52</v>
      </c>
      <c r="E620" t="s">
        <v>25</v>
      </c>
      <c r="F620" t="s">
        <v>52</v>
      </c>
      <c r="G620" t="s">
        <v>71</v>
      </c>
      <c r="H620" t="s">
        <v>89</v>
      </c>
      <c r="I620">
        <v>2100</v>
      </c>
      <c r="J620">
        <v>0</v>
      </c>
      <c r="K620" t="s">
        <v>52</v>
      </c>
      <c r="L620">
        <v>94</v>
      </c>
    </row>
    <row r="621" spans="1:12" x14ac:dyDescent="0.45">
      <c r="A621" t="s">
        <v>90</v>
      </c>
      <c r="B621" t="s">
        <v>6</v>
      </c>
      <c r="C621" t="s">
        <v>84</v>
      </c>
      <c r="D621" t="s">
        <v>52</v>
      </c>
      <c r="E621" t="s">
        <v>25</v>
      </c>
      <c r="F621" t="s">
        <v>52</v>
      </c>
      <c r="G621" t="s">
        <v>71</v>
      </c>
      <c r="H621" t="s">
        <v>89</v>
      </c>
      <c r="I621">
        <v>2100</v>
      </c>
      <c r="J621">
        <v>5.7499999999999999E-3</v>
      </c>
      <c r="K621" t="s">
        <v>52</v>
      </c>
      <c r="L621">
        <v>94</v>
      </c>
    </row>
    <row r="622" spans="1:12" x14ac:dyDescent="0.45">
      <c r="A622" t="s">
        <v>90</v>
      </c>
      <c r="B622" t="s">
        <v>5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2100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2</v>
      </c>
      <c r="C623" t="s">
        <v>84</v>
      </c>
      <c r="D623" t="s">
        <v>52</v>
      </c>
      <c r="E623" t="s">
        <v>25</v>
      </c>
      <c r="F623" t="s">
        <v>52</v>
      </c>
      <c r="G623" t="s">
        <v>71</v>
      </c>
      <c r="H623" t="s">
        <v>89</v>
      </c>
      <c r="I623">
        <v>2100</v>
      </c>
      <c r="J623">
        <v>1.635E-2</v>
      </c>
      <c r="K623" t="s">
        <v>52</v>
      </c>
      <c r="L623">
        <v>94</v>
      </c>
    </row>
    <row r="624" spans="1:12" x14ac:dyDescent="0.45">
      <c r="A624" t="s">
        <v>90</v>
      </c>
      <c r="B624" t="s">
        <v>1</v>
      </c>
      <c r="C624" t="s">
        <v>84</v>
      </c>
      <c r="D624" t="s">
        <v>52</v>
      </c>
      <c r="E624" t="s">
        <v>25</v>
      </c>
      <c r="F624" t="s">
        <v>52</v>
      </c>
      <c r="G624" t="s">
        <v>71</v>
      </c>
      <c r="H624" t="s">
        <v>89</v>
      </c>
      <c r="I624">
        <v>2100</v>
      </c>
      <c r="J624">
        <v>0</v>
      </c>
      <c r="K624" t="s">
        <v>52</v>
      </c>
      <c r="L624">
        <v>94</v>
      </c>
    </row>
    <row r="625" spans="1:12" x14ac:dyDescent="0.45">
      <c r="A625" t="s">
        <v>90</v>
      </c>
      <c r="B625" t="s">
        <v>3</v>
      </c>
      <c r="C625" t="s">
        <v>84</v>
      </c>
      <c r="D625" t="s">
        <v>53</v>
      </c>
      <c r="E625" t="s">
        <v>25</v>
      </c>
      <c r="F625" t="s">
        <v>53</v>
      </c>
      <c r="G625" t="s">
        <v>71</v>
      </c>
      <c r="H625" t="s">
        <v>89</v>
      </c>
      <c r="I625">
        <v>2020</v>
      </c>
      <c r="J625">
        <v>0.42680000000000001</v>
      </c>
      <c r="K625" t="s">
        <v>53</v>
      </c>
      <c r="L625">
        <v>55</v>
      </c>
    </row>
    <row r="626" spans="1:12" x14ac:dyDescent="0.45">
      <c r="A626" t="s">
        <v>90</v>
      </c>
      <c r="B626" t="s">
        <v>4</v>
      </c>
      <c r="C626" t="s">
        <v>84</v>
      </c>
      <c r="D626" t="s">
        <v>53</v>
      </c>
      <c r="E626" t="s">
        <v>25</v>
      </c>
      <c r="F626" t="s">
        <v>53</v>
      </c>
      <c r="G626" t="s">
        <v>71</v>
      </c>
      <c r="H626" t="s">
        <v>89</v>
      </c>
      <c r="I626">
        <v>2020</v>
      </c>
      <c r="J626">
        <v>0.42670000000000002</v>
      </c>
      <c r="K626" t="s">
        <v>53</v>
      </c>
      <c r="L626">
        <v>55</v>
      </c>
    </row>
    <row r="627" spans="1:12" x14ac:dyDescent="0.45">
      <c r="A627" t="s">
        <v>90</v>
      </c>
      <c r="B627" t="s">
        <v>0</v>
      </c>
      <c r="C627" t="s">
        <v>84</v>
      </c>
      <c r="D627" t="s">
        <v>53</v>
      </c>
      <c r="E627" t="s">
        <v>25</v>
      </c>
      <c r="F627" t="s">
        <v>53</v>
      </c>
      <c r="G627" t="s">
        <v>71</v>
      </c>
      <c r="H627" t="s">
        <v>89</v>
      </c>
      <c r="I627">
        <v>2020</v>
      </c>
      <c r="J627">
        <v>0.4269</v>
      </c>
      <c r="K627" t="s">
        <v>53</v>
      </c>
      <c r="L627">
        <v>55</v>
      </c>
    </row>
    <row r="628" spans="1:12" x14ac:dyDescent="0.45">
      <c r="A628" t="s">
        <v>90</v>
      </c>
      <c r="B628" t="s">
        <v>6</v>
      </c>
      <c r="C628" t="s">
        <v>84</v>
      </c>
      <c r="D628" t="s">
        <v>53</v>
      </c>
      <c r="E628" t="s">
        <v>25</v>
      </c>
      <c r="F628" t="s">
        <v>53</v>
      </c>
      <c r="G628" t="s">
        <v>71</v>
      </c>
      <c r="H628" t="s">
        <v>89</v>
      </c>
      <c r="I628">
        <v>2020</v>
      </c>
      <c r="J628">
        <v>0.42599999999999999</v>
      </c>
      <c r="K628" t="s">
        <v>53</v>
      </c>
      <c r="L628">
        <v>55</v>
      </c>
    </row>
    <row r="629" spans="1:12" x14ac:dyDescent="0.45">
      <c r="A629" t="s">
        <v>90</v>
      </c>
      <c r="B629" t="s">
        <v>5</v>
      </c>
      <c r="C629" t="s">
        <v>84</v>
      </c>
      <c r="D629" t="s">
        <v>53</v>
      </c>
      <c r="E629" t="s">
        <v>25</v>
      </c>
      <c r="F629" t="s">
        <v>53</v>
      </c>
      <c r="G629" t="s">
        <v>71</v>
      </c>
      <c r="H629" t="s">
        <v>89</v>
      </c>
      <c r="I629">
        <v>2020</v>
      </c>
      <c r="J629">
        <v>0.42420000000000002</v>
      </c>
      <c r="K629" t="s">
        <v>53</v>
      </c>
      <c r="L629">
        <v>55</v>
      </c>
    </row>
    <row r="630" spans="1:12" x14ac:dyDescent="0.45">
      <c r="A630" t="s">
        <v>90</v>
      </c>
      <c r="B630" t="s">
        <v>2</v>
      </c>
      <c r="C630" t="s">
        <v>84</v>
      </c>
      <c r="D630" t="s">
        <v>53</v>
      </c>
      <c r="E630" t="s">
        <v>25</v>
      </c>
      <c r="F630" t="s">
        <v>53</v>
      </c>
      <c r="G630" t="s">
        <v>71</v>
      </c>
      <c r="H630" t="s">
        <v>89</v>
      </c>
      <c r="I630">
        <v>2020</v>
      </c>
      <c r="J630">
        <v>0.4249</v>
      </c>
      <c r="K630" t="s">
        <v>53</v>
      </c>
      <c r="L630">
        <v>55</v>
      </c>
    </row>
    <row r="631" spans="1:12" x14ac:dyDescent="0.45">
      <c r="A631" t="s">
        <v>90</v>
      </c>
      <c r="B631" t="s">
        <v>1</v>
      </c>
      <c r="C631" t="s">
        <v>84</v>
      </c>
      <c r="D631" t="s">
        <v>53</v>
      </c>
      <c r="E631" t="s">
        <v>25</v>
      </c>
      <c r="F631" t="s">
        <v>53</v>
      </c>
      <c r="G631" t="s">
        <v>71</v>
      </c>
      <c r="H631" t="s">
        <v>89</v>
      </c>
      <c r="I631">
        <v>2020</v>
      </c>
      <c r="J631">
        <v>0.41909999999999997</v>
      </c>
      <c r="K631" t="s">
        <v>53</v>
      </c>
      <c r="L631">
        <v>55</v>
      </c>
    </row>
    <row r="632" spans="1:12" x14ac:dyDescent="0.45">
      <c r="A632" t="s">
        <v>90</v>
      </c>
      <c r="B632" t="s">
        <v>3</v>
      </c>
      <c r="C632" t="s">
        <v>84</v>
      </c>
      <c r="D632" t="s">
        <v>53</v>
      </c>
      <c r="E632" t="s">
        <v>25</v>
      </c>
      <c r="F632" t="s">
        <v>53</v>
      </c>
      <c r="G632" t="s">
        <v>71</v>
      </c>
      <c r="H632" t="s">
        <v>89</v>
      </c>
      <c r="I632">
        <v>2025</v>
      </c>
      <c r="J632">
        <v>0.56279999999999997</v>
      </c>
      <c r="K632" t="s">
        <v>53</v>
      </c>
      <c r="L632">
        <v>55</v>
      </c>
    </row>
    <row r="633" spans="1:12" x14ac:dyDescent="0.45">
      <c r="A633" t="s">
        <v>90</v>
      </c>
      <c r="B633" t="s">
        <v>4</v>
      </c>
      <c r="C633" t="s">
        <v>84</v>
      </c>
      <c r="D633" t="s">
        <v>53</v>
      </c>
      <c r="E633" t="s">
        <v>25</v>
      </c>
      <c r="F633" t="s">
        <v>53</v>
      </c>
      <c r="G633" t="s">
        <v>71</v>
      </c>
      <c r="H633" t="s">
        <v>89</v>
      </c>
      <c r="I633">
        <v>2025</v>
      </c>
      <c r="J633">
        <v>0.57340000000000002</v>
      </c>
      <c r="K633" t="s">
        <v>53</v>
      </c>
      <c r="L633">
        <v>55</v>
      </c>
    </row>
    <row r="634" spans="1:12" x14ac:dyDescent="0.45">
      <c r="A634" t="s">
        <v>90</v>
      </c>
      <c r="B634" t="s">
        <v>0</v>
      </c>
      <c r="C634" t="s">
        <v>84</v>
      </c>
      <c r="D634" t="s">
        <v>53</v>
      </c>
      <c r="E634" t="s">
        <v>25</v>
      </c>
      <c r="F634" t="s">
        <v>53</v>
      </c>
      <c r="G634" t="s">
        <v>71</v>
      </c>
      <c r="H634" t="s">
        <v>89</v>
      </c>
      <c r="I634">
        <v>2025</v>
      </c>
      <c r="J634">
        <v>0.57299999999999995</v>
      </c>
      <c r="K634" t="s">
        <v>53</v>
      </c>
      <c r="L634">
        <v>55</v>
      </c>
    </row>
    <row r="635" spans="1:12" x14ac:dyDescent="0.45">
      <c r="A635" t="s">
        <v>90</v>
      </c>
      <c r="B635" t="s">
        <v>6</v>
      </c>
      <c r="C635" t="s">
        <v>84</v>
      </c>
      <c r="D635" t="s">
        <v>53</v>
      </c>
      <c r="E635" t="s">
        <v>25</v>
      </c>
      <c r="F635" t="s">
        <v>53</v>
      </c>
      <c r="G635" t="s">
        <v>71</v>
      </c>
      <c r="H635" t="s">
        <v>89</v>
      </c>
      <c r="I635">
        <v>2025</v>
      </c>
      <c r="J635">
        <v>0.57369999999999999</v>
      </c>
      <c r="K635" t="s">
        <v>53</v>
      </c>
      <c r="L635">
        <v>55</v>
      </c>
    </row>
    <row r="636" spans="1:12" x14ac:dyDescent="0.45">
      <c r="A636" t="s">
        <v>90</v>
      </c>
      <c r="B636" t="s">
        <v>5</v>
      </c>
      <c r="C636" t="s">
        <v>84</v>
      </c>
      <c r="D636" t="s">
        <v>53</v>
      </c>
      <c r="E636" t="s">
        <v>25</v>
      </c>
      <c r="F636" t="s">
        <v>53</v>
      </c>
      <c r="G636" t="s">
        <v>71</v>
      </c>
      <c r="H636" t="s">
        <v>89</v>
      </c>
      <c r="I636">
        <v>2025</v>
      </c>
      <c r="J636">
        <v>0.53859999999999997</v>
      </c>
      <c r="K636" t="s">
        <v>53</v>
      </c>
      <c r="L636">
        <v>55</v>
      </c>
    </row>
    <row r="637" spans="1:12" x14ac:dyDescent="0.45">
      <c r="A637" t="s">
        <v>90</v>
      </c>
      <c r="B637" t="s">
        <v>2</v>
      </c>
      <c r="C637" t="s">
        <v>84</v>
      </c>
      <c r="D637" t="s">
        <v>53</v>
      </c>
      <c r="E637" t="s">
        <v>25</v>
      </c>
      <c r="F637" t="s">
        <v>53</v>
      </c>
      <c r="G637" t="s">
        <v>71</v>
      </c>
      <c r="H637" t="s">
        <v>89</v>
      </c>
      <c r="I637">
        <v>2025</v>
      </c>
      <c r="J637">
        <v>0.56540000000000001</v>
      </c>
      <c r="K637" t="s">
        <v>53</v>
      </c>
      <c r="L637">
        <v>55</v>
      </c>
    </row>
    <row r="638" spans="1:12" x14ac:dyDescent="0.45">
      <c r="A638" t="s">
        <v>90</v>
      </c>
      <c r="B638" t="s">
        <v>1</v>
      </c>
      <c r="C638" t="s">
        <v>84</v>
      </c>
      <c r="D638" t="s">
        <v>53</v>
      </c>
      <c r="E638" t="s">
        <v>25</v>
      </c>
      <c r="F638" t="s">
        <v>53</v>
      </c>
      <c r="G638" t="s">
        <v>71</v>
      </c>
      <c r="H638" t="s">
        <v>89</v>
      </c>
      <c r="I638">
        <v>2025</v>
      </c>
      <c r="J638">
        <v>0.55769999999999997</v>
      </c>
      <c r="K638" t="s">
        <v>53</v>
      </c>
      <c r="L638">
        <v>55</v>
      </c>
    </row>
    <row r="639" spans="1:12" x14ac:dyDescent="0.45">
      <c r="A639" t="s">
        <v>90</v>
      </c>
      <c r="B639" t="s">
        <v>3</v>
      </c>
      <c r="C639" t="s">
        <v>84</v>
      </c>
      <c r="D639" t="s">
        <v>53</v>
      </c>
      <c r="E639" t="s">
        <v>25</v>
      </c>
      <c r="F639" t="s">
        <v>53</v>
      </c>
      <c r="G639" t="s">
        <v>71</v>
      </c>
      <c r="H639" t="s">
        <v>89</v>
      </c>
      <c r="I639">
        <v>2030</v>
      </c>
      <c r="J639">
        <v>0.59370000000000001</v>
      </c>
      <c r="K639" t="s">
        <v>53</v>
      </c>
      <c r="L639">
        <v>55</v>
      </c>
    </row>
    <row r="640" spans="1:12" x14ac:dyDescent="0.45">
      <c r="A640" t="s">
        <v>90</v>
      </c>
      <c r="B640" t="s">
        <v>4</v>
      </c>
      <c r="C640" t="s">
        <v>84</v>
      </c>
      <c r="D640" t="s">
        <v>53</v>
      </c>
      <c r="E640" t="s">
        <v>25</v>
      </c>
      <c r="F640" t="s">
        <v>53</v>
      </c>
      <c r="G640" t="s">
        <v>71</v>
      </c>
      <c r="H640" t="s">
        <v>89</v>
      </c>
      <c r="I640">
        <v>2030</v>
      </c>
      <c r="J640">
        <v>0.68310000000000004</v>
      </c>
      <c r="K640" t="s">
        <v>53</v>
      </c>
      <c r="L640">
        <v>55</v>
      </c>
    </row>
    <row r="641" spans="1:12" x14ac:dyDescent="0.45">
      <c r="A641" t="s">
        <v>90</v>
      </c>
      <c r="B641" t="s">
        <v>0</v>
      </c>
      <c r="C641" t="s">
        <v>84</v>
      </c>
      <c r="D641" t="s">
        <v>53</v>
      </c>
      <c r="E641" t="s">
        <v>25</v>
      </c>
      <c r="F641" t="s">
        <v>53</v>
      </c>
      <c r="G641" t="s">
        <v>71</v>
      </c>
      <c r="H641" t="s">
        <v>89</v>
      </c>
      <c r="I641">
        <v>2030</v>
      </c>
      <c r="J641">
        <v>0.68330000000000002</v>
      </c>
      <c r="K641" t="s">
        <v>53</v>
      </c>
      <c r="L641">
        <v>55</v>
      </c>
    </row>
    <row r="642" spans="1:12" x14ac:dyDescent="0.45">
      <c r="A642" t="s">
        <v>90</v>
      </c>
      <c r="B642" t="s">
        <v>6</v>
      </c>
      <c r="C642" t="s">
        <v>84</v>
      </c>
      <c r="D642" t="s">
        <v>53</v>
      </c>
      <c r="E642" t="s">
        <v>25</v>
      </c>
      <c r="F642" t="s">
        <v>53</v>
      </c>
      <c r="G642" t="s">
        <v>71</v>
      </c>
      <c r="H642" t="s">
        <v>89</v>
      </c>
      <c r="I642">
        <v>2030</v>
      </c>
      <c r="J642">
        <v>0.68300000000000005</v>
      </c>
      <c r="K642" t="s">
        <v>53</v>
      </c>
      <c r="L642">
        <v>55</v>
      </c>
    </row>
    <row r="643" spans="1:12" x14ac:dyDescent="0.45">
      <c r="A643" t="s">
        <v>90</v>
      </c>
      <c r="B643" t="s">
        <v>5</v>
      </c>
      <c r="C643" t="s">
        <v>84</v>
      </c>
      <c r="D643" t="s">
        <v>53</v>
      </c>
      <c r="E643" t="s">
        <v>25</v>
      </c>
      <c r="F643" t="s">
        <v>53</v>
      </c>
      <c r="G643" t="s">
        <v>71</v>
      </c>
      <c r="H643" t="s">
        <v>89</v>
      </c>
      <c r="I643">
        <v>2030</v>
      </c>
      <c r="J643">
        <v>0.37380000000000002</v>
      </c>
      <c r="K643" t="s">
        <v>53</v>
      </c>
      <c r="L643">
        <v>55</v>
      </c>
    </row>
    <row r="644" spans="1:12" x14ac:dyDescent="0.45">
      <c r="A644" t="s">
        <v>90</v>
      </c>
      <c r="B644" t="s">
        <v>2</v>
      </c>
      <c r="C644" t="s">
        <v>84</v>
      </c>
      <c r="D644" t="s">
        <v>53</v>
      </c>
      <c r="E644" t="s">
        <v>25</v>
      </c>
      <c r="F644" t="s">
        <v>53</v>
      </c>
      <c r="G644" t="s">
        <v>71</v>
      </c>
      <c r="H644" t="s">
        <v>89</v>
      </c>
      <c r="I644">
        <v>2030</v>
      </c>
      <c r="J644">
        <v>0.64659999999999995</v>
      </c>
      <c r="K644" t="s">
        <v>53</v>
      </c>
      <c r="L644">
        <v>55</v>
      </c>
    </row>
    <row r="645" spans="1:12" x14ac:dyDescent="0.45">
      <c r="A645" t="s">
        <v>90</v>
      </c>
      <c r="B645" t="s">
        <v>1</v>
      </c>
      <c r="C645" t="s">
        <v>84</v>
      </c>
      <c r="D645" t="s">
        <v>53</v>
      </c>
      <c r="E645" t="s">
        <v>25</v>
      </c>
      <c r="F645" t="s">
        <v>53</v>
      </c>
      <c r="G645" t="s">
        <v>71</v>
      </c>
      <c r="H645" t="s">
        <v>89</v>
      </c>
      <c r="I645">
        <v>2030</v>
      </c>
      <c r="J645">
        <v>0.31409999999999999</v>
      </c>
      <c r="K645" t="s">
        <v>53</v>
      </c>
      <c r="L645">
        <v>55</v>
      </c>
    </row>
    <row r="646" spans="1:12" x14ac:dyDescent="0.45">
      <c r="A646" t="s">
        <v>90</v>
      </c>
      <c r="B646" t="s">
        <v>3</v>
      </c>
      <c r="C646" t="s">
        <v>84</v>
      </c>
      <c r="D646" t="s">
        <v>53</v>
      </c>
      <c r="E646" t="s">
        <v>25</v>
      </c>
      <c r="F646" t="s">
        <v>53</v>
      </c>
      <c r="G646" t="s">
        <v>71</v>
      </c>
      <c r="H646" t="s">
        <v>89</v>
      </c>
      <c r="I646">
        <v>2035</v>
      </c>
      <c r="J646">
        <v>0.40710000000000002</v>
      </c>
      <c r="K646" t="s">
        <v>53</v>
      </c>
      <c r="L646">
        <v>55</v>
      </c>
    </row>
    <row r="647" spans="1:12" x14ac:dyDescent="0.45">
      <c r="A647" t="s">
        <v>90</v>
      </c>
      <c r="B647" t="s">
        <v>4</v>
      </c>
      <c r="C647" t="s">
        <v>84</v>
      </c>
      <c r="D647" t="s">
        <v>53</v>
      </c>
      <c r="E647" t="s">
        <v>25</v>
      </c>
      <c r="F647" t="s">
        <v>53</v>
      </c>
      <c r="G647" t="s">
        <v>71</v>
      </c>
      <c r="H647" t="s">
        <v>89</v>
      </c>
      <c r="I647">
        <v>2035</v>
      </c>
      <c r="J647">
        <v>0.70309999999999995</v>
      </c>
      <c r="K647" t="s">
        <v>53</v>
      </c>
      <c r="L647">
        <v>55</v>
      </c>
    </row>
    <row r="648" spans="1:12" x14ac:dyDescent="0.45">
      <c r="A648" t="s">
        <v>90</v>
      </c>
      <c r="B648" t="s">
        <v>0</v>
      </c>
      <c r="C648" t="s">
        <v>84</v>
      </c>
      <c r="D648" t="s">
        <v>53</v>
      </c>
      <c r="E648" t="s">
        <v>25</v>
      </c>
      <c r="F648" t="s">
        <v>53</v>
      </c>
      <c r="G648" t="s">
        <v>71</v>
      </c>
      <c r="H648" t="s">
        <v>89</v>
      </c>
      <c r="I648">
        <v>2035</v>
      </c>
      <c r="J648">
        <v>0.68600000000000005</v>
      </c>
      <c r="K648" t="s">
        <v>53</v>
      </c>
      <c r="L648">
        <v>55</v>
      </c>
    </row>
    <row r="649" spans="1:12" x14ac:dyDescent="0.45">
      <c r="A649" t="s">
        <v>90</v>
      </c>
      <c r="B649" t="s">
        <v>6</v>
      </c>
      <c r="C649" t="s">
        <v>84</v>
      </c>
      <c r="D649" t="s">
        <v>53</v>
      </c>
      <c r="E649" t="s">
        <v>25</v>
      </c>
      <c r="F649" t="s">
        <v>53</v>
      </c>
      <c r="G649" t="s">
        <v>71</v>
      </c>
      <c r="H649" t="s">
        <v>89</v>
      </c>
      <c r="I649">
        <v>2035</v>
      </c>
      <c r="J649">
        <v>0.69210000000000005</v>
      </c>
      <c r="K649" t="s">
        <v>53</v>
      </c>
      <c r="L649">
        <v>55</v>
      </c>
    </row>
    <row r="650" spans="1:12" x14ac:dyDescent="0.45">
      <c r="A650" t="s">
        <v>90</v>
      </c>
      <c r="B650" t="s">
        <v>5</v>
      </c>
      <c r="C650" t="s">
        <v>84</v>
      </c>
      <c r="D650" t="s">
        <v>53</v>
      </c>
      <c r="E650" t="s">
        <v>25</v>
      </c>
      <c r="F650" t="s">
        <v>53</v>
      </c>
      <c r="G650" t="s">
        <v>71</v>
      </c>
      <c r="H650" t="s">
        <v>89</v>
      </c>
      <c r="I650">
        <v>2035</v>
      </c>
      <c r="J650">
        <v>0.16009999999999999</v>
      </c>
      <c r="K650" t="s">
        <v>53</v>
      </c>
      <c r="L650">
        <v>55</v>
      </c>
    </row>
    <row r="651" spans="1:12" x14ac:dyDescent="0.45">
      <c r="A651" t="s">
        <v>90</v>
      </c>
      <c r="B651" t="s">
        <v>2</v>
      </c>
      <c r="C651" t="s">
        <v>84</v>
      </c>
      <c r="D651" t="s">
        <v>53</v>
      </c>
      <c r="E651" t="s">
        <v>25</v>
      </c>
      <c r="F651" t="s">
        <v>53</v>
      </c>
      <c r="G651" t="s">
        <v>71</v>
      </c>
      <c r="H651" t="s">
        <v>89</v>
      </c>
      <c r="I651">
        <v>2035</v>
      </c>
      <c r="J651">
        <v>0.60570000000000002</v>
      </c>
      <c r="K651" t="s">
        <v>53</v>
      </c>
      <c r="L651">
        <v>55</v>
      </c>
    </row>
    <row r="652" spans="1:12" x14ac:dyDescent="0.45">
      <c r="A652" t="s">
        <v>90</v>
      </c>
      <c r="B652" t="s">
        <v>1</v>
      </c>
      <c r="C652" t="s">
        <v>84</v>
      </c>
      <c r="D652" t="s">
        <v>53</v>
      </c>
      <c r="E652" t="s">
        <v>25</v>
      </c>
      <c r="F652" t="s">
        <v>53</v>
      </c>
      <c r="G652" t="s">
        <v>71</v>
      </c>
      <c r="H652" t="s">
        <v>89</v>
      </c>
      <c r="I652">
        <v>2035</v>
      </c>
      <c r="J652">
        <v>9.3299999999999994E-2</v>
      </c>
      <c r="K652" t="s">
        <v>53</v>
      </c>
      <c r="L652">
        <v>55</v>
      </c>
    </row>
    <row r="653" spans="1:12" x14ac:dyDescent="0.45">
      <c r="A653" t="s">
        <v>90</v>
      </c>
      <c r="B653" t="s">
        <v>3</v>
      </c>
      <c r="C653" t="s">
        <v>84</v>
      </c>
      <c r="D653" t="s">
        <v>53</v>
      </c>
      <c r="E653" t="s">
        <v>25</v>
      </c>
      <c r="F653" t="s">
        <v>53</v>
      </c>
      <c r="G653" t="s">
        <v>71</v>
      </c>
      <c r="H653" t="s">
        <v>89</v>
      </c>
      <c r="I653">
        <v>2040</v>
      </c>
      <c r="J653">
        <v>0.17299999999999999</v>
      </c>
      <c r="K653" t="s">
        <v>53</v>
      </c>
      <c r="L653">
        <v>55</v>
      </c>
    </row>
    <row r="654" spans="1:12" x14ac:dyDescent="0.45">
      <c r="A654" t="s">
        <v>90</v>
      </c>
      <c r="B654" t="s">
        <v>4</v>
      </c>
      <c r="C654" t="s">
        <v>84</v>
      </c>
      <c r="D654" t="s">
        <v>53</v>
      </c>
      <c r="E654" t="s">
        <v>25</v>
      </c>
      <c r="F654" t="s">
        <v>53</v>
      </c>
      <c r="G654" t="s">
        <v>71</v>
      </c>
      <c r="H654" t="s">
        <v>89</v>
      </c>
      <c r="I654">
        <v>2040</v>
      </c>
      <c r="J654">
        <v>0.65139999999999998</v>
      </c>
      <c r="K654" t="s">
        <v>53</v>
      </c>
      <c r="L654">
        <v>55</v>
      </c>
    </row>
    <row r="655" spans="1:12" x14ac:dyDescent="0.45">
      <c r="A655" t="s">
        <v>90</v>
      </c>
      <c r="B655" t="s">
        <v>0</v>
      </c>
      <c r="C655" t="s">
        <v>84</v>
      </c>
      <c r="D655" t="s">
        <v>53</v>
      </c>
      <c r="E655" t="s">
        <v>25</v>
      </c>
      <c r="F655" t="s">
        <v>53</v>
      </c>
      <c r="G655" t="s">
        <v>71</v>
      </c>
      <c r="H655" t="s">
        <v>89</v>
      </c>
      <c r="I655">
        <v>2040</v>
      </c>
      <c r="J655">
        <v>0.34039999999999998</v>
      </c>
      <c r="K655" t="s">
        <v>53</v>
      </c>
      <c r="L655">
        <v>55</v>
      </c>
    </row>
    <row r="656" spans="1:12" x14ac:dyDescent="0.45">
      <c r="A656" t="s">
        <v>90</v>
      </c>
      <c r="B656" t="s">
        <v>6</v>
      </c>
      <c r="C656" t="s">
        <v>84</v>
      </c>
      <c r="D656" t="s">
        <v>53</v>
      </c>
      <c r="E656" t="s">
        <v>25</v>
      </c>
      <c r="F656" t="s">
        <v>53</v>
      </c>
      <c r="G656" t="s">
        <v>71</v>
      </c>
      <c r="H656" t="s">
        <v>89</v>
      </c>
      <c r="I656">
        <v>2040</v>
      </c>
      <c r="J656">
        <v>0.60089999999999999</v>
      </c>
      <c r="K656" t="s">
        <v>53</v>
      </c>
      <c r="L656">
        <v>55</v>
      </c>
    </row>
    <row r="657" spans="1:12" x14ac:dyDescent="0.45">
      <c r="A657" t="s">
        <v>90</v>
      </c>
      <c r="B657" t="s">
        <v>5</v>
      </c>
      <c r="C657" t="s">
        <v>84</v>
      </c>
      <c r="D657" t="s">
        <v>53</v>
      </c>
      <c r="E657" t="s">
        <v>25</v>
      </c>
      <c r="F657" t="s">
        <v>53</v>
      </c>
      <c r="G657" t="s">
        <v>71</v>
      </c>
      <c r="H657" t="s">
        <v>89</v>
      </c>
      <c r="I657">
        <v>2040</v>
      </c>
      <c r="J657">
        <v>6.2E-2</v>
      </c>
      <c r="K657" t="s">
        <v>53</v>
      </c>
      <c r="L657">
        <v>55</v>
      </c>
    </row>
    <row r="658" spans="1:12" x14ac:dyDescent="0.45">
      <c r="A658" t="s">
        <v>90</v>
      </c>
      <c r="B658" t="s">
        <v>2</v>
      </c>
      <c r="C658" t="s">
        <v>84</v>
      </c>
      <c r="D658" t="s">
        <v>53</v>
      </c>
      <c r="E658" t="s">
        <v>25</v>
      </c>
      <c r="F658" t="s">
        <v>53</v>
      </c>
      <c r="G658" t="s">
        <v>71</v>
      </c>
      <c r="H658" t="s">
        <v>89</v>
      </c>
      <c r="I658">
        <v>2040</v>
      </c>
      <c r="J658">
        <v>0.49540000000000001</v>
      </c>
      <c r="K658" t="s">
        <v>53</v>
      </c>
      <c r="L658">
        <v>55</v>
      </c>
    </row>
    <row r="659" spans="1:12" x14ac:dyDescent="0.45">
      <c r="A659" t="s">
        <v>90</v>
      </c>
      <c r="B659" t="s">
        <v>1</v>
      </c>
      <c r="C659" t="s">
        <v>84</v>
      </c>
      <c r="D659" t="s">
        <v>53</v>
      </c>
      <c r="E659" t="s">
        <v>25</v>
      </c>
      <c r="F659" t="s">
        <v>53</v>
      </c>
      <c r="G659" t="s">
        <v>71</v>
      </c>
      <c r="H659" t="s">
        <v>89</v>
      </c>
      <c r="I659">
        <v>2040</v>
      </c>
      <c r="J659">
        <v>1E-4</v>
      </c>
      <c r="K659" t="s">
        <v>53</v>
      </c>
      <c r="L659">
        <v>55</v>
      </c>
    </row>
    <row r="660" spans="1:12" x14ac:dyDescent="0.45">
      <c r="A660" t="s">
        <v>90</v>
      </c>
      <c r="B660" t="s">
        <v>3</v>
      </c>
      <c r="C660" t="s">
        <v>84</v>
      </c>
      <c r="D660" t="s">
        <v>53</v>
      </c>
      <c r="E660" t="s">
        <v>25</v>
      </c>
      <c r="F660" t="s">
        <v>53</v>
      </c>
      <c r="G660" t="s">
        <v>71</v>
      </c>
      <c r="H660" t="s">
        <v>89</v>
      </c>
      <c r="I660">
        <v>2045</v>
      </c>
      <c r="J660">
        <v>6.6500000000000004E-2</v>
      </c>
      <c r="K660" t="s">
        <v>53</v>
      </c>
      <c r="L660">
        <v>55</v>
      </c>
    </row>
    <row r="661" spans="1:12" x14ac:dyDescent="0.45">
      <c r="A661" t="s">
        <v>90</v>
      </c>
      <c r="B661" t="s">
        <v>4</v>
      </c>
      <c r="C661" t="s">
        <v>84</v>
      </c>
      <c r="D661" t="s">
        <v>53</v>
      </c>
      <c r="E661" t="s">
        <v>25</v>
      </c>
      <c r="F661" t="s">
        <v>53</v>
      </c>
      <c r="G661" t="s">
        <v>71</v>
      </c>
      <c r="H661" t="s">
        <v>89</v>
      </c>
      <c r="I661">
        <v>2045</v>
      </c>
      <c r="J661">
        <v>0.65269999999999995</v>
      </c>
      <c r="K661" t="s">
        <v>53</v>
      </c>
      <c r="L661">
        <v>55</v>
      </c>
    </row>
    <row r="662" spans="1:12" x14ac:dyDescent="0.45">
      <c r="A662" t="s">
        <v>90</v>
      </c>
      <c r="B662" t="s">
        <v>0</v>
      </c>
      <c r="C662" t="s">
        <v>84</v>
      </c>
      <c r="D662" t="s">
        <v>53</v>
      </c>
      <c r="E662" t="s">
        <v>25</v>
      </c>
      <c r="F662" t="s">
        <v>53</v>
      </c>
      <c r="G662" t="s">
        <v>71</v>
      </c>
      <c r="H662" t="s">
        <v>89</v>
      </c>
      <c r="I662">
        <v>2045</v>
      </c>
      <c r="J662">
        <v>4.3099999999999999E-2</v>
      </c>
      <c r="K662" t="s">
        <v>53</v>
      </c>
      <c r="L662">
        <v>55</v>
      </c>
    </row>
    <row r="663" spans="1:12" x14ac:dyDescent="0.45">
      <c r="A663" t="s">
        <v>90</v>
      </c>
      <c r="B663" t="s">
        <v>6</v>
      </c>
      <c r="C663" t="s">
        <v>84</v>
      </c>
      <c r="D663" t="s">
        <v>53</v>
      </c>
      <c r="E663" t="s">
        <v>25</v>
      </c>
      <c r="F663" t="s">
        <v>53</v>
      </c>
      <c r="G663" t="s">
        <v>71</v>
      </c>
      <c r="H663" t="s">
        <v>89</v>
      </c>
      <c r="I663">
        <v>2045</v>
      </c>
      <c r="J663">
        <v>0.52059999999999995</v>
      </c>
      <c r="K663" t="s">
        <v>53</v>
      </c>
      <c r="L663">
        <v>55</v>
      </c>
    </row>
    <row r="664" spans="1:12" x14ac:dyDescent="0.45">
      <c r="A664" t="s">
        <v>90</v>
      </c>
      <c r="B664" t="s">
        <v>5</v>
      </c>
      <c r="C664" t="s">
        <v>84</v>
      </c>
      <c r="D664" t="s">
        <v>53</v>
      </c>
      <c r="E664" t="s">
        <v>25</v>
      </c>
      <c r="F664" t="s">
        <v>53</v>
      </c>
      <c r="G664" t="s">
        <v>71</v>
      </c>
      <c r="H664" t="s">
        <v>89</v>
      </c>
      <c r="I664">
        <v>2045</v>
      </c>
      <c r="J664">
        <v>0</v>
      </c>
      <c r="K664" t="s">
        <v>53</v>
      </c>
      <c r="L664">
        <v>55</v>
      </c>
    </row>
    <row r="665" spans="1:12" x14ac:dyDescent="0.45">
      <c r="A665" t="s">
        <v>90</v>
      </c>
      <c r="B665" t="s">
        <v>2</v>
      </c>
      <c r="C665" t="s">
        <v>84</v>
      </c>
      <c r="D665" t="s">
        <v>53</v>
      </c>
      <c r="E665" t="s">
        <v>25</v>
      </c>
      <c r="F665" t="s">
        <v>53</v>
      </c>
      <c r="G665" t="s">
        <v>71</v>
      </c>
      <c r="H665" t="s">
        <v>89</v>
      </c>
      <c r="I665">
        <v>2045</v>
      </c>
      <c r="J665">
        <v>0.41749999999999998</v>
      </c>
      <c r="K665" t="s">
        <v>53</v>
      </c>
      <c r="L665">
        <v>55</v>
      </c>
    </row>
    <row r="666" spans="1:12" x14ac:dyDescent="0.45">
      <c r="A666" t="s">
        <v>90</v>
      </c>
      <c r="B666" t="s">
        <v>1</v>
      </c>
      <c r="C666" t="s">
        <v>84</v>
      </c>
      <c r="D666" t="s">
        <v>53</v>
      </c>
      <c r="E666" t="s">
        <v>25</v>
      </c>
      <c r="F666" t="s">
        <v>53</v>
      </c>
      <c r="G666" t="s">
        <v>71</v>
      </c>
      <c r="H666" t="s">
        <v>89</v>
      </c>
      <c r="I666">
        <v>2045</v>
      </c>
      <c r="J666">
        <v>0</v>
      </c>
      <c r="K666" t="s">
        <v>53</v>
      </c>
      <c r="L666">
        <v>55</v>
      </c>
    </row>
    <row r="667" spans="1:12" x14ac:dyDescent="0.45">
      <c r="A667" t="s">
        <v>90</v>
      </c>
      <c r="B667" t="s">
        <v>3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2050</v>
      </c>
      <c r="J667">
        <v>3.5000000000000001E-3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2050</v>
      </c>
      <c r="J668">
        <v>0.64100000000000001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2050</v>
      </c>
      <c r="J669">
        <v>2E-3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2050</v>
      </c>
      <c r="J670">
        <v>0.44359999999999999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2050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2050</v>
      </c>
      <c r="J672">
        <v>0.33360000000000001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2050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53</v>
      </c>
      <c r="E674" t="s">
        <v>25</v>
      </c>
      <c r="F674" t="s">
        <v>53</v>
      </c>
      <c r="G674" t="s">
        <v>71</v>
      </c>
      <c r="H674" t="s">
        <v>89</v>
      </c>
      <c r="I674">
        <v>2055</v>
      </c>
      <c r="J674">
        <v>5.45E-3</v>
      </c>
      <c r="K674" t="s">
        <v>53</v>
      </c>
      <c r="L674">
        <v>55</v>
      </c>
    </row>
    <row r="675" spans="1:12" x14ac:dyDescent="0.45">
      <c r="A675" t="s">
        <v>90</v>
      </c>
      <c r="B675" t="s">
        <v>4</v>
      </c>
      <c r="C675" t="s">
        <v>84</v>
      </c>
      <c r="D675" t="s">
        <v>53</v>
      </c>
      <c r="E675" t="s">
        <v>25</v>
      </c>
      <c r="F675" t="s">
        <v>53</v>
      </c>
      <c r="G675" t="s">
        <v>71</v>
      </c>
      <c r="H675" t="s">
        <v>89</v>
      </c>
      <c r="I675">
        <v>2055</v>
      </c>
      <c r="J675">
        <v>0.58244999999999991</v>
      </c>
      <c r="K675" t="s">
        <v>53</v>
      </c>
      <c r="L675">
        <v>55</v>
      </c>
    </row>
    <row r="676" spans="1:12" x14ac:dyDescent="0.45">
      <c r="A676" t="s">
        <v>90</v>
      </c>
      <c r="B676" t="s">
        <v>0</v>
      </c>
      <c r="C676" t="s">
        <v>84</v>
      </c>
      <c r="D676" t="s">
        <v>53</v>
      </c>
      <c r="E676" t="s">
        <v>25</v>
      </c>
      <c r="F676" t="s">
        <v>53</v>
      </c>
      <c r="G676" t="s">
        <v>71</v>
      </c>
      <c r="H676" t="s">
        <v>89</v>
      </c>
      <c r="I676">
        <v>2055</v>
      </c>
      <c r="J676">
        <v>2.3500000000000001E-3</v>
      </c>
      <c r="K676" t="s">
        <v>53</v>
      </c>
      <c r="L676">
        <v>55</v>
      </c>
    </row>
    <row r="677" spans="1:12" x14ac:dyDescent="0.45">
      <c r="A677" t="s">
        <v>90</v>
      </c>
      <c r="B677" t="s">
        <v>6</v>
      </c>
      <c r="C677" t="s">
        <v>84</v>
      </c>
      <c r="D677" t="s">
        <v>53</v>
      </c>
      <c r="E677" t="s">
        <v>25</v>
      </c>
      <c r="F677" t="s">
        <v>53</v>
      </c>
      <c r="G677" t="s">
        <v>71</v>
      </c>
      <c r="H677" t="s">
        <v>89</v>
      </c>
      <c r="I677">
        <v>2055</v>
      </c>
      <c r="J677">
        <v>0.17134999999999997</v>
      </c>
      <c r="K677" t="s">
        <v>53</v>
      </c>
      <c r="L677">
        <v>55</v>
      </c>
    </row>
    <row r="678" spans="1:12" x14ac:dyDescent="0.45">
      <c r="A678" t="s">
        <v>90</v>
      </c>
      <c r="B678" t="s">
        <v>5</v>
      </c>
      <c r="C678" t="s">
        <v>84</v>
      </c>
      <c r="D678" t="s">
        <v>53</v>
      </c>
      <c r="E678" t="s">
        <v>25</v>
      </c>
      <c r="F678" t="s">
        <v>53</v>
      </c>
      <c r="G678" t="s">
        <v>71</v>
      </c>
      <c r="H678" t="s">
        <v>89</v>
      </c>
      <c r="I678">
        <v>2055</v>
      </c>
      <c r="J678">
        <v>5.0000000000000002E-5</v>
      </c>
      <c r="K678" t="s">
        <v>53</v>
      </c>
      <c r="L678">
        <v>55</v>
      </c>
    </row>
    <row r="679" spans="1:12" x14ac:dyDescent="0.45">
      <c r="A679" t="s">
        <v>90</v>
      </c>
      <c r="B679" t="s">
        <v>2</v>
      </c>
      <c r="C679" t="s">
        <v>84</v>
      </c>
      <c r="D679" t="s">
        <v>53</v>
      </c>
      <c r="E679" t="s">
        <v>25</v>
      </c>
      <c r="F679" t="s">
        <v>53</v>
      </c>
      <c r="G679" t="s">
        <v>71</v>
      </c>
      <c r="H679" t="s">
        <v>89</v>
      </c>
      <c r="I679">
        <v>2055</v>
      </c>
      <c r="J679">
        <v>0.23330000000000001</v>
      </c>
      <c r="K679" t="s">
        <v>53</v>
      </c>
      <c r="L679">
        <v>55</v>
      </c>
    </row>
    <row r="680" spans="1:12" x14ac:dyDescent="0.45">
      <c r="A680" t="s">
        <v>90</v>
      </c>
      <c r="B680" t="s">
        <v>1</v>
      </c>
      <c r="C680" t="s">
        <v>84</v>
      </c>
      <c r="D680" t="s">
        <v>53</v>
      </c>
      <c r="E680" t="s">
        <v>25</v>
      </c>
      <c r="F680" t="s">
        <v>53</v>
      </c>
      <c r="G680" t="s">
        <v>71</v>
      </c>
      <c r="H680" t="s">
        <v>89</v>
      </c>
      <c r="I680">
        <v>2055</v>
      </c>
      <c r="J680">
        <v>0</v>
      </c>
      <c r="K680" t="s">
        <v>53</v>
      </c>
      <c r="L680">
        <v>55</v>
      </c>
    </row>
    <row r="681" spans="1:12" x14ac:dyDescent="0.45">
      <c r="A681" t="s">
        <v>90</v>
      </c>
      <c r="B681" t="s">
        <v>3</v>
      </c>
      <c r="C681" t="s">
        <v>84</v>
      </c>
      <c r="D681" t="s">
        <v>53</v>
      </c>
      <c r="E681" t="s">
        <v>25</v>
      </c>
      <c r="F681" t="s">
        <v>53</v>
      </c>
      <c r="G681" t="s">
        <v>71</v>
      </c>
      <c r="H681" t="s">
        <v>89</v>
      </c>
      <c r="I681">
        <v>2060</v>
      </c>
      <c r="J681">
        <v>6.0499999999999998E-3</v>
      </c>
      <c r="K681" t="s">
        <v>53</v>
      </c>
      <c r="L681">
        <v>55</v>
      </c>
    </row>
    <row r="682" spans="1:12" x14ac:dyDescent="0.45">
      <c r="A682" t="s">
        <v>90</v>
      </c>
      <c r="B682" t="s">
        <v>4</v>
      </c>
      <c r="C682" t="s">
        <v>84</v>
      </c>
      <c r="D682" t="s">
        <v>53</v>
      </c>
      <c r="E682" t="s">
        <v>25</v>
      </c>
      <c r="F682" t="s">
        <v>53</v>
      </c>
      <c r="G682" t="s">
        <v>71</v>
      </c>
      <c r="H682" t="s">
        <v>89</v>
      </c>
      <c r="I682">
        <v>2060</v>
      </c>
      <c r="J682">
        <v>0.57719999999999994</v>
      </c>
      <c r="K682" t="s">
        <v>53</v>
      </c>
      <c r="L682">
        <v>55</v>
      </c>
    </row>
    <row r="683" spans="1:12" x14ac:dyDescent="0.45">
      <c r="A683" t="s">
        <v>90</v>
      </c>
      <c r="B683" t="s">
        <v>0</v>
      </c>
      <c r="C683" t="s">
        <v>84</v>
      </c>
      <c r="D683" t="s">
        <v>53</v>
      </c>
      <c r="E683" t="s">
        <v>25</v>
      </c>
      <c r="F683" t="s">
        <v>53</v>
      </c>
      <c r="G683" t="s">
        <v>71</v>
      </c>
      <c r="H683" t="s">
        <v>89</v>
      </c>
      <c r="I683">
        <v>2060</v>
      </c>
      <c r="J683">
        <v>2.5999999999999999E-3</v>
      </c>
      <c r="K683" t="s">
        <v>53</v>
      </c>
      <c r="L683">
        <v>55</v>
      </c>
    </row>
    <row r="684" spans="1:12" x14ac:dyDescent="0.45">
      <c r="A684" t="s">
        <v>90</v>
      </c>
      <c r="B684" t="s">
        <v>6</v>
      </c>
      <c r="C684" t="s">
        <v>84</v>
      </c>
      <c r="D684" t="s">
        <v>53</v>
      </c>
      <c r="E684" t="s">
        <v>25</v>
      </c>
      <c r="F684" t="s">
        <v>53</v>
      </c>
      <c r="G684" t="s">
        <v>71</v>
      </c>
      <c r="H684" t="s">
        <v>89</v>
      </c>
      <c r="I684">
        <v>2060</v>
      </c>
      <c r="J684">
        <v>0.13874999999999998</v>
      </c>
      <c r="K684" t="s">
        <v>53</v>
      </c>
      <c r="L684">
        <v>55</v>
      </c>
    </row>
    <row r="685" spans="1:12" x14ac:dyDescent="0.45">
      <c r="A685" t="s">
        <v>90</v>
      </c>
      <c r="B685" t="s">
        <v>5</v>
      </c>
      <c r="C685" t="s">
        <v>84</v>
      </c>
      <c r="D685" t="s">
        <v>53</v>
      </c>
      <c r="E685" t="s">
        <v>25</v>
      </c>
      <c r="F685" t="s">
        <v>53</v>
      </c>
      <c r="G685" t="s">
        <v>71</v>
      </c>
      <c r="H685" t="s">
        <v>89</v>
      </c>
      <c r="I685">
        <v>2060</v>
      </c>
      <c r="J685">
        <v>5.0000000000000002E-5</v>
      </c>
      <c r="K685" t="s">
        <v>53</v>
      </c>
      <c r="L685">
        <v>55</v>
      </c>
    </row>
    <row r="686" spans="1:12" x14ac:dyDescent="0.45">
      <c r="A686" t="s">
        <v>90</v>
      </c>
      <c r="B686" t="s">
        <v>2</v>
      </c>
      <c r="C686" t="s">
        <v>84</v>
      </c>
      <c r="D686" t="s">
        <v>53</v>
      </c>
      <c r="E686" t="s">
        <v>25</v>
      </c>
      <c r="F686" t="s">
        <v>53</v>
      </c>
      <c r="G686" t="s">
        <v>71</v>
      </c>
      <c r="H686" t="s">
        <v>89</v>
      </c>
      <c r="I686">
        <v>2060</v>
      </c>
      <c r="J686">
        <v>0.1565</v>
      </c>
      <c r="K686" t="s">
        <v>53</v>
      </c>
      <c r="L686">
        <v>55</v>
      </c>
    </row>
    <row r="687" spans="1:12" x14ac:dyDescent="0.45">
      <c r="A687" t="s">
        <v>90</v>
      </c>
      <c r="B687" t="s">
        <v>1</v>
      </c>
      <c r="C687" t="s">
        <v>84</v>
      </c>
      <c r="D687" t="s">
        <v>53</v>
      </c>
      <c r="E687" t="s">
        <v>25</v>
      </c>
      <c r="F687" t="s">
        <v>53</v>
      </c>
      <c r="G687" t="s">
        <v>71</v>
      </c>
      <c r="H687" t="s">
        <v>89</v>
      </c>
      <c r="I687">
        <v>2060</v>
      </c>
      <c r="J687">
        <v>0</v>
      </c>
      <c r="K687" t="s">
        <v>53</v>
      </c>
      <c r="L687">
        <v>55</v>
      </c>
    </row>
    <row r="688" spans="1:12" x14ac:dyDescent="0.45">
      <c r="A688" t="s">
        <v>90</v>
      </c>
      <c r="B688" t="s">
        <v>3</v>
      </c>
      <c r="C688" t="s">
        <v>84</v>
      </c>
      <c r="D688" t="s">
        <v>53</v>
      </c>
      <c r="E688" t="s">
        <v>25</v>
      </c>
      <c r="F688" t="s">
        <v>53</v>
      </c>
      <c r="G688" t="s">
        <v>71</v>
      </c>
      <c r="H688" t="s">
        <v>89</v>
      </c>
      <c r="I688">
        <v>2065</v>
      </c>
      <c r="J688">
        <v>6.3499999999999997E-3</v>
      </c>
      <c r="K688" t="s">
        <v>53</v>
      </c>
      <c r="L688">
        <v>55</v>
      </c>
    </row>
    <row r="689" spans="1:12" x14ac:dyDescent="0.45">
      <c r="A689" t="s">
        <v>90</v>
      </c>
      <c r="B689" t="s">
        <v>4</v>
      </c>
      <c r="C689" t="s">
        <v>84</v>
      </c>
      <c r="D689" t="s">
        <v>53</v>
      </c>
      <c r="E689" t="s">
        <v>25</v>
      </c>
      <c r="F689" t="s">
        <v>53</v>
      </c>
      <c r="G689" t="s">
        <v>71</v>
      </c>
      <c r="H689" t="s">
        <v>89</v>
      </c>
      <c r="I689">
        <v>2065</v>
      </c>
      <c r="J689">
        <v>0.61314999999999997</v>
      </c>
      <c r="K689" t="s">
        <v>53</v>
      </c>
      <c r="L689">
        <v>55</v>
      </c>
    </row>
    <row r="690" spans="1:12" x14ac:dyDescent="0.45">
      <c r="A690" t="s">
        <v>90</v>
      </c>
      <c r="B690" t="s">
        <v>0</v>
      </c>
      <c r="C690" t="s">
        <v>84</v>
      </c>
      <c r="D690" t="s">
        <v>53</v>
      </c>
      <c r="E690" t="s">
        <v>25</v>
      </c>
      <c r="F690" t="s">
        <v>53</v>
      </c>
      <c r="G690" t="s">
        <v>71</v>
      </c>
      <c r="H690" t="s">
        <v>89</v>
      </c>
      <c r="I690">
        <v>2065</v>
      </c>
      <c r="J690">
        <v>3.1999999999999997E-3</v>
      </c>
      <c r="K690" t="s">
        <v>53</v>
      </c>
      <c r="L690">
        <v>55</v>
      </c>
    </row>
    <row r="691" spans="1:12" x14ac:dyDescent="0.45">
      <c r="A691" t="s">
        <v>90</v>
      </c>
      <c r="B691" t="s">
        <v>6</v>
      </c>
      <c r="C691" t="s">
        <v>84</v>
      </c>
      <c r="D691" t="s">
        <v>53</v>
      </c>
      <c r="E691" t="s">
        <v>25</v>
      </c>
      <c r="F691" t="s">
        <v>53</v>
      </c>
      <c r="G691" t="s">
        <v>71</v>
      </c>
      <c r="H691" t="s">
        <v>89</v>
      </c>
      <c r="I691">
        <v>2065</v>
      </c>
      <c r="J691">
        <v>9.4299999999999995E-2</v>
      </c>
      <c r="K691" t="s">
        <v>53</v>
      </c>
      <c r="L691">
        <v>55</v>
      </c>
    </row>
    <row r="692" spans="1:12" x14ac:dyDescent="0.45">
      <c r="A692" t="s">
        <v>90</v>
      </c>
      <c r="B692" t="s">
        <v>5</v>
      </c>
      <c r="C692" t="s">
        <v>84</v>
      </c>
      <c r="D692" t="s">
        <v>53</v>
      </c>
      <c r="E692" t="s">
        <v>25</v>
      </c>
      <c r="F692" t="s">
        <v>53</v>
      </c>
      <c r="G692" t="s">
        <v>71</v>
      </c>
      <c r="H692" t="s">
        <v>89</v>
      </c>
      <c r="I692">
        <v>2065</v>
      </c>
      <c r="J692">
        <v>5.0000000000000002E-5</v>
      </c>
      <c r="K692" t="s">
        <v>53</v>
      </c>
      <c r="L692">
        <v>55</v>
      </c>
    </row>
    <row r="693" spans="1:12" x14ac:dyDescent="0.45">
      <c r="A693" t="s">
        <v>90</v>
      </c>
      <c r="B693" t="s">
        <v>2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2065</v>
      </c>
      <c r="J693">
        <v>0.12745000000000001</v>
      </c>
      <c r="K693" t="s">
        <v>53</v>
      </c>
      <c r="L693">
        <v>55</v>
      </c>
    </row>
    <row r="694" spans="1:12" x14ac:dyDescent="0.45">
      <c r="A694" t="s">
        <v>90</v>
      </c>
      <c r="B694" t="s">
        <v>1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2065</v>
      </c>
      <c r="J694">
        <v>0</v>
      </c>
      <c r="K694" t="s">
        <v>53</v>
      </c>
      <c r="L694">
        <v>55</v>
      </c>
    </row>
    <row r="695" spans="1:12" x14ac:dyDescent="0.45">
      <c r="A695" t="s">
        <v>90</v>
      </c>
      <c r="B695" t="s">
        <v>3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2070</v>
      </c>
      <c r="J695">
        <v>6.6999999999999994E-3</v>
      </c>
      <c r="K695" t="s">
        <v>53</v>
      </c>
      <c r="L695">
        <v>55</v>
      </c>
    </row>
    <row r="696" spans="1:12" x14ac:dyDescent="0.45">
      <c r="A696" t="s">
        <v>90</v>
      </c>
      <c r="B696" t="s">
        <v>4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2070</v>
      </c>
      <c r="J696">
        <v>0.47899999999999998</v>
      </c>
      <c r="K696" t="s">
        <v>53</v>
      </c>
      <c r="L696">
        <v>55</v>
      </c>
    </row>
    <row r="697" spans="1:12" x14ac:dyDescent="0.45">
      <c r="A697" t="s">
        <v>90</v>
      </c>
      <c r="B697" t="s">
        <v>0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2070</v>
      </c>
      <c r="J697">
        <v>4.0499999999999998E-3</v>
      </c>
      <c r="K697" t="s">
        <v>53</v>
      </c>
      <c r="L697">
        <v>55</v>
      </c>
    </row>
    <row r="698" spans="1:12" x14ac:dyDescent="0.45">
      <c r="A698" t="s">
        <v>90</v>
      </c>
      <c r="B698" t="s">
        <v>6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2070</v>
      </c>
      <c r="J698">
        <v>5.2999999999999999E-2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2070</v>
      </c>
      <c r="J699">
        <v>5.0000000000000002E-5</v>
      </c>
      <c r="K699" t="s">
        <v>53</v>
      </c>
      <c r="L699">
        <v>55</v>
      </c>
    </row>
    <row r="700" spans="1:12" x14ac:dyDescent="0.45">
      <c r="A700" t="s">
        <v>90</v>
      </c>
      <c r="B700" t="s">
        <v>2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2070</v>
      </c>
      <c r="J700">
        <v>0.10200000000000001</v>
      </c>
      <c r="K700" t="s">
        <v>53</v>
      </c>
      <c r="L700">
        <v>55</v>
      </c>
    </row>
    <row r="701" spans="1:12" x14ac:dyDescent="0.45">
      <c r="A701" t="s">
        <v>90</v>
      </c>
      <c r="B701" t="s">
        <v>1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2070</v>
      </c>
      <c r="J701">
        <v>0</v>
      </c>
      <c r="K701" t="s">
        <v>53</v>
      </c>
      <c r="L701">
        <v>55</v>
      </c>
    </row>
    <row r="702" spans="1:12" x14ac:dyDescent="0.45">
      <c r="A702" t="s">
        <v>90</v>
      </c>
      <c r="B702" t="s">
        <v>3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2075</v>
      </c>
      <c r="J702">
        <v>8.150000000000001E-3</v>
      </c>
      <c r="K702" t="s">
        <v>53</v>
      </c>
      <c r="L702">
        <v>55</v>
      </c>
    </row>
    <row r="703" spans="1:12" x14ac:dyDescent="0.45">
      <c r="A703" t="s">
        <v>90</v>
      </c>
      <c r="B703" t="s">
        <v>4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2075</v>
      </c>
      <c r="J703">
        <v>0.36294999999999999</v>
      </c>
      <c r="K703" t="s">
        <v>53</v>
      </c>
      <c r="L703">
        <v>55</v>
      </c>
    </row>
    <row r="704" spans="1:12" x14ac:dyDescent="0.45">
      <c r="A704" t="s">
        <v>90</v>
      </c>
      <c r="B704" t="s">
        <v>0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6.7499999999999999E-3</v>
      </c>
      <c r="K704" t="s">
        <v>53</v>
      </c>
      <c r="L704">
        <v>55</v>
      </c>
    </row>
    <row r="705" spans="1:12" x14ac:dyDescent="0.45">
      <c r="A705" t="s">
        <v>90</v>
      </c>
      <c r="B705" t="s">
        <v>6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2075</v>
      </c>
      <c r="J705">
        <v>6.2899999999999998E-2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2075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2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2075</v>
      </c>
      <c r="J707">
        <v>0.1177</v>
      </c>
      <c r="K707" t="s">
        <v>53</v>
      </c>
      <c r="L707">
        <v>55</v>
      </c>
    </row>
    <row r="708" spans="1:12" x14ac:dyDescent="0.45">
      <c r="A708" t="s">
        <v>90</v>
      </c>
      <c r="B708" t="s">
        <v>1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2075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3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2080</v>
      </c>
      <c r="J709">
        <v>9.5499999999999995E-3</v>
      </c>
      <c r="K709" t="s">
        <v>53</v>
      </c>
      <c r="L709">
        <v>55</v>
      </c>
    </row>
    <row r="710" spans="1:12" x14ac:dyDescent="0.45">
      <c r="A710" t="s">
        <v>90</v>
      </c>
      <c r="B710" t="s">
        <v>4</v>
      </c>
      <c r="C710" t="s">
        <v>84</v>
      </c>
      <c r="D710" t="s">
        <v>53</v>
      </c>
      <c r="E710" t="s">
        <v>25</v>
      </c>
      <c r="F710" t="s">
        <v>53</v>
      </c>
      <c r="G710" t="s">
        <v>71</v>
      </c>
      <c r="H710" t="s">
        <v>89</v>
      </c>
      <c r="I710">
        <v>2080</v>
      </c>
      <c r="J710">
        <v>0.25850000000000001</v>
      </c>
      <c r="K710" t="s">
        <v>53</v>
      </c>
      <c r="L710">
        <v>55</v>
      </c>
    </row>
    <row r="711" spans="1:12" x14ac:dyDescent="0.45">
      <c r="A711" t="s">
        <v>90</v>
      </c>
      <c r="B711" t="s">
        <v>0</v>
      </c>
      <c r="C711" t="s">
        <v>84</v>
      </c>
      <c r="D711" t="s">
        <v>53</v>
      </c>
      <c r="E711" t="s">
        <v>25</v>
      </c>
      <c r="F711" t="s">
        <v>53</v>
      </c>
      <c r="G711" t="s">
        <v>71</v>
      </c>
      <c r="H711" t="s">
        <v>89</v>
      </c>
      <c r="I711">
        <v>2080</v>
      </c>
      <c r="J711">
        <v>0.01</v>
      </c>
      <c r="K711" t="s">
        <v>53</v>
      </c>
      <c r="L711">
        <v>55</v>
      </c>
    </row>
    <row r="712" spans="1:12" x14ac:dyDescent="0.45">
      <c r="A712" t="s">
        <v>90</v>
      </c>
      <c r="B712" t="s">
        <v>6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2080</v>
      </c>
      <c r="J712">
        <v>7.2450000000000001E-2</v>
      </c>
      <c r="K712" t="s">
        <v>53</v>
      </c>
      <c r="L712">
        <v>55</v>
      </c>
    </row>
    <row r="713" spans="1:12" x14ac:dyDescent="0.45">
      <c r="A713" t="s">
        <v>90</v>
      </c>
      <c r="B713" t="s">
        <v>5</v>
      </c>
      <c r="C713" t="s">
        <v>84</v>
      </c>
      <c r="D713" t="s">
        <v>53</v>
      </c>
      <c r="E713" t="s">
        <v>25</v>
      </c>
      <c r="F713" t="s">
        <v>53</v>
      </c>
      <c r="G713" t="s">
        <v>71</v>
      </c>
      <c r="H713" t="s">
        <v>89</v>
      </c>
      <c r="I713">
        <v>2080</v>
      </c>
      <c r="J713">
        <v>0</v>
      </c>
      <c r="K713" t="s">
        <v>53</v>
      </c>
      <c r="L713">
        <v>55</v>
      </c>
    </row>
    <row r="714" spans="1:12" x14ac:dyDescent="0.45">
      <c r="A714" t="s">
        <v>90</v>
      </c>
      <c r="B714" t="s">
        <v>2</v>
      </c>
      <c r="C714" t="s">
        <v>84</v>
      </c>
      <c r="D714" t="s">
        <v>53</v>
      </c>
      <c r="E714" t="s">
        <v>25</v>
      </c>
      <c r="F714" t="s">
        <v>53</v>
      </c>
      <c r="G714" t="s">
        <v>71</v>
      </c>
      <c r="H714" t="s">
        <v>89</v>
      </c>
      <c r="I714">
        <v>2080</v>
      </c>
      <c r="J714">
        <v>0.13290000000000002</v>
      </c>
      <c r="K714" t="s">
        <v>53</v>
      </c>
      <c r="L714">
        <v>55</v>
      </c>
    </row>
    <row r="715" spans="1:12" x14ac:dyDescent="0.45">
      <c r="A715" t="s">
        <v>90</v>
      </c>
      <c r="B715" t="s">
        <v>1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2080</v>
      </c>
      <c r="J715">
        <v>0</v>
      </c>
      <c r="K715" t="s">
        <v>53</v>
      </c>
      <c r="L715">
        <v>55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2085</v>
      </c>
      <c r="J716">
        <v>1.21E-2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2085</v>
      </c>
      <c r="J717">
        <v>0.18985000000000002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2085</v>
      </c>
      <c r="J718">
        <v>1.6300000000000002E-2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2085</v>
      </c>
      <c r="J719">
        <v>8.2350000000000007E-2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2085</v>
      </c>
      <c r="J720">
        <v>0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2085</v>
      </c>
      <c r="J721">
        <v>0.14984999999999998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2085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53</v>
      </c>
      <c r="E723" t="s">
        <v>25</v>
      </c>
      <c r="F723" t="s">
        <v>53</v>
      </c>
      <c r="G723" t="s">
        <v>71</v>
      </c>
      <c r="H723" t="s">
        <v>89</v>
      </c>
      <c r="I723">
        <v>2090</v>
      </c>
      <c r="J723">
        <v>1.47E-2</v>
      </c>
      <c r="K723" t="s">
        <v>53</v>
      </c>
      <c r="L723">
        <v>55</v>
      </c>
    </row>
    <row r="724" spans="1:12" x14ac:dyDescent="0.45">
      <c r="A724" t="s">
        <v>90</v>
      </c>
      <c r="B724" t="s">
        <v>4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2090</v>
      </c>
      <c r="J724">
        <v>0.12</v>
      </c>
      <c r="K724" t="s">
        <v>53</v>
      </c>
      <c r="L724">
        <v>55</v>
      </c>
    </row>
    <row r="725" spans="1:12" x14ac:dyDescent="0.45">
      <c r="A725" t="s">
        <v>90</v>
      </c>
      <c r="B725" t="s">
        <v>0</v>
      </c>
      <c r="C725" t="s">
        <v>84</v>
      </c>
      <c r="D725" t="s">
        <v>53</v>
      </c>
      <c r="E725" t="s">
        <v>25</v>
      </c>
      <c r="F725" t="s">
        <v>53</v>
      </c>
      <c r="G725" t="s">
        <v>71</v>
      </c>
      <c r="H725" t="s">
        <v>89</v>
      </c>
      <c r="I725">
        <v>2090</v>
      </c>
      <c r="J725">
        <v>2.3400000000000001E-2</v>
      </c>
      <c r="K725" t="s">
        <v>53</v>
      </c>
      <c r="L725">
        <v>55</v>
      </c>
    </row>
    <row r="726" spans="1:12" x14ac:dyDescent="0.45">
      <c r="A726" t="s">
        <v>90</v>
      </c>
      <c r="B726" t="s">
        <v>6</v>
      </c>
      <c r="C726" t="s">
        <v>84</v>
      </c>
      <c r="D726" t="s">
        <v>53</v>
      </c>
      <c r="E726" t="s">
        <v>25</v>
      </c>
      <c r="F726" t="s">
        <v>53</v>
      </c>
      <c r="G726" t="s">
        <v>71</v>
      </c>
      <c r="H726" t="s">
        <v>89</v>
      </c>
      <c r="I726">
        <v>2090</v>
      </c>
      <c r="J726">
        <v>9.194999999999999E-2</v>
      </c>
      <c r="K726" t="s">
        <v>53</v>
      </c>
      <c r="L726">
        <v>55</v>
      </c>
    </row>
    <row r="727" spans="1:12" x14ac:dyDescent="0.45">
      <c r="A727" t="s">
        <v>90</v>
      </c>
      <c r="B727" t="s">
        <v>5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2090</v>
      </c>
      <c r="J727">
        <v>0</v>
      </c>
      <c r="K727" t="s">
        <v>53</v>
      </c>
      <c r="L727">
        <v>55</v>
      </c>
    </row>
    <row r="728" spans="1:12" x14ac:dyDescent="0.45">
      <c r="A728" t="s">
        <v>90</v>
      </c>
      <c r="B728" t="s">
        <v>2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2090</v>
      </c>
      <c r="J728">
        <v>0.16589999999999999</v>
      </c>
      <c r="K728" t="s">
        <v>53</v>
      </c>
      <c r="L728">
        <v>55</v>
      </c>
    </row>
    <row r="729" spans="1:12" x14ac:dyDescent="0.45">
      <c r="A729" t="s">
        <v>90</v>
      </c>
      <c r="B729" t="s">
        <v>1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2090</v>
      </c>
      <c r="J729">
        <v>0</v>
      </c>
      <c r="K729" t="s">
        <v>53</v>
      </c>
      <c r="L729">
        <v>55</v>
      </c>
    </row>
    <row r="730" spans="1:12" x14ac:dyDescent="0.45">
      <c r="A730" t="s">
        <v>90</v>
      </c>
      <c r="B730" t="s">
        <v>3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2095</v>
      </c>
      <c r="J730">
        <v>1.54E-2</v>
      </c>
      <c r="K730" t="s">
        <v>53</v>
      </c>
      <c r="L730">
        <v>55</v>
      </c>
    </row>
    <row r="731" spans="1:12" x14ac:dyDescent="0.45">
      <c r="A731" t="s">
        <v>90</v>
      </c>
      <c r="B731" t="s">
        <v>4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2095</v>
      </c>
      <c r="J731">
        <v>0.12204999999999999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2095</v>
      </c>
      <c r="J732">
        <v>0.03</v>
      </c>
      <c r="K732" t="s">
        <v>53</v>
      </c>
      <c r="L732">
        <v>55</v>
      </c>
    </row>
    <row r="733" spans="1:12" x14ac:dyDescent="0.45">
      <c r="A733" t="s">
        <v>90</v>
      </c>
      <c r="B733" t="s">
        <v>6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2095</v>
      </c>
      <c r="J733">
        <v>9.9599999999999994E-2</v>
      </c>
      <c r="K733" t="s">
        <v>53</v>
      </c>
      <c r="L733">
        <v>55</v>
      </c>
    </row>
    <row r="734" spans="1:12" x14ac:dyDescent="0.45">
      <c r="A734" t="s">
        <v>90</v>
      </c>
      <c r="B734" t="s">
        <v>5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2095</v>
      </c>
      <c r="J734">
        <v>0</v>
      </c>
      <c r="K734" t="s">
        <v>53</v>
      </c>
      <c r="L734">
        <v>55</v>
      </c>
    </row>
    <row r="735" spans="1:12" x14ac:dyDescent="0.45">
      <c r="A735" t="s">
        <v>90</v>
      </c>
      <c r="B735" t="s">
        <v>2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2095</v>
      </c>
      <c r="J735">
        <v>0.17299999999999999</v>
      </c>
      <c r="K735" t="s">
        <v>53</v>
      </c>
      <c r="L735">
        <v>55</v>
      </c>
    </row>
    <row r="736" spans="1:12" x14ac:dyDescent="0.45">
      <c r="A736" t="s">
        <v>90</v>
      </c>
      <c r="B736" t="s">
        <v>1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2095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3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2100</v>
      </c>
      <c r="J737">
        <v>1.6E-2</v>
      </c>
      <c r="K737" t="s">
        <v>53</v>
      </c>
      <c r="L737">
        <v>55</v>
      </c>
    </row>
    <row r="738" spans="1:12" x14ac:dyDescent="0.45">
      <c r="A738" t="s">
        <v>90</v>
      </c>
      <c r="B738" t="s">
        <v>4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2100</v>
      </c>
      <c r="J738">
        <v>0.12340000000000001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2100</v>
      </c>
      <c r="J739">
        <v>3.6749999999999998E-2</v>
      </c>
      <c r="K739" t="s">
        <v>53</v>
      </c>
      <c r="L739">
        <v>55</v>
      </c>
    </row>
    <row r="740" spans="1:12" x14ac:dyDescent="0.45">
      <c r="A740" t="s">
        <v>90</v>
      </c>
      <c r="B740" t="s">
        <v>6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2100</v>
      </c>
      <c r="J740">
        <v>0.10665000000000001</v>
      </c>
      <c r="K740" t="s">
        <v>53</v>
      </c>
      <c r="L740">
        <v>55</v>
      </c>
    </row>
    <row r="741" spans="1:12" x14ac:dyDescent="0.45">
      <c r="A741" t="s">
        <v>90</v>
      </c>
      <c r="B741" t="s">
        <v>5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2100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2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2100</v>
      </c>
      <c r="J742">
        <v>0.17904999999999999</v>
      </c>
      <c r="K742" t="s">
        <v>53</v>
      </c>
      <c r="L742">
        <v>55</v>
      </c>
    </row>
    <row r="743" spans="1:12" x14ac:dyDescent="0.45">
      <c r="A743" t="s">
        <v>90</v>
      </c>
      <c r="B743" t="s">
        <v>1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3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8.0000000000000004E-4</v>
      </c>
      <c r="K744" t="s">
        <v>54</v>
      </c>
      <c r="L744">
        <v>70</v>
      </c>
    </row>
    <row r="745" spans="1:12" x14ac:dyDescent="0.45">
      <c r="A745" t="s">
        <v>90</v>
      </c>
      <c r="B745" t="s">
        <v>4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2020</v>
      </c>
      <c r="J745">
        <v>8.0000000000000004E-4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2020</v>
      </c>
      <c r="J746">
        <v>8.0000000000000004E-4</v>
      </c>
      <c r="K746" t="s">
        <v>54</v>
      </c>
      <c r="L746">
        <v>70</v>
      </c>
    </row>
    <row r="747" spans="1:12" x14ac:dyDescent="0.45">
      <c r="A747" t="s">
        <v>90</v>
      </c>
      <c r="B747" t="s">
        <v>6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2020</v>
      </c>
      <c r="J747">
        <v>8.0000000000000004E-4</v>
      </c>
      <c r="K747" t="s">
        <v>54</v>
      </c>
      <c r="L747">
        <v>70</v>
      </c>
    </row>
    <row r="748" spans="1:12" x14ac:dyDescent="0.45">
      <c r="A748" t="s">
        <v>90</v>
      </c>
      <c r="B748" t="s">
        <v>5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2020</v>
      </c>
      <c r="J748">
        <v>8.0000000000000004E-4</v>
      </c>
      <c r="K748" t="s">
        <v>54</v>
      </c>
      <c r="L748">
        <v>70</v>
      </c>
    </row>
    <row r="749" spans="1:12" x14ac:dyDescent="0.45">
      <c r="A749" t="s">
        <v>90</v>
      </c>
      <c r="B749" t="s">
        <v>2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2020</v>
      </c>
      <c r="J749">
        <v>8.0000000000000004E-4</v>
      </c>
      <c r="K749" t="s">
        <v>54</v>
      </c>
      <c r="L749">
        <v>70</v>
      </c>
    </row>
    <row r="750" spans="1:12" x14ac:dyDescent="0.45">
      <c r="A750" t="s">
        <v>90</v>
      </c>
      <c r="B750" t="s">
        <v>1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2020</v>
      </c>
      <c r="J750">
        <v>8.0000000000000004E-4</v>
      </c>
      <c r="K750" t="s">
        <v>54</v>
      </c>
      <c r="L750">
        <v>70</v>
      </c>
    </row>
    <row r="751" spans="1:12" x14ac:dyDescent="0.45">
      <c r="A751" t="s">
        <v>90</v>
      </c>
      <c r="B751" t="s">
        <v>3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2025</v>
      </c>
      <c r="J751">
        <v>8.0000000000000004E-4</v>
      </c>
      <c r="K751" t="s">
        <v>54</v>
      </c>
      <c r="L751">
        <v>70</v>
      </c>
    </row>
    <row r="752" spans="1:12" x14ac:dyDescent="0.45">
      <c r="A752" t="s">
        <v>90</v>
      </c>
      <c r="B752" t="s">
        <v>4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2025</v>
      </c>
      <c r="J752">
        <v>8.0000000000000004E-4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2025</v>
      </c>
      <c r="J753">
        <v>8.0000000000000004E-4</v>
      </c>
      <c r="K753" t="s">
        <v>54</v>
      </c>
      <c r="L753">
        <v>70</v>
      </c>
    </row>
    <row r="754" spans="1:12" x14ac:dyDescent="0.45">
      <c r="A754" t="s">
        <v>90</v>
      </c>
      <c r="B754" t="s">
        <v>6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2025</v>
      </c>
      <c r="J754">
        <v>8.0000000000000004E-4</v>
      </c>
      <c r="K754" t="s">
        <v>54</v>
      </c>
      <c r="L754">
        <v>70</v>
      </c>
    </row>
    <row r="755" spans="1:12" x14ac:dyDescent="0.45">
      <c r="A755" t="s">
        <v>90</v>
      </c>
      <c r="B755" t="s">
        <v>5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2025</v>
      </c>
      <c r="J755">
        <v>8.0000000000000004E-4</v>
      </c>
      <c r="K755" t="s">
        <v>54</v>
      </c>
      <c r="L755">
        <v>70</v>
      </c>
    </row>
    <row r="756" spans="1:12" x14ac:dyDescent="0.45">
      <c r="A756" t="s">
        <v>90</v>
      </c>
      <c r="B756" t="s">
        <v>2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2025</v>
      </c>
      <c r="J756">
        <v>8.0000000000000004E-4</v>
      </c>
      <c r="K756" t="s">
        <v>54</v>
      </c>
      <c r="L756">
        <v>70</v>
      </c>
    </row>
    <row r="757" spans="1:12" x14ac:dyDescent="0.45">
      <c r="A757" t="s">
        <v>90</v>
      </c>
      <c r="B757" t="s">
        <v>1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2025</v>
      </c>
      <c r="J757">
        <v>8.0000000000000004E-4</v>
      </c>
      <c r="K757" t="s">
        <v>54</v>
      </c>
      <c r="L757">
        <v>70</v>
      </c>
    </row>
    <row r="758" spans="1:12" x14ac:dyDescent="0.45">
      <c r="A758" t="s">
        <v>90</v>
      </c>
      <c r="B758" t="s">
        <v>3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2030</v>
      </c>
      <c r="J758">
        <v>4.0000000000000002E-4</v>
      </c>
      <c r="K758" t="s">
        <v>54</v>
      </c>
      <c r="L758">
        <v>70</v>
      </c>
    </row>
    <row r="759" spans="1:12" x14ac:dyDescent="0.45">
      <c r="A759" t="s">
        <v>90</v>
      </c>
      <c r="B759" t="s">
        <v>4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2030</v>
      </c>
      <c r="J759">
        <v>4.0000000000000002E-4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2030</v>
      </c>
      <c r="J760">
        <v>4.0000000000000002E-4</v>
      </c>
      <c r="K760" t="s">
        <v>54</v>
      </c>
      <c r="L760">
        <v>70</v>
      </c>
    </row>
    <row r="761" spans="1:12" x14ac:dyDescent="0.45">
      <c r="A761" t="s">
        <v>90</v>
      </c>
      <c r="B761" t="s">
        <v>6</v>
      </c>
      <c r="C761" t="s">
        <v>84</v>
      </c>
      <c r="D761" t="s">
        <v>54</v>
      </c>
      <c r="E761" t="s">
        <v>25</v>
      </c>
      <c r="F761" t="s">
        <v>54</v>
      </c>
      <c r="G761" t="s">
        <v>71</v>
      </c>
      <c r="H761" t="s">
        <v>89</v>
      </c>
      <c r="I761">
        <v>2030</v>
      </c>
      <c r="J761">
        <v>4.0000000000000002E-4</v>
      </c>
      <c r="K761" t="s">
        <v>54</v>
      </c>
      <c r="L761">
        <v>70</v>
      </c>
    </row>
    <row r="762" spans="1:12" x14ac:dyDescent="0.45">
      <c r="A762" t="s">
        <v>90</v>
      </c>
      <c r="B762" t="s">
        <v>5</v>
      </c>
      <c r="C762" t="s">
        <v>84</v>
      </c>
      <c r="D762" t="s">
        <v>54</v>
      </c>
      <c r="E762" t="s">
        <v>25</v>
      </c>
      <c r="F762" t="s">
        <v>54</v>
      </c>
      <c r="G762" t="s">
        <v>71</v>
      </c>
      <c r="H762" t="s">
        <v>89</v>
      </c>
      <c r="I762">
        <v>2030</v>
      </c>
      <c r="J762">
        <v>4.0000000000000002E-4</v>
      </c>
      <c r="K762" t="s">
        <v>54</v>
      </c>
      <c r="L762">
        <v>70</v>
      </c>
    </row>
    <row r="763" spans="1:12" x14ac:dyDescent="0.45">
      <c r="A763" t="s">
        <v>90</v>
      </c>
      <c r="B763" t="s">
        <v>2</v>
      </c>
      <c r="C763" t="s">
        <v>84</v>
      </c>
      <c r="D763" t="s">
        <v>54</v>
      </c>
      <c r="E763" t="s">
        <v>25</v>
      </c>
      <c r="F763" t="s">
        <v>54</v>
      </c>
      <c r="G763" t="s">
        <v>71</v>
      </c>
      <c r="H763" t="s">
        <v>89</v>
      </c>
      <c r="I763">
        <v>2030</v>
      </c>
      <c r="J763">
        <v>4.0000000000000002E-4</v>
      </c>
      <c r="K763" t="s">
        <v>54</v>
      </c>
      <c r="L763">
        <v>70</v>
      </c>
    </row>
    <row r="764" spans="1:12" x14ac:dyDescent="0.45">
      <c r="A764" t="s">
        <v>90</v>
      </c>
      <c r="B764" t="s">
        <v>1</v>
      </c>
      <c r="C764" t="s">
        <v>84</v>
      </c>
      <c r="D764" t="s">
        <v>54</v>
      </c>
      <c r="E764" t="s">
        <v>25</v>
      </c>
      <c r="F764" t="s">
        <v>54</v>
      </c>
      <c r="G764" t="s">
        <v>71</v>
      </c>
      <c r="H764" t="s">
        <v>89</v>
      </c>
      <c r="I764">
        <v>2030</v>
      </c>
      <c r="J764">
        <v>5.0000000000000001E-4</v>
      </c>
      <c r="K764" t="s">
        <v>54</v>
      </c>
      <c r="L764">
        <v>70</v>
      </c>
    </row>
    <row r="765" spans="1:12" x14ac:dyDescent="0.45">
      <c r="A765" t="s">
        <v>90</v>
      </c>
      <c r="B765" t="s">
        <v>3</v>
      </c>
      <c r="C765" t="s">
        <v>84</v>
      </c>
      <c r="D765" t="s">
        <v>54</v>
      </c>
      <c r="E765" t="s">
        <v>25</v>
      </c>
      <c r="F765" t="s">
        <v>54</v>
      </c>
      <c r="G765" t="s">
        <v>71</v>
      </c>
      <c r="H765" t="s">
        <v>89</v>
      </c>
      <c r="I765">
        <v>2035</v>
      </c>
      <c r="J765">
        <v>0</v>
      </c>
      <c r="K765" t="s">
        <v>54</v>
      </c>
      <c r="L765">
        <v>70</v>
      </c>
    </row>
    <row r="766" spans="1:12" x14ac:dyDescent="0.45">
      <c r="A766" t="s">
        <v>90</v>
      </c>
      <c r="B766" t="s">
        <v>4</v>
      </c>
      <c r="C766" t="s">
        <v>84</v>
      </c>
      <c r="D766" t="s">
        <v>54</v>
      </c>
      <c r="E766" t="s">
        <v>25</v>
      </c>
      <c r="F766" t="s">
        <v>54</v>
      </c>
      <c r="G766" t="s">
        <v>71</v>
      </c>
      <c r="H766" t="s">
        <v>89</v>
      </c>
      <c r="I766">
        <v>2035</v>
      </c>
      <c r="J766">
        <v>0</v>
      </c>
      <c r="K766" t="s">
        <v>54</v>
      </c>
      <c r="L766">
        <v>70</v>
      </c>
    </row>
    <row r="767" spans="1:12" x14ac:dyDescent="0.45">
      <c r="A767" t="s">
        <v>90</v>
      </c>
      <c r="B767" t="s">
        <v>0</v>
      </c>
      <c r="C767" t="s">
        <v>84</v>
      </c>
      <c r="D767" t="s">
        <v>54</v>
      </c>
      <c r="E767" t="s">
        <v>25</v>
      </c>
      <c r="F767" t="s">
        <v>54</v>
      </c>
      <c r="G767" t="s">
        <v>71</v>
      </c>
      <c r="H767" t="s">
        <v>89</v>
      </c>
      <c r="I767">
        <v>2035</v>
      </c>
      <c r="J767">
        <v>0</v>
      </c>
      <c r="K767" t="s">
        <v>54</v>
      </c>
      <c r="L767">
        <v>70</v>
      </c>
    </row>
    <row r="768" spans="1:12" x14ac:dyDescent="0.45">
      <c r="A768" t="s">
        <v>90</v>
      </c>
      <c r="B768" t="s">
        <v>6</v>
      </c>
      <c r="C768" t="s">
        <v>84</v>
      </c>
      <c r="D768" t="s">
        <v>54</v>
      </c>
      <c r="E768" t="s">
        <v>25</v>
      </c>
      <c r="F768" t="s">
        <v>54</v>
      </c>
      <c r="G768" t="s">
        <v>71</v>
      </c>
      <c r="H768" t="s">
        <v>89</v>
      </c>
      <c r="I768">
        <v>2035</v>
      </c>
      <c r="J768">
        <v>0</v>
      </c>
      <c r="K768" t="s">
        <v>54</v>
      </c>
      <c r="L768">
        <v>70</v>
      </c>
    </row>
    <row r="769" spans="1:12" x14ac:dyDescent="0.45">
      <c r="A769" t="s">
        <v>90</v>
      </c>
      <c r="B769" t="s">
        <v>5</v>
      </c>
      <c r="C769" t="s">
        <v>84</v>
      </c>
      <c r="D769" t="s">
        <v>54</v>
      </c>
      <c r="E769" t="s">
        <v>25</v>
      </c>
      <c r="F769" t="s">
        <v>54</v>
      </c>
      <c r="G769" t="s">
        <v>71</v>
      </c>
      <c r="H769" t="s">
        <v>89</v>
      </c>
      <c r="I769">
        <v>2035</v>
      </c>
      <c r="J769">
        <v>0</v>
      </c>
      <c r="K769" t="s">
        <v>54</v>
      </c>
      <c r="L769">
        <v>70</v>
      </c>
    </row>
    <row r="770" spans="1:12" x14ac:dyDescent="0.45">
      <c r="A770" t="s">
        <v>90</v>
      </c>
      <c r="B770" t="s">
        <v>2</v>
      </c>
      <c r="C770" t="s">
        <v>84</v>
      </c>
      <c r="D770" t="s">
        <v>54</v>
      </c>
      <c r="E770" t="s">
        <v>25</v>
      </c>
      <c r="F770" t="s">
        <v>54</v>
      </c>
      <c r="G770" t="s">
        <v>71</v>
      </c>
      <c r="H770" t="s">
        <v>89</v>
      </c>
      <c r="I770">
        <v>2035</v>
      </c>
      <c r="J770">
        <v>0</v>
      </c>
      <c r="K770" t="s">
        <v>54</v>
      </c>
      <c r="L770">
        <v>70</v>
      </c>
    </row>
    <row r="771" spans="1:12" x14ac:dyDescent="0.45">
      <c r="A771" t="s">
        <v>90</v>
      </c>
      <c r="B771" t="s">
        <v>1</v>
      </c>
      <c r="C771" t="s">
        <v>84</v>
      </c>
      <c r="D771" t="s">
        <v>54</v>
      </c>
      <c r="E771" t="s">
        <v>25</v>
      </c>
      <c r="F771" t="s">
        <v>54</v>
      </c>
      <c r="G771" t="s">
        <v>71</v>
      </c>
      <c r="H771" t="s">
        <v>89</v>
      </c>
      <c r="I771">
        <v>2035</v>
      </c>
      <c r="J771">
        <v>0</v>
      </c>
      <c r="K771" t="s">
        <v>54</v>
      </c>
      <c r="L771">
        <v>70</v>
      </c>
    </row>
    <row r="772" spans="1:12" x14ac:dyDescent="0.45">
      <c r="A772" t="s">
        <v>90</v>
      </c>
      <c r="B772" t="s">
        <v>3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2040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2040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2040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2040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2040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2040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2040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54</v>
      </c>
      <c r="E779" t="s">
        <v>25</v>
      </c>
      <c r="F779" t="s">
        <v>54</v>
      </c>
      <c r="G779" t="s">
        <v>71</v>
      </c>
      <c r="H779" t="s">
        <v>89</v>
      </c>
      <c r="I779">
        <v>2045</v>
      </c>
      <c r="J779">
        <v>0</v>
      </c>
      <c r="K779" t="s">
        <v>54</v>
      </c>
      <c r="L779">
        <v>70</v>
      </c>
    </row>
    <row r="780" spans="1:12" x14ac:dyDescent="0.45">
      <c r="A780" t="s">
        <v>90</v>
      </c>
      <c r="B780" t="s">
        <v>4</v>
      </c>
      <c r="C780" t="s">
        <v>84</v>
      </c>
      <c r="D780" t="s">
        <v>54</v>
      </c>
      <c r="E780" t="s">
        <v>25</v>
      </c>
      <c r="F780" t="s">
        <v>54</v>
      </c>
      <c r="G780" t="s">
        <v>71</v>
      </c>
      <c r="H780" t="s">
        <v>89</v>
      </c>
      <c r="I780">
        <v>2045</v>
      </c>
      <c r="J780">
        <v>0</v>
      </c>
      <c r="K780" t="s">
        <v>54</v>
      </c>
      <c r="L780">
        <v>70</v>
      </c>
    </row>
    <row r="781" spans="1:12" x14ac:dyDescent="0.45">
      <c r="A781" t="s">
        <v>90</v>
      </c>
      <c r="B781" t="s">
        <v>0</v>
      </c>
      <c r="C781" t="s">
        <v>84</v>
      </c>
      <c r="D781" t="s">
        <v>54</v>
      </c>
      <c r="E781" t="s">
        <v>25</v>
      </c>
      <c r="F781" t="s">
        <v>54</v>
      </c>
      <c r="G781" t="s">
        <v>71</v>
      </c>
      <c r="H781" t="s">
        <v>89</v>
      </c>
      <c r="I781">
        <v>2045</v>
      </c>
      <c r="J781">
        <v>0</v>
      </c>
      <c r="K781" t="s">
        <v>54</v>
      </c>
      <c r="L781">
        <v>70</v>
      </c>
    </row>
    <row r="782" spans="1:12" x14ac:dyDescent="0.45">
      <c r="A782" t="s">
        <v>90</v>
      </c>
      <c r="B782" t="s">
        <v>6</v>
      </c>
      <c r="C782" t="s">
        <v>84</v>
      </c>
      <c r="D782" t="s">
        <v>54</v>
      </c>
      <c r="E782" t="s">
        <v>25</v>
      </c>
      <c r="F782" t="s">
        <v>54</v>
      </c>
      <c r="G782" t="s">
        <v>71</v>
      </c>
      <c r="H782" t="s">
        <v>89</v>
      </c>
      <c r="I782">
        <v>2045</v>
      </c>
      <c r="J782">
        <v>0</v>
      </c>
      <c r="K782" t="s">
        <v>54</v>
      </c>
      <c r="L782">
        <v>70</v>
      </c>
    </row>
    <row r="783" spans="1:12" x14ac:dyDescent="0.45">
      <c r="A783" t="s">
        <v>90</v>
      </c>
      <c r="B783" t="s">
        <v>5</v>
      </c>
      <c r="C783" t="s">
        <v>84</v>
      </c>
      <c r="D783" t="s">
        <v>54</v>
      </c>
      <c r="E783" t="s">
        <v>25</v>
      </c>
      <c r="F783" t="s">
        <v>54</v>
      </c>
      <c r="G783" t="s">
        <v>71</v>
      </c>
      <c r="H783" t="s">
        <v>89</v>
      </c>
      <c r="I783">
        <v>2045</v>
      </c>
      <c r="J783">
        <v>0</v>
      </c>
      <c r="K783" t="s">
        <v>54</v>
      </c>
      <c r="L783">
        <v>70</v>
      </c>
    </row>
    <row r="784" spans="1:12" x14ac:dyDescent="0.45">
      <c r="A784" t="s">
        <v>90</v>
      </c>
      <c r="B784" t="s">
        <v>2</v>
      </c>
      <c r="C784" t="s">
        <v>84</v>
      </c>
      <c r="D784" t="s">
        <v>54</v>
      </c>
      <c r="E784" t="s">
        <v>25</v>
      </c>
      <c r="F784" t="s">
        <v>54</v>
      </c>
      <c r="G784" t="s">
        <v>71</v>
      </c>
      <c r="H784" t="s">
        <v>89</v>
      </c>
      <c r="I784">
        <v>2045</v>
      </c>
      <c r="J784">
        <v>0</v>
      </c>
      <c r="K784" t="s">
        <v>54</v>
      </c>
      <c r="L784">
        <v>70</v>
      </c>
    </row>
    <row r="785" spans="1:12" x14ac:dyDescent="0.45">
      <c r="A785" t="s">
        <v>90</v>
      </c>
      <c r="B785" t="s">
        <v>1</v>
      </c>
      <c r="C785" t="s">
        <v>84</v>
      </c>
      <c r="D785" t="s">
        <v>54</v>
      </c>
      <c r="E785" t="s">
        <v>25</v>
      </c>
      <c r="F785" t="s">
        <v>54</v>
      </c>
      <c r="G785" t="s">
        <v>71</v>
      </c>
      <c r="H785" t="s">
        <v>89</v>
      </c>
      <c r="I785">
        <v>2045</v>
      </c>
      <c r="J785">
        <v>0</v>
      </c>
      <c r="K785" t="s">
        <v>54</v>
      </c>
      <c r="L785">
        <v>70</v>
      </c>
    </row>
    <row r="786" spans="1:12" x14ac:dyDescent="0.45">
      <c r="A786" t="s">
        <v>90</v>
      </c>
      <c r="B786" t="s">
        <v>3</v>
      </c>
      <c r="C786" t="s">
        <v>84</v>
      </c>
      <c r="D786" t="s">
        <v>54</v>
      </c>
      <c r="E786" t="s">
        <v>25</v>
      </c>
      <c r="F786" t="s">
        <v>54</v>
      </c>
      <c r="G786" t="s">
        <v>71</v>
      </c>
      <c r="H786" t="s">
        <v>89</v>
      </c>
      <c r="I786">
        <v>2050</v>
      </c>
      <c r="J786">
        <v>0</v>
      </c>
      <c r="K786" t="s">
        <v>54</v>
      </c>
      <c r="L786">
        <v>70</v>
      </c>
    </row>
    <row r="787" spans="1:12" x14ac:dyDescent="0.45">
      <c r="A787" t="s">
        <v>90</v>
      </c>
      <c r="B787" t="s">
        <v>4</v>
      </c>
      <c r="C787" t="s">
        <v>84</v>
      </c>
      <c r="D787" t="s">
        <v>54</v>
      </c>
      <c r="E787" t="s">
        <v>25</v>
      </c>
      <c r="F787" t="s">
        <v>54</v>
      </c>
      <c r="G787" t="s">
        <v>71</v>
      </c>
      <c r="H787" t="s">
        <v>89</v>
      </c>
      <c r="I787">
        <v>2050</v>
      </c>
      <c r="J787">
        <v>0</v>
      </c>
      <c r="K787" t="s">
        <v>54</v>
      </c>
      <c r="L787">
        <v>70</v>
      </c>
    </row>
    <row r="788" spans="1:12" x14ac:dyDescent="0.45">
      <c r="A788" t="s">
        <v>90</v>
      </c>
      <c r="B788" t="s">
        <v>0</v>
      </c>
      <c r="C788" t="s">
        <v>84</v>
      </c>
      <c r="D788" t="s">
        <v>54</v>
      </c>
      <c r="E788" t="s">
        <v>25</v>
      </c>
      <c r="F788" t="s">
        <v>54</v>
      </c>
      <c r="G788" t="s">
        <v>71</v>
      </c>
      <c r="H788" t="s">
        <v>89</v>
      </c>
      <c r="I788">
        <v>2050</v>
      </c>
      <c r="J788">
        <v>0</v>
      </c>
      <c r="K788" t="s">
        <v>54</v>
      </c>
      <c r="L788">
        <v>70</v>
      </c>
    </row>
    <row r="789" spans="1:12" x14ac:dyDescent="0.45">
      <c r="A789" t="s">
        <v>90</v>
      </c>
      <c r="B789" t="s">
        <v>6</v>
      </c>
      <c r="C789" t="s">
        <v>84</v>
      </c>
      <c r="D789" t="s">
        <v>54</v>
      </c>
      <c r="E789" t="s">
        <v>25</v>
      </c>
      <c r="F789" t="s">
        <v>54</v>
      </c>
      <c r="G789" t="s">
        <v>71</v>
      </c>
      <c r="H789" t="s">
        <v>89</v>
      </c>
      <c r="I789">
        <v>2050</v>
      </c>
      <c r="J789">
        <v>0</v>
      </c>
      <c r="K789" t="s">
        <v>54</v>
      </c>
      <c r="L789">
        <v>70</v>
      </c>
    </row>
    <row r="790" spans="1:12" x14ac:dyDescent="0.45">
      <c r="A790" t="s">
        <v>90</v>
      </c>
      <c r="B790" t="s">
        <v>5</v>
      </c>
      <c r="C790" t="s">
        <v>84</v>
      </c>
      <c r="D790" t="s">
        <v>54</v>
      </c>
      <c r="E790" t="s">
        <v>25</v>
      </c>
      <c r="F790" t="s">
        <v>54</v>
      </c>
      <c r="G790" t="s">
        <v>71</v>
      </c>
      <c r="H790" t="s">
        <v>89</v>
      </c>
      <c r="I790">
        <v>2050</v>
      </c>
      <c r="J790">
        <v>0</v>
      </c>
      <c r="K790" t="s">
        <v>54</v>
      </c>
      <c r="L790">
        <v>70</v>
      </c>
    </row>
    <row r="791" spans="1:12" x14ac:dyDescent="0.45">
      <c r="A791" t="s">
        <v>90</v>
      </c>
      <c r="B791" t="s">
        <v>2</v>
      </c>
      <c r="C791" t="s">
        <v>84</v>
      </c>
      <c r="D791" t="s">
        <v>54</v>
      </c>
      <c r="E791" t="s">
        <v>25</v>
      </c>
      <c r="F791" t="s">
        <v>54</v>
      </c>
      <c r="G791" t="s">
        <v>71</v>
      </c>
      <c r="H791" t="s">
        <v>89</v>
      </c>
      <c r="I791">
        <v>2050</v>
      </c>
      <c r="J791">
        <v>0</v>
      </c>
      <c r="K791" t="s">
        <v>54</v>
      </c>
      <c r="L791">
        <v>70</v>
      </c>
    </row>
    <row r="792" spans="1:12" x14ac:dyDescent="0.45">
      <c r="A792" t="s">
        <v>90</v>
      </c>
      <c r="B792" t="s">
        <v>1</v>
      </c>
      <c r="C792" t="s">
        <v>84</v>
      </c>
      <c r="D792" t="s">
        <v>54</v>
      </c>
      <c r="E792" t="s">
        <v>25</v>
      </c>
      <c r="F792" t="s">
        <v>54</v>
      </c>
      <c r="G792" t="s">
        <v>71</v>
      </c>
      <c r="H792" t="s">
        <v>89</v>
      </c>
      <c r="I792">
        <v>2050</v>
      </c>
      <c r="J792">
        <v>0</v>
      </c>
      <c r="K792" t="s">
        <v>54</v>
      </c>
      <c r="L792">
        <v>70</v>
      </c>
    </row>
    <row r="793" spans="1:12" x14ac:dyDescent="0.45">
      <c r="A793" t="s">
        <v>90</v>
      </c>
      <c r="B793" t="s">
        <v>3</v>
      </c>
      <c r="C793" t="s">
        <v>84</v>
      </c>
      <c r="D793" t="s">
        <v>54</v>
      </c>
      <c r="E793" t="s">
        <v>25</v>
      </c>
      <c r="F793" t="s">
        <v>54</v>
      </c>
      <c r="G793" t="s">
        <v>71</v>
      </c>
      <c r="H793" t="s">
        <v>89</v>
      </c>
      <c r="I793">
        <v>2055</v>
      </c>
      <c r="J793">
        <v>0</v>
      </c>
      <c r="K793" t="s">
        <v>54</v>
      </c>
      <c r="L793">
        <v>70</v>
      </c>
    </row>
    <row r="794" spans="1:12" x14ac:dyDescent="0.45">
      <c r="A794" t="s">
        <v>90</v>
      </c>
      <c r="B794" t="s">
        <v>4</v>
      </c>
      <c r="C794" t="s">
        <v>84</v>
      </c>
      <c r="D794" t="s">
        <v>54</v>
      </c>
      <c r="E794" t="s">
        <v>25</v>
      </c>
      <c r="F794" t="s">
        <v>54</v>
      </c>
      <c r="G794" t="s">
        <v>71</v>
      </c>
      <c r="H794" t="s">
        <v>89</v>
      </c>
      <c r="I794">
        <v>2055</v>
      </c>
      <c r="J794">
        <v>0</v>
      </c>
      <c r="K794" t="s">
        <v>54</v>
      </c>
      <c r="L794">
        <v>70</v>
      </c>
    </row>
    <row r="795" spans="1:12" x14ac:dyDescent="0.45">
      <c r="A795" t="s">
        <v>90</v>
      </c>
      <c r="B795" t="s">
        <v>0</v>
      </c>
      <c r="C795" t="s">
        <v>84</v>
      </c>
      <c r="D795" t="s">
        <v>54</v>
      </c>
      <c r="E795" t="s">
        <v>25</v>
      </c>
      <c r="F795" t="s">
        <v>54</v>
      </c>
      <c r="G795" t="s">
        <v>71</v>
      </c>
      <c r="H795" t="s">
        <v>89</v>
      </c>
      <c r="I795">
        <v>2055</v>
      </c>
      <c r="J795">
        <v>0</v>
      </c>
      <c r="K795" t="s">
        <v>54</v>
      </c>
      <c r="L795">
        <v>70</v>
      </c>
    </row>
    <row r="796" spans="1:12" x14ac:dyDescent="0.45">
      <c r="A796" t="s">
        <v>90</v>
      </c>
      <c r="B796" t="s">
        <v>6</v>
      </c>
      <c r="C796" t="s">
        <v>84</v>
      </c>
      <c r="D796" t="s">
        <v>54</v>
      </c>
      <c r="E796" t="s">
        <v>25</v>
      </c>
      <c r="F796" t="s">
        <v>54</v>
      </c>
      <c r="G796" t="s">
        <v>71</v>
      </c>
      <c r="H796" t="s">
        <v>89</v>
      </c>
      <c r="I796">
        <v>2055</v>
      </c>
      <c r="J796">
        <v>0</v>
      </c>
      <c r="K796" t="s">
        <v>54</v>
      </c>
      <c r="L796">
        <v>70</v>
      </c>
    </row>
    <row r="797" spans="1:12" x14ac:dyDescent="0.45">
      <c r="A797" t="s">
        <v>90</v>
      </c>
      <c r="B797" t="s">
        <v>5</v>
      </c>
      <c r="C797" t="s">
        <v>84</v>
      </c>
      <c r="D797" t="s">
        <v>54</v>
      </c>
      <c r="E797" t="s">
        <v>25</v>
      </c>
      <c r="F797" t="s">
        <v>54</v>
      </c>
      <c r="G797" t="s">
        <v>71</v>
      </c>
      <c r="H797" t="s">
        <v>89</v>
      </c>
      <c r="I797">
        <v>2055</v>
      </c>
      <c r="J797">
        <v>0</v>
      </c>
      <c r="K797" t="s">
        <v>54</v>
      </c>
      <c r="L797">
        <v>70</v>
      </c>
    </row>
    <row r="798" spans="1:12" x14ac:dyDescent="0.45">
      <c r="A798" t="s">
        <v>90</v>
      </c>
      <c r="B798" t="s">
        <v>2</v>
      </c>
      <c r="C798" t="s">
        <v>84</v>
      </c>
      <c r="D798" t="s">
        <v>54</v>
      </c>
      <c r="E798" t="s">
        <v>25</v>
      </c>
      <c r="F798" t="s">
        <v>54</v>
      </c>
      <c r="G798" t="s">
        <v>71</v>
      </c>
      <c r="H798" t="s">
        <v>89</v>
      </c>
      <c r="I798">
        <v>2055</v>
      </c>
      <c r="J798">
        <v>0</v>
      </c>
      <c r="K798" t="s">
        <v>54</v>
      </c>
      <c r="L798">
        <v>70</v>
      </c>
    </row>
    <row r="799" spans="1:12" x14ac:dyDescent="0.45">
      <c r="A799" t="s">
        <v>90</v>
      </c>
      <c r="B799" t="s">
        <v>1</v>
      </c>
      <c r="C799" t="s">
        <v>84</v>
      </c>
      <c r="D799" t="s">
        <v>54</v>
      </c>
      <c r="E799" t="s">
        <v>25</v>
      </c>
      <c r="F799" t="s">
        <v>54</v>
      </c>
      <c r="G799" t="s">
        <v>71</v>
      </c>
      <c r="H799" t="s">
        <v>89</v>
      </c>
      <c r="I799">
        <v>2055</v>
      </c>
      <c r="J799">
        <v>0</v>
      </c>
      <c r="K799" t="s">
        <v>54</v>
      </c>
      <c r="L799">
        <v>70</v>
      </c>
    </row>
    <row r="800" spans="1:12" x14ac:dyDescent="0.45">
      <c r="A800" t="s">
        <v>90</v>
      </c>
      <c r="B800" t="s">
        <v>3</v>
      </c>
      <c r="C800" t="s">
        <v>84</v>
      </c>
      <c r="D800" t="s">
        <v>54</v>
      </c>
      <c r="E800" t="s">
        <v>25</v>
      </c>
      <c r="F800" t="s">
        <v>54</v>
      </c>
      <c r="G800" t="s">
        <v>71</v>
      </c>
      <c r="H800" t="s">
        <v>89</v>
      </c>
      <c r="I800">
        <v>2060</v>
      </c>
      <c r="J800">
        <v>0</v>
      </c>
      <c r="K800" t="s">
        <v>54</v>
      </c>
      <c r="L800">
        <v>70</v>
      </c>
    </row>
    <row r="801" spans="1:12" x14ac:dyDescent="0.45">
      <c r="A801" t="s">
        <v>90</v>
      </c>
      <c r="B801" t="s">
        <v>4</v>
      </c>
      <c r="C801" t="s">
        <v>84</v>
      </c>
      <c r="D801" t="s">
        <v>54</v>
      </c>
      <c r="E801" t="s">
        <v>25</v>
      </c>
      <c r="F801" t="s">
        <v>54</v>
      </c>
      <c r="G801" t="s">
        <v>71</v>
      </c>
      <c r="H801" t="s">
        <v>89</v>
      </c>
      <c r="I801">
        <v>2060</v>
      </c>
      <c r="J801">
        <v>0</v>
      </c>
      <c r="K801" t="s">
        <v>54</v>
      </c>
      <c r="L801">
        <v>70</v>
      </c>
    </row>
    <row r="802" spans="1:12" x14ac:dyDescent="0.45">
      <c r="A802" t="s">
        <v>90</v>
      </c>
      <c r="B802" t="s">
        <v>0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2060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6</v>
      </c>
      <c r="C803" t="s">
        <v>84</v>
      </c>
      <c r="D803" t="s">
        <v>54</v>
      </c>
      <c r="E803" t="s">
        <v>25</v>
      </c>
      <c r="F803" t="s">
        <v>54</v>
      </c>
      <c r="G803" t="s">
        <v>71</v>
      </c>
      <c r="H803" t="s">
        <v>89</v>
      </c>
      <c r="I803">
        <v>2060</v>
      </c>
      <c r="J803">
        <v>0</v>
      </c>
      <c r="K803" t="s">
        <v>54</v>
      </c>
      <c r="L803">
        <v>70</v>
      </c>
    </row>
    <row r="804" spans="1:12" x14ac:dyDescent="0.45">
      <c r="A804" t="s">
        <v>90</v>
      </c>
      <c r="B804" t="s">
        <v>5</v>
      </c>
      <c r="C804" t="s">
        <v>84</v>
      </c>
      <c r="D804" t="s">
        <v>54</v>
      </c>
      <c r="E804" t="s">
        <v>25</v>
      </c>
      <c r="F804" t="s">
        <v>54</v>
      </c>
      <c r="G804" t="s">
        <v>71</v>
      </c>
      <c r="H804" t="s">
        <v>89</v>
      </c>
      <c r="I804">
        <v>2060</v>
      </c>
      <c r="J804">
        <v>0</v>
      </c>
      <c r="K804" t="s">
        <v>54</v>
      </c>
      <c r="L804">
        <v>70</v>
      </c>
    </row>
    <row r="805" spans="1:12" x14ac:dyDescent="0.45">
      <c r="A805" t="s">
        <v>90</v>
      </c>
      <c r="B805" t="s">
        <v>2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2060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1</v>
      </c>
      <c r="C806" t="s">
        <v>84</v>
      </c>
      <c r="D806" t="s">
        <v>54</v>
      </c>
      <c r="E806" t="s">
        <v>25</v>
      </c>
      <c r="F806" t="s">
        <v>54</v>
      </c>
      <c r="G806" t="s">
        <v>71</v>
      </c>
      <c r="H806" t="s">
        <v>89</v>
      </c>
      <c r="I806">
        <v>2060</v>
      </c>
      <c r="J806">
        <v>0</v>
      </c>
      <c r="K806" t="s">
        <v>54</v>
      </c>
      <c r="L806">
        <v>70</v>
      </c>
    </row>
    <row r="807" spans="1:12" x14ac:dyDescent="0.45">
      <c r="A807" t="s">
        <v>90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H807" t="s">
        <v>89</v>
      </c>
      <c r="I807">
        <v>2065</v>
      </c>
      <c r="J807">
        <v>0</v>
      </c>
      <c r="K807" t="s">
        <v>54</v>
      </c>
      <c r="L807">
        <v>70</v>
      </c>
    </row>
    <row r="808" spans="1:12" x14ac:dyDescent="0.45">
      <c r="A808" t="s">
        <v>90</v>
      </c>
      <c r="B808" t="s">
        <v>4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2065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0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H809" t="s">
        <v>89</v>
      </c>
      <c r="I809">
        <v>2065</v>
      </c>
      <c r="J809">
        <v>0</v>
      </c>
      <c r="K809" t="s">
        <v>54</v>
      </c>
      <c r="L809">
        <v>70</v>
      </c>
    </row>
    <row r="810" spans="1:12" x14ac:dyDescent="0.45">
      <c r="A810" t="s">
        <v>90</v>
      </c>
      <c r="B810" t="s">
        <v>6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H810" t="s">
        <v>89</v>
      </c>
      <c r="I810">
        <v>2065</v>
      </c>
      <c r="J810">
        <v>0</v>
      </c>
      <c r="K810" t="s">
        <v>54</v>
      </c>
      <c r="L810">
        <v>70</v>
      </c>
    </row>
    <row r="811" spans="1:12" x14ac:dyDescent="0.45">
      <c r="A811" t="s">
        <v>90</v>
      </c>
      <c r="B811" t="s">
        <v>5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2065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2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H812" t="s">
        <v>89</v>
      </c>
      <c r="I812">
        <v>2065</v>
      </c>
      <c r="J812">
        <v>0</v>
      </c>
      <c r="K812" t="s">
        <v>54</v>
      </c>
      <c r="L812">
        <v>70</v>
      </c>
    </row>
    <row r="813" spans="1:12" x14ac:dyDescent="0.45">
      <c r="A813" t="s">
        <v>90</v>
      </c>
      <c r="B813" t="s">
        <v>1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H813" t="s">
        <v>89</v>
      </c>
      <c r="I813">
        <v>2065</v>
      </c>
      <c r="J813">
        <v>0</v>
      </c>
      <c r="K813" t="s">
        <v>54</v>
      </c>
      <c r="L813">
        <v>70</v>
      </c>
    </row>
    <row r="814" spans="1:12" x14ac:dyDescent="0.45">
      <c r="A814" t="s">
        <v>90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2070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4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H815" t="s">
        <v>89</v>
      </c>
      <c r="I815">
        <v>2070</v>
      </c>
      <c r="J815">
        <v>0</v>
      </c>
      <c r="K815" t="s">
        <v>54</v>
      </c>
      <c r="L815">
        <v>70</v>
      </c>
    </row>
    <row r="816" spans="1:12" x14ac:dyDescent="0.45">
      <c r="A816" t="s">
        <v>90</v>
      </c>
      <c r="B816" t="s">
        <v>0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H816" t="s">
        <v>89</v>
      </c>
      <c r="I816">
        <v>2070</v>
      </c>
      <c r="J816">
        <v>0</v>
      </c>
      <c r="K816" t="s">
        <v>54</v>
      </c>
      <c r="L816">
        <v>70</v>
      </c>
    </row>
    <row r="817" spans="1:12" x14ac:dyDescent="0.45">
      <c r="A817" t="s">
        <v>90</v>
      </c>
      <c r="B817" t="s">
        <v>6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5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H818" t="s">
        <v>89</v>
      </c>
      <c r="I818">
        <v>2070</v>
      </c>
      <c r="J818">
        <v>0</v>
      </c>
      <c r="K818" t="s">
        <v>54</v>
      </c>
      <c r="L818">
        <v>70</v>
      </c>
    </row>
    <row r="819" spans="1:12" x14ac:dyDescent="0.45">
      <c r="A819" t="s">
        <v>90</v>
      </c>
      <c r="B819" t="s">
        <v>2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H819" t="s">
        <v>89</v>
      </c>
      <c r="I819">
        <v>2070</v>
      </c>
      <c r="J819">
        <v>0</v>
      </c>
      <c r="K819" t="s">
        <v>54</v>
      </c>
      <c r="L819">
        <v>70</v>
      </c>
    </row>
    <row r="820" spans="1:12" x14ac:dyDescent="0.45">
      <c r="A820" t="s">
        <v>90</v>
      </c>
      <c r="B820" t="s">
        <v>1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2070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2075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2075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2075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2075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2075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2075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2075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54</v>
      </c>
      <c r="E828" t="s">
        <v>25</v>
      </c>
      <c r="F828" t="s">
        <v>54</v>
      </c>
      <c r="G828" t="s">
        <v>71</v>
      </c>
      <c r="H828" t="s">
        <v>89</v>
      </c>
      <c r="I828">
        <v>2080</v>
      </c>
      <c r="J828">
        <v>0</v>
      </c>
      <c r="K828" t="s">
        <v>54</v>
      </c>
      <c r="L828">
        <v>70</v>
      </c>
    </row>
    <row r="829" spans="1:12" x14ac:dyDescent="0.45">
      <c r="A829" t="s">
        <v>90</v>
      </c>
      <c r="B829" t="s">
        <v>4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2080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0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2080</v>
      </c>
      <c r="J830">
        <v>0</v>
      </c>
      <c r="K830" t="s">
        <v>54</v>
      </c>
      <c r="L830">
        <v>70</v>
      </c>
    </row>
    <row r="831" spans="1:12" x14ac:dyDescent="0.45">
      <c r="A831" t="s">
        <v>90</v>
      </c>
      <c r="B831" t="s">
        <v>6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2080</v>
      </c>
      <c r="J831">
        <v>0</v>
      </c>
      <c r="K831" t="s">
        <v>54</v>
      </c>
      <c r="L831">
        <v>70</v>
      </c>
    </row>
    <row r="832" spans="1:12" x14ac:dyDescent="0.45">
      <c r="A832" t="s">
        <v>90</v>
      </c>
      <c r="B832" t="s">
        <v>5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2080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2080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1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2080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3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2085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4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2085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0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2085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6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2085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5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2085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2085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1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2085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3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2090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4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0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6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2090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5</v>
      </c>
      <c r="C846" t="s">
        <v>84</v>
      </c>
      <c r="D846" t="s">
        <v>54</v>
      </c>
      <c r="E846" t="s">
        <v>25</v>
      </c>
      <c r="F846" t="s">
        <v>54</v>
      </c>
      <c r="G846" t="s">
        <v>71</v>
      </c>
      <c r="H846" t="s">
        <v>89</v>
      </c>
      <c r="I846">
        <v>2090</v>
      </c>
      <c r="J846">
        <v>0</v>
      </c>
      <c r="K846" t="s">
        <v>54</v>
      </c>
      <c r="L846">
        <v>70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2090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1</v>
      </c>
      <c r="C848" t="s">
        <v>84</v>
      </c>
      <c r="D848" t="s">
        <v>54</v>
      </c>
      <c r="E848" t="s">
        <v>25</v>
      </c>
      <c r="F848" t="s">
        <v>54</v>
      </c>
      <c r="G848" t="s">
        <v>71</v>
      </c>
      <c r="H848" t="s">
        <v>89</v>
      </c>
      <c r="I848">
        <v>2090</v>
      </c>
      <c r="J848">
        <v>0</v>
      </c>
      <c r="K848" t="s">
        <v>54</v>
      </c>
      <c r="L848">
        <v>70</v>
      </c>
    </row>
    <row r="849" spans="1:12" x14ac:dyDescent="0.45">
      <c r="A849" t="s">
        <v>90</v>
      </c>
      <c r="B849" t="s">
        <v>3</v>
      </c>
      <c r="C849" t="s">
        <v>84</v>
      </c>
      <c r="D849" t="s">
        <v>54</v>
      </c>
      <c r="E849" t="s">
        <v>25</v>
      </c>
      <c r="F849" t="s">
        <v>54</v>
      </c>
      <c r="G849" t="s">
        <v>71</v>
      </c>
      <c r="H849" t="s">
        <v>89</v>
      </c>
      <c r="I849">
        <v>2095</v>
      </c>
      <c r="J849">
        <v>0</v>
      </c>
      <c r="K849" t="s">
        <v>54</v>
      </c>
      <c r="L849">
        <v>70</v>
      </c>
    </row>
    <row r="850" spans="1:12" x14ac:dyDescent="0.45">
      <c r="A850" t="s">
        <v>90</v>
      </c>
      <c r="B850" t="s">
        <v>4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2095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0</v>
      </c>
      <c r="C851" t="s">
        <v>84</v>
      </c>
      <c r="D851" t="s">
        <v>54</v>
      </c>
      <c r="E851" t="s">
        <v>25</v>
      </c>
      <c r="F851" t="s">
        <v>54</v>
      </c>
      <c r="G851" t="s">
        <v>71</v>
      </c>
      <c r="H851" t="s">
        <v>89</v>
      </c>
      <c r="I851">
        <v>2095</v>
      </c>
      <c r="J851">
        <v>0</v>
      </c>
      <c r="K851" t="s">
        <v>54</v>
      </c>
      <c r="L851">
        <v>70</v>
      </c>
    </row>
    <row r="852" spans="1:12" x14ac:dyDescent="0.45">
      <c r="A852" t="s">
        <v>90</v>
      </c>
      <c r="B852" t="s">
        <v>6</v>
      </c>
      <c r="C852" t="s">
        <v>84</v>
      </c>
      <c r="D852" t="s">
        <v>54</v>
      </c>
      <c r="E852" t="s">
        <v>25</v>
      </c>
      <c r="F852" t="s">
        <v>54</v>
      </c>
      <c r="G852" t="s">
        <v>71</v>
      </c>
      <c r="H852" t="s">
        <v>89</v>
      </c>
      <c r="I852">
        <v>2095</v>
      </c>
      <c r="J852">
        <v>0</v>
      </c>
      <c r="K852" t="s">
        <v>54</v>
      </c>
      <c r="L852">
        <v>70</v>
      </c>
    </row>
    <row r="853" spans="1:12" x14ac:dyDescent="0.45">
      <c r="A853" t="s">
        <v>90</v>
      </c>
      <c r="B853" t="s">
        <v>5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2095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2</v>
      </c>
      <c r="C854" t="s">
        <v>84</v>
      </c>
      <c r="D854" t="s">
        <v>54</v>
      </c>
      <c r="E854" t="s">
        <v>25</v>
      </c>
      <c r="F854" t="s">
        <v>54</v>
      </c>
      <c r="G854" t="s">
        <v>71</v>
      </c>
      <c r="H854" t="s">
        <v>89</v>
      </c>
      <c r="I854">
        <v>2095</v>
      </c>
      <c r="J854">
        <v>0</v>
      </c>
      <c r="K854" t="s">
        <v>54</v>
      </c>
      <c r="L854">
        <v>70</v>
      </c>
    </row>
    <row r="855" spans="1:12" x14ac:dyDescent="0.45">
      <c r="A855" t="s">
        <v>90</v>
      </c>
      <c r="B855" t="s">
        <v>1</v>
      </c>
      <c r="C855" t="s">
        <v>84</v>
      </c>
      <c r="D855" t="s">
        <v>54</v>
      </c>
      <c r="E855" t="s">
        <v>25</v>
      </c>
      <c r="F855" t="s">
        <v>54</v>
      </c>
      <c r="G855" t="s">
        <v>71</v>
      </c>
      <c r="H855" t="s">
        <v>89</v>
      </c>
      <c r="I855">
        <v>2095</v>
      </c>
      <c r="J855">
        <v>0</v>
      </c>
      <c r="K855" t="s">
        <v>54</v>
      </c>
      <c r="L855">
        <v>70</v>
      </c>
    </row>
    <row r="856" spans="1:12" x14ac:dyDescent="0.45">
      <c r="A856" t="s">
        <v>90</v>
      </c>
      <c r="B856" t="s">
        <v>3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2100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4</v>
      </c>
      <c r="C857" t="s">
        <v>84</v>
      </c>
      <c r="D857" t="s">
        <v>54</v>
      </c>
      <c r="E857" t="s">
        <v>25</v>
      </c>
      <c r="F857" t="s">
        <v>54</v>
      </c>
      <c r="G857" t="s">
        <v>71</v>
      </c>
      <c r="H857" t="s">
        <v>89</v>
      </c>
      <c r="I857">
        <v>2100</v>
      </c>
      <c r="J857">
        <v>0</v>
      </c>
      <c r="K857" t="s">
        <v>54</v>
      </c>
      <c r="L857">
        <v>70</v>
      </c>
    </row>
    <row r="858" spans="1:12" x14ac:dyDescent="0.45">
      <c r="A858" t="s">
        <v>90</v>
      </c>
      <c r="B858" t="s">
        <v>0</v>
      </c>
      <c r="C858" t="s">
        <v>84</v>
      </c>
      <c r="D858" t="s">
        <v>54</v>
      </c>
      <c r="E858" t="s">
        <v>25</v>
      </c>
      <c r="F858" t="s">
        <v>54</v>
      </c>
      <c r="G858" t="s">
        <v>71</v>
      </c>
      <c r="H858" t="s">
        <v>89</v>
      </c>
      <c r="I858">
        <v>2100</v>
      </c>
      <c r="J858">
        <v>0</v>
      </c>
      <c r="K858" t="s">
        <v>54</v>
      </c>
      <c r="L858">
        <v>70</v>
      </c>
    </row>
    <row r="859" spans="1:12" x14ac:dyDescent="0.45">
      <c r="A859" t="s">
        <v>90</v>
      </c>
      <c r="B859" t="s">
        <v>6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2100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5</v>
      </c>
      <c r="C860" t="s">
        <v>84</v>
      </c>
      <c r="D860" t="s">
        <v>54</v>
      </c>
      <c r="E860" t="s">
        <v>25</v>
      </c>
      <c r="F860" t="s">
        <v>54</v>
      </c>
      <c r="G860" t="s">
        <v>71</v>
      </c>
      <c r="H860" t="s">
        <v>89</v>
      </c>
      <c r="I860">
        <v>2100</v>
      </c>
      <c r="J860">
        <v>0</v>
      </c>
      <c r="K860" t="s">
        <v>54</v>
      </c>
      <c r="L860">
        <v>70</v>
      </c>
    </row>
    <row r="861" spans="1:12" x14ac:dyDescent="0.45">
      <c r="A861" t="s">
        <v>90</v>
      </c>
      <c r="B861" t="s">
        <v>2</v>
      </c>
      <c r="C861" t="s">
        <v>84</v>
      </c>
      <c r="D861" t="s">
        <v>54</v>
      </c>
      <c r="E861" t="s">
        <v>25</v>
      </c>
      <c r="F861" t="s">
        <v>54</v>
      </c>
      <c r="G861" t="s">
        <v>71</v>
      </c>
      <c r="H861" t="s">
        <v>89</v>
      </c>
      <c r="I861">
        <v>2100</v>
      </c>
      <c r="J861">
        <v>0</v>
      </c>
      <c r="K861" t="s">
        <v>54</v>
      </c>
      <c r="L861">
        <v>70</v>
      </c>
    </row>
    <row r="862" spans="1:12" x14ac:dyDescent="0.45">
      <c r="A862" t="s">
        <v>90</v>
      </c>
      <c r="B862" t="s">
        <v>1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3</v>
      </c>
      <c r="C863" t="s">
        <v>84</v>
      </c>
      <c r="D863" t="s">
        <v>85</v>
      </c>
      <c r="E863" t="s">
        <v>25</v>
      </c>
      <c r="F863" t="s">
        <v>85</v>
      </c>
      <c r="G863" t="s">
        <v>26</v>
      </c>
      <c r="H863" t="s">
        <v>82</v>
      </c>
      <c r="I863">
        <v>2020</v>
      </c>
      <c r="J863">
        <v>7.1000000000000004E-3</v>
      </c>
      <c r="K863" t="s">
        <v>85</v>
      </c>
    </row>
    <row r="864" spans="1:12" x14ac:dyDescent="0.45">
      <c r="A864" t="s">
        <v>90</v>
      </c>
      <c r="B864" t="s">
        <v>4</v>
      </c>
      <c r="C864" t="s">
        <v>84</v>
      </c>
      <c r="D864" t="s">
        <v>85</v>
      </c>
      <c r="E864" t="s">
        <v>25</v>
      </c>
      <c r="F864" t="s">
        <v>85</v>
      </c>
      <c r="G864" t="s">
        <v>26</v>
      </c>
      <c r="H864" t="s">
        <v>82</v>
      </c>
      <c r="I864">
        <v>2020</v>
      </c>
      <c r="J864">
        <v>7.1999999999999998E-3</v>
      </c>
      <c r="K864" t="s">
        <v>85</v>
      </c>
    </row>
    <row r="865" spans="1:11" x14ac:dyDescent="0.45">
      <c r="A865" t="s">
        <v>90</v>
      </c>
      <c r="B865" t="s">
        <v>0</v>
      </c>
      <c r="C865" t="s">
        <v>84</v>
      </c>
      <c r="D865" t="s">
        <v>85</v>
      </c>
      <c r="E865" t="s">
        <v>25</v>
      </c>
      <c r="F865" t="s">
        <v>85</v>
      </c>
      <c r="G865" t="s">
        <v>26</v>
      </c>
      <c r="H865" t="s">
        <v>82</v>
      </c>
      <c r="I865">
        <v>2020</v>
      </c>
      <c r="J865">
        <v>7.1500000000000001E-3</v>
      </c>
      <c r="K865" t="s">
        <v>85</v>
      </c>
    </row>
    <row r="866" spans="1:11" x14ac:dyDescent="0.45">
      <c r="A866" t="s">
        <v>90</v>
      </c>
      <c r="B866" t="s">
        <v>6</v>
      </c>
      <c r="C866" t="s">
        <v>84</v>
      </c>
      <c r="D866" t="s">
        <v>85</v>
      </c>
      <c r="E866" t="s">
        <v>25</v>
      </c>
      <c r="F866" t="s">
        <v>85</v>
      </c>
      <c r="G866" t="s">
        <v>26</v>
      </c>
      <c r="H866" t="s">
        <v>82</v>
      </c>
      <c r="I866">
        <v>2020</v>
      </c>
      <c r="J866">
        <v>7.1500000000000001E-3</v>
      </c>
      <c r="K866" t="s">
        <v>85</v>
      </c>
    </row>
    <row r="867" spans="1:11" x14ac:dyDescent="0.45">
      <c r="A867" t="s">
        <v>90</v>
      </c>
      <c r="B867" t="s">
        <v>5</v>
      </c>
      <c r="C867" t="s">
        <v>84</v>
      </c>
      <c r="D867" t="s">
        <v>85</v>
      </c>
      <c r="E867" t="s">
        <v>25</v>
      </c>
      <c r="F867" t="s">
        <v>85</v>
      </c>
      <c r="G867" t="s">
        <v>26</v>
      </c>
      <c r="H867" t="s">
        <v>82</v>
      </c>
      <c r="I867">
        <v>2020</v>
      </c>
      <c r="J867">
        <v>6.1000000000000004E-3</v>
      </c>
      <c r="K867" t="s">
        <v>85</v>
      </c>
    </row>
    <row r="868" spans="1:11" x14ac:dyDescent="0.45">
      <c r="A868" t="s">
        <v>90</v>
      </c>
      <c r="B868" t="s">
        <v>2</v>
      </c>
      <c r="C868" t="s">
        <v>84</v>
      </c>
      <c r="D868" t="s">
        <v>85</v>
      </c>
      <c r="E868" t="s">
        <v>25</v>
      </c>
      <c r="F868" t="s">
        <v>85</v>
      </c>
      <c r="G868" t="s">
        <v>26</v>
      </c>
      <c r="H868" t="s">
        <v>82</v>
      </c>
      <c r="I868">
        <v>2020</v>
      </c>
      <c r="J868">
        <v>7.1000000000000004E-3</v>
      </c>
      <c r="K868" t="s">
        <v>85</v>
      </c>
    </row>
    <row r="869" spans="1:11" x14ac:dyDescent="0.45">
      <c r="A869" t="s">
        <v>90</v>
      </c>
      <c r="B869" t="s">
        <v>1</v>
      </c>
      <c r="C869" t="s">
        <v>84</v>
      </c>
      <c r="D869" t="s">
        <v>85</v>
      </c>
      <c r="E869" t="s">
        <v>25</v>
      </c>
      <c r="F869" t="s">
        <v>85</v>
      </c>
      <c r="G869" t="s">
        <v>26</v>
      </c>
      <c r="H869" t="s">
        <v>82</v>
      </c>
      <c r="I869">
        <v>2020</v>
      </c>
      <c r="J869">
        <v>7.0000000000000001E-3</v>
      </c>
      <c r="K869" t="s">
        <v>85</v>
      </c>
    </row>
    <row r="870" spans="1:11" x14ac:dyDescent="0.45">
      <c r="A870" t="s">
        <v>90</v>
      </c>
      <c r="B870" t="s">
        <v>3</v>
      </c>
      <c r="C870" t="s">
        <v>84</v>
      </c>
      <c r="D870" t="s">
        <v>85</v>
      </c>
      <c r="E870" t="s">
        <v>25</v>
      </c>
      <c r="F870" t="s">
        <v>85</v>
      </c>
      <c r="G870" t="s">
        <v>26</v>
      </c>
      <c r="H870" t="s">
        <v>82</v>
      </c>
      <c r="I870">
        <v>2025</v>
      </c>
      <c r="J870">
        <v>3.1399999999999997E-2</v>
      </c>
      <c r="K870" t="s">
        <v>85</v>
      </c>
    </row>
    <row r="871" spans="1:11" x14ac:dyDescent="0.45">
      <c r="A871" t="s">
        <v>90</v>
      </c>
      <c r="B871" t="s">
        <v>4</v>
      </c>
      <c r="C871" t="s">
        <v>84</v>
      </c>
      <c r="D871" t="s">
        <v>85</v>
      </c>
      <c r="E871" t="s">
        <v>25</v>
      </c>
      <c r="F871" t="s">
        <v>85</v>
      </c>
      <c r="G871" t="s">
        <v>26</v>
      </c>
      <c r="H871" t="s">
        <v>82</v>
      </c>
      <c r="I871">
        <v>2025</v>
      </c>
      <c r="J871">
        <v>3.1300000000000001E-2</v>
      </c>
      <c r="K871" t="s">
        <v>85</v>
      </c>
    </row>
    <row r="872" spans="1:11" x14ac:dyDescent="0.45">
      <c r="A872" t="s">
        <v>90</v>
      </c>
      <c r="B872" t="s">
        <v>0</v>
      </c>
      <c r="C872" t="s">
        <v>84</v>
      </c>
      <c r="D872" t="s">
        <v>85</v>
      </c>
      <c r="E872" t="s">
        <v>25</v>
      </c>
      <c r="F872" t="s">
        <v>85</v>
      </c>
      <c r="G872" t="s">
        <v>26</v>
      </c>
      <c r="H872" t="s">
        <v>82</v>
      </c>
      <c r="I872">
        <v>2025</v>
      </c>
      <c r="J872">
        <v>3.1199999999999999E-2</v>
      </c>
      <c r="K872" t="s">
        <v>85</v>
      </c>
    </row>
    <row r="873" spans="1:11" x14ac:dyDescent="0.45">
      <c r="A873" t="s">
        <v>90</v>
      </c>
      <c r="B873" t="s">
        <v>6</v>
      </c>
      <c r="C873" t="s">
        <v>84</v>
      </c>
      <c r="D873" t="s">
        <v>85</v>
      </c>
      <c r="E873" t="s">
        <v>25</v>
      </c>
      <c r="F873" t="s">
        <v>85</v>
      </c>
      <c r="G873" t="s">
        <v>26</v>
      </c>
      <c r="H873" t="s">
        <v>82</v>
      </c>
      <c r="I873">
        <v>2025</v>
      </c>
      <c r="J873">
        <v>3.125E-2</v>
      </c>
      <c r="K873" t="s">
        <v>85</v>
      </c>
    </row>
    <row r="874" spans="1:11" x14ac:dyDescent="0.45">
      <c r="A874" t="s">
        <v>90</v>
      </c>
      <c r="B874" t="s">
        <v>5</v>
      </c>
      <c r="C874" t="s">
        <v>84</v>
      </c>
      <c r="D874" t="s">
        <v>85</v>
      </c>
      <c r="E874" t="s">
        <v>25</v>
      </c>
      <c r="F874" t="s">
        <v>85</v>
      </c>
      <c r="G874" t="s">
        <v>26</v>
      </c>
      <c r="H874" t="s">
        <v>82</v>
      </c>
      <c r="I874">
        <v>2025</v>
      </c>
      <c r="J874">
        <v>2.4899999999999999E-2</v>
      </c>
      <c r="K874" t="s">
        <v>85</v>
      </c>
    </row>
    <row r="875" spans="1:11" x14ac:dyDescent="0.45">
      <c r="A875" t="s">
        <v>90</v>
      </c>
      <c r="B875" t="s">
        <v>2</v>
      </c>
      <c r="C875" t="s">
        <v>84</v>
      </c>
      <c r="D875" t="s">
        <v>85</v>
      </c>
      <c r="E875" t="s">
        <v>25</v>
      </c>
      <c r="F875" t="s">
        <v>85</v>
      </c>
      <c r="G875" t="s">
        <v>26</v>
      </c>
      <c r="H875" t="s">
        <v>82</v>
      </c>
      <c r="I875">
        <v>2025</v>
      </c>
      <c r="J875">
        <v>3.1600000000000003E-2</v>
      </c>
      <c r="K875" t="s">
        <v>85</v>
      </c>
    </row>
    <row r="876" spans="1:11" x14ac:dyDescent="0.45">
      <c r="A876" t="s">
        <v>90</v>
      </c>
      <c r="B876" t="s">
        <v>1</v>
      </c>
      <c r="C876" t="s">
        <v>84</v>
      </c>
      <c r="D876" t="s">
        <v>85</v>
      </c>
      <c r="E876" t="s">
        <v>25</v>
      </c>
      <c r="F876" t="s">
        <v>85</v>
      </c>
      <c r="G876" t="s">
        <v>26</v>
      </c>
      <c r="H876" t="s">
        <v>82</v>
      </c>
      <c r="I876">
        <v>2025</v>
      </c>
      <c r="J876">
        <v>3.15E-2</v>
      </c>
      <c r="K876" t="s">
        <v>85</v>
      </c>
    </row>
    <row r="877" spans="1:11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2030</v>
      </c>
      <c r="J877">
        <v>6.9250000000000006E-2</v>
      </c>
      <c r="K877" t="s">
        <v>85</v>
      </c>
    </row>
    <row r="878" spans="1:11" x14ac:dyDescent="0.45">
      <c r="A878" t="s">
        <v>90</v>
      </c>
      <c r="B878" t="s">
        <v>4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2030</v>
      </c>
      <c r="J878">
        <v>6.4750000000000002E-2</v>
      </c>
      <c r="K878" t="s">
        <v>85</v>
      </c>
    </row>
    <row r="879" spans="1:11" x14ac:dyDescent="0.45">
      <c r="A879" t="s">
        <v>90</v>
      </c>
      <c r="B879" t="s">
        <v>0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2030</v>
      </c>
      <c r="J879">
        <v>6.4699999999999994E-2</v>
      </c>
      <c r="K879" t="s">
        <v>85</v>
      </c>
    </row>
    <row r="880" spans="1:11" x14ac:dyDescent="0.45">
      <c r="A880" t="s">
        <v>90</v>
      </c>
      <c r="B880" t="s">
        <v>6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2030</v>
      </c>
      <c r="J880">
        <v>6.4750000000000002E-2</v>
      </c>
      <c r="K880" t="s">
        <v>85</v>
      </c>
    </row>
    <row r="881" spans="1:11" x14ac:dyDescent="0.45">
      <c r="A881" t="s">
        <v>90</v>
      </c>
      <c r="B881" t="s">
        <v>5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2030</v>
      </c>
      <c r="J881">
        <v>3.0449999999999998E-2</v>
      </c>
      <c r="K881" t="s">
        <v>85</v>
      </c>
    </row>
    <row r="882" spans="1:11" x14ac:dyDescent="0.45">
      <c r="A882" t="s">
        <v>90</v>
      </c>
      <c r="B882" t="s">
        <v>2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2030</v>
      </c>
      <c r="J882">
        <v>6.6549999999999998E-2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2030</v>
      </c>
      <c r="J883">
        <v>7.3349999999999999E-2</v>
      </c>
      <c r="K883" t="s">
        <v>85</v>
      </c>
    </row>
    <row r="884" spans="1:11" x14ac:dyDescent="0.45">
      <c r="A884" t="s">
        <v>90</v>
      </c>
      <c r="B884" t="s">
        <v>3</v>
      </c>
      <c r="C884" t="s">
        <v>84</v>
      </c>
      <c r="D884" t="s">
        <v>85</v>
      </c>
      <c r="E884" t="s">
        <v>25</v>
      </c>
      <c r="F884" t="s">
        <v>85</v>
      </c>
      <c r="G884" t="s">
        <v>26</v>
      </c>
      <c r="H884" t="s">
        <v>82</v>
      </c>
      <c r="I884">
        <v>2035</v>
      </c>
      <c r="J884">
        <v>8.6800000000000002E-2</v>
      </c>
      <c r="K884" t="s">
        <v>85</v>
      </c>
    </row>
    <row r="885" spans="1:11" x14ac:dyDescent="0.45">
      <c r="A885" t="s">
        <v>90</v>
      </c>
      <c r="B885" t="s">
        <v>4</v>
      </c>
      <c r="C885" t="s">
        <v>84</v>
      </c>
      <c r="D885" t="s">
        <v>85</v>
      </c>
      <c r="E885" t="s">
        <v>25</v>
      </c>
      <c r="F885" t="s">
        <v>85</v>
      </c>
      <c r="G885" t="s">
        <v>26</v>
      </c>
      <c r="H885" t="s">
        <v>82</v>
      </c>
      <c r="I885">
        <v>2035</v>
      </c>
      <c r="J885">
        <v>9.2249999999999999E-2</v>
      </c>
      <c r="K885" t="s">
        <v>85</v>
      </c>
    </row>
    <row r="886" spans="1:11" x14ac:dyDescent="0.45">
      <c r="A886" t="s">
        <v>90</v>
      </c>
      <c r="B886" t="s">
        <v>0</v>
      </c>
      <c r="C886" t="s">
        <v>84</v>
      </c>
      <c r="D886" t="s">
        <v>85</v>
      </c>
      <c r="E886" t="s">
        <v>25</v>
      </c>
      <c r="F886" t="s">
        <v>85</v>
      </c>
      <c r="G886" t="s">
        <v>26</v>
      </c>
      <c r="H886" t="s">
        <v>82</v>
      </c>
      <c r="I886">
        <v>2035</v>
      </c>
      <c r="J886">
        <v>9.1350000000000001E-2</v>
      </c>
      <c r="K886" t="s">
        <v>85</v>
      </c>
    </row>
    <row r="887" spans="1:11" x14ac:dyDescent="0.45">
      <c r="A887" t="s">
        <v>90</v>
      </c>
      <c r="B887" t="s">
        <v>6</v>
      </c>
      <c r="C887" t="s">
        <v>84</v>
      </c>
      <c r="D887" t="s">
        <v>85</v>
      </c>
      <c r="E887" t="s">
        <v>25</v>
      </c>
      <c r="F887" t="s">
        <v>85</v>
      </c>
      <c r="G887" t="s">
        <v>26</v>
      </c>
      <c r="H887" t="s">
        <v>82</v>
      </c>
      <c r="I887">
        <v>2035</v>
      </c>
      <c r="J887">
        <v>9.3700000000000006E-2</v>
      </c>
      <c r="K887" t="s">
        <v>85</v>
      </c>
    </row>
    <row r="888" spans="1:11" x14ac:dyDescent="0.45">
      <c r="A888" t="s">
        <v>90</v>
      </c>
      <c r="B888" t="s">
        <v>5</v>
      </c>
      <c r="C888" t="s">
        <v>84</v>
      </c>
      <c r="D888" t="s">
        <v>85</v>
      </c>
      <c r="E888" t="s">
        <v>25</v>
      </c>
      <c r="F888" t="s">
        <v>85</v>
      </c>
      <c r="G888" t="s">
        <v>26</v>
      </c>
      <c r="H888" t="s">
        <v>82</v>
      </c>
      <c r="I888">
        <v>2035</v>
      </c>
      <c r="J888">
        <v>3.27E-2</v>
      </c>
      <c r="K888" t="s">
        <v>85</v>
      </c>
    </row>
    <row r="889" spans="1:11" x14ac:dyDescent="0.45">
      <c r="A889" t="s">
        <v>90</v>
      </c>
      <c r="B889" t="s">
        <v>2</v>
      </c>
      <c r="C889" t="s">
        <v>84</v>
      </c>
      <c r="D889" t="s">
        <v>85</v>
      </c>
      <c r="E889" t="s">
        <v>25</v>
      </c>
      <c r="F889" t="s">
        <v>85</v>
      </c>
      <c r="G889" t="s">
        <v>26</v>
      </c>
      <c r="H889" t="s">
        <v>82</v>
      </c>
      <c r="I889">
        <v>2035</v>
      </c>
      <c r="J889">
        <v>9.3799999999999994E-2</v>
      </c>
      <c r="K889" t="s">
        <v>85</v>
      </c>
    </row>
    <row r="890" spans="1:11" x14ac:dyDescent="0.45">
      <c r="A890" t="s">
        <v>90</v>
      </c>
      <c r="B890" t="s">
        <v>1</v>
      </c>
      <c r="C890" t="s">
        <v>84</v>
      </c>
      <c r="D890" t="s">
        <v>85</v>
      </c>
      <c r="E890" t="s">
        <v>25</v>
      </c>
      <c r="F890" t="s">
        <v>85</v>
      </c>
      <c r="G890" t="s">
        <v>26</v>
      </c>
      <c r="H890" t="s">
        <v>82</v>
      </c>
      <c r="I890">
        <v>2035</v>
      </c>
      <c r="J890">
        <v>9.9449999999999997E-2</v>
      </c>
      <c r="K890" t="s">
        <v>85</v>
      </c>
    </row>
    <row r="891" spans="1:11" x14ac:dyDescent="0.45">
      <c r="A891" t="s">
        <v>90</v>
      </c>
      <c r="B891" t="s">
        <v>3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2040</v>
      </c>
      <c r="J891">
        <v>0.10189999999999999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2040</v>
      </c>
      <c r="J892">
        <v>0.1203</v>
      </c>
      <c r="K892" t="s">
        <v>85</v>
      </c>
    </row>
    <row r="893" spans="1:11" x14ac:dyDescent="0.45">
      <c r="A893" t="s">
        <v>90</v>
      </c>
      <c r="B893" t="s">
        <v>0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2040</v>
      </c>
      <c r="J893">
        <v>0.1061</v>
      </c>
      <c r="K893" t="s">
        <v>85</v>
      </c>
    </row>
    <row r="894" spans="1:11" x14ac:dyDescent="0.45">
      <c r="A894" t="s">
        <v>90</v>
      </c>
      <c r="B894" t="s">
        <v>6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2040</v>
      </c>
      <c r="J894">
        <v>0.12745000000000001</v>
      </c>
      <c r="K894" t="s">
        <v>85</v>
      </c>
    </row>
    <row r="895" spans="1:11" x14ac:dyDescent="0.45">
      <c r="A895" t="s">
        <v>90</v>
      </c>
      <c r="B895" t="s">
        <v>5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2040</v>
      </c>
      <c r="J895">
        <v>3.755E-2</v>
      </c>
      <c r="K895" t="s">
        <v>85</v>
      </c>
    </row>
    <row r="896" spans="1:11" x14ac:dyDescent="0.45">
      <c r="A896" t="s">
        <v>90</v>
      </c>
      <c r="B896" t="s">
        <v>2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2040</v>
      </c>
      <c r="J896">
        <v>0.11325</v>
      </c>
      <c r="K896" t="s">
        <v>85</v>
      </c>
    </row>
    <row r="897" spans="1:11" x14ac:dyDescent="0.45">
      <c r="A897" t="s">
        <v>90</v>
      </c>
      <c r="B897" t="s">
        <v>1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2040</v>
      </c>
      <c r="J897">
        <v>0.17225000000000001</v>
      </c>
      <c r="K897" t="s">
        <v>85</v>
      </c>
    </row>
    <row r="898" spans="1:11" x14ac:dyDescent="0.45">
      <c r="A898" t="s">
        <v>90</v>
      </c>
      <c r="B898" t="s">
        <v>3</v>
      </c>
      <c r="C898" t="s">
        <v>84</v>
      </c>
      <c r="D898" t="s">
        <v>85</v>
      </c>
      <c r="E898" t="s">
        <v>25</v>
      </c>
      <c r="F898" t="s">
        <v>85</v>
      </c>
      <c r="G898" t="s">
        <v>26</v>
      </c>
      <c r="H898" t="s">
        <v>82</v>
      </c>
      <c r="I898">
        <v>2045</v>
      </c>
      <c r="J898">
        <v>0.12125</v>
      </c>
      <c r="K898" t="s">
        <v>85</v>
      </c>
    </row>
    <row r="899" spans="1:11" x14ac:dyDescent="0.45">
      <c r="A899" t="s">
        <v>90</v>
      </c>
      <c r="B899" t="s">
        <v>4</v>
      </c>
      <c r="C899" t="s">
        <v>84</v>
      </c>
      <c r="D899" t="s">
        <v>85</v>
      </c>
      <c r="E899" t="s">
        <v>25</v>
      </c>
      <c r="F899" t="s">
        <v>85</v>
      </c>
      <c r="G899" t="s">
        <v>26</v>
      </c>
      <c r="H899" t="s">
        <v>82</v>
      </c>
      <c r="I899">
        <v>2045</v>
      </c>
      <c r="J899">
        <v>0.16089999999999999</v>
      </c>
      <c r="K899" t="s">
        <v>85</v>
      </c>
    </row>
    <row r="900" spans="1:11" x14ac:dyDescent="0.45">
      <c r="A900" t="s">
        <v>90</v>
      </c>
      <c r="B900" t="s">
        <v>0</v>
      </c>
      <c r="C900" t="s">
        <v>84</v>
      </c>
      <c r="D900" t="s">
        <v>85</v>
      </c>
      <c r="E900" t="s">
        <v>25</v>
      </c>
      <c r="F900" t="s">
        <v>85</v>
      </c>
      <c r="G900" t="s">
        <v>26</v>
      </c>
      <c r="H900" t="s">
        <v>82</v>
      </c>
      <c r="I900">
        <v>2045</v>
      </c>
      <c r="J900">
        <v>0.11345</v>
      </c>
      <c r="K900" t="s">
        <v>85</v>
      </c>
    </row>
    <row r="901" spans="1:11" x14ac:dyDescent="0.45">
      <c r="A901" t="s">
        <v>90</v>
      </c>
      <c r="B901" t="s">
        <v>6</v>
      </c>
      <c r="C901" t="s">
        <v>84</v>
      </c>
      <c r="D901" t="s">
        <v>85</v>
      </c>
      <c r="E901" t="s">
        <v>25</v>
      </c>
      <c r="F901" t="s">
        <v>85</v>
      </c>
      <c r="G901" t="s">
        <v>26</v>
      </c>
      <c r="H901" t="s">
        <v>82</v>
      </c>
      <c r="I901">
        <v>2045</v>
      </c>
      <c r="J901">
        <v>0.16920000000000002</v>
      </c>
      <c r="K901" t="s">
        <v>85</v>
      </c>
    </row>
    <row r="902" spans="1:11" x14ac:dyDescent="0.45">
      <c r="A902" t="s">
        <v>90</v>
      </c>
      <c r="B902" t="s">
        <v>5</v>
      </c>
      <c r="C902" t="s">
        <v>84</v>
      </c>
      <c r="D902" t="s">
        <v>85</v>
      </c>
      <c r="E902" t="s">
        <v>25</v>
      </c>
      <c r="F902" t="s">
        <v>85</v>
      </c>
      <c r="G902" t="s">
        <v>26</v>
      </c>
      <c r="H902" t="s">
        <v>82</v>
      </c>
      <c r="I902">
        <v>2045</v>
      </c>
      <c r="J902">
        <v>4.265E-2</v>
      </c>
      <c r="K902" t="s">
        <v>85</v>
      </c>
    </row>
    <row r="903" spans="1:11" x14ac:dyDescent="0.45">
      <c r="A903" t="s">
        <v>90</v>
      </c>
      <c r="B903" t="s">
        <v>2</v>
      </c>
      <c r="C903" t="s">
        <v>84</v>
      </c>
      <c r="D903" t="s">
        <v>85</v>
      </c>
      <c r="E903" t="s">
        <v>25</v>
      </c>
      <c r="F903" t="s">
        <v>85</v>
      </c>
      <c r="G903" t="s">
        <v>26</v>
      </c>
      <c r="H903" t="s">
        <v>82</v>
      </c>
      <c r="I903">
        <v>2045</v>
      </c>
      <c r="J903">
        <v>0.1321</v>
      </c>
      <c r="K903" t="s">
        <v>85</v>
      </c>
    </row>
    <row r="904" spans="1:11" x14ac:dyDescent="0.45">
      <c r="A904" t="s">
        <v>90</v>
      </c>
      <c r="B904" t="s">
        <v>1</v>
      </c>
      <c r="C904" t="s">
        <v>84</v>
      </c>
      <c r="D904" t="s">
        <v>85</v>
      </c>
      <c r="E904" t="s">
        <v>25</v>
      </c>
      <c r="F904" t="s">
        <v>85</v>
      </c>
      <c r="G904" t="s">
        <v>26</v>
      </c>
      <c r="H904" t="s">
        <v>82</v>
      </c>
      <c r="I904">
        <v>2045</v>
      </c>
      <c r="J904">
        <v>0.26805000000000001</v>
      </c>
      <c r="K904" t="s">
        <v>85</v>
      </c>
    </row>
    <row r="905" spans="1:11" x14ac:dyDescent="0.45">
      <c r="A905" t="s">
        <v>90</v>
      </c>
      <c r="B905" t="s">
        <v>3</v>
      </c>
      <c r="C905" t="s">
        <v>84</v>
      </c>
      <c r="D905" t="s">
        <v>85</v>
      </c>
      <c r="E905" t="s">
        <v>25</v>
      </c>
      <c r="F905" t="s">
        <v>85</v>
      </c>
      <c r="G905" t="s">
        <v>26</v>
      </c>
      <c r="H905" t="s">
        <v>82</v>
      </c>
      <c r="I905">
        <v>2050</v>
      </c>
      <c r="J905">
        <v>0.16969999999999999</v>
      </c>
      <c r="K905" t="s">
        <v>85</v>
      </c>
    </row>
    <row r="906" spans="1:11" x14ac:dyDescent="0.45">
      <c r="A906" t="s">
        <v>90</v>
      </c>
      <c r="B906" t="s">
        <v>4</v>
      </c>
      <c r="C906" t="s">
        <v>84</v>
      </c>
      <c r="D906" t="s">
        <v>85</v>
      </c>
      <c r="E906" t="s">
        <v>25</v>
      </c>
      <c r="F906" t="s">
        <v>85</v>
      </c>
      <c r="G906" t="s">
        <v>26</v>
      </c>
      <c r="H906" t="s">
        <v>82</v>
      </c>
      <c r="I906">
        <v>2050</v>
      </c>
      <c r="J906">
        <v>0.21105000000000002</v>
      </c>
      <c r="K906" t="s">
        <v>85</v>
      </c>
    </row>
    <row r="907" spans="1:11" x14ac:dyDescent="0.45">
      <c r="A907" t="s">
        <v>90</v>
      </c>
      <c r="B907" t="s">
        <v>0</v>
      </c>
      <c r="C907" t="s">
        <v>84</v>
      </c>
      <c r="D907" t="s">
        <v>85</v>
      </c>
      <c r="E907" t="s">
        <v>25</v>
      </c>
      <c r="F907" t="s">
        <v>85</v>
      </c>
      <c r="G907" t="s">
        <v>26</v>
      </c>
      <c r="H907" t="s">
        <v>82</v>
      </c>
      <c r="I907">
        <v>2050</v>
      </c>
      <c r="J907">
        <v>0.17875000000000002</v>
      </c>
      <c r="K907" t="s">
        <v>85</v>
      </c>
    </row>
    <row r="908" spans="1:11" x14ac:dyDescent="0.45">
      <c r="A908" t="s">
        <v>90</v>
      </c>
      <c r="B908" t="s">
        <v>6</v>
      </c>
      <c r="C908" t="s">
        <v>84</v>
      </c>
      <c r="D908" t="s">
        <v>85</v>
      </c>
      <c r="E908" t="s">
        <v>25</v>
      </c>
      <c r="F908" t="s">
        <v>85</v>
      </c>
      <c r="G908" t="s">
        <v>26</v>
      </c>
      <c r="H908" t="s">
        <v>82</v>
      </c>
      <c r="I908">
        <v>2050</v>
      </c>
      <c r="J908">
        <v>0.22614999999999999</v>
      </c>
      <c r="K908" t="s">
        <v>85</v>
      </c>
    </row>
    <row r="909" spans="1:11" x14ac:dyDescent="0.45">
      <c r="A909" t="s">
        <v>90</v>
      </c>
      <c r="B909" t="s">
        <v>5</v>
      </c>
      <c r="C909" t="s">
        <v>84</v>
      </c>
      <c r="D909" t="s">
        <v>85</v>
      </c>
      <c r="E909" t="s">
        <v>25</v>
      </c>
      <c r="F909" t="s">
        <v>85</v>
      </c>
      <c r="G909" t="s">
        <v>26</v>
      </c>
      <c r="H909" t="s">
        <v>82</v>
      </c>
      <c r="I909">
        <v>2050</v>
      </c>
      <c r="J909">
        <v>5.28E-2</v>
      </c>
      <c r="K909" t="s">
        <v>85</v>
      </c>
    </row>
    <row r="910" spans="1:11" x14ac:dyDescent="0.45">
      <c r="A910" t="s">
        <v>90</v>
      </c>
      <c r="B910" t="s">
        <v>2</v>
      </c>
      <c r="C910" t="s">
        <v>84</v>
      </c>
      <c r="D910" t="s">
        <v>85</v>
      </c>
      <c r="E910" t="s">
        <v>25</v>
      </c>
      <c r="F910" t="s">
        <v>85</v>
      </c>
      <c r="G910" t="s">
        <v>26</v>
      </c>
      <c r="H910" t="s">
        <v>82</v>
      </c>
      <c r="I910">
        <v>2050</v>
      </c>
      <c r="J910">
        <v>0.15355000000000002</v>
      </c>
      <c r="K910" t="s">
        <v>85</v>
      </c>
    </row>
    <row r="911" spans="1:11" x14ac:dyDescent="0.45">
      <c r="A911" t="s">
        <v>90</v>
      </c>
      <c r="B911" t="s">
        <v>1</v>
      </c>
      <c r="C911" t="s">
        <v>84</v>
      </c>
      <c r="D911" t="s">
        <v>85</v>
      </c>
      <c r="E911" t="s">
        <v>25</v>
      </c>
      <c r="F911" t="s">
        <v>85</v>
      </c>
      <c r="G911" t="s">
        <v>26</v>
      </c>
      <c r="H911" t="s">
        <v>82</v>
      </c>
      <c r="I911">
        <v>2050</v>
      </c>
      <c r="J911">
        <v>0.39844999999999997</v>
      </c>
      <c r="K911" t="s">
        <v>85</v>
      </c>
    </row>
    <row r="912" spans="1:11" x14ac:dyDescent="0.45">
      <c r="A912" t="s">
        <v>90</v>
      </c>
      <c r="B912" t="s">
        <v>3</v>
      </c>
      <c r="C912" t="s">
        <v>84</v>
      </c>
      <c r="D912" t="s">
        <v>85</v>
      </c>
      <c r="E912" t="s">
        <v>25</v>
      </c>
      <c r="F912" t="s">
        <v>85</v>
      </c>
      <c r="G912" t="s">
        <v>26</v>
      </c>
      <c r="H912" t="s">
        <v>82</v>
      </c>
      <c r="I912">
        <v>2055</v>
      </c>
      <c r="J912">
        <v>0.2462</v>
      </c>
      <c r="K912" t="s">
        <v>85</v>
      </c>
    </row>
    <row r="913" spans="1:11" x14ac:dyDescent="0.45">
      <c r="A913" t="s">
        <v>90</v>
      </c>
      <c r="B913" t="s">
        <v>4</v>
      </c>
      <c r="C913" t="s">
        <v>84</v>
      </c>
      <c r="D913" t="s">
        <v>85</v>
      </c>
      <c r="E913" t="s">
        <v>25</v>
      </c>
      <c r="F913" t="s">
        <v>85</v>
      </c>
      <c r="G913" t="s">
        <v>26</v>
      </c>
      <c r="H913" t="s">
        <v>82</v>
      </c>
      <c r="I913">
        <v>2055</v>
      </c>
      <c r="J913">
        <v>0.25900000000000001</v>
      </c>
      <c r="K913" t="s">
        <v>85</v>
      </c>
    </row>
    <row r="914" spans="1:11" x14ac:dyDescent="0.45">
      <c r="A914" t="s">
        <v>90</v>
      </c>
      <c r="B914" t="s">
        <v>0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2055</v>
      </c>
      <c r="J914">
        <v>0.26285000000000003</v>
      </c>
      <c r="K914" t="s">
        <v>85</v>
      </c>
    </row>
    <row r="915" spans="1:11" x14ac:dyDescent="0.45">
      <c r="A915" t="s">
        <v>90</v>
      </c>
      <c r="B915" t="s">
        <v>6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2055</v>
      </c>
      <c r="J915">
        <v>0.36849999999999999</v>
      </c>
      <c r="K915" t="s">
        <v>85</v>
      </c>
    </row>
    <row r="916" spans="1:11" x14ac:dyDescent="0.45">
      <c r="A916" t="s">
        <v>90</v>
      </c>
      <c r="B916" t="s">
        <v>5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2055</v>
      </c>
      <c r="J916">
        <v>5.0549999999999998E-2</v>
      </c>
      <c r="K916" t="s">
        <v>85</v>
      </c>
    </row>
    <row r="917" spans="1:11" x14ac:dyDescent="0.45">
      <c r="A917" t="s">
        <v>90</v>
      </c>
      <c r="B917" t="s">
        <v>2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2055</v>
      </c>
      <c r="J917">
        <v>0.13869999999999999</v>
      </c>
      <c r="K917" t="s">
        <v>85</v>
      </c>
    </row>
    <row r="918" spans="1:11" x14ac:dyDescent="0.45">
      <c r="A918" t="s">
        <v>90</v>
      </c>
      <c r="B918" t="s">
        <v>1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2055</v>
      </c>
      <c r="J918">
        <v>0.50409999999999999</v>
      </c>
      <c r="K918" t="s">
        <v>85</v>
      </c>
    </row>
    <row r="919" spans="1:11" x14ac:dyDescent="0.45">
      <c r="A919" t="s">
        <v>90</v>
      </c>
      <c r="B919" t="s">
        <v>3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2060</v>
      </c>
      <c r="J919">
        <v>0.35385</v>
      </c>
      <c r="K919" t="s">
        <v>85</v>
      </c>
    </row>
    <row r="920" spans="1:11" x14ac:dyDescent="0.45">
      <c r="A920" t="s">
        <v>90</v>
      </c>
      <c r="B920" t="s">
        <v>4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2060</v>
      </c>
      <c r="J920">
        <v>0.35775000000000001</v>
      </c>
      <c r="K920" t="s">
        <v>85</v>
      </c>
    </row>
    <row r="921" spans="1:11" x14ac:dyDescent="0.45">
      <c r="A921" t="s">
        <v>90</v>
      </c>
      <c r="B921" t="s">
        <v>0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2060</v>
      </c>
      <c r="J921">
        <v>0.3659</v>
      </c>
      <c r="K921" t="s">
        <v>85</v>
      </c>
    </row>
    <row r="922" spans="1:11" x14ac:dyDescent="0.45">
      <c r="A922" t="s">
        <v>90</v>
      </c>
      <c r="B922" t="s">
        <v>6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0.51695000000000002</v>
      </c>
      <c r="K922" t="s">
        <v>85</v>
      </c>
    </row>
    <row r="923" spans="1:11" x14ac:dyDescent="0.45">
      <c r="A923" t="s">
        <v>90</v>
      </c>
      <c r="B923" t="s">
        <v>5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2060</v>
      </c>
      <c r="J923">
        <v>6.7049999999999998E-2</v>
      </c>
      <c r="K923" t="s">
        <v>85</v>
      </c>
    </row>
    <row r="924" spans="1:11" x14ac:dyDescent="0.45">
      <c r="A924" t="s">
        <v>90</v>
      </c>
      <c r="B924" t="s">
        <v>2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2060</v>
      </c>
      <c r="J924">
        <v>0.20550000000000002</v>
      </c>
      <c r="K924" t="s">
        <v>85</v>
      </c>
    </row>
    <row r="925" spans="1:11" x14ac:dyDescent="0.45">
      <c r="A925" t="s">
        <v>90</v>
      </c>
      <c r="B925" t="s">
        <v>1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2060</v>
      </c>
      <c r="J925">
        <v>0.61650000000000005</v>
      </c>
      <c r="K925" t="s">
        <v>85</v>
      </c>
    </row>
    <row r="926" spans="1:11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2065</v>
      </c>
      <c r="J926">
        <v>0.38865</v>
      </c>
      <c r="K926" t="s">
        <v>85</v>
      </c>
    </row>
    <row r="927" spans="1:11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2065</v>
      </c>
      <c r="J927">
        <v>0.49614999999999998</v>
      </c>
      <c r="K927" t="s">
        <v>85</v>
      </c>
    </row>
    <row r="928" spans="1:11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2065</v>
      </c>
      <c r="J928">
        <v>0.38005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2065</v>
      </c>
      <c r="J929">
        <v>0.52305000000000001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2065</v>
      </c>
      <c r="J930">
        <v>7.8300000000000008E-2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2065</v>
      </c>
      <c r="J931">
        <v>0.40405000000000002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2065</v>
      </c>
      <c r="J932">
        <v>0.628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2070</v>
      </c>
      <c r="J933">
        <v>0.40754999999999997</v>
      </c>
      <c r="K933" t="s">
        <v>85</v>
      </c>
    </row>
    <row r="934" spans="1:11" x14ac:dyDescent="0.45">
      <c r="A934" t="s">
        <v>90</v>
      </c>
      <c r="B934" t="s">
        <v>4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2070</v>
      </c>
      <c r="J934">
        <v>0.5927</v>
      </c>
      <c r="K934" t="s">
        <v>85</v>
      </c>
    </row>
    <row r="935" spans="1:11" x14ac:dyDescent="0.45">
      <c r="A935" t="s">
        <v>90</v>
      </c>
      <c r="B935" t="s">
        <v>0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2070</v>
      </c>
      <c r="J935">
        <v>0.38764999999999999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2070</v>
      </c>
      <c r="J936">
        <v>0.52265000000000006</v>
      </c>
      <c r="K936" t="s">
        <v>85</v>
      </c>
    </row>
    <row r="937" spans="1:11" x14ac:dyDescent="0.45">
      <c r="A937" t="s">
        <v>90</v>
      </c>
      <c r="B937" t="s">
        <v>5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2070</v>
      </c>
      <c r="J937">
        <v>8.9200000000000002E-2</v>
      </c>
      <c r="K937" t="s">
        <v>85</v>
      </c>
    </row>
    <row r="938" spans="1:11" x14ac:dyDescent="0.45">
      <c r="A938" t="s">
        <v>90</v>
      </c>
      <c r="B938" t="s">
        <v>2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2070</v>
      </c>
      <c r="J938">
        <v>0.52669999999999995</v>
      </c>
      <c r="K938" t="s">
        <v>85</v>
      </c>
    </row>
    <row r="939" spans="1:11" x14ac:dyDescent="0.45">
      <c r="A939" t="s">
        <v>90</v>
      </c>
      <c r="B939" t="s">
        <v>1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2070</v>
      </c>
      <c r="J939">
        <v>0.63860000000000006</v>
      </c>
      <c r="K939" t="s">
        <v>85</v>
      </c>
    </row>
    <row r="940" spans="1:11" x14ac:dyDescent="0.45">
      <c r="A940" t="s">
        <v>90</v>
      </c>
      <c r="B940" t="s">
        <v>3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2075</v>
      </c>
      <c r="J940">
        <v>0.46265000000000001</v>
      </c>
      <c r="K940" t="s">
        <v>85</v>
      </c>
    </row>
    <row r="941" spans="1:11" x14ac:dyDescent="0.45">
      <c r="A941" t="s">
        <v>90</v>
      </c>
      <c r="B941" t="s">
        <v>4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2075</v>
      </c>
      <c r="J941">
        <v>0.75029999999999997</v>
      </c>
      <c r="K941" t="s">
        <v>85</v>
      </c>
    </row>
    <row r="942" spans="1:11" x14ac:dyDescent="0.45">
      <c r="A942" t="s">
        <v>90</v>
      </c>
      <c r="B942" t="s">
        <v>0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0.40300000000000002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2075</v>
      </c>
      <c r="J943">
        <v>0.56745000000000001</v>
      </c>
      <c r="K943" t="s">
        <v>85</v>
      </c>
    </row>
    <row r="944" spans="1:11" x14ac:dyDescent="0.45">
      <c r="A944" t="s">
        <v>90</v>
      </c>
      <c r="B944" t="s">
        <v>5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2075</v>
      </c>
      <c r="J944">
        <v>0.10355</v>
      </c>
      <c r="K944" t="s">
        <v>85</v>
      </c>
    </row>
    <row r="945" spans="1:11" x14ac:dyDescent="0.45">
      <c r="A945" t="s">
        <v>90</v>
      </c>
      <c r="B945" t="s">
        <v>2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2075</v>
      </c>
      <c r="J945">
        <v>0.58705000000000007</v>
      </c>
      <c r="K945" t="s">
        <v>85</v>
      </c>
    </row>
    <row r="946" spans="1:11" x14ac:dyDescent="0.45">
      <c r="A946" t="s">
        <v>90</v>
      </c>
      <c r="B946" t="s">
        <v>1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2075</v>
      </c>
      <c r="J946">
        <v>0.70799999999999996</v>
      </c>
      <c r="K946" t="s">
        <v>85</v>
      </c>
    </row>
    <row r="947" spans="1:11" x14ac:dyDescent="0.45">
      <c r="A947" t="s">
        <v>90</v>
      </c>
      <c r="B947" t="s">
        <v>3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2080</v>
      </c>
      <c r="J947">
        <v>0.50380000000000003</v>
      </c>
      <c r="K947" t="s">
        <v>85</v>
      </c>
    </row>
    <row r="948" spans="1:11" x14ac:dyDescent="0.45">
      <c r="A948" t="s">
        <v>90</v>
      </c>
      <c r="B948" t="s">
        <v>4</v>
      </c>
      <c r="C948" t="s">
        <v>84</v>
      </c>
      <c r="D948" t="s">
        <v>85</v>
      </c>
      <c r="E948" t="s">
        <v>25</v>
      </c>
      <c r="F948" t="s">
        <v>85</v>
      </c>
      <c r="G948" t="s">
        <v>26</v>
      </c>
      <c r="H948" t="s">
        <v>82</v>
      </c>
      <c r="I948">
        <v>2080</v>
      </c>
      <c r="J948">
        <v>0.88200000000000001</v>
      </c>
      <c r="K948" t="s">
        <v>85</v>
      </c>
    </row>
    <row r="949" spans="1:11" x14ac:dyDescent="0.45">
      <c r="A949" t="s">
        <v>90</v>
      </c>
      <c r="B949" t="s">
        <v>0</v>
      </c>
      <c r="C949" t="s">
        <v>84</v>
      </c>
      <c r="D949" t="s">
        <v>85</v>
      </c>
      <c r="E949" t="s">
        <v>25</v>
      </c>
      <c r="F949" t="s">
        <v>85</v>
      </c>
      <c r="G949" t="s">
        <v>26</v>
      </c>
      <c r="H949" t="s">
        <v>82</v>
      </c>
      <c r="I949">
        <v>2080</v>
      </c>
      <c r="J949">
        <v>0.41125</v>
      </c>
      <c r="K949" t="s">
        <v>85</v>
      </c>
    </row>
    <row r="950" spans="1:11" x14ac:dyDescent="0.45">
      <c r="A950" t="s">
        <v>90</v>
      </c>
      <c r="B950" t="s">
        <v>6</v>
      </c>
      <c r="C950" t="s">
        <v>84</v>
      </c>
      <c r="D950" t="s">
        <v>85</v>
      </c>
      <c r="E950" t="s">
        <v>25</v>
      </c>
      <c r="F950" t="s">
        <v>85</v>
      </c>
      <c r="G950" t="s">
        <v>26</v>
      </c>
      <c r="H950" t="s">
        <v>82</v>
      </c>
      <c r="I950">
        <v>2080</v>
      </c>
      <c r="J950">
        <v>0.59665000000000001</v>
      </c>
      <c r="K950" t="s">
        <v>85</v>
      </c>
    </row>
    <row r="951" spans="1:11" x14ac:dyDescent="0.45">
      <c r="A951" t="s">
        <v>90</v>
      </c>
      <c r="B951" t="s">
        <v>5</v>
      </c>
      <c r="C951" t="s">
        <v>84</v>
      </c>
      <c r="D951" t="s">
        <v>85</v>
      </c>
      <c r="E951" t="s">
        <v>25</v>
      </c>
      <c r="F951" t="s">
        <v>85</v>
      </c>
      <c r="G951" t="s">
        <v>26</v>
      </c>
      <c r="H951" t="s">
        <v>82</v>
      </c>
      <c r="I951">
        <v>2080</v>
      </c>
      <c r="J951">
        <v>0.11840000000000001</v>
      </c>
      <c r="K951" t="s">
        <v>85</v>
      </c>
    </row>
    <row r="952" spans="1:11" x14ac:dyDescent="0.45">
      <c r="A952" t="s">
        <v>90</v>
      </c>
      <c r="B952" t="s">
        <v>2</v>
      </c>
      <c r="C952" t="s">
        <v>84</v>
      </c>
      <c r="D952" t="s">
        <v>85</v>
      </c>
      <c r="E952" t="s">
        <v>25</v>
      </c>
      <c r="F952" t="s">
        <v>85</v>
      </c>
      <c r="G952" t="s">
        <v>26</v>
      </c>
      <c r="H952" t="s">
        <v>82</v>
      </c>
      <c r="I952">
        <v>2080</v>
      </c>
      <c r="J952">
        <v>0.62719999999999998</v>
      </c>
      <c r="K952" t="s">
        <v>85</v>
      </c>
    </row>
    <row r="953" spans="1:11" x14ac:dyDescent="0.45">
      <c r="A953" t="s">
        <v>90</v>
      </c>
      <c r="B953" t="s">
        <v>1</v>
      </c>
      <c r="C953" t="s">
        <v>84</v>
      </c>
      <c r="D953" t="s">
        <v>85</v>
      </c>
      <c r="E953" t="s">
        <v>25</v>
      </c>
      <c r="F953" t="s">
        <v>85</v>
      </c>
      <c r="G953" t="s">
        <v>26</v>
      </c>
      <c r="H953" t="s">
        <v>82</v>
      </c>
      <c r="I953">
        <v>2080</v>
      </c>
      <c r="J953">
        <v>0.75564999999999993</v>
      </c>
      <c r="K953" t="s">
        <v>85</v>
      </c>
    </row>
    <row r="954" spans="1:11" x14ac:dyDescent="0.45">
      <c r="A954" t="s">
        <v>90</v>
      </c>
      <c r="B954" t="s">
        <v>3</v>
      </c>
      <c r="C954" t="s">
        <v>84</v>
      </c>
      <c r="D954" t="s">
        <v>85</v>
      </c>
      <c r="E954" t="s">
        <v>25</v>
      </c>
      <c r="F954" t="s">
        <v>85</v>
      </c>
      <c r="G954" t="s">
        <v>26</v>
      </c>
      <c r="H954" t="s">
        <v>82</v>
      </c>
      <c r="I954">
        <v>2085</v>
      </c>
      <c r="J954">
        <v>0.54570000000000007</v>
      </c>
      <c r="K954" t="s">
        <v>85</v>
      </c>
    </row>
    <row r="955" spans="1:11" x14ac:dyDescent="0.45">
      <c r="A955" t="s">
        <v>90</v>
      </c>
      <c r="B955" t="s">
        <v>4</v>
      </c>
      <c r="C955" t="s">
        <v>84</v>
      </c>
      <c r="D955" t="s">
        <v>85</v>
      </c>
      <c r="E955" t="s">
        <v>25</v>
      </c>
      <c r="F955" t="s">
        <v>85</v>
      </c>
      <c r="G955" t="s">
        <v>26</v>
      </c>
      <c r="H955" t="s">
        <v>82</v>
      </c>
      <c r="I955">
        <v>2085</v>
      </c>
      <c r="J955">
        <v>0.99995000000000001</v>
      </c>
      <c r="K955" t="s">
        <v>85</v>
      </c>
    </row>
    <row r="956" spans="1:11" x14ac:dyDescent="0.45">
      <c r="A956" t="s">
        <v>90</v>
      </c>
      <c r="B956" t="s">
        <v>0</v>
      </c>
      <c r="C956" t="s">
        <v>84</v>
      </c>
      <c r="D956" t="s">
        <v>85</v>
      </c>
      <c r="E956" t="s">
        <v>25</v>
      </c>
      <c r="F956" t="s">
        <v>85</v>
      </c>
      <c r="G956" t="s">
        <v>26</v>
      </c>
      <c r="H956" t="s">
        <v>82</v>
      </c>
      <c r="I956">
        <v>2085</v>
      </c>
      <c r="J956">
        <v>0.45779999999999998</v>
      </c>
      <c r="K956" t="s">
        <v>85</v>
      </c>
    </row>
    <row r="957" spans="1:11" x14ac:dyDescent="0.45">
      <c r="A957" t="s">
        <v>90</v>
      </c>
      <c r="B957" t="s">
        <v>6</v>
      </c>
      <c r="C957" t="s">
        <v>84</v>
      </c>
      <c r="D957" t="s">
        <v>85</v>
      </c>
      <c r="E957" t="s">
        <v>25</v>
      </c>
      <c r="F957" t="s">
        <v>85</v>
      </c>
      <c r="G957" t="s">
        <v>26</v>
      </c>
      <c r="H957" t="s">
        <v>82</v>
      </c>
      <c r="I957">
        <v>2085</v>
      </c>
      <c r="J957">
        <v>0.63565000000000005</v>
      </c>
      <c r="K957" t="s">
        <v>85</v>
      </c>
    </row>
    <row r="958" spans="1:11" x14ac:dyDescent="0.45">
      <c r="A958" t="s">
        <v>90</v>
      </c>
      <c r="B958" t="s">
        <v>5</v>
      </c>
      <c r="C958" t="s">
        <v>84</v>
      </c>
      <c r="D958" t="s">
        <v>85</v>
      </c>
      <c r="E958" t="s">
        <v>25</v>
      </c>
      <c r="F958" t="s">
        <v>85</v>
      </c>
      <c r="G958" t="s">
        <v>26</v>
      </c>
      <c r="H958" t="s">
        <v>82</v>
      </c>
      <c r="I958">
        <v>2085</v>
      </c>
      <c r="J958">
        <v>0.12940000000000002</v>
      </c>
      <c r="K958" t="s">
        <v>85</v>
      </c>
    </row>
    <row r="959" spans="1:11" x14ac:dyDescent="0.45">
      <c r="A959" t="s">
        <v>90</v>
      </c>
      <c r="B959" t="s">
        <v>2</v>
      </c>
      <c r="C959" t="s">
        <v>84</v>
      </c>
      <c r="D959" t="s">
        <v>85</v>
      </c>
      <c r="E959" t="s">
        <v>25</v>
      </c>
      <c r="F959" t="s">
        <v>85</v>
      </c>
      <c r="G959" t="s">
        <v>26</v>
      </c>
      <c r="H959" t="s">
        <v>82</v>
      </c>
      <c r="I959">
        <v>2085</v>
      </c>
      <c r="J959">
        <v>0.65285000000000004</v>
      </c>
      <c r="K959" t="s">
        <v>85</v>
      </c>
    </row>
    <row r="960" spans="1:11" x14ac:dyDescent="0.45">
      <c r="A960" t="s">
        <v>90</v>
      </c>
      <c r="B960" t="s">
        <v>1</v>
      </c>
      <c r="C960" t="s">
        <v>84</v>
      </c>
      <c r="D960" t="s">
        <v>85</v>
      </c>
      <c r="E960" t="s">
        <v>25</v>
      </c>
      <c r="F960" t="s">
        <v>85</v>
      </c>
      <c r="G960" t="s">
        <v>26</v>
      </c>
      <c r="H960" t="s">
        <v>82</v>
      </c>
      <c r="I960">
        <v>2085</v>
      </c>
      <c r="J960">
        <v>0.7621</v>
      </c>
      <c r="K960" t="s">
        <v>85</v>
      </c>
    </row>
    <row r="961" spans="1:11" x14ac:dyDescent="0.45">
      <c r="A961" t="s">
        <v>90</v>
      </c>
      <c r="B961" t="s">
        <v>3</v>
      </c>
      <c r="C961" t="s">
        <v>84</v>
      </c>
      <c r="D961" t="s">
        <v>85</v>
      </c>
      <c r="E961" t="s">
        <v>25</v>
      </c>
      <c r="F961" t="s">
        <v>85</v>
      </c>
      <c r="G961" t="s">
        <v>26</v>
      </c>
      <c r="H961" t="s">
        <v>82</v>
      </c>
      <c r="I961">
        <v>2090</v>
      </c>
      <c r="J961">
        <v>0.5756</v>
      </c>
      <c r="K961" t="s">
        <v>85</v>
      </c>
    </row>
    <row r="962" spans="1:11" x14ac:dyDescent="0.45">
      <c r="A962" t="s">
        <v>90</v>
      </c>
      <c r="B962" t="s">
        <v>4</v>
      </c>
      <c r="C962" t="s">
        <v>84</v>
      </c>
      <c r="D962" t="s">
        <v>85</v>
      </c>
      <c r="E962" t="s">
        <v>25</v>
      </c>
      <c r="F962" t="s">
        <v>85</v>
      </c>
      <c r="G962" t="s">
        <v>26</v>
      </c>
      <c r="H962" t="s">
        <v>82</v>
      </c>
      <c r="I962">
        <v>2090</v>
      </c>
      <c r="J962">
        <v>1.0838000000000001</v>
      </c>
      <c r="K962" t="s">
        <v>85</v>
      </c>
    </row>
    <row r="963" spans="1:11" x14ac:dyDescent="0.45">
      <c r="A963" t="s">
        <v>90</v>
      </c>
      <c r="B963" t="s">
        <v>0</v>
      </c>
      <c r="C963" t="s">
        <v>84</v>
      </c>
      <c r="D963" t="s">
        <v>85</v>
      </c>
      <c r="E963" t="s">
        <v>25</v>
      </c>
      <c r="F963" t="s">
        <v>85</v>
      </c>
      <c r="G963" t="s">
        <v>26</v>
      </c>
      <c r="H963" t="s">
        <v>82</v>
      </c>
      <c r="I963">
        <v>2090</v>
      </c>
      <c r="J963">
        <v>0.49840000000000001</v>
      </c>
      <c r="K963" t="s">
        <v>85</v>
      </c>
    </row>
    <row r="964" spans="1:11" x14ac:dyDescent="0.45">
      <c r="A964" t="s">
        <v>90</v>
      </c>
      <c r="B964" t="s">
        <v>6</v>
      </c>
      <c r="C964" t="s">
        <v>84</v>
      </c>
      <c r="D964" t="s">
        <v>85</v>
      </c>
      <c r="E964" t="s">
        <v>25</v>
      </c>
      <c r="F964" t="s">
        <v>85</v>
      </c>
      <c r="G964" t="s">
        <v>26</v>
      </c>
      <c r="H964" t="s">
        <v>82</v>
      </c>
      <c r="I964">
        <v>2090</v>
      </c>
      <c r="J964">
        <v>0.6613</v>
      </c>
      <c r="K964" t="s">
        <v>85</v>
      </c>
    </row>
    <row r="965" spans="1:11" x14ac:dyDescent="0.45">
      <c r="A965" t="s">
        <v>90</v>
      </c>
      <c r="B965" t="s">
        <v>5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2090</v>
      </c>
      <c r="J965">
        <v>0.1414</v>
      </c>
      <c r="K965" t="s">
        <v>85</v>
      </c>
    </row>
    <row r="966" spans="1:11" x14ac:dyDescent="0.45">
      <c r="A966" t="s">
        <v>90</v>
      </c>
      <c r="B966" t="s">
        <v>2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2090</v>
      </c>
      <c r="J966">
        <v>0.66355000000000008</v>
      </c>
      <c r="K966" t="s">
        <v>85</v>
      </c>
    </row>
    <row r="967" spans="1:11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2090</v>
      </c>
      <c r="J967">
        <v>0.77405000000000002</v>
      </c>
      <c r="K967" t="s">
        <v>85</v>
      </c>
    </row>
    <row r="968" spans="1:11" x14ac:dyDescent="0.45">
      <c r="A968" t="s">
        <v>90</v>
      </c>
      <c r="B968" t="s">
        <v>3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2095</v>
      </c>
      <c r="J968">
        <v>0.58955000000000002</v>
      </c>
      <c r="K968" t="s">
        <v>85</v>
      </c>
    </row>
    <row r="969" spans="1:11" x14ac:dyDescent="0.45">
      <c r="A969" t="s">
        <v>90</v>
      </c>
      <c r="B969" t="s">
        <v>4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2095</v>
      </c>
      <c r="J969">
        <v>1.1228</v>
      </c>
      <c r="K969" t="s">
        <v>85</v>
      </c>
    </row>
    <row r="970" spans="1:11" x14ac:dyDescent="0.45">
      <c r="A970" t="s">
        <v>90</v>
      </c>
      <c r="B970" t="s">
        <v>0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2095</v>
      </c>
      <c r="J970">
        <v>0.53305000000000002</v>
      </c>
      <c r="K970" t="s">
        <v>85</v>
      </c>
    </row>
    <row r="971" spans="1:11" x14ac:dyDescent="0.45">
      <c r="A971" t="s">
        <v>90</v>
      </c>
      <c r="B971" t="s">
        <v>6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2095</v>
      </c>
      <c r="J971">
        <v>0.66179999999999994</v>
      </c>
      <c r="K971" t="s">
        <v>85</v>
      </c>
    </row>
    <row r="972" spans="1:11" x14ac:dyDescent="0.45">
      <c r="A972" t="s">
        <v>90</v>
      </c>
      <c r="B972" t="s">
        <v>5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2095</v>
      </c>
      <c r="J972">
        <v>0.14450000000000002</v>
      </c>
      <c r="K972" t="s">
        <v>85</v>
      </c>
    </row>
    <row r="973" spans="1:11" x14ac:dyDescent="0.45">
      <c r="A973" t="s">
        <v>90</v>
      </c>
      <c r="B973" t="s">
        <v>2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2095</v>
      </c>
      <c r="J973">
        <v>0.64995000000000003</v>
      </c>
      <c r="K973" t="s">
        <v>85</v>
      </c>
    </row>
    <row r="974" spans="1:11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2095</v>
      </c>
      <c r="J974">
        <v>0.72284999999999999</v>
      </c>
      <c r="K974" t="s">
        <v>85</v>
      </c>
    </row>
    <row r="975" spans="1:11" x14ac:dyDescent="0.45">
      <c r="A975" t="s">
        <v>90</v>
      </c>
      <c r="B975" t="s">
        <v>3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2100</v>
      </c>
      <c r="J975">
        <v>0.59905000000000008</v>
      </c>
      <c r="K975" t="s">
        <v>85</v>
      </c>
    </row>
    <row r="976" spans="1:11" x14ac:dyDescent="0.45">
      <c r="A976" t="s">
        <v>90</v>
      </c>
      <c r="B976" t="s">
        <v>4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2100</v>
      </c>
      <c r="J976">
        <v>1.1516</v>
      </c>
      <c r="K976" t="s">
        <v>85</v>
      </c>
    </row>
    <row r="977" spans="1:11" x14ac:dyDescent="0.45">
      <c r="A977" t="s">
        <v>90</v>
      </c>
      <c r="B977" t="s">
        <v>0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2100</v>
      </c>
      <c r="J977">
        <v>0.56545000000000001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2100</v>
      </c>
      <c r="J978">
        <v>0.65799999999999992</v>
      </c>
      <c r="K978" t="s">
        <v>85</v>
      </c>
    </row>
    <row r="979" spans="1:11" x14ac:dyDescent="0.45">
      <c r="A979" t="s">
        <v>90</v>
      </c>
      <c r="B979" t="s">
        <v>5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2100</v>
      </c>
      <c r="J979">
        <v>0.1474</v>
      </c>
      <c r="K979" t="s">
        <v>85</v>
      </c>
    </row>
    <row r="980" spans="1:11" x14ac:dyDescent="0.45">
      <c r="A980" t="s">
        <v>90</v>
      </c>
      <c r="B980" t="s">
        <v>2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2100</v>
      </c>
      <c r="J980">
        <v>0.63475000000000004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0.68060000000000009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1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1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1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1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2025</v>
      </c>
      <c r="J989">
        <v>0</v>
      </c>
      <c r="K989" t="s">
        <v>45</v>
      </c>
    </row>
    <row r="990" spans="1:11" x14ac:dyDescent="0.45">
      <c r="A990" t="s">
        <v>90</v>
      </c>
      <c r="B990" t="s">
        <v>4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2025</v>
      </c>
      <c r="J990">
        <v>0</v>
      </c>
      <c r="K990" t="s">
        <v>45</v>
      </c>
    </row>
    <row r="991" spans="1:11" x14ac:dyDescent="0.45">
      <c r="A991" t="s">
        <v>90</v>
      </c>
      <c r="B991" t="s">
        <v>0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2025</v>
      </c>
      <c r="J991">
        <v>0</v>
      </c>
      <c r="K991" t="s">
        <v>45</v>
      </c>
    </row>
    <row r="992" spans="1:11" x14ac:dyDescent="0.45">
      <c r="A992" t="s">
        <v>90</v>
      </c>
      <c r="B992" t="s">
        <v>6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2025</v>
      </c>
      <c r="J992">
        <v>0</v>
      </c>
      <c r="K992" t="s">
        <v>45</v>
      </c>
    </row>
    <row r="993" spans="1:11" x14ac:dyDescent="0.45">
      <c r="A993" t="s">
        <v>90</v>
      </c>
      <c r="B993" t="s">
        <v>5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2025</v>
      </c>
      <c r="J993">
        <v>5.305E-2</v>
      </c>
      <c r="K993" t="s">
        <v>45</v>
      </c>
    </row>
    <row r="994" spans="1:11" x14ac:dyDescent="0.45">
      <c r="A994" t="s">
        <v>90</v>
      </c>
      <c r="B994" t="s">
        <v>2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2025</v>
      </c>
      <c r="J994">
        <v>0</v>
      </c>
      <c r="K994" t="s">
        <v>45</v>
      </c>
    </row>
    <row r="995" spans="1:11" x14ac:dyDescent="0.45">
      <c r="A995" t="s">
        <v>90</v>
      </c>
      <c r="B995" t="s">
        <v>1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2025</v>
      </c>
      <c r="J995">
        <v>5.9200000000000003E-2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2030</v>
      </c>
      <c r="J996">
        <v>1.2783500000000001</v>
      </c>
      <c r="K996" t="s">
        <v>45</v>
      </c>
    </row>
    <row r="997" spans="1:11" x14ac:dyDescent="0.45">
      <c r="A997" t="s">
        <v>90</v>
      </c>
      <c r="B997" t="s">
        <v>4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2030</v>
      </c>
      <c r="J997">
        <v>0</v>
      </c>
      <c r="K997" t="s">
        <v>45</v>
      </c>
    </row>
    <row r="998" spans="1:11" x14ac:dyDescent="0.45">
      <c r="A998" t="s">
        <v>90</v>
      </c>
      <c r="B998" t="s">
        <v>0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2030</v>
      </c>
      <c r="J998">
        <v>0</v>
      </c>
      <c r="K998" t="s">
        <v>45</v>
      </c>
    </row>
    <row r="999" spans="1:11" x14ac:dyDescent="0.45">
      <c r="A999" t="s">
        <v>90</v>
      </c>
      <c r="B999" t="s">
        <v>6</v>
      </c>
      <c r="C999" t="s">
        <v>84</v>
      </c>
      <c r="D999" t="s">
        <v>45</v>
      </c>
      <c r="E999" t="s">
        <v>46</v>
      </c>
      <c r="F999" t="s">
        <v>45</v>
      </c>
      <c r="G999" t="s">
        <v>47</v>
      </c>
      <c r="H999" t="s">
        <v>89</v>
      </c>
      <c r="I999">
        <v>2030</v>
      </c>
      <c r="J999">
        <v>0</v>
      </c>
      <c r="K999" t="s">
        <v>45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45</v>
      </c>
      <c r="E1000" t="s">
        <v>46</v>
      </c>
      <c r="F1000" t="s">
        <v>45</v>
      </c>
      <c r="G1000" t="s">
        <v>47</v>
      </c>
      <c r="H1000" t="s">
        <v>89</v>
      </c>
      <c r="I1000">
        <v>2030</v>
      </c>
      <c r="J1000">
        <v>3.2328999999999999</v>
      </c>
      <c r="K1000" t="s">
        <v>45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45</v>
      </c>
      <c r="E1001" t="s">
        <v>46</v>
      </c>
      <c r="F1001" t="s">
        <v>45</v>
      </c>
      <c r="G1001" t="s">
        <v>47</v>
      </c>
      <c r="H1001" t="s">
        <v>89</v>
      </c>
      <c r="I1001">
        <v>2030</v>
      </c>
      <c r="J1001">
        <v>0</v>
      </c>
      <c r="K1001" t="s">
        <v>45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45</v>
      </c>
      <c r="E1002" t="s">
        <v>46</v>
      </c>
      <c r="F1002" t="s">
        <v>45</v>
      </c>
      <c r="G1002" t="s">
        <v>47</v>
      </c>
      <c r="H1002" t="s">
        <v>89</v>
      </c>
      <c r="I1002">
        <v>2030</v>
      </c>
      <c r="J1002">
        <v>6.5845500000000001</v>
      </c>
      <c r="K1002" t="s">
        <v>45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2035</v>
      </c>
      <c r="J1003">
        <v>7.3873499999999996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2035</v>
      </c>
      <c r="J1004">
        <v>0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2035</v>
      </c>
      <c r="J1005">
        <v>0.17180000000000001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2035</v>
      </c>
      <c r="J1006">
        <v>0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2035</v>
      </c>
      <c r="J1007">
        <v>15.24165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2035</v>
      </c>
      <c r="J1008">
        <v>0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2035</v>
      </c>
      <c r="J1009">
        <v>25.728299999999997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45</v>
      </c>
      <c r="E1010" t="s">
        <v>46</v>
      </c>
      <c r="F1010" t="s">
        <v>45</v>
      </c>
      <c r="G1010" t="s">
        <v>47</v>
      </c>
      <c r="H1010" t="s">
        <v>89</v>
      </c>
      <c r="I1010">
        <v>2040</v>
      </c>
      <c r="J1010">
        <v>16.984749999999998</v>
      </c>
      <c r="K1010" t="s">
        <v>45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45</v>
      </c>
      <c r="E1011" t="s">
        <v>46</v>
      </c>
      <c r="F1011" t="s">
        <v>45</v>
      </c>
      <c r="G1011" t="s">
        <v>47</v>
      </c>
      <c r="H1011" t="s">
        <v>89</v>
      </c>
      <c r="I1011">
        <v>2040</v>
      </c>
      <c r="J1011">
        <v>0</v>
      </c>
      <c r="K1011" t="s">
        <v>45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45</v>
      </c>
      <c r="E1012" t="s">
        <v>46</v>
      </c>
      <c r="F1012" t="s">
        <v>45</v>
      </c>
      <c r="G1012" t="s">
        <v>47</v>
      </c>
      <c r="H1012" t="s">
        <v>89</v>
      </c>
      <c r="I1012">
        <v>2040</v>
      </c>
      <c r="J1012">
        <v>7.0833500000000003</v>
      </c>
      <c r="K1012" t="s">
        <v>45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45</v>
      </c>
      <c r="E1013" t="s">
        <v>46</v>
      </c>
      <c r="F1013" t="s">
        <v>45</v>
      </c>
      <c r="G1013" t="s">
        <v>47</v>
      </c>
      <c r="H1013" t="s">
        <v>89</v>
      </c>
      <c r="I1013">
        <v>2040</v>
      </c>
      <c r="J1013">
        <v>0</v>
      </c>
      <c r="K1013" t="s">
        <v>45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45</v>
      </c>
      <c r="E1014" t="s">
        <v>46</v>
      </c>
      <c r="F1014" t="s">
        <v>45</v>
      </c>
      <c r="G1014" t="s">
        <v>47</v>
      </c>
      <c r="H1014" t="s">
        <v>89</v>
      </c>
      <c r="I1014">
        <v>2040</v>
      </c>
      <c r="J1014">
        <v>25.233649999999997</v>
      </c>
      <c r="K1014" t="s">
        <v>45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45</v>
      </c>
      <c r="E1015" t="s">
        <v>46</v>
      </c>
      <c r="F1015" t="s">
        <v>45</v>
      </c>
      <c r="G1015" t="s">
        <v>47</v>
      </c>
      <c r="H1015" t="s">
        <v>89</v>
      </c>
      <c r="I1015">
        <v>2040</v>
      </c>
      <c r="J1015">
        <v>0</v>
      </c>
      <c r="K1015" t="s">
        <v>45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2040</v>
      </c>
      <c r="J1016">
        <v>51.483000000000004</v>
      </c>
      <c r="K1016" t="s">
        <v>45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2045</v>
      </c>
      <c r="J1017">
        <v>24.072949999999999</v>
      </c>
      <c r="K1017" t="s">
        <v>45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2045</v>
      </c>
      <c r="J1018">
        <v>0</v>
      </c>
      <c r="K1018" t="s">
        <v>45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2045</v>
      </c>
      <c r="J1019">
        <v>26.305099999999999</v>
      </c>
      <c r="K1019" t="s">
        <v>45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2045</v>
      </c>
      <c r="J1020">
        <v>0.68035000000000001</v>
      </c>
      <c r="K1020" t="s">
        <v>45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29.166049999999998</v>
      </c>
      <c r="K1021" t="s">
        <v>45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2045</v>
      </c>
      <c r="J1022">
        <v>0</v>
      </c>
      <c r="K1022" t="s">
        <v>45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2045</v>
      </c>
      <c r="J1023">
        <v>64.806749999999994</v>
      </c>
      <c r="K1023" t="s">
        <v>45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2050</v>
      </c>
      <c r="J1024">
        <v>25.599249999999998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2050</v>
      </c>
      <c r="J1025">
        <v>0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2050</v>
      </c>
      <c r="J1026">
        <v>32.352049999999998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2050</v>
      </c>
      <c r="J1027">
        <v>1.4858499999999999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2050</v>
      </c>
      <c r="J1028">
        <v>25.552399999999999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2050</v>
      </c>
      <c r="J1029">
        <v>0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2050</v>
      </c>
      <c r="J1030">
        <v>64.794650000000004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2055</v>
      </c>
      <c r="J1031">
        <v>25.957149999999999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2055</v>
      </c>
      <c r="J1032">
        <v>0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2055</v>
      </c>
      <c r="J1033">
        <v>28.1557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2055</v>
      </c>
      <c r="J1034">
        <v>4.9592000000000001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2055</v>
      </c>
      <c r="J1035">
        <v>23.2393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2055</v>
      </c>
      <c r="J1036">
        <v>0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2055</v>
      </c>
      <c r="J1037">
        <v>62.276699999999998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2060</v>
      </c>
      <c r="J1038">
        <v>25.278500000000001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2060</v>
      </c>
      <c r="J1039">
        <v>0</v>
      </c>
      <c r="K1039" t="s">
        <v>45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2060</v>
      </c>
      <c r="J1040">
        <v>23.783949999999997</v>
      </c>
      <c r="K1040" t="s">
        <v>45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4.8939000000000004</v>
      </c>
      <c r="K1041" t="s">
        <v>45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2060</v>
      </c>
      <c r="J1042">
        <v>21.000050000000002</v>
      </c>
      <c r="K1042" t="s">
        <v>45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2060</v>
      </c>
      <c r="J1043">
        <v>0</v>
      </c>
      <c r="K1043" t="s">
        <v>45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2060</v>
      </c>
      <c r="J1044">
        <v>57.133300000000006</v>
      </c>
      <c r="K1044" t="s">
        <v>45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2065</v>
      </c>
      <c r="J1045">
        <v>25.093049999999998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2065</v>
      </c>
      <c r="J1046">
        <v>0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2065</v>
      </c>
      <c r="J1047">
        <v>22.799500000000002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2065</v>
      </c>
      <c r="J1048">
        <v>4.5789499999999999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2065</v>
      </c>
      <c r="J1049">
        <v>19.8614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2065</v>
      </c>
      <c r="J1050">
        <v>0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2065</v>
      </c>
      <c r="J1051">
        <v>52.525499999999994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45</v>
      </c>
      <c r="E1052" t="s">
        <v>46</v>
      </c>
      <c r="F1052" t="s">
        <v>45</v>
      </c>
      <c r="G1052" t="s">
        <v>47</v>
      </c>
      <c r="H1052" t="s">
        <v>89</v>
      </c>
      <c r="I1052">
        <v>2070</v>
      </c>
      <c r="J1052">
        <v>23.364000000000001</v>
      </c>
      <c r="K1052" t="s">
        <v>45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45</v>
      </c>
      <c r="E1053" t="s">
        <v>46</v>
      </c>
      <c r="F1053" t="s">
        <v>45</v>
      </c>
      <c r="G1053" t="s">
        <v>47</v>
      </c>
      <c r="H1053" t="s">
        <v>89</v>
      </c>
      <c r="I1053">
        <v>2070</v>
      </c>
      <c r="J1053">
        <v>0</v>
      </c>
      <c r="K1053" t="s">
        <v>45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45</v>
      </c>
      <c r="E1054" t="s">
        <v>46</v>
      </c>
      <c r="F1054" t="s">
        <v>45</v>
      </c>
      <c r="G1054" t="s">
        <v>47</v>
      </c>
      <c r="H1054" t="s">
        <v>89</v>
      </c>
      <c r="I1054">
        <v>2070</v>
      </c>
      <c r="J1054">
        <v>21.595149999999997</v>
      </c>
      <c r="K1054" t="s">
        <v>45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45</v>
      </c>
      <c r="E1055" t="s">
        <v>46</v>
      </c>
      <c r="F1055" t="s">
        <v>45</v>
      </c>
      <c r="G1055" t="s">
        <v>47</v>
      </c>
      <c r="H1055" t="s">
        <v>89</v>
      </c>
      <c r="I1055">
        <v>2070</v>
      </c>
      <c r="J1055">
        <v>4.2244999999999999</v>
      </c>
      <c r="K1055" t="s">
        <v>45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45</v>
      </c>
      <c r="E1056" t="s">
        <v>46</v>
      </c>
      <c r="F1056" t="s">
        <v>45</v>
      </c>
      <c r="G1056" t="s">
        <v>47</v>
      </c>
      <c r="H1056" t="s">
        <v>89</v>
      </c>
      <c r="I1056">
        <v>2070</v>
      </c>
      <c r="J1056">
        <v>19.19595</v>
      </c>
      <c r="K1056" t="s">
        <v>45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45</v>
      </c>
      <c r="E1057" t="s">
        <v>46</v>
      </c>
      <c r="F1057" t="s">
        <v>45</v>
      </c>
      <c r="G1057" t="s">
        <v>47</v>
      </c>
      <c r="H1057" t="s">
        <v>89</v>
      </c>
      <c r="I1057">
        <v>2070</v>
      </c>
      <c r="J1057">
        <v>0</v>
      </c>
      <c r="K1057" t="s">
        <v>45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45</v>
      </c>
      <c r="E1058" t="s">
        <v>46</v>
      </c>
      <c r="F1058" t="s">
        <v>45</v>
      </c>
      <c r="G1058" t="s">
        <v>47</v>
      </c>
      <c r="H1058" t="s">
        <v>89</v>
      </c>
      <c r="I1058">
        <v>2070</v>
      </c>
      <c r="J1058">
        <v>47.849649999999997</v>
      </c>
      <c r="K1058" t="s">
        <v>45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45</v>
      </c>
      <c r="E1059" t="s">
        <v>46</v>
      </c>
      <c r="F1059" t="s">
        <v>45</v>
      </c>
      <c r="G1059" t="s">
        <v>47</v>
      </c>
      <c r="H1059" t="s">
        <v>89</v>
      </c>
      <c r="I1059">
        <v>2075</v>
      </c>
      <c r="J1059">
        <v>18.214550000000003</v>
      </c>
      <c r="K1059" t="s">
        <v>45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45</v>
      </c>
      <c r="E1060" t="s">
        <v>46</v>
      </c>
      <c r="F1060" t="s">
        <v>45</v>
      </c>
      <c r="G1060" t="s">
        <v>47</v>
      </c>
      <c r="H1060" t="s">
        <v>89</v>
      </c>
      <c r="I1060">
        <v>2075</v>
      </c>
      <c r="J1060">
        <v>0</v>
      </c>
      <c r="K1060" t="s">
        <v>45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45</v>
      </c>
      <c r="E1061" t="s">
        <v>46</v>
      </c>
      <c r="F1061" t="s">
        <v>45</v>
      </c>
      <c r="G1061" t="s">
        <v>47</v>
      </c>
      <c r="H1061" t="s">
        <v>89</v>
      </c>
      <c r="I1061">
        <v>2075</v>
      </c>
      <c r="J1061">
        <v>18.427599999999998</v>
      </c>
      <c r="K1061" t="s">
        <v>45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45</v>
      </c>
      <c r="E1062" t="s">
        <v>46</v>
      </c>
      <c r="F1062" t="s">
        <v>45</v>
      </c>
      <c r="G1062" t="s">
        <v>47</v>
      </c>
      <c r="H1062" t="s">
        <v>89</v>
      </c>
      <c r="I1062">
        <v>2075</v>
      </c>
      <c r="J1062">
        <v>3.577</v>
      </c>
      <c r="K1062" t="s">
        <v>45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45</v>
      </c>
      <c r="E1063" t="s">
        <v>46</v>
      </c>
      <c r="F1063" t="s">
        <v>45</v>
      </c>
      <c r="G1063" t="s">
        <v>47</v>
      </c>
      <c r="H1063" t="s">
        <v>89</v>
      </c>
      <c r="I1063">
        <v>2075</v>
      </c>
      <c r="J1063">
        <v>18.475250000000003</v>
      </c>
      <c r="K1063" t="s">
        <v>45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45</v>
      </c>
      <c r="E1064" t="s">
        <v>46</v>
      </c>
      <c r="F1064" t="s">
        <v>45</v>
      </c>
      <c r="G1064" t="s">
        <v>47</v>
      </c>
      <c r="H1064" t="s">
        <v>89</v>
      </c>
      <c r="I1064">
        <v>2075</v>
      </c>
      <c r="J1064">
        <v>0</v>
      </c>
      <c r="K1064" t="s">
        <v>45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45</v>
      </c>
      <c r="E1065" t="s">
        <v>46</v>
      </c>
      <c r="F1065" t="s">
        <v>45</v>
      </c>
      <c r="G1065" t="s">
        <v>47</v>
      </c>
      <c r="H1065" t="s">
        <v>89</v>
      </c>
      <c r="I1065">
        <v>2075</v>
      </c>
      <c r="J1065">
        <v>50.974400000000003</v>
      </c>
      <c r="K1065" t="s">
        <v>45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2080</v>
      </c>
      <c r="J1066">
        <v>13.351099999999999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2080</v>
      </c>
      <c r="J1067">
        <v>0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2080</v>
      </c>
      <c r="J1068">
        <v>15.5806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2080</v>
      </c>
      <c r="J1069">
        <v>2.9771999999999998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2080</v>
      </c>
      <c r="J1070">
        <v>17.5504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2080</v>
      </c>
      <c r="J1071">
        <v>0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2080</v>
      </c>
      <c r="J1072">
        <v>52.203949999999999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2085</v>
      </c>
      <c r="J1073">
        <v>6.9839000000000002</v>
      </c>
      <c r="K1073" t="s">
        <v>45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2085</v>
      </c>
      <c r="J1074">
        <v>0</v>
      </c>
      <c r="K1074" t="s">
        <v>45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2085</v>
      </c>
      <c r="J1075">
        <v>9.7369999999999983</v>
      </c>
      <c r="K1075" t="s">
        <v>45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2085</v>
      </c>
      <c r="J1076">
        <v>1.7636000000000001</v>
      </c>
      <c r="K1076" t="s">
        <v>45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2085</v>
      </c>
      <c r="J1077">
        <v>16.909649999999999</v>
      </c>
      <c r="K1077" t="s">
        <v>45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2085</v>
      </c>
      <c r="J1078">
        <v>0</v>
      </c>
      <c r="K1078" t="s">
        <v>45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2085</v>
      </c>
      <c r="J1079">
        <v>52.062350000000002</v>
      </c>
      <c r="K1079" t="s">
        <v>45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2090</v>
      </c>
      <c r="J1080">
        <v>1.2947500000000001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2090</v>
      </c>
      <c r="J1082">
        <v>4.4929000000000006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2090</v>
      </c>
      <c r="J1083">
        <v>0.66544999999999999</v>
      </c>
      <c r="K1083" t="s">
        <v>45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2090</v>
      </c>
      <c r="J1084">
        <v>16.168300000000002</v>
      </c>
      <c r="K1084" t="s">
        <v>45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2090</v>
      </c>
      <c r="J1085">
        <v>0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2090</v>
      </c>
      <c r="J1086">
        <v>52.281799999999997</v>
      </c>
      <c r="K1086" t="s">
        <v>45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2095</v>
      </c>
      <c r="J1087">
        <v>0.68579999999999997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2095</v>
      </c>
      <c r="J1088">
        <v>0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2095</v>
      </c>
      <c r="J1089">
        <v>2.14825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2095</v>
      </c>
      <c r="J1090">
        <v>0.31345000000000001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2095</v>
      </c>
      <c r="J1091">
        <v>15.81865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2095</v>
      </c>
      <c r="J1092">
        <v>0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2095</v>
      </c>
      <c r="J1093">
        <v>47.3996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2100</v>
      </c>
      <c r="J1094">
        <v>0.14645</v>
      </c>
      <c r="K1094" t="s">
        <v>45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2100</v>
      </c>
      <c r="J1095">
        <v>0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2100</v>
      </c>
      <c r="J1096">
        <v>0</v>
      </c>
      <c r="K1096" t="s">
        <v>45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2100</v>
      </c>
      <c r="J1097">
        <v>0</v>
      </c>
      <c r="K1097" t="s">
        <v>45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2100</v>
      </c>
      <c r="J1098">
        <v>15.445549999999999</v>
      </c>
      <c r="K1098" t="s">
        <v>45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2100</v>
      </c>
      <c r="J1099">
        <v>0</v>
      </c>
      <c r="K1099" t="s">
        <v>45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43.177799999999998</v>
      </c>
      <c r="K1100" t="s">
        <v>45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235.12824999999998</v>
      </c>
      <c r="K1101" t="s">
        <v>48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2020</v>
      </c>
      <c r="J1102">
        <v>232.99189999999999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2020</v>
      </c>
      <c r="J1103">
        <v>235.57964999999999</v>
      </c>
      <c r="K1103" t="s">
        <v>48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2020</v>
      </c>
      <c r="J1104">
        <v>234.92750000000001</v>
      </c>
      <c r="K1104" t="s">
        <v>48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2020</v>
      </c>
      <c r="J1105">
        <v>232.59755000000001</v>
      </c>
      <c r="K1105" t="s">
        <v>48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2020</v>
      </c>
      <c r="J1106">
        <v>233.41345000000001</v>
      </c>
      <c r="K1106" t="s">
        <v>48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2020</v>
      </c>
      <c r="J1107">
        <v>232.20695000000001</v>
      </c>
      <c r="K1107" t="s">
        <v>48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2025</v>
      </c>
      <c r="J1108">
        <v>282.04845</v>
      </c>
      <c r="K1108" t="s">
        <v>48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2025</v>
      </c>
      <c r="J1109">
        <v>280.94455000000005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2025</v>
      </c>
      <c r="J1110">
        <v>283.70835</v>
      </c>
      <c r="K1110" t="s">
        <v>48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2025</v>
      </c>
      <c r="J1111">
        <v>283.05965000000003</v>
      </c>
      <c r="K1111" t="s">
        <v>48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2025</v>
      </c>
      <c r="J1112">
        <v>264.93200000000002</v>
      </c>
      <c r="K1112" t="s">
        <v>48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2025</v>
      </c>
      <c r="J1113">
        <v>280.75745000000001</v>
      </c>
      <c r="K1113" t="s">
        <v>48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2025</v>
      </c>
      <c r="J1114">
        <v>278.15340000000003</v>
      </c>
      <c r="K1114" t="s">
        <v>48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2030</v>
      </c>
      <c r="J1115">
        <v>288.06724999999994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2030</v>
      </c>
      <c r="J1116">
        <v>303.73484999999999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2030</v>
      </c>
      <c r="J1117">
        <v>307.35070000000002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2030</v>
      </c>
      <c r="J1118">
        <v>306.49295000000001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2030</v>
      </c>
      <c r="J1119">
        <v>159.5643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2030</v>
      </c>
      <c r="J1120">
        <v>301.96325000000002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2030</v>
      </c>
      <c r="J1121">
        <v>193.88954999999999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48</v>
      </c>
      <c r="E1122" t="s">
        <v>46</v>
      </c>
      <c r="F1122" t="s">
        <v>48</v>
      </c>
      <c r="G1122" t="s">
        <v>49</v>
      </c>
      <c r="H1122" t="s">
        <v>50</v>
      </c>
      <c r="I1122">
        <v>2035</v>
      </c>
      <c r="J1122">
        <v>231.95085</v>
      </c>
      <c r="K1122" t="s">
        <v>48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48</v>
      </c>
      <c r="E1123" t="s">
        <v>46</v>
      </c>
      <c r="F1123" t="s">
        <v>48</v>
      </c>
      <c r="G1123" t="s">
        <v>49</v>
      </c>
      <c r="H1123" t="s">
        <v>50</v>
      </c>
      <c r="I1123">
        <v>2035</v>
      </c>
      <c r="J1123">
        <v>299.16759999999999</v>
      </c>
      <c r="K1123" t="s">
        <v>48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48</v>
      </c>
      <c r="E1124" t="s">
        <v>46</v>
      </c>
      <c r="F1124" t="s">
        <v>48</v>
      </c>
      <c r="G1124" t="s">
        <v>49</v>
      </c>
      <c r="H1124" t="s">
        <v>50</v>
      </c>
      <c r="I1124">
        <v>2035</v>
      </c>
      <c r="J1124">
        <v>297.94880000000001</v>
      </c>
      <c r="K1124" t="s">
        <v>48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48</v>
      </c>
      <c r="E1125" t="s">
        <v>46</v>
      </c>
      <c r="F1125" t="s">
        <v>48</v>
      </c>
      <c r="G1125" t="s">
        <v>49</v>
      </c>
      <c r="H1125" t="s">
        <v>50</v>
      </c>
      <c r="I1125">
        <v>2035</v>
      </c>
      <c r="J1125">
        <v>301.78689999999995</v>
      </c>
      <c r="K1125" t="s">
        <v>48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48</v>
      </c>
      <c r="E1126" t="s">
        <v>46</v>
      </c>
      <c r="F1126" t="s">
        <v>48</v>
      </c>
      <c r="G1126" t="s">
        <v>49</v>
      </c>
      <c r="H1126" t="s">
        <v>50</v>
      </c>
      <c r="I1126">
        <v>2035</v>
      </c>
      <c r="J1126">
        <v>82.342649999999992</v>
      </c>
      <c r="K1126" t="s">
        <v>48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48</v>
      </c>
      <c r="E1127" t="s">
        <v>46</v>
      </c>
      <c r="F1127" t="s">
        <v>48</v>
      </c>
      <c r="G1127" t="s">
        <v>49</v>
      </c>
      <c r="H1127" t="s">
        <v>50</v>
      </c>
      <c r="I1127">
        <v>2035</v>
      </c>
      <c r="J1127">
        <v>291.18810000000002</v>
      </c>
      <c r="K1127" t="s">
        <v>48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48</v>
      </c>
      <c r="E1128" t="s">
        <v>46</v>
      </c>
      <c r="F1128" t="s">
        <v>48</v>
      </c>
      <c r="G1128" t="s">
        <v>49</v>
      </c>
      <c r="H1128" t="s">
        <v>50</v>
      </c>
      <c r="I1128">
        <v>2035</v>
      </c>
      <c r="J1128">
        <v>112.79625</v>
      </c>
      <c r="K1128" t="s">
        <v>48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2040</v>
      </c>
      <c r="J1129">
        <v>172.95515</v>
      </c>
      <c r="K1129" t="s">
        <v>48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2040</v>
      </c>
      <c r="J1130">
        <v>293.34014999999999</v>
      </c>
      <c r="K1130" t="s">
        <v>48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2040</v>
      </c>
      <c r="J1131">
        <v>206.31979999999999</v>
      </c>
      <c r="K1131" t="s">
        <v>48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2040</v>
      </c>
      <c r="J1132">
        <v>289.88094999999998</v>
      </c>
      <c r="K1132" t="s">
        <v>48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2040</v>
      </c>
      <c r="J1133">
        <v>37.136299999999999</v>
      </c>
      <c r="K1133" t="s">
        <v>48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275.15309999999999</v>
      </c>
      <c r="K1134" t="s">
        <v>48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2040</v>
      </c>
      <c r="J1135">
        <v>45.69415</v>
      </c>
      <c r="K1135" t="s">
        <v>48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2045</v>
      </c>
      <c r="J1136">
        <v>132.65789999999998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2045</v>
      </c>
      <c r="J1137">
        <v>300.34990000000005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2045</v>
      </c>
      <c r="J1138">
        <v>136.51564999999999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2045</v>
      </c>
      <c r="J1139">
        <v>287.03715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2045</v>
      </c>
      <c r="J1140">
        <v>6.2026000000000003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2045</v>
      </c>
      <c r="J1141">
        <v>269.21095000000003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2045</v>
      </c>
      <c r="J1142">
        <v>-0.99254999999999993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2050</v>
      </c>
      <c r="J1143">
        <v>102.8905</v>
      </c>
      <c r="K1143" t="s">
        <v>48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2050</v>
      </c>
      <c r="J1144">
        <v>308.90555000000001</v>
      </c>
      <c r="K1144" t="s">
        <v>48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2050</v>
      </c>
      <c r="J1145">
        <v>114.5316</v>
      </c>
      <c r="K1145" t="s">
        <v>48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2050</v>
      </c>
      <c r="J1146">
        <v>283.87184999999999</v>
      </c>
      <c r="K1146" t="s">
        <v>48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2050</v>
      </c>
      <c r="J1147">
        <v>-1.9842</v>
      </c>
      <c r="K1147" t="s">
        <v>48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48</v>
      </c>
      <c r="E1148" t="s">
        <v>46</v>
      </c>
      <c r="F1148" t="s">
        <v>48</v>
      </c>
      <c r="G1148" t="s">
        <v>49</v>
      </c>
      <c r="H1148" t="s">
        <v>50</v>
      </c>
      <c r="I1148">
        <v>2050</v>
      </c>
      <c r="J1148">
        <v>260.55124999999998</v>
      </c>
      <c r="K1148" t="s">
        <v>48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2050</v>
      </c>
      <c r="J1149">
        <v>-30.074449999999999</v>
      </c>
      <c r="K1149" t="s">
        <v>48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48</v>
      </c>
      <c r="E1150" t="s">
        <v>46</v>
      </c>
      <c r="F1150" t="s">
        <v>48</v>
      </c>
      <c r="G1150" t="s">
        <v>49</v>
      </c>
      <c r="H1150" t="s">
        <v>50</v>
      </c>
      <c r="I1150">
        <v>2055</v>
      </c>
      <c r="J1150">
        <v>90.493650000000002</v>
      </c>
      <c r="K1150" t="s">
        <v>48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2055</v>
      </c>
      <c r="J1151">
        <v>310.7681</v>
      </c>
      <c r="K1151" t="s">
        <v>48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2055</v>
      </c>
      <c r="J1152">
        <v>99.886899999999997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2055</v>
      </c>
      <c r="J1153">
        <v>162.5034</v>
      </c>
      <c r="K1153" t="s">
        <v>48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2055</v>
      </c>
      <c r="J1154">
        <v>-5.6642999999999999</v>
      </c>
      <c r="K1154" t="s">
        <v>48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2055</v>
      </c>
      <c r="J1155">
        <v>238.00434999999999</v>
      </c>
      <c r="K1155" t="s">
        <v>48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2055</v>
      </c>
      <c r="J1156">
        <v>-40.144849999999998</v>
      </c>
      <c r="K1156" t="s">
        <v>48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2060</v>
      </c>
      <c r="J1157">
        <v>90.204000000000008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2060</v>
      </c>
      <c r="J1158">
        <v>339.55509999999998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2060</v>
      </c>
      <c r="J1159">
        <v>99.135000000000005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158.83765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2060</v>
      </c>
      <c r="J1161">
        <v>-6.1961500000000003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2060</v>
      </c>
      <c r="J1162">
        <v>233.75839999999999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2060</v>
      </c>
      <c r="J1163">
        <v>-36.579149999999998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2065</v>
      </c>
      <c r="J1164">
        <v>85.316800000000001</v>
      </c>
      <c r="K1164" t="s">
        <v>48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2065</v>
      </c>
      <c r="J1165">
        <v>359.76620000000003</v>
      </c>
      <c r="K1165" t="s">
        <v>48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2065</v>
      </c>
      <c r="J1166">
        <v>95.438249999999996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2065</v>
      </c>
      <c r="J1167">
        <v>153.18085000000002</v>
      </c>
      <c r="K1167" t="s">
        <v>48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2065</v>
      </c>
      <c r="J1168">
        <v>-6.0244999999999997</v>
      </c>
      <c r="K1168" t="s">
        <v>48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48</v>
      </c>
      <c r="E1169" t="s">
        <v>46</v>
      </c>
      <c r="F1169" t="s">
        <v>48</v>
      </c>
      <c r="G1169" t="s">
        <v>49</v>
      </c>
      <c r="H1169" t="s">
        <v>50</v>
      </c>
      <c r="I1169">
        <v>2065</v>
      </c>
      <c r="J1169">
        <v>213.45155</v>
      </c>
      <c r="K1169" t="s">
        <v>48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48</v>
      </c>
      <c r="E1170" t="s">
        <v>46</v>
      </c>
      <c r="F1170" t="s">
        <v>48</v>
      </c>
      <c r="G1170" t="s">
        <v>49</v>
      </c>
      <c r="H1170" t="s">
        <v>50</v>
      </c>
      <c r="I1170">
        <v>2065</v>
      </c>
      <c r="J1170">
        <v>-32.454749999999997</v>
      </c>
      <c r="K1170" t="s">
        <v>48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48</v>
      </c>
      <c r="E1171" t="s">
        <v>46</v>
      </c>
      <c r="F1171" t="s">
        <v>48</v>
      </c>
      <c r="G1171" t="s">
        <v>49</v>
      </c>
      <c r="H1171" t="s">
        <v>50</v>
      </c>
      <c r="I1171">
        <v>2070</v>
      </c>
      <c r="J1171">
        <v>80.640799999999999</v>
      </c>
      <c r="K1171" t="s">
        <v>48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48</v>
      </c>
      <c r="E1172" t="s">
        <v>46</v>
      </c>
      <c r="F1172" t="s">
        <v>48</v>
      </c>
      <c r="G1172" t="s">
        <v>49</v>
      </c>
      <c r="H1172" t="s">
        <v>50</v>
      </c>
      <c r="I1172">
        <v>2070</v>
      </c>
      <c r="J1172">
        <v>357.74419999999998</v>
      </c>
      <c r="K1172" t="s">
        <v>48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48</v>
      </c>
      <c r="E1173" t="s">
        <v>46</v>
      </c>
      <c r="F1173" t="s">
        <v>48</v>
      </c>
      <c r="G1173" t="s">
        <v>49</v>
      </c>
      <c r="H1173" t="s">
        <v>50</v>
      </c>
      <c r="I1173">
        <v>2070</v>
      </c>
      <c r="J1173">
        <v>92.160249999999991</v>
      </c>
      <c r="K1173" t="s">
        <v>48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48</v>
      </c>
      <c r="E1174" t="s">
        <v>46</v>
      </c>
      <c r="F1174" t="s">
        <v>48</v>
      </c>
      <c r="G1174" t="s">
        <v>49</v>
      </c>
      <c r="H1174" t="s">
        <v>50</v>
      </c>
      <c r="I1174">
        <v>2070</v>
      </c>
      <c r="J1174">
        <v>147.5367</v>
      </c>
      <c r="K1174" t="s">
        <v>48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48</v>
      </c>
      <c r="E1175" t="s">
        <v>46</v>
      </c>
      <c r="F1175" t="s">
        <v>48</v>
      </c>
      <c r="G1175" t="s">
        <v>49</v>
      </c>
      <c r="H1175" t="s">
        <v>50</v>
      </c>
      <c r="I1175">
        <v>2070</v>
      </c>
      <c r="J1175">
        <v>-6.3197999999999999</v>
      </c>
      <c r="K1175" t="s">
        <v>48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48</v>
      </c>
      <c r="E1176" t="s">
        <v>46</v>
      </c>
      <c r="F1176" t="s">
        <v>48</v>
      </c>
      <c r="G1176" t="s">
        <v>49</v>
      </c>
      <c r="H1176" t="s">
        <v>50</v>
      </c>
      <c r="I1176">
        <v>2070</v>
      </c>
      <c r="J1176">
        <v>193.29795000000001</v>
      </c>
      <c r="K1176" t="s">
        <v>48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48</v>
      </c>
      <c r="E1177" t="s">
        <v>46</v>
      </c>
      <c r="F1177" t="s">
        <v>48</v>
      </c>
      <c r="G1177" t="s">
        <v>49</v>
      </c>
      <c r="H1177" t="s">
        <v>50</v>
      </c>
      <c r="I1177">
        <v>2070</v>
      </c>
      <c r="J1177">
        <v>-28.194900000000001</v>
      </c>
      <c r="K1177" t="s">
        <v>48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2075</v>
      </c>
      <c r="J1178">
        <v>76.152900000000002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2075</v>
      </c>
      <c r="J1179">
        <v>344.98660000000001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2075</v>
      </c>
      <c r="J1180">
        <v>88.108499999999992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2075</v>
      </c>
      <c r="J1181">
        <v>145.3135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2075</v>
      </c>
      <c r="J1182">
        <v>-6.5867000000000004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2075</v>
      </c>
      <c r="J1183">
        <v>191.14445000000001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2075</v>
      </c>
      <c r="J1184">
        <v>-30.579599999999999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2080</v>
      </c>
      <c r="J1185">
        <v>71.933149999999998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2080</v>
      </c>
      <c r="J1186">
        <v>333.37470000000002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2080</v>
      </c>
      <c r="J1187">
        <v>84.225700000000003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2080</v>
      </c>
      <c r="J1188">
        <v>142.554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2080</v>
      </c>
      <c r="J1189">
        <v>-6.5411999999999999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2080</v>
      </c>
      <c r="J1190">
        <v>188.56914999999998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2080</v>
      </c>
      <c r="J1191">
        <v>-30.93805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2085</v>
      </c>
      <c r="J1192">
        <v>65.335400000000007</v>
      </c>
      <c r="K1192" t="s">
        <v>48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48</v>
      </c>
      <c r="E1193" t="s">
        <v>46</v>
      </c>
      <c r="F1193" t="s">
        <v>48</v>
      </c>
      <c r="G1193" t="s">
        <v>49</v>
      </c>
      <c r="H1193" t="s">
        <v>50</v>
      </c>
      <c r="I1193">
        <v>2085</v>
      </c>
      <c r="J1193">
        <v>311.70685000000003</v>
      </c>
      <c r="K1193" t="s">
        <v>48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2085</v>
      </c>
      <c r="J1194">
        <v>79.165850000000006</v>
      </c>
      <c r="K1194" t="s">
        <v>48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48</v>
      </c>
      <c r="E1195" t="s">
        <v>46</v>
      </c>
      <c r="F1195" t="s">
        <v>48</v>
      </c>
      <c r="G1195" t="s">
        <v>49</v>
      </c>
      <c r="H1195" t="s">
        <v>50</v>
      </c>
      <c r="I1195">
        <v>2085</v>
      </c>
      <c r="J1195">
        <v>132.91039999999998</v>
      </c>
      <c r="K1195" t="s">
        <v>48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2085</v>
      </c>
      <c r="J1196">
        <v>-6.2090500000000004</v>
      </c>
      <c r="K1196" t="s">
        <v>48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48</v>
      </c>
      <c r="E1197" t="s">
        <v>46</v>
      </c>
      <c r="F1197" t="s">
        <v>48</v>
      </c>
      <c r="G1197" t="s">
        <v>49</v>
      </c>
      <c r="H1197" t="s">
        <v>50</v>
      </c>
      <c r="I1197">
        <v>2085</v>
      </c>
      <c r="J1197">
        <v>179.33955</v>
      </c>
      <c r="K1197" t="s">
        <v>48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2085</v>
      </c>
      <c r="J1198">
        <v>-30.963950000000001</v>
      </c>
      <c r="K1198" t="s">
        <v>48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2090</v>
      </c>
      <c r="J1199">
        <v>58.76305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2090</v>
      </c>
      <c r="J1200">
        <v>290.19405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2090</v>
      </c>
      <c r="J1201">
        <v>74.613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2090</v>
      </c>
      <c r="J1202">
        <v>124.23314999999999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2090</v>
      </c>
      <c r="J1203">
        <v>-5.9332000000000003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2090</v>
      </c>
      <c r="J1204">
        <v>171.2501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2090</v>
      </c>
      <c r="J1205">
        <v>-31.338000000000001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2095</v>
      </c>
      <c r="J1206">
        <v>48.854799999999997</v>
      </c>
      <c r="K1206" t="s">
        <v>48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2095</v>
      </c>
      <c r="J1207">
        <v>278.37025</v>
      </c>
      <c r="K1207" t="s">
        <v>48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2095</v>
      </c>
      <c r="J1208">
        <v>66.262199999999993</v>
      </c>
      <c r="K1208" t="s">
        <v>48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2095</v>
      </c>
      <c r="J1209">
        <v>115.35369999999999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2095</v>
      </c>
      <c r="J1210">
        <v>-5.7372500000000004</v>
      </c>
      <c r="K1210" t="s">
        <v>48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2095</v>
      </c>
      <c r="J1211">
        <v>159.50630000000001</v>
      </c>
      <c r="K1211" t="s">
        <v>48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2095</v>
      </c>
      <c r="J1212">
        <v>-28.022100000000002</v>
      </c>
      <c r="K1212" t="s">
        <v>48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2100</v>
      </c>
      <c r="J1213">
        <v>39.213999999999999</v>
      </c>
      <c r="K1213" t="s">
        <v>48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2100</v>
      </c>
      <c r="J1214">
        <v>268.2396</v>
      </c>
      <c r="K1214" t="s">
        <v>48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2100</v>
      </c>
      <c r="J1215">
        <v>58.277699999999996</v>
      </c>
      <c r="K1215" t="s">
        <v>48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2100</v>
      </c>
      <c r="J1216">
        <v>107.22825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2100</v>
      </c>
      <c r="J1217">
        <v>-5.5579999999999998</v>
      </c>
      <c r="K1217" t="s">
        <v>48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2100</v>
      </c>
      <c r="J1218">
        <v>148.68385000000001</v>
      </c>
      <c r="K1218" t="s">
        <v>48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-25.25855</v>
      </c>
      <c r="K1219" t="s">
        <v>48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220.89005</v>
      </c>
      <c r="K1220" t="s">
        <v>51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2020</v>
      </c>
      <c r="J1221">
        <v>220.0301</v>
      </c>
      <c r="K1221" t="s">
        <v>51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2020</v>
      </c>
      <c r="J1222">
        <v>221.3227</v>
      </c>
      <c r="K1222" t="s">
        <v>51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2020</v>
      </c>
      <c r="J1223">
        <v>220.69985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2020</v>
      </c>
      <c r="J1224">
        <v>218.52805000000001</v>
      </c>
      <c r="K1224" t="s">
        <v>51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2020</v>
      </c>
      <c r="J1225">
        <v>219.23869999999999</v>
      </c>
      <c r="K1225" t="s">
        <v>51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2020</v>
      </c>
      <c r="J1226">
        <v>217.88165000000001</v>
      </c>
      <c r="K1226" t="s">
        <v>51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2025</v>
      </c>
      <c r="J1227">
        <v>267.02499999999998</v>
      </c>
      <c r="K1227" t="s">
        <v>51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2025</v>
      </c>
      <c r="J1228">
        <v>265.98779999999999</v>
      </c>
      <c r="K1228" t="s">
        <v>51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2025</v>
      </c>
      <c r="J1229">
        <v>268.51689999999996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2025</v>
      </c>
      <c r="J1230">
        <v>267.88194999999996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2025</v>
      </c>
      <c r="J1231">
        <v>252.41485</v>
      </c>
      <c r="K1231" t="s">
        <v>51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2025</v>
      </c>
      <c r="J1232">
        <v>265.67815000000002</v>
      </c>
      <c r="K1232" t="s">
        <v>51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2025</v>
      </c>
      <c r="J1233">
        <v>262.78380000000004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2030</v>
      </c>
      <c r="J1234">
        <v>271.79595</v>
      </c>
      <c r="K1234" t="s">
        <v>51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2030</v>
      </c>
      <c r="J1235">
        <v>287.31759999999997</v>
      </c>
      <c r="K1235" t="s">
        <v>51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2030</v>
      </c>
      <c r="J1236">
        <v>290.59434999999996</v>
      </c>
      <c r="K1236" t="s">
        <v>51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51</v>
      </c>
      <c r="E1237" t="s">
        <v>46</v>
      </c>
      <c r="F1237" t="s">
        <v>51</v>
      </c>
      <c r="G1237" t="s">
        <v>49</v>
      </c>
      <c r="H1237" t="s">
        <v>50</v>
      </c>
      <c r="I1237">
        <v>2030</v>
      </c>
      <c r="J1237">
        <v>289.75800000000004</v>
      </c>
      <c r="K1237" t="s">
        <v>51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2030</v>
      </c>
      <c r="J1238">
        <v>148.43664999999999</v>
      </c>
      <c r="K1238" t="s">
        <v>51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51</v>
      </c>
      <c r="E1239" t="s">
        <v>46</v>
      </c>
      <c r="F1239" t="s">
        <v>51</v>
      </c>
      <c r="G1239" t="s">
        <v>49</v>
      </c>
      <c r="H1239" t="s">
        <v>50</v>
      </c>
      <c r="I1239">
        <v>2030</v>
      </c>
      <c r="J1239">
        <v>285.25594999999998</v>
      </c>
      <c r="K1239" t="s">
        <v>51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2030</v>
      </c>
      <c r="J1240">
        <v>180.10814999999999</v>
      </c>
      <c r="K1240" t="s">
        <v>51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2035</v>
      </c>
      <c r="J1241">
        <v>216.65309999999999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2035</v>
      </c>
      <c r="J1242">
        <v>283.56905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2035</v>
      </c>
      <c r="J1243">
        <v>282.18885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2035</v>
      </c>
      <c r="J1244">
        <v>285.82339999999999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2035</v>
      </c>
      <c r="J1245">
        <v>73.448299999999989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2035</v>
      </c>
      <c r="J1246">
        <v>275.1961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2035</v>
      </c>
      <c r="J1247">
        <v>100.6537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2040</v>
      </c>
      <c r="J1248">
        <v>159.24284999999998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2040</v>
      </c>
      <c r="J1249">
        <v>277.30714999999998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2040</v>
      </c>
      <c r="J1250">
        <v>191.7389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2040</v>
      </c>
      <c r="J1251">
        <v>273.36649999999997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2040</v>
      </c>
      <c r="J1252">
        <v>30.163699999999999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2040</v>
      </c>
      <c r="J1253">
        <v>258.90655000000004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2040</v>
      </c>
      <c r="J1254">
        <v>34.737400000000001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51</v>
      </c>
      <c r="E1255" t="s">
        <v>46</v>
      </c>
      <c r="F1255" t="s">
        <v>51</v>
      </c>
      <c r="G1255" t="s">
        <v>49</v>
      </c>
      <c r="H1255" t="s">
        <v>50</v>
      </c>
      <c r="I1255">
        <v>2045</v>
      </c>
      <c r="J1255">
        <v>120.32980000000001</v>
      </c>
      <c r="K1255" t="s">
        <v>51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2045</v>
      </c>
      <c r="J1256">
        <v>284.18489999999997</v>
      </c>
      <c r="K1256" t="s">
        <v>51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51</v>
      </c>
      <c r="E1257" t="s">
        <v>46</v>
      </c>
      <c r="F1257" t="s">
        <v>51</v>
      </c>
      <c r="G1257" t="s">
        <v>49</v>
      </c>
      <c r="H1257" t="s">
        <v>50</v>
      </c>
      <c r="I1257">
        <v>2045</v>
      </c>
      <c r="J1257">
        <v>124.483</v>
      </c>
      <c r="K1257" t="s">
        <v>51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2045</v>
      </c>
      <c r="J1258">
        <v>270.27300000000002</v>
      </c>
      <c r="K1258" t="s">
        <v>51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51</v>
      </c>
      <c r="E1259" t="s">
        <v>46</v>
      </c>
      <c r="F1259" t="s">
        <v>51</v>
      </c>
      <c r="G1259" t="s">
        <v>49</v>
      </c>
      <c r="H1259" t="s">
        <v>50</v>
      </c>
      <c r="I1259">
        <v>2045</v>
      </c>
      <c r="J1259">
        <v>1.13165</v>
      </c>
      <c r="K1259" t="s">
        <v>51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2045</v>
      </c>
      <c r="J1260">
        <v>252.60724999999999</v>
      </c>
      <c r="K1260" t="s">
        <v>51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51</v>
      </c>
      <c r="E1261" t="s">
        <v>46</v>
      </c>
      <c r="F1261" t="s">
        <v>51</v>
      </c>
      <c r="G1261" t="s">
        <v>49</v>
      </c>
      <c r="H1261" t="s">
        <v>50</v>
      </c>
      <c r="I1261">
        <v>2045</v>
      </c>
      <c r="J1261">
        <v>-10.89555</v>
      </c>
      <c r="K1261" t="s">
        <v>51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2050</v>
      </c>
      <c r="J1262">
        <v>91.821950000000001</v>
      </c>
      <c r="K1262" t="s">
        <v>51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51</v>
      </c>
      <c r="E1263" t="s">
        <v>46</v>
      </c>
      <c r="F1263" t="s">
        <v>51</v>
      </c>
      <c r="G1263" t="s">
        <v>49</v>
      </c>
      <c r="H1263" t="s">
        <v>50</v>
      </c>
      <c r="I1263">
        <v>2050</v>
      </c>
      <c r="J1263">
        <v>292.55675000000002</v>
      </c>
      <c r="K1263" t="s">
        <v>51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2050</v>
      </c>
      <c r="J1264">
        <v>103.66655</v>
      </c>
      <c r="K1264" t="s">
        <v>51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51</v>
      </c>
      <c r="E1265" t="s">
        <v>46</v>
      </c>
      <c r="F1265" t="s">
        <v>51</v>
      </c>
      <c r="G1265" t="s">
        <v>49</v>
      </c>
      <c r="H1265" t="s">
        <v>50</v>
      </c>
      <c r="I1265">
        <v>2050</v>
      </c>
      <c r="J1265">
        <v>266.95209999999997</v>
      </c>
      <c r="K1265" t="s">
        <v>51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2050</v>
      </c>
      <c r="J1266">
        <v>-5.9848999999999997</v>
      </c>
      <c r="K1266" t="s">
        <v>51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51</v>
      </c>
      <c r="E1267" t="s">
        <v>46</v>
      </c>
      <c r="F1267" t="s">
        <v>51</v>
      </c>
      <c r="G1267" t="s">
        <v>49</v>
      </c>
      <c r="H1267" t="s">
        <v>50</v>
      </c>
      <c r="I1267">
        <v>2050</v>
      </c>
      <c r="J1267">
        <v>243.63634999999999</v>
      </c>
      <c r="K1267" t="s">
        <v>51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2050</v>
      </c>
      <c r="J1268">
        <v>-39.92465</v>
      </c>
      <c r="K1268" t="s">
        <v>51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2055</v>
      </c>
      <c r="J1269">
        <v>80.5107</v>
      </c>
      <c r="K1269" t="s">
        <v>51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2055</v>
      </c>
      <c r="J1270">
        <v>293.4529</v>
      </c>
      <c r="K1270" t="s">
        <v>51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2055</v>
      </c>
      <c r="J1271">
        <v>89.423749999999998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2055</v>
      </c>
      <c r="J1272">
        <v>146.44575</v>
      </c>
      <c r="K1272" t="s">
        <v>51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2055</v>
      </c>
      <c r="J1273">
        <v>-8.7834500000000002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2055</v>
      </c>
      <c r="J1274">
        <v>220.1884</v>
      </c>
      <c r="K1274" t="s">
        <v>51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2055</v>
      </c>
      <c r="J1275">
        <v>-49.744550000000004</v>
      </c>
      <c r="K1275" t="s">
        <v>51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2060</v>
      </c>
      <c r="J1276">
        <v>75.9953</v>
      </c>
      <c r="K1276" t="s">
        <v>51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2060</v>
      </c>
      <c r="J1277">
        <v>320.18489999999997</v>
      </c>
      <c r="K1277" t="s">
        <v>51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2060</v>
      </c>
      <c r="J1278">
        <v>85.406099999999995</v>
      </c>
      <c r="K1278" t="s">
        <v>51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140.55349999999999</v>
      </c>
      <c r="K1279" t="s">
        <v>51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2060</v>
      </c>
      <c r="J1280">
        <v>-9.2662999999999993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2060</v>
      </c>
      <c r="J1281">
        <v>214.15125</v>
      </c>
      <c r="K1281" t="s">
        <v>51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2060</v>
      </c>
      <c r="J1282">
        <v>-49.16695</v>
      </c>
      <c r="K1282" t="s">
        <v>51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2065</v>
      </c>
      <c r="J1283">
        <v>69.373199999999997</v>
      </c>
      <c r="K1283" t="s">
        <v>51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2065</v>
      </c>
      <c r="J1284">
        <v>339.07029999999997</v>
      </c>
      <c r="K1284" t="s">
        <v>51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2065</v>
      </c>
      <c r="J1285">
        <v>80.12360000000001</v>
      </c>
      <c r="K1285" t="s">
        <v>51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2065</v>
      </c>
      <c r="J1286">
        <v>133.28964999999999</v>
      </c>
      <c r="K1286" t="s">
        <v>51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2065</v>
      </c>
      <c r="J1287">
        <v>-9.4328000000000003</v>
      </c>
      <c r="K1287" t="s">
        <v>51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51</v>
      </c>
      <c r="E1288" t="s">
        <v>46</v>
      </c>
      <c r="F1288" t="s">
        <v>51</v>
      </c>
      <c r="G1288" t="s">
        <v>49</v>
      </c>
      <c r="H1288" t="s">
        <v>50</v>
      </c>
      <c r="I1288">
        <v>2065</v>
      </c>
      <c r="J1288">
        <v>192.59415000000001</v>
      </c>
      <c r="K1288" t="s">
        <v>51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2065</v>
      </c>
      <c r="J1289">
        <v>-46.291849999999997</v>
      </c>
      <c r="K1289" t="s">
        <v>51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2070</v>
      </c>
      <c r="J1290">
        <v>63.021650000000001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2070</v>
      </c>
      <c r="J1291">
        <v>335.7389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2070</v>
      </c>
      <c r="J1292">
        <v>75.306849999999997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2070</v>
      </c>
      <c r="J1293">
        <v>126.1084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2070</v>
      </c>
      <c r="J1294">
        <v>-10.0754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2070</v>
      </c>
      <c r="J1295">
        <v>171.40950000000001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2070</v>
      </c>
      <c r="J1296">
        <v>-43.2254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2075</v>
      </c>
      <c r="J1297">
        <v>55.657700000000006</v>
      </c>
      <c r="K1297" t="s">
        <v>51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51</v>
      </c>
      <c r="E1298" t="s">
        <v>46</v>
      </c>
      <c r="F1298" t="s">
        <v>51</v>
      </c>
      <c r="G1298" t="s">
        <v>49</v>
      </c>
      <c r="H1298" t="s">
        <v>50</v>
      </c>
      <c r="I1298">
        <v>2075</v>
      </c>
      <c r="J1298">
        <v>321.91904999999997</v>
      </c>
      <c r="K1298" t="s">
        <v>51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2075</v>
      </c>
      <c r="J1299">
        <v>69.134150000000005</v>
      </c>
      <c r="K1299" t="s">
        <v>51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51</v>
      </c>
      <c r="E1300" t="s">
        <v>46</v>
      </c>
      <c r="F1300" t="s">
        <v>51</v>
      </c>
      <c r="G1300" t="s">
        <v>49</v>
      </c>
      <c r="H1300" t="s">
        <v>50</v>
      </c>
      <c r="I1300">
        <v>2075</v>
      </c>
      <c r="J1300">
        <v>122.3758</v>
      </c>
      <c r="K1300" t="s">
        <v>51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2075</v>
      </c>
      <c r="J1301">
        <v>-11.084499999999998</v>
      </c>
      <c r="K1301" t="s">
        <v>51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51</v>
      </c>
      <c r="E1302" t="s">
        <v>46</v>
      </c>
      <c r="F1302" t="s">
        <v>51</v>
      </c>
      <c r="G1302" t="s">
        <v>49</v>
      </c>
      <c r="H1302" t="s">
        <v>50</v>
      </c>
      <c r="I1302">
        <v>2075</v>
      </c>
      <c r="J1302">
        <v>166.34100000000001</v>
      </c>
      <c r="K1302" t="s">
        <v>51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2075</v>
      </c>
      <c r="J1303">
        <v>-47.046900000000001</v>
      </c>
      <c r="K1303" t="s">
        <v>51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51</v>
      </c>
      <c r="E1304" t="s">
        <v>46</v>
      </c>
      <c r="F1304" t="s">
        <v>51</v>
      </c>
      <c r="G1304" t="s">
        <v>49</v>
      </c>
      <c r="H1304" t="s">
        <v>50</v>
      </c>
      <c r="I1304">
        <v>2080</v>
      </c>
      <c r="J1304">
        <v>48.660150000000002</v>
      </c>
      <c r="K1304" t="s">
        <v>51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2080</v>
      </c>
      <c r="J1305">
        <v>309.36160000000001</v>
      </c>
      <c r="K1305" t="s">
        <v>51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51</v>
      </c>
      <c r="E1306" t="s">
        <v>46</v>
      </c>
      <c r="F1306" t="s">
        <v>51</v>
      </c>
      <c r="G1306" t="s">
        <v>49</v>
      </c>
      <c r="H1306" t="s">
        <v>50</v>
      </c>
      <c r="I1306">
        <v>2080</v>
      </c>
      <c r="J1306">
        <v>63.210549999999998</v>
      </c>
      <c r="K1306" t="s">
        <v>51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2080</v>
      </c>
      <c r="J1307">
        <v>118.26785</v>
      </c>
      <c r="K1307" t="s">
        <v>51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51</v>
      </c>
      <c r="E1308" t="s">
        <v>46</v>
      </c>
      <c r="F1308" t="s">
        <v>51</v>
      </c>
      <c r="G1308" t="s">
        <v>49</v>
      </c>
      <c r="H1308" t="s">
        <v>50</v>
      </c>
      <c r="I1308">
        <v>2080</v>
      </c>
      <c r="J1308">
        <v>-11.821999999999999</v>
      </c>
      <c r="K1308" t="s">
        <v>51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2080</v>
      </c>
      <c r="J1309">
        <v>161.0795</v>
      </c>
      <c r="K1309" t="s">
        <v>51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51</v>
      </c>
      <c r="E1310" t="s">
        <v>46</v>
      </c>
      <c r="F1310" t="s">
        <v>51</v>
      </c>
      <c r="G1310" t="s">
        <v>49</v>
      </c>
      <c r="H1310" t="s">
        <v>50</v>
      </c>
      <c r="I1310">
        <v>2080</v>
      </c>
      <c r="J1310">
        <v>-48.783000000000001</v>
      </c>
      <c r="K1310" t="s">
        <v>51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2085</v>
      </c>
      <c r="J1311">
        <v>40.614549999999994</v>
      </c>
      <c r="K1311" t="s">
        <v>51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2085</v>
      </c>
      <c r="J1312">
        <v>287.53025000000002</v>
      </c>
      <c r="K1312" t="s">
        <v>51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2085</v>
      </c>
      <c r="J1313">
        <v>56.442099999999996</v>
      </c>
      <c r="K1313" t="s">
        <v>51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2085</v>
      </c>
      <c r="J1314">
        <v>108.01245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2085</v>
      </c>
      <c r="J1315">
        <v>-12.137799999999999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2085</v>
      </c>
      <c r="J1316">
        <v>151.90975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2085</v>
      </c>
      <c r="J1317">
        <v>-48.806849999999997</v>
      </c>
      <c r="K1317" t="s">
        <v>51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51</v>
      </c>
      <c r="E1318" t="s">
        <v>46</v>
      </c>
      <c r="F1318" t="s">
        <v>51</v>
      </c>
      <c r="G1318" t="s">
        <v>49</v>
      </c>
      <c r="H1318" t="s">
        <v>50</v>
      </c>
      <c r="I1318">
        <v>2090</v>
      </c>
      <c r="J1318">
        <v>32.660249999999998</v>
      </c>
      <c r="K1318" t="s">
        <v>51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2090</v>
      </c>
      <c r="J1319">
        <v>265.85579999999999</v>
      </c>
      <c r="K1319" t="s">
        <v>51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51</v>
      </c>
      <c r="E1320" t="s">
        <v>46</v>
      </c>
      <c r="F1320" t="s">
        <v>51</v>
      </c>
      <c r="G1320" t="s">
        <v>49</v>
      </c>
      <c r="H1320" t="s">
        <v>50</v>
      </c>
      <c r="I1320">
        <v>2090</v>
      </c>
      <c r="J1320">
        <v>50.215599999999995</v>
      </c>
      <c r="K1320" t="s">
        <v>51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2090</v>
      </c>
      <c r="J1321">
        <v>98.717750000000009</v>
      </c>
      <c r="K1321" t="s">
        <v>51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2090</v>
      </c>
      <c r="J1322">
        <v>-12.59125</v>
      </c>
      <c r="K1322" t="s">
        <v>51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2090</v>
      </c>
      <c r="J1323">
        <v>143.86689999999999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2090</v>
      </c>
      <c r="J1324">
        <v>-49.1798</v>
      </c>
      <c r="K1324" t="s">
        <v>51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2095</v>
      </c>
      <c r="J1325">
        <v>23.8155</v>
      </c>
      <c r="K1325" t="s">
        <v>51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2095</v>
      </c>
      <c r="J1326">
        <v>254.5822</v>
      </c>
      <c r="K1326" t="s">
        <v>51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2095</v>
      </c>
      <c r="J1327">
        <v>42.704349999999998</v>
      </c>
      <c r="K1327" t="s">
        <v>51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2095</v>
      </c>
      <c r="J1328">
        <v>90.154499999999985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2095</v>
      </c>
      <c r="J1329">
        <v>-12.633050000000001</v>
      </c>
      <c r="K1329" t="s">
        <v>51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2095</v>
      </c>
      <c r="J1330">
        <v>132.40094999999999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2095</v>
      </c>
      <c r="J1331">
        <v>-44.975449999999995</v>
      </c>
      <c r="K1331" t="s">
        <v>51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15.19595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244.98060000000001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35.559950000000001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82.325050000000005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-12.6806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121.82565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-41.37585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2025</v>
      </c>
      <c r="J1346">
        <v>5.6314500000000001</v>
      </c>
      <c r="K1346" t="s">
        <v>29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2025</v>
      </c>
      <c r="J1347">
        <v>5.7637999999999998</v>
      </c>
      <c r="K1347" t="s">
        <v>29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2025</v>
      </c>
      <c r="J1348">
        <v>5.7637999999999998</v>
      </c>
      <c r="K1348" t="s">
        <v>29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2025</v>
      </c>
      <c r="J1349">
        <v>5.7637999999999998</v>
      </c>
      <c r="K1349" t="s">
        <v>29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2025</v>
      </c>
      <c r="J1350">
        <v>5.3708</v>
      </c>
      <c r="K1350" t="s">
        <v>29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2025</v>
      </c>
      <c r="J1351">
        <v>5.6462000000000003</v>
      </c>
      <c r="K1351" t="s">
        <v>29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2025</v>
      </c>
      <c r="J1352">
        <v>5.2343000000000002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2030</v>
      </c>
      <c r="J1353">
        <v>5.5214499999999997</v>
      </c>
      <c r="K1353" t="s">
        <v>29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2030</v>
      </c>
      <c r="J1354">
        <v>5.4670500000000004</v>
      </c>
      <c r="K1354" t="s">
        <v>29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2030</v>
      </c>
      <c r="J1355">
        <v>5.4670500000000004</v>
      </c>
      <c r="K1355" t="s">
        <v>29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29</v>
      </c>
      <c r="E1356" t="s">
        <v>30</v>
      </c>
      <c r="F1356" t="s">
        <v>29</v>
      </c>
      <c r="G1356" t="s">
        <v>31</v>
      </c>
      <c r="H1356" t="s">
        <v>32</v>
      </c>
      <c r="I1356">
        <v>2030</v>
      </c>
      <c r="J1356">
        <v>5.4670500000000004</v>
      </c>
      <c r="K1356" t="s">
        <v>29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29</v>
      </c>
      <c r="E1357" t="s">
        <v>30</v>
      </c>
      <c r="F1357" t="s">
        <v>29</v>
      </c>
      <c r="G1357" t="s">
        <v>31</v>
      </c>
      <c r="H1357" t="s">
        <v>32</v>
      </c>
      <c r="I1357">
        <v>2030</v>
      </c>
      <c r="J1357">
        <v>5.2363499999999998</v>
      </c>
      <c r="K1357" t="s">
        <v>29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29</v>
      </c>
      <c r="E1358" t="s">
        <v>30</v>
      </c>
      <c r="F1358" t="s">
        <v>29</v>
      </c>
      <c r="G1358" t="s">
        <v>31</v>
      </c>
      <c r="H1358" t="s">
        <v>32</v>
      </c>
      <c r="I1358">
        <v>2030</v>
      </c>
      <c r="J1358">
        <v>5.6435499999999994</v>
      </c>
      <c r="K1358" t="s">
        <v>29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29</v>
      </c>
      <c r="E1359" t="s">
        <v>30</v>
      </c>
      <c r="F1359" t="s">
        <v>29</v>
      </c>
      <c r="G1359" t="s">
        <v>31</v>
      </c>
      <c r="H1359" t="s">
        <v>32</v>
      </c>
      <c r="I1359">
        <v>2030</v>
      </c>
      <c r="J1359">
        <v>6.0677500000000002</v>
      </c>
      <c r="K1359" t="s">
        <v>29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29</v>
      </c>
      <c r="E1360" t="s">
        <v>30</v>
      </c>
      <c r="F1360" t="s">
        <v>29</v>
      </c>
      <c r="G1360" t="s">
        <v>31</v>
      </c>
      <c r="H1360" t="s">
        <v>32</v>
      </c>
      <c r="I1360">
        <v>2035</v>
      </c>
      <c r="J1360">
        <v>5.6841000000000008</v>
      </c>
      <c r="K1360" t="s">
        <v>29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29</v>
      </c>
      <c r="E1361" t="s">
        <v>30</v>
      </c>
      <c r="F1361" t="s">
        <v>29</v>
      </c>
      <c r="G1361" t="s">
        <v>31</v>
      </c>
      <c r="H1361" t="s">
        <v>32</v>
      </c>
      <c r="I1361">
        <v>2035</v>
      </c>
      <c r="J1361">
        <v>4.5601500000000001</v>
      </c>
      <c r="K1361" t="s">
        <v>29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29</v>
      </c>
      <c r="E1362" t="s">
        <v>30</v>
      </c>
      <c r="F1362" t="s">
        <v>29</v>
      </c>
      <c r="G1362" t="s">
        <v>31</v>
      </c>
      <c r="H1362" t="s">
        <v>32</v>
      </c>
      <c r="I1362">
        <v>2035</v>
      </c>
      <c r="J1362">
        <v>2.1764999999999999</v>
      </c>
      <c r="K1362" t="s">
        <v>29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29</v>
      </c>
      <c r="E1363" t="s">
        <v>30</v>
      </c>
      <c r="F1363" t="s">
        <v>29</v>
      </c>
      <c r="G1363" t="s">
        <v>31</v>
      </c>
      <c r="H1363" t="s">
        <v>32</v>
      </c>
      <c r="I1363">
        <v>2035</v>
      </c>
      <c r="J1363">
        <v>4.7282500000000001</v>
      </c>
      <c r="K1363" t="s">
        <v>29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29</v>
      </c>
      <c r="E1364" t="s">
        <v>30</v>
      </c>
      <c r="F1364" t="s">
        <v>29</v>
      </c>
      <c r="G1364" t="s">
        <v>31</v>
      </c>
      <c r="H1364" t="s">
        <v>32</v>
      </c>
      <c r="I1364">
        <v>2035</v>
      </c>
      <c r="J1364">
        <v>7.7720500000000001</v>
      </c>
      <c r="K1364" t="s">
        <v>29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29</v>
      </c>
      <c r="E1365" t="s">
        <v>30</v>
      </c>
      <c r="F1365" t="s">
        <v>29</v>
      </c>
      <c r="G1365" t="s">
        <v>31</v>
      </c>
      <c r="H1365" t="s">
        <v>32</v>
      </c>
      <c r="I1365">
        <v>2035</v>
      </c>
      <c r="J1365">
        <v>5.8456999999999999</v>
      </c>
      <c r="K1365" t="s">
        <v>29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29</v>
      </c>
      <c r="E1366" t="s">
        <v>30</v>
      </c>
      <c r="F1366" t="s">
        <v>29</v>
      </c>
      <c r="G1366" t="s">
        <v>31</v>
      </c>
      <c r="H1366" t="s">
        <v>32</v>
      </c>
      <c r="I1366">
        <v>2035</v>
      </c>
      <c r="J1366">
        <v>8.3306499999999986</v>
      </c>
      <c r="K1366" t="s">
        <v>29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2040</v>
      </c>
      <c r="J1367">
        <v>6.6692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2040</v>
      </c>
      <c r="J1368">
        <v>2.1816000000000004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2040</v>
      </c>
      <c r="J1369">
        <v>5.5442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2040</v>
      </c>
      <c r="J1370">
        <v>5.6577500000000001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2040</v>
      </c>
      <c r="J1371">
        <v>8.9328500000000002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2040</v>
      </c>
      <c r="J1372">
        <v>5.7051999999999996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2040</v>
      </c>
      <c r="J1373">
        <v>16.86035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29</v>
      </c>
      <c r="E1374" t="s">
        <v>30</v>
      </c>
      <c r="F1374" t="s">
        <v>29</v>
      </c>
      <c r="G1374" t="s">
        <v>31</v>
      </c>
      <c r="H1374" t="s">
        <v>32</v>
      </c>
      <c r="I1374">
        <v>2045</v>
      </c>
      <c r="J1374">
        <v>6.6654999999999998</v>
      </c>
      <c r="K1374" t="s">
        <v>29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29</v>
      </c>
      <c r="E1375" t="s">
        <v>30</v>
      </c>
      <c r="F1375" t="s">
        <v>29</v>
      </c>
      <c r="G1375" t="s">
        <v>31</v>
      </c>
      <c r="H1375" t="s">
        <v>32</v>
      </c>
      <c r="I1375">
        <v>2045</v>
      </c>
      <c r="J1375">
        <v>2.3449</v>
      </c>
      <c r="K1375" t="s">
        <v>29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29</v>
      </c>
      <c r="E1376" t="s">
        <v>30</v>
      </c>
      <c r="F1376" t="s">
        <v>29</v>
      </c>
      <c r="G1376" t="s">
        <v>31</v>
      </c>
      <c r="H1376" t="s">
        <v>32</v>
      </c>
      <c r="I1376">
        <v>2045</v>
      </c>
      <c r="J1376">
        <v>9.1586999999999996</v>
      </c>
      <c r="K1376" t="s">
        <v>29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29</v>
      </c>
      <c r="E1377" t="s">
        <v>30</v>
      </c>
      <c r="F1377" t="s">
        <v>29</v>
      </c>
      <c r="G1377" t="s">
        <v>31</v>
      </c>
      <c r="H1377" t="s">
        <v>32</v>
      </c>
      <c r="I1377">
        <v>2045</v>
      </c>
      <c r="J1377">
        <v>6.4249000000000001</v>
      </c>
      <c r="K1377" t="s">
        <v>29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29</v>
      </c>
      <c r="E1378" t="s">
        <v>30</v>
      </c>
      <c r="F1378" t="s">
        <v>29</v>
      </c>
      <c r="G1378" t="s">
        <v>31</v>
      </c>
      <c r="H1378" t="s">
        <v>32</v>
      </c>
      <c r="I1378">
        <v>2045</v>
      </c>
      <c r="J1378">
        <v>10.32155</v>
      </c>
      <c r="K1378" t="s">
        <v>29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29</v>
      </c>
      <c r="E1379" t="s">
        <v>30</v>
      </c>
      <c r="F1379" t="s">
        <v>29</v>
      </c>
      <c r="G1379" t="s">
        <v>31</v>
      </c>
      <c r="H1379" t="s">
        <v>32</v>
      </c>
      <c r="I1379">
        <v>2045</v>
      </c>
      <c r="J1379">
        <v>6.5330500000000002</v>
      </c>
      <c r="K1379" t="s">
        <v>29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29</v>
      </c>
      <c r="E1380" t="s">
        <v>30</v>
      </c>
      <c r="F1380" t="s">
        <v>29</v>
      </c>
      <c r="G1380" t="s">
        <v>31</v>
      </c>
      <c r="H1380" t="s">
        <v>32</v>
      </c>
      <c r="I1380">
        <v>2045</v>
      </c>
      <c r="J1380">
        <v>22.537300000000002</v>
      </c>
      <c r="K1380" t="s">
        <v>29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29</v>
      </c>
      <c r="E1381" t="s">
        <v>30</v>
      </c>
      <c r="F1381" t="s">
        <v>29</v>
      </c>
      <c r="G1381" t="s">
        <v>31</v>
      </c>
      <c r="H1381" t="s">
        <v>32</v>
      </c>
      <c r="I1381">
        <v>2050</v>
      </c>
      <c r="J1381">
        <v>7.9924499999999998</v>
      </c>
      <c r="K1381" t="s">
        <v>29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29</v>
      </c>
      <c r="E1382" t="s">
        <v>30</v>
      </c>
      <c r="F1382" t="s">
        <v>29</v>
      </c>
      <c r="G1382" t="s">
        <v>31</v>
      </c>
      <c r="H1382" t="s">
        <v>32</v>
      </c>
      <c r="I1382">
        <v>2050</v>
      </c>
      <c r="J1382">
        <v>3.6767000000000003</v>
      </c>
      <c r="K1382" t="s">
        <v>29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29</v>
      </c>
      <c r="E1383" t="s">
        <v>30</v>
      </c>
      <c r="F1383" t="s">
        <v>29</v>
      </c>
      <c r="G1383" t="s">
        <v>31</v>
      </c>
      <c r="H1383" t="s">
        <v>32</v>
      </c>
      <c r="I1383">
        <v>2050</v>
      </c>
      <c r="J1383">
        <v>17.657350000000001</v>
      </c>
      <c r="K1383" t="s">
        <v>29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29</v>
      </c>
      <c r="E1384" t="s">
        <v>30</v>
      </c>
      <c r="F1384" t="s">
        <v>29</v>
      </c>
      <c r="G1384" t="s">
        <v>31</v>
      </c>
      <c r="H1384" t="s">
        <v>32</v>
      </c>
      <c r="I1384">
        <v>2050</v>
      </c>
      <c r="J1384">
        <v>8.1373999999999995</v>
      </c>
      <c r="K1384" t="s">
        <v>29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29</v>
      </c>
      <c r="E1385" t="s">
        <v>30</v>
      </c>
      <c r="F1385" t="s">
        <v>29</v>
      </c>
      <c r="G1385" t="s">
        <v>31</v>
      </c>
      <c r="H1385" t="s">
        <v>32</v>
      </c>
      <c r="I1385">
        <v>2050</v>
      </c>
      <c r="J1385">
        <v>12.79175</v>
      </c>
      <c r="K1385" t="s">
        <v>29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29</v>
      </c>
      <c r="E1386" t="s">
        <v>30</v>
      </c>
      <c r="F1386" t="s">
        <v>29</v>
      </c>
      <c r="G1386" t="s">
        <v>31</v>
      </c>
      <c r="H1386" t="s">
        <v>32</v>
      </c>
      <c r="I1386">
        <v>2050</v>
      </c>
      <c r="J1386">
        <v>7.6464999999999996</v>
      </c>
      <c r="K1386" t="s">
        <v>29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29</v>
      </c>
      <c r="E1387" t="s">
        <v>30</v>
      </c>
      <c r="F1387" t="s">
        <v>29</v>
      </c>
      <c r="G1387" t="s">
        <v>31</v>
      </c>
      <c r="H1387" t="s">
        <v>32</v>
      </c>
      <c r="I1387">
        <v>2050</v>
      </c>
      <c r="J1387">
        <v>21.625300000000003</v>
      </c>
      <c r="K1387" t="s">
        <v>29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29</v>
      </c>
      <c r="E1388" t="s">
        <v>30</v>
      </c>
      <c r="F1388" t="s">
        <v>29</v>
      </c>
      <c r="G1388" t="s">
        <v>31</v>
      </c>
      <c r="H1388" t="s">
        <v>32</v>
      </c>
      <c r="I1388">
        <v>2055</v>
      </c>
      <c r="J1388">
        <v>8.6547000000000001</v>
      </c>
      <c r="K1388" t="s">
        <v>29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29</v>
      </c>
      <c r="E1389" t="s">
        <v>30</v>
      </c>
      <c r="F1389" t="s">
        <v>29</v>
      </c>
      <c r="G1389" t="s">
        <v>31</v>
      </c>
      <c r="H1389" t="s">
        <v>32</v>
      </c>
      <c r="I1389">
        <v>2055</v>
      </c>
      <c r="J1389">
        <v>4.1312499999999996</v>
      </c>
      <c r="K1389" t="s">
        <v>29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29</v>
      </c>
      <c r="E1390" t="s">
        <v>30</v>
      </c>
      <c r="F1390" t="s">
        <v>29</v>
      </c>
      <c r="G1390" t="s">
        <v>31</v>
      </c>
      <c r="H1390" t="s">
        <v>32</v>
      </c>
      <c r="I1390">
        <v>2055</v>
      </c>
      <c r="J1390">
        <v>20.9406</v>
      </c>
      <c r="K1390" t="s">
        <v>29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29</v>
      </c>
      <c r="E1391" t="s">
        <v>30</v>
      </c>
      <c r="F1391" t="s">
        <v>29</v>
      </c>
      <c r="G1391" t="s">
        <v>31</v>
      </c>
      <c r="H1391" t="s">
        <v>32</v>
      </c>
      <c r="I1391">
        <v>2055</v>
      </c>
      <c r="J1391">
        <v>9.2483499999999985</v>
      </c>
      <c r="K1391" t="s">
        <v>29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29</v>
      </c>
      <c r="E1392" t="s">
        <v>30</v>
      </c>
      <c r="F1392" t="s">
        <v>29</v>
      </c>
      <c r="G1392" t="s">
        <v>31</v>
      </c>
      <c r="H1392" t="s">
        <v>32</v>
      </c>
      <c r="I1392">
        <v>2055</v>
      </c>
      <c r="J1392">
        <v>10.578399999999998</v>
      </c>
      <c r="K1392" t="s">
        <v>29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29</v>
      </c>
      <c r="E1393" t="s">
        <v>30</v>
      </c>
      <c r="F1393" t="s">
        <v>29</v>
      </c>
      <c r="G1393" t="s">
        <v>31</v>
      </c>
      <c r="H1393" t="s">
        <v>32</v>
      </c>
      <c r="I1393">
        <v>2055</v>
      </c>
      <c r="J1393">
        <v>6.8690999999999995</v>
      </c>
      <c r="K1393" t="s">
        <v>29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29</v>
      </c>
      <c r="E1394" t="s">
        <v>30</v>
      </c>
      <c r="F1394" t="s">
        <v>29</v>
      </c>
      <c r="G1394" t="s">
        <v>31</v>
      </c>
      <c r="H1394" t="s">
        <v>32</v>
      </c>
      <c r="I1394">
        <v>2055</v>
      </c>
      <c r="J1394">
        <v>20.022300000000001</v>
      </c>
      <c r="K1394" t="s">
        <v>29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2060</v>
      </c>
      <c r="J1395">
        <v>12.725249999999999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2060</v>
      </c>
      <c r="J1396">
        <v>5.2963500000000003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2060</v>
      </c>
      <c r="J1397">
        <v>28.955849999999998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2060</v>
      </c>
      <c r="J1398">
        <v>14.686199999999999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2060</v>
      </c>
      <c r="J1399">
        <v>21.462600000000002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2060</v>
      </c>
      <c r="J1400">
        <v>13.05955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2060</v>
      </c>
      <c r="J1401">
        <v>34.522100000000002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29</v>
      </c>
      <c r="E1402" t="s">
        <v>30</v>
      </c>
      <c r="F1402" t="s">
        <v>29</v>
      </c>
      <c r="G1402" t="s">
        <v>31</v>
      </c>
      <c r="H1402" t="s">
        <v>32</v>
      </c>
      <c r="I1402">
        <v>2065</v>
      </c>
      <c r="J1402">
        <v>12.6111</v>
      </c>
      <c r="K1402" t="s">
        <v>29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29</v>
      </c>
      <c r="E1403" t="s">
        <v>30</v>
      </c>
      <c r="F1403" t="s">
        <v>29</v>
      </c>
      <c r="G1403" t="s">
        <v>31</v>
      </c>
      <c r="H1403" t="s">
        <v>32</v>
      </c>
      <c r="I1403">
        <v>2065</v>
      </c>
      <c r="J1403">
        <v>6.2115499999999999</v>
      </c>
      <c r="K1403" t="s">
        <v>29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29</v>
      </c>
      <c r="E1404" t="s">
        <v>30</v>
      </c>
      <c r="F1404" t="s">
        <v>29</v>
      </c>
      <c r="G1404" t="s">
        <v>31</v>
      </c>
      <c r="H1404" t="s">
        <v>32</v>
      </c>
      <c r="I1404">
        <v>2065</v>
      </c>
      <c r="J1404">
        <v>25.764299999999999</v>
      </c>
      <c r="K1404" t="s">
        <v>29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29</v>
      </c>
      <c r="E1405" t="s">
        <v>30</v>
      </c>
      <c r="F1405" t="s">
        <v>29</v>
      </c>
      <c r="G1405" t="s">
        <v>31</v>
      </c>
      <c r="H1405" t="s">
        <v>32</v>
      </c>
      <c r="I1405">
        <v>2065</v>
      </c>
      <c r="J1405">
        <v>15.117049999999999</v>
      </c>
      <c r="K1405" t="s">
        <v>29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29</v>
      </c>
      <c r="E1406" t="s">
        <v>30</v>
      </c>
      <c r="F1406" t="s">
        <v>29</v>
      </c>
      <c r="G1406" t="s">
        <v>31</v>
      </c>
      <c r="H1406" t="s">
        <v>32</v>
      </c>
      <c r="I1406">
        <v>2065</v>
      </c>
      <c r="J1406">
        <v>19.187899999999999</v>
      </c>
      <c r="K1406" t="s">
        <v>29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2065</v>
      </c>
      <c r="J1407">
        <v>12.338899999999999</v>
      </c>
      <c r="K1407" t="s">
        <v>29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2065</v>
      </c>
      <c r="J1408">
        <v>34.848349999999996</v>
      </c>
      <c r="K1408" t="s">
        <v>29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2070</v>
      </c>
      <c r="J1409">
        <v>12.497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2070</v>
      </c>
      <c r="J1410">
        <v>7.1266999999999996</v>
      </c>
      <c r="K1410" t="s">
        <v>29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2070</v>
      </c>
      <c r="J1411">
        <v>22.572700000000001</v>
      </c>
      <c r="K1411" t="s">
        <v>29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2070</v>
      </c>
      <c r="J1412">
        <v>15.547899999999998</v>
      </c>
      <c r="K1412" t="s">
        <v>29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2070</v>
      </c>
      <c r="J1413">
        <v>16.913249999999998</v>
      </c>
      <c r="K1413" t="s">
        <v>29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2070</v>
      </c>
      <c r="J1414">
        <v>11.61825</v>
      </c>
      <c r="K1414" t="s">
        <v>29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2070</v>
      </c>
      <c r="J1415">
        <v>35.174599999999998</v>
      </c>
      <c r="K1415" t="s">
        <v>29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2075</v>
      </c>
      <c r="J1416">
        <v>13.562349999999999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2075</v>
      </c>
      <c r="J1417">
        <v>7.1797500000000003</v>
      </c>
      <c r="K1417" t="s">
        <v>29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23.83595</v>
      </c>
      <c r="K1418" t="s">
        <v>29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2075</v>
      </c>
      <c r="J1419">
        <v>15.43695</v>
      </c>
      <c r="K1419" t="s">
        <v>29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2075</v>
      </c>
      <c r="J1420">
        <v>16.574300000000001</v>
      </c>
      <c r="K1420" t="s">
        <v>29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2075</v>
      </c>
      <c r="J1421">
        <v>11.212400000000001</v>
      </c>
      <c r="K1421" t="s">
        <v>29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2075</v>
      </c>
      <c r="J1422">
        <v>34.450149999999994</v>
      </c>
      <c r="K1422" t="s">
        <v>29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2080</v>
      </c>
      <c r="J1423">
        <v>14.627700000000001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2080</v>
      </c>
      <c r="J1424">
        <v>7.2326999999999995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2080</v>
      </c>
      <c r="J1425">
        <v>25.099249999999998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2080</v>
      </c>
      <c r="J1426">
        <v>15.325950000000001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2080</v>
      </c>
      <c r="J1427">
        <v>16.235250000000001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2080</v>
      </c>
      <c r="J1428">
        <v>10.8065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2080</v>
      </c>
      <c r="J1429">
        <v>33.725650000000002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29</v>
      </c>
      <c r="E1430" t="s">
        <v>30</v>
      </c>
      <c r="F1430" t="s">
        <v>29</v>
      </c>
      <c r="G1430" t="s">
        <v>31</v>
      </c>
      <c r="H1430" t="s">
        <v>32</v>
      </c>
      <c r="I1430">
        <v>2085</v>
      </c>
      <c r="J1430">
        <v>15.284700000000001</v>
      </c>
      <c r="K1430" t="s">
        <v>29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29</v>
      </c>
      <c r="E1431" t="s">
        <v>30</v>
      </c>
      <c r="F1431" t="s">
        <v>29</v>
      </c>
      <c r="G1431" t="s">
        <v>31</v>
      </c>
      <c r="H1431" t="s">
        <v>32</v>
      </c>
      <c r="I1431">
        <v>2085</v>
      </c>
      <c r="J1431">
        <v>7.1741000000000001</v>
      </c>
      <c r="K1431" t="s">
        <v>29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29</v>
      </c>
      <c r="E1432" t="s">
        <v>30</v>
      </c>
      <c r="F1432" t="s">
        <v>29</v>
      </c>
      <c r="G1432" t="s">
        <v>31</v>
      </c>
      <c r="H1432" t="s">
        <v>32</v>
      </c>
      <c r="I1432">
        <v>2085</v>
      </c>
      <c r="J1432">
        <v>23.323250000000002</v>
      </c>
      <c r="K1432" t="s">
        <v>29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29</v>
      </c>
      <c r="E1433" t="s">
        <v>30</v>
      </c>
      <c r="F1433" t="s">
        <v>29</v>
      </c>
      <c r="G1433" t="s">
        <v>31</v>
      </c>
      <c r="H1433" t="s">
        <v>32</v>
      </c>
      <c r="I1433">
        <v>2085</v>
      </c>
      <c r="J1433">
        <v>15.232099999999999</v>
      </c>
      <c r="K1433" t="s">
        <v>29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29</v>
      </c>
      <c r="E1434" t="s">
        <v>30</v>
      </c>
      <c r="F1434" t="s">
        <v>29</v>
      </c>
      <c r="G1434" t="s">
        <v>31</v>
      </c>
      <c r="H1434" t="s">
        <v>32</v>
      </c>
      <c r="I1434">
        <v>2085</v>
      </c>
      <c r="J1434">
        <v>16.323450000000001</v>
      </c>
      <c r="K1434" t="s">
        <v>29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29</v>
      </c>
      <c r="E1435" t="s">
        <v>30</v>
      </c>
      <c r="F1435" t="s">
        <v>29</v>
      </c>
      <c r="G1435" t="s">
        <v>31</v>
      </c>
      <c r="H1435" t="s">
        <v>32</v>
      </c>
      <c r="I1435">
        <v>2085</v>
      </c>
      <c r="J1435">
        <v>10.06185</v>
      </c>
      <c r="K1435" t="s">
        <v>29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29</v>
      </c>
      <c r="E1436" t="s">
        <v>30</v>
      </c>
      <c r="F1436" t="s">
        <v>29</v>
      </c>
      <c r="G1436" t="s">
        <v>31</v>
      </c>
      <c r="H1436" t="s">
        <v>32</v>
      </c>
      <c r="I1436">
        <v>2085</v>
      </c>
      <c r="J1436">
        <v>35.534049999999993</v>
      </c>
      <c r="K1436" t="s">
        <v>29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2090</v>
      </c>
      <c r="J1437">
        <v>15.941649999999999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2090</v>
      </c>
      <c r="J1438">
        <v>7.1154500000000001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2090</v>
      </c>
      <c r="J1439">
        <v>21.547249999999998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2090</v>
      </c>
      <c r="J1440">
        <v>15.138300000000001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2090</v>
      </c>
      <c r="J1441">
        <v>16.411549999999998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2090</v>
      </c>
      <c r="J1442">
        <v>9.3171999999999997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2090</v>
      </c>
      <c r="J1443">
        <v>37.342399999999998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29</v>
      </c>
      <c r="E1444" t="s">
        <v>30</v>
      </c>
      <c r="F1444" t="s">
        <v>29</v>
      </c>
      <c r="G1444" t="s">
        <v>31</v>
      </c>
      <c r="H1444" t="s">
        <v>32</v>
      </c>
      <c r="I1444">
        <v>2095</v>
      </c>
      <c r="J1444">
        <v>15.99475</v>
      </c>
      <c r="K1444" t="s">
        <v>29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29</v>
      </c>
      <c r="E1445" t="s">
        <v>30</v>
      </c>
      <c r="F1445" t="s">
        <v>29</v>
      </c>
      <c r="G1445" t="s">
        <v>31</v>
      </c>
      <c r="H1445" t="s">
        <v>32</v>
      </c>
      <c r="I1445">
        <v>2095</v>
      </c>
      <c r="J1445">
        <v>7.3076499999999998</v>
      </c>
      <c r="K1445" t="s">
        <v>29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29</v>
      </c>
      <c r="E1446" t="s">
        <v>30</v>
      </c>
      <c r="F1446" t="s">
        <v>29</v>
      </c>
      <c r="G1446" t="s">
        <v>31</v>
      </c>
      <c r="H1446" t="s">
        <v>32</v>
      </c>
      <c r="I1446">
        <v>2095</v>
      </c>
      <c r="J1446">
        <v>22.268699999999999</v>
      </c>
      <c r="K1446" t="s">
        <v>29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29</v>
      </c>
      <c r="E1447" t="s">
        <v>30</v>
      </c>
      <c r="F1447" t="s">
        <v>29</v>
      </c>
      <c r="G1447" t="s">
        <v>31</v>
      </c>
      <c r="H1447" t="s">
        <v>32</v>
      </c>
      <c r="I1447">
        <v>2095</v>
      </c>
      <c r="J1447">
        <v>15.0703</v>
      </c>
      <c r="K1447" t="s">
        <v>29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29</v>
      </c>
      <c r="E1448" t="s">
        <v>30</v>
      </c>
      <c r="F1448" t="s">
        <v>29</v>
      </c>
      <c r="G1448" t="s">
        <v>31</v>
      </c>
      <c r="H1448" t="s">
        <v>32</v>
      </c>
      <c r="I1448">
        <v>2095</v>
      </c>
      <c r="J1448">
        <v>16.4863</v>
      </c>
      <c r="K1448" t="s">
        <v>29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29</v>
      </c>
      <c r="E1449" t="s">
        <v>30</v>
      </c>
      <c r="F1449" t="s">
        <v>29</v>
      </c>
      <c r="G1449" t="s">
        <v>31</v>
      </c>
      <c r="H1449" t="s">
        <v>32</v>
      </c>
      <c r="I1449">
        <v>2095</v>
      </c>
      <c r="J1449">
        <v>10.18595</v>
      </c>
      <c r="K1449" t="s">
        <v>29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29</v>
      </c>
      <c r="E1450" t="s">
        <v>30</v>
      </c>
      <c r="F1450" t="s">
        <v>29</v>
      </c>
      <c r="G1450" t="s">
        <v>31</v>
      </c>
      <c r="H1450" t="s">
        <v>32</v>
      </c>
      <c r="I1450">
        <v>2095</v>
      </c>
      <c r="J1450">
        <v>41.003249999999994</v>
      </c>
      <c r="K1450" t="s">
        <v>29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2100</v>
      </c>
      <c r="J1451">
        <v>16.047899999999998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2100</v>
      </c>
      <c r="J1452">
        <v>7.4998000000000005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2100</v>
      </c>
      <c r="J1453">
        <v>22.99005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2100</v>
      </c>
      <c r="J1454">
        <v>15.00235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2100</v>
      </c>
      <c r="J1455">
        <v>16.561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2100</v>
      </c>
      <c r="J1456">
        <v>11.05475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2100</v>
      </c>
      <c r="J1457">
        <v>44.664050000000003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2020</v>
      </c>
      <c r="J1458">
        <v>2.0344000000000002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2020</v>
      </c>
      <c r="J1459">
        <v>2.0344000000000002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2020</v>
      </c>
      <c r="J1460">
        <v>2.0344000000000002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2020</v>
      </c>
      <c r="J1461">
        <v>2.0344000000000002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2020</v>
      </c>
      <c r="J1462">
        <v>2.0344000000000002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2020</v>
      </c>
      <c r="J1463">
        <v>2.0344000000000002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2020</v>
      </c>
      <c r="J1464">
        <v>2.0344000000000002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33</v>
      </c>
      <c r="E1465" t="s">
        <v>30</v>
      </c>
      <c r="F1465" t="s">
        <v>33</v>
      </c>
      <c r="G1465" t="s">
        <v>31</v>
      </c>
      <c r="H1465" t="s">
        <v>34</v>
      </c>
      <c r="I1465">
        <v>2025</v>
      </c>
      <c r="J1465">
        <v>2.2931499999999998</v>
      </c>
      <c r="K1465" t="s">
        <v>33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33</v>
      </c>
      <c r="E1466" t="s">
        <v>30</v>
      </c>
      <c r="F1466" t="s">
        <v>33</v>
      </c>
      <c r="G1466" t="s">
        <v>31</v>
      </c>
      <c r="H1466" t="s">
        <v>34</v>
      </c>
      <c r="I1466">
        <v>2025</v>
      </c>
      <c r="J1466">
        <v>2.2243500000000003</v>
      </c>
      <c r="K1466" t="s">
        <v>33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33</v>
      </c>
      <c r="E1467" t="s">
        <v>30</v>
      </c>
      <c r="F1467" t="s">
        <v>33</v>
      </c>
      <c r="G1467" t="s">
        <v>31</v>
      </c>
      <c r="H1467" t="s">
        <v>34</v>
      </c>
      <c r="I1467">
        <v>2025</v>
      </c>
      <c r="J1467">
        <v>2.2243500000000003</v>
      </c>
      <c r="K1467" t="s">
        <v>33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33</v>
      </c>
      <c r="E1468" t="s">
        <v>30</v>
      </c>
      <c r="F1468" t="s">
        <v>33</v>
      </c>
      <c r="G1468" t="s">
        <v>31</v>
      </c>
      <c r="H1468" t="s">
        <v>34</v>
      </c>
      <c r="I1468">
        <v>2025</v>
      </c>
      <c r="J1468">
        <v>2.2243500000000003</v>
      </c>
      <c r="K1468" t="s">
        <v>33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33</v>
      </c>
      <c r="E1469" t="s">
        <v>30</v>
      </c>
      <c r="F1469" t="s">
        <v>33</v>
      </c>
      <c r="G1469" t="s">
        <v>31</v>
      </c>
      <c r="H1469" t="s">
        <v>34</v>
      </c>
      <c r="I1469">
        <v>2025</v>
      </c>
      <c r="J1469">
        <v>2.3917000000000002</v>
      </c>
      <c r="K1469" t="s">
        <v>33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33</v>
      </c>
      <c r="E1470" t="s">
        <v>30</v>
      </c>
      <c r="F1470" t="s">
        <v>33</v>
      </c>
      <c r="G1470" t="s">
        <v>31</v>
      </c>
      <c r="H1470" t="s">
        <v>34</v>
      </c>
      <c r="I1470">
        <v>2025</v>
      </c>
      <c r="J1470">
        <v>2.1265499999999999</v>
      </c>
      <c r="K1470" t="s">
        <v>33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33</v>
      </c>
      <c r="E1471" t="s">
        <v>30</v>
      </c>
      <c r="F1471" t="s">
        <v>33</v>
      </c>
      <c r="G1471" t="s">
        <v>31</v>
      </c>
      <c r="H1471" t="s">
        <v>34</v>
      </c>
      <c r="I1471">
        <v>2025</v>
      </c>
      <c r="J1471">
        <v>2.6320999999999999</v>
      </c>
      <c r="K1471" t="s">
        <v>33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2030</v>
      </c>
      <c r="J1472">
        <v>1.7549000000000001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2030</v>
      </c>
      <c r="J1473">
        <v>2.2640500000000001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2030</v>
      </c>
      <c r="J1474">
        <v>2.2640500000000001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2030</v>
      </c>
      <c r="J1475">
        <v>2.2640500000000001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2030</v>
      </c>
      <c r="J1476">
        <v>1.6132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2030</v>
      </c>
      <c r="J1477">
        <v>2.0844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2030</v>
      </c>
      <c r="J1478">
        <v>1.7697500000000002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33</v>
      </c>
      <c r="E1479" t="s">
        <v>30</v>
      </c>
      <c r="F1479" t="s">
        <v>33</v>
      </c>
      <c r="G1479" t="s">
        <v>31</v>
      </c>
      <c r="H1479" t="s">
        <v>34</v>
      </c>
      <c r="I1479">
        <v>2035</v>
      </c>
      <c r="J1479">
        <v>1.54745</v>
      </c>
      <c r="K1479" t="s">
        <v>33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33</v>
      </c>
      <c r="E1480" t="s">
        <v>30</v>
      </c>
      <c r="F1480" t="s">
        <v>33</v>
      </c>
      <c r="G1480" t="s">
        <v>31</v>
      </c>
      <c r="H1480" t="s">
        <v>34</v>
      </c>
      <c r="I1480">
        <v>2035</v>
      </c>
      <c r="J1480">
        <v>2.3101000000000003</v>
      </c>
      <c r="K1480" t="s">
        <v>33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33</v>
      </c>
      <c r="E1481" t="s">
        <v>30</v>
      </c>
      <c r="F1481" t="s">
        <v>33</v>
      </c>
      <c r="G1481" t="s">
        <v>31</v>
      </c>
      <c r="H1481" t="s">
        <v>34</v>
      </c>
      <c r="I1481">
        <v>2035</v>
      </c>
      <c r="J1481">
        <v>2.2969999999999997</v>
      </c>
      <c r="K1481" t="s">
        <v>33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33</v>
      </c>
      <c r="E1482" t="s">
        <v>30</v>
      </c>
      <c r="F1482" t="s">
        <v>33</v>
      </c>
      <c r="G1482" t="s">
        <v>31</v>
      </c>
      <c r="H1482" t="s">
        <v>34</v>
      </c>
      <c r="I1482">
        <v>2035</v>
      </c>
      <c r="J1482">
        <v>2.2480000000000002</v>
      </c>
      <c r="K1482" t="s">
        <v>33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33</v>
      </c>
      <c r="E1483" t="s">
        <v>30</v>
      </c>
      <c r="F1483" t="s">
        <v>33</v>
      </c>
      <c r="G1483" t="s">
        <v>31</v>
      </c>
      <c r="H1483" t="s">
        <v>34</v>
      </c>
      <c r="I1483">
        <v>2035</v>
      </c>
      <c r="J1483">
        <v>1.2301500000000001</v>
      </c>
      <c r="K1483" t="s">
        <v>33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33</v>
      </c>
      <c r="E1484" t="s">
        <v>30</v>
      </c>
      <c r="F1484" t="s">
        <v>33</v>
      </c>
      <c r="G1484" t="s">
        <v>31</v>
      </c>
      <c r="H1484" t="s">
        <v>34</v>
      </c>
      <c r="I1484">
        <v>2035</v>
      </c>
      <c r="J1484">
        <v>2.0721499999999997</v>
      </c>
      <c r="K1484" t="s">
        <v>33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33</v>
      </c>
      <c r="E1485" t="s">
        <v>30</v>
      </c>
      <c r="F1485" t="s">
        <v>33</v>
      </c>
      <c r="G1485" t="s">
        <v>31</v>
      </c>
      <c r="H1485" t="s">
        <v>34</v>
      </c>
      <c r="I1485">
        <v>2035</v>
      </c>
      <c r="J1485">
        <v>1.43615</v>
      </c>
      <c r="K1485" t="s">
        <v>33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2040</v>
      </c>
      <c r="J1486">
        <v>1.4253499999999999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2040</v>
      </c>
      <c r="J1487">
        <v>2.37805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2040</v>
      </c>
      <c r="J1488">
        <v>1.8371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2040</v>
      </c>
      <c r="J1489">
        <v>1.94885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2040</v>
      </c>
      <c r="J1490">
        <v>1.33395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2040</v>
      </c>
      <c r="J1491">
        <v>1.9391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2040</v>
      </c>
      <c r="J1492">
        <v>1.3690500000000001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2045</v>
      </c>
      <c r="J1493">
        <v>1.4182999999999999</v>
      </c>
      <c r="K1493" t="s">
        <v>33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2045</v>
      </c>
      <c r="J1494">
        <v>2.4756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2045</v>
      </c>
      <c r="J1495">
        <v>1.4248000000000001</v>
      </c>
      <c r="K1495" t="s">
        <v>33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2045</v>
      </c>
      <c r="J1496">
        <v>1.82115</v>
      </c>
      <c r="K1496" t="s">
        <v>33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1.2519499999999999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2045</v>
      </c>
      <c r="J1498">
        <v>1.8263</v>
      </c>
      <c r="K1498" t="s">
        <v>33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2045</v>
      </c>
      <c r="J1499">
        <v>1.4416</v>
      </c>
      <c r="K1499" t="s">
        <v>33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2050</v>
      </c>
      <c r="J1500">
        <v>1.5704500000000001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2050</v>
      </c>
      <c r="J1501">
        <v>2.7322500000000001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2050</v>
      </c>
      <c r="J1502">
        <v>1.53165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2050</v>
      </c>
      <c r="J1503">
        <v>2.1814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2050</v>
      </c>
      <c r="J1504">
        <v>1.59405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2050</v>
      </c>
      <c r="J1505">
        <v>1.9153500000000001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2050</v>
      </c>
      <c r="J1506">
        <v>1.7387999999999999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2055</v>
      </c>
      <c r="J1507">
        <v>1.3464499999999999</v>
      </c>
      <c r="K1507" t="s">
        <v>33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2055</v>
      </c>
      <c r="J1508">
        <v>2.6589499999999999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33</v>
      </c>
      <c r="E1509" t="s">
        <v>30</v>
      </c>
      <c r="F1509" t="s">
        <v>33</v>
      </c>
      <c r="G1509" t="s">
        <v>31</v>
      </c>
      <c r="H1509" t="s">
        <v>34</v>
      </c>
      <c r="I1509">
        <v>2055</v>
      </c>
      <c r="J1509">
        <v>1.57935</v>
      </c>
      <c r="K1509" t="s">
        <v>33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33</v>
      </c>
      <c r="E1510" t="s">
        <v>30</v>
      </c>
      <c r="F1510" t="s">
        <v>33</v>
      </c>
      <c r="G1510" t="s">
        <v>31</v>
      </c>
      <c r="H1510" t="s">
        <v>34</v>
      </c>
      <c r="I1510">
        <v>2055</v>
      </c>
      <c r="J1510">
        <v>1.5321500000000001</v>
      </c>
      <c r="K1510" t="s">
        <v>33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33</v>
      </c>
      <c r="E1511" t="s">
        <v>30</v>
      </c>
      <c r="F1511" t="s">
        <v>33</v>
      </c>
      <c r="G1511" t="s">
        <v>31</v>
      </c>
      <c r="H1511" t="s">
        <v>34</v>
      </c>
      <c r="I1511">
        <v>2055</v>
      </c>
      <c r="J1511">
        <v>1.51485</v>
      </c>
      <c r="K1511" t="s">
        <v>33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33</v>
      </c>
      <c r="E1512" t="s">
        <v>30</v>
      </c>
      <c r="F1512" t="s">
        <v>33</v>
      </c>
      <c r="G1512" t="s">
        <v>31</v>
      </c>
      <c r="H1512" t="s">
        <v>34</v>
      </c>
      <c r="I1512">
        <v>2055</v>
      </c>
      <c r="J1512">
        <v>1.8517000000000001</v>
      </c>
      <c r="K1512" t="s">
        <v>33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33</v>
      </c>
      <c r="E1513" t="s">
        <v>30</v>
      </c>
      <c r="F1513" t="s">
        <v>33</v>
      </c>
      <c r="G1513" t="s">
        <v>31</v>
      </c>
      <c r="H1513" t="s">
        <v>34</v>
      </c>
      <c r="I1513">
        <v>2055</v>
      </c>
      <c r="J1513">
        <v>1.66615</v>
      </c>
      <c r="K1513" t="s">
        <v>33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2060</v>
      </c>
      <c r="J1514">
        <v>1.9051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2060</v>
      </c>
      <c r="J1515">
        <v>3.4098000000000002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2060</v>
      </c>
      <c r="J1516">
        <v>2.1811500000000001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2060</v>
      </c>
      <c r="J1517">
        <v>2.2842500000000001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2060</v>
      </c>
      <c r="J1518">
        <v>1.5146000000000002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2060</v>
      </c>
      <c r="J1519">
        <v>2.3400499999999997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2060</v>
      </c>
      <c r="J1520">
        <v>1.8959000000000001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33</v>
      </c>
      <c r="E1521" t="s">
        <v>30</v>
      </c>
      <c r="F1521" t="s">
        <v>33</v>
      </c>
      <c r="G1521" t="s">
        <v>31</v>
      </c>
      <c r="H1521" t="s">
        <v>34</v>
      </c>
      <c r="I1521">
        <v>2065</v>
      </c>
      <c r="J1521">
        <v>1.8803999999999998</v>
      </c>
      <c r="K1521" t="s">
        <v>33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33</v>
      </c>
      <c r="E1522" t="s">
        <v>30</v>
      </c>
      <c r="F1522" t="s">
        <v>33</v>
      </c>
      <c r="G1522" t="s">
        <v>31</v>
      </c>
      <c r="H1522" t="s">
        <v>34</v>
      </c>
      <c r="I1522">
        <v>2065</v>
      </c>
      <c r="J1522">
        <v>3.5568999999999997</v>
      </c>
      <c r="K1522" t="s">
        <v>33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33</v>
      </c>
      <c r="E1523" t="s">
        <v>30</v>
      </c>
      <c r="F1523" t="s">
        <v>33</v>
      </c>
      <c r="G1523" t="s">
        <v>31</v>
      </c>
      <c r="H1523" t="s">
        <v>34</v>
      </c>
      <c r="I1523">
        <v>2065</v>
      </c>
      <c r="J1523">
        <v>2.1503000000000001</v>
      </c>
      <c r="K1523" t="s">
        <v>33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33</v>
      </c>
      <c r="E1524" t="s">
        <v>30</v>
      </c>
      <c r="F1524" t="s">
        <v>33</v>
      </c>
      <c r="G1524" t="s">
        <v>31</v>
      </c>
      <c r="H1524" t="s">
        <v>34</v>
      </c>
      <c r="I1524">
        <v>2065</v>
      </c>
      <c r="J1524">
        <v>2.2705000000000002</v>
      </c>
      <c r="K1524" t="s">
        <v>33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33</v>
      </c>
      <c r="E1525" t="s">
        <v>30</v>
      </c>
      <c r="F1525" t="s">
        <v>33</v>
      </c>
      <c r="G1525" t="s">
        <v>31</v>
      </c>
      <c r="H1525" t="s">
        <v>34</v>
      </c>
      <c r="I1525">
        <v>2065</v>
      </c>
      <c r="J1525">
        <v>1.63405</v>
      </c>
      <c r="K1525" t="s">
        <v>33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33</v>
      </c>
      <c r="E1526" t="s">
        <v>30</v>
      </c>
      <c r="F1526" t="s">
        <v>33</v>
      </c>
      <c r="G1526" t="s">
        <v>31</v>
      </c>
      <c r="H1526" t="s">
        <v>34</v>
      </c>
      <c r="I1526">
        <v>2065</v>
      </c>
      <c r="J1526">
        <v>2.2040999999999999</v>
      </c>
      <c r="K1526" t="s">
        <v>33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33</v>
      </c>
      <c r="E1527" t="s">
        <v>30</v>
      </c>
      <c r="F1527" t="s">
        <v>33</v>
      </c>
      <c r="G1527" t="s">
        <v>31</v>
      </c>
      <c r="H1527" t="s">
        <v>34</v>
      </c>
      <c r="I1527">
        <v>2065</v>
      </c>
      <c r="J1527">
        <v>1.9075500000000001</v>
      </c>
      <c r="K1527" t="s">
        <v>33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33</v>
      </c>
      <c r="E1528" t="s">
        <v>30</v>
      </c>
      <c r="F1528" t="s">
        <v>33</v>
      </c>
      <c r="G1528" t="s">
        <v>31</v>
      </c>
      <c r="H1528" t="s">
        <v>34</v>
      </c>
      <c r="I1528">
        <v>2070</v>
      </c>
      <c r="J1528">
        <v>1.8557000000000001</v>
      </c>
      <c r="K1528" t="s">
        <v>33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33</v>
      </c>
      <c r="E1529" t="s">
        <v>30</v>
      </c>
      <c r="F1529" t="s">
        <v>33</v>
      </c>
      <c r="G1529" t="s">
        <v>31</v>
      </c>
      <c r="H1529" t="s">
        <v>34</v>
      </c>
      <c r="I1529">
        <v>2070</v>
      </c>
      <c r="J1529">
        <v>3.7039</v>
      </c>
      <c r="K1529" t="s">
        <v>33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33</v>
      </c>
      <c r="E1530" t="s">
        <v>30</v>
      </c>
      <c r="F1530" t="s">
        <v>33</v>
      </c>
      <c r="G1530" t="s">
        <v>31</v>
      </c>
      <c r="H1530" t="s">
        <v>34</v>
      </c>
      <c r="I1530">
        <v>2070</v>
      </c>
      <c r="J1530">
        <v>2.1193999999999997</v>
      </c>
      <c r="K1530" t="s">
        <v>33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33</v>
      </c>
      <c r="E1531" t="s">
        <v>30</v>
      </c>
      <c r="F1531" t="s">
        <v>33</v>
      </c>
      <c r="G1531" t="s">
        <v>31</v>
      </c>
      <c r="H1531" t="s">
        <v>34</v>
      </c>
      <c r="I1531">
        <v>2070</v>
      </c>
      <c r="J1531">
        <v>2.2568000000000001</v>
      </c>
      <c r="K1531" t="s">
        <v>33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33</v>
      </c>
      <c r="E1532" t="s">
        <v>30</v>
      </c>
      <c r="F1532" t="s">
        <v>33</v>
      </c>
      <c r="G1532" t="s">
        <v>31</v>
      </c>
      <c r="H1532" t="s">
        <v>34</v>
      </c>
      <c r="I1532">
        <v>2070</v>
      </c>
      <c r="J1532">
        <v>1.7535500000000002</v>
      </c>
      <c r="K1532" t="s">
        <v>33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33</v>
      </c>
      <c r="E1533" t="s">
        <v>30</v>
      </c>
      <c r="F1533" t="s">
        <v>33</v>
      </c>
      <c r="G1533" t="s">
        <v>31</v>
      </c>
      <c r="H1533" t="s">
        <v>34</v>
      </c>
      <c r="I1533">
        <v>2070</v>
      </c>
      <c r="J1533">
        <v>2.0681500000000002</v>
      </c>
      <c r="K1533" t="s">
        <v>33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33</v>
      </c>
      <c r="E1534" t="s">
        <v>30</v>
      </c>
      <c r="F1534" t="s">
        <v>33</v>
      </c>
      <c r="G1534" t="s">
        <v>31</v>
      </c>
      <c r="H1534" t="s">
        <v>34</v>
      </c>
      <c r="I1534">
        <v>2070</v>
      </c>
      <c r="J1534">
        <v>1.9191499999999999</v>
      </c>
      <c r="K1534" t="s">
        <v>33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33</v>
      </c>
      <c r="E1535" t="s">
        <v>30</v>
      </c>
      <c r="F1535" t="s">
        <v>33</v>
      </c>
      <c r="G1535" t="s">
        <v>31</v>
      </c>
      <c r="H1535" t="s">
        <v>34</v>
      </c>
      <c r="I1535">
        <v>2075</v>
      </c>
      <c r="J1535">
        <v>1.85775</v>
      </c>
      <c r="K1535" t="s">
        <v>33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33</v>
      </c>
      <c r="E1536" t="s">
        <v>30</v>
      </c>
      <c r="F1536" t="s">
        <v>33</v>
      </c>
      <c r="G1536" t="s">
        <v>31</v>
      </c>
      <c r="H1536" t="s">
        <v>34</v>
      </c>
      <c r="I1536">
        <v>2075</v>
      </c>
      <c r="J1536">
        <v>3.8219000000000003</v>
      </c>
      <c r="K1536" t="s">
        <v>33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33</v>
      </c>
      <c r="E1537" t="s">
        <v>30</v>
      </c>
      <c r="F1537" t="s">
        <v>33</v>
      </c>
      <c r="G1537" t="s">
        <v>31</v>
      </c>
      <c r="H1537" t="s">
        <v>34</v>
      </c>
      <c r="I1537">
        <v>2075</v>
      </c>
      <c r="J1537">
        <v>2.0685000000000002</v>
      </c>
      <c r="K1537" t="s">
        <v>33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33</v>
      </c>
      <c r="E1538" t="s">
        <v>30</v>
      </c>
      <c r="F1538" t="s">
        <v>33</v>
      </c>
      <c r="G1538" t="s">
        <v>31</v>
      </c>
      <c r="H1538" t="s">
        <v>34</v>
      </c>
      <c r="I1538">
        <v>2075</v>
      </c>
      <c r="J1538">
        <v>2.2270000000000003</v>
      </c>
      <c r="K1538" t="s">
        <v>33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33</v>
      </c>
      <c r="E1539" t="s">
        <v>30</v>
      </c>
      <c r="F1539" t="s">
        <v>33</v>
      </c>
      <c r="G1539" t="s">
        <v>31</v>
      </c>
      <c r="H1539" t="s">
        <v>34</v>
      </c>
      <c r="I1539">
        <v>2075</v>
      </c>
      <c r="J1539">
        <v>1.8342499999999999</v>
      </c>
      <c r="K1539" t="s">
        <v>33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33</v>
      </c>
      <c r="E1540" t="s">
        <v>30</v>
      </c>
      <c r="F1540" t="s">
        <v>33</v>
      </c>
      <c r="G1540" t="s">
        <v>31</v>
      </c>
      <c r="H1540" t="s">
        <v>34</v>
      </c>
      <c r="I1540">
        <v>2075</v>
      </c>
      <c r="J1540">
        <v>2.1757499999999999</v>
      </c>
      <c r="K1540" t="s">
        <v>33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33</v>
      </c>
      <c r="E1541" t="s">
        <v>30</v>
      </c>
      <c r="F1541" t="s">
        <v>33</v>
      </c>
      <c r="G1541" t="s">
        <v>31</v>
      </c>
      <c r="H1541" t="s">
        <v>34</v>
      </c>
      <c r="I1541">
        <v>2075</v>
      </c>
      <c r="J1541">
        <v>2.0170500000000002</v>
      </c>
      <c r="K1541" t="s">
        <v>33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2080</v>
      </c>
      <c r="J1542">
        <v>1.8597999999999999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2080</v>
      </c>
      <c r="J1543">
        <v>3.9399000000000002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2080</v>
      </c>
      <c r="J1544">
        <v>2.0176500000000002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2080</v>
      </c>
      <c r="J1545">
        <v>2.1972499999999999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2080</v>
      </c>
      <c r="J1546">
        <v>1.9149500000000002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2080</v>
      </c>
      <c r="J1547">
        <v>2.28335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2080</v>
      </c>
      <c r="J1548">
        <v>2.1149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33</v>
      </c>
      <c r="E1549" t="s">
        <v>30</v>
      </c>
      <c r="F1549" t="s">
        <v>33</v>
      </c>
      <c r="G1549" t="s">
        <v>31</v>
      </c>
      <c r="H1549" t="s">
        <v>34</v>
      </c>
      <c r="I1549">
        <v>2085</v>
      </c>
      <c r="J1549">
        <v>1.8835500000000001</v>
      </c>
      <c r="K1549" t="s">
        <v>33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33</v>
      </c>
      <c r="E1550" t="s">
        <v>30</v>
      </c>
      <c r="F1550" t="s">
        <v>33</v>
      </c>
      <c r="G1550" t="s">
        <v>31</v>
      </c>
      <c r="H1550" t="s">
        <v>34</v>
      </c>
      <c r="I1550">
        <v>2085</v>
      </c>
      <c r="J1550">
        <v>4.0999499999999998</v>
      </c>
      <c r="K1550" t="s">
        <v>33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33</v>
      </c>
      <c r="E1551" t="s">
        <v>30</v>
      </c>
      <c r="F1551" t="s">
        <v>33</v>
      </c>
      <c r="G1551" t="s">
        <v>31</v>
      </c>
      <c r="H1551" t="s">
        <v>34</v>
      </c>
      <c r="I1551">
        <v>2085</v>
      </c>
      <c r="J1551">
        <v>2.0796000000000001</v>
      </c>
      <c r="K1551" t="s">
        <v>33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33</v>
      </c>
      <c r="E1552" t="s">
        <v>30</v>
      </c>
      <c r="F1552" t="s">
        <v>33</v>
      </c>
      <c r="G1552" t="s">
        <v>31</v>
      </c>
      <c r="H1552" t="s">
        <v>34</v>
      </c>
      <c r="I1552">
        <v>2085</v>
      </c>
      <c r="J1552">
        <v>2.1886000000000001</v>
      </c>
      <c r="K1552" t="s">
        <v>33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33</v>
      </c>
      <c r="E1553" t="s">
        <v>30</v>
      </c>
      <c r="F1553" t="s">
        <v>33</v>
      </c>
      <c r="G1553" t="s">
        <v>31</v>
      </c>
      <c r="H1553" t="s">
        <v>34</v>
      </c>
      <c r="I1553">
        <v>2085</v>
      </c>
      <c r="J1553">
        <v>1.8938000000000001</v>
      </c>
      <c r="K1553" t="s">
        <v>33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33</v>
      </c>
      <c r="E1554" t="s">
        <v>30</v>
      </c>
      <c r="F1554" t="s">
        <v>33</v>
      </c>
      <c r="G1554" t="s">
        <v>31</v>
      </c>
      <c r="H1554" t="s">
        <v>34</v>
      </c>
      <c r="I1554">
        <v>2085</v>
      </c>
      <c r="J1554">
        <v>2.29</v>
      </c>
      <c r="K1554" t="s">
        <v>33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2085</v>
      </c>
      <c r="J1555">
        <v>2.0994000000000002</v>
      </c>
      <c r="K1555" t="s">
        <v>33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2090</v>
      </c>
      <c r="J1556">
        <v>1.9073500000000001</v>
      </c>
      <c r="K1556" t="s">
        <v>33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2090</v>
      </c>
      <c r="J1557">
        <v>4.2600999999999996</v>
      </c>
      <c r="K1557" t="s">
        <v>33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2090</v>
      </c>
      <c r="J1558">
        <v>2.1415499999999996</v>
      </c>
      <c r="K1558" t="s">
        <v>33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2090</v>
      </c>
      <c r="J1559">
        <v>2.1798999999999999</v>
      </c>
      <c r="K1559" t="s">
        <v>33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2090</v>
      </c>
      <c r="J1560">
        <v>1.8727</v>
      </c>
      <c r="K1560" t="s">
        <v>33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2090</v>
      </c>
      <c r="J1561">
        <v>2.2967</v>
      </c>
      <c r="K1561" t="s">
        <v>33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2090</v>
      </c>
      <c r="J1562">
        <v>2.0839499999999997</v>
      </c>
      <c r="K1562" t="s">
        <v>33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2095</v>
      </c>
      <c r="J1563">
        <v>1.81115</v>
      </c>
      <c r="K1563" t="s">
        <v>33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2095</v>
      </c>
      <c r="J1564">
        <v>4.2486499999999996</v>
      </c>
      <c r="K1564" t="s">
        <v>33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2095</v>
      </c>
      <c r="J1565">
        <v>1.9457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2095</v>
      </c>
      <c r="J1566">
        <v>2.117</v>
      </c>
      <c r="K1566" t="s">
        <v>33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2095</v>
      </c>
      <c r="J1567">
        <v>1.7038500000000001</v>
      </c>
      <c r="K1567" t="s">
        <v>33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2095</v>
      </c>
      <c r="J1568">
        <v>2.3285</v>
      </c>
      <c r="K1568" t="s">
        <v>33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2095</v>
      </c>
      <c r="J1569">
        <v>1.94255</v>
      </c>
      <c r="K1569" t="s">
        <v>33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2100</v>
      </c>
      <c r="J1570">
        <v>1.7150500000000002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4.2371499999999997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2100</v>
      </c>
      <c r="J1572">
        <v>1.7498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2100</v>
      </c>
      <c r="J1573">
        <v>2.0540000000000003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2100</v>
      </c>
      <c r="J1574">
        <v>1.53505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2100</v>
      </c>
      <c r="J1575">
        <v>2.3602499999999997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1.8012000000000001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2020</v>
      </c>
      <c r="J1578">
        <v>3.9710999999999999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2020</v>
      </c>
      <c r="J1579">
        <v>3.9710999999999999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2020</v>
      </c>
      <c r="J1580">
        <v>3.9710999999999999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2020</v>
      </c>
      <c r="J1581">
        <v>3.9710999999999999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2020</v>
      </c>
      <c r="J1582">
        <v>3.9710999999999999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2020</v>
      </c>
      <c r="J1583">
        <v>3.9710999999999999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2025</v>
      </c>
      <c r="J1584">
        <v>4.6235499999999998</v>
      </c>
      <c r="K1584" t="s">
        <v>35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2025</v>
      </c>
      <c r="J1585">
        <v>4.6684000000000001</v>
      </c>
      <c r="K1585" t="s">
        <v>35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2025</v>
      </c>
      <c r="J1586">
        <v>4.6684000000000001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2025</v>
      </c>
      <c r="J1587">
        <v>4.6684000000000001</v>
      </c>
      <c r="K1587" t="s">
        <v>35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2025</v>
      </c>
      <c r="J1588">
        <v>4.6830999999999996</v>
      </c>
      <c r="K1588" t="s">
        <v>35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2025</v>
      </c>
      <c r="J1589">
        <v>4.5302500000000006</v>
      </c>
      <c r="K1589" t="s">
        <v>35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2025</v>
      </c>
      <c r="J1590">
        <v>5.1760999999999999</v>
      </c>
      <c r="K1590" t="s">
        <v>35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2030</v>
      </c>
      <c r="J1591">
        <v>4.5418000000000003</v>
      </c>
      <c r="K1591" t="s">
        <v>35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2030</v>
      </c>
      <c r="J1592">
        <v>4.6098499999999998</v>
      </c>
      <c r="K1592" t="s">
        <v>35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2030</v>
      </c>
      <c r="J1593">
        <v>4.6098499999999998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35</v>
      </c>
      <c r="E1594" t="s">
        <v>30</v>
      </c>
      <c r="F1594" t="s">
        <v>35</v>
      </c>
      <c r="G1594" t="s">
        <v>31</v>
      </c>
      <c r="H1594" t="s">
        <v>36</v>
      </c>
      <c r="I1594">
        <v>2030</v>
      </c>
      <c r="J1594">
        <v>4.6098499999999998</v>
      </c>
      <c r="K1594" t="s">
        <v>35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35</v>
      </c>
      <c r="E1595" t="s">
        <v>30</v>
      </c>
      <c r="F1595" t="s">
        <v>35</v>
      </c>
      <c r="G1595" t="s">
        <v>31</v>
      </c>
      <c r="H1595" t="s">
        <v>36</v>
      </c>
      <c r="I1595">
        <v>2030</v>
      </c>
      <c r="J1595">
        <v>4.3525</v>
      </c>
      <c r="K1595" t="s">
        <v>35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35</v>
      </c>
      <c r="E1596" t="s">
        <v>30</v>
      </c>
      <c r="F1596" t="s">
        <v>35</v>
      </c>
      <c r="G1596" t="s">
        <v>31</v>
      </c>
      <c r="H1596" t="s">
        <v>36</v>
      </c>
      <c r="I1596">
        <v>2030</v>
      </c>
      <c r="J1596">
        <v>4.2876500000000002</v>
      </c>
      <c r="K1596" t="s">
        <v>35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35</v>
      </c>
      <c r="E1597" t="s">
        <v>30</v>
      </c>
      <c r="F1597" t="s">
        <v>35</v>
      </c>
      <c r="G1597" t="s">
        <v>31</v>
      </c>
      <c r="H1597" t="s">
        <v>36</v>
      </c>
      <c r="I1597">
        <v>2030</v>
      </c>
      <c r="J1597">
        <v>5.5402000000000005</v>
      </c>
      <c r="K1597" t="s">
        <v>35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35</v>
      </c>
      <c r="E1598" t="s">
        <v>30</v>
      </c>
      <c r="F1598" t="s">
        <v>35</v>
      </c>
      <c r="G1598" t="s">
        <v>31</v>
      </c>
      <c r="H1598" t="s">
        <v>36</v>
      </c>
      <c r="I1598">
        <v>2035</v>
      </c>
      <c r="J1598">
        <v>5.2363</v>
      </c>
      <c r="K1598" t="s">
        <v>35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35</v>
      </c>
      <c r="E1599" t="s">
        <v>30</v>
      </c>
      <c r="F1599" t="s">
        <v>35</v>
      </c>
      <c r="G1599" t="s">
        <v>31</v>
      </c>
      <c r="H1599" t="s">
        <v>36</v>
      </c>
      <c r="I1599">
        <v>2035</v>
      </c>
      <c r="J1599">
        <v>4.9910999999999994</v>
      </c>
      <c r="K1599" t="s">
        <v>35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35</v>
      </c>
      <c r="E1600" t="s">
        <v>30</v>
      </c>
      <c r="F1600" t="s">
        <v>35</v>
      </c>
      <c r="G1600" t="s">
        <v>31</v>
      </c>
      <c r="H1600" t="s">
        <v>36</v>
      </c>
      <c r="I1600">
        <v>2035</v>
      </c>
      <c r="J1600">
        <v>5.7273500000000004</v>
      </c>
      <c r="K1600" t="s">
        <v>35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35</v>
      </c>
      <c r="E1601" t="s">
        <v>30</v>
      </c>
      <c r="F1601" t="s">
        <v>35</v>
      </c>
      <c r="G1601" t="s">
        <v>31</v>
      </c>
      <c r="H1601" t="s">
        <v>36</v>
      </c>
      <c r="I1601">
        <v>2035</v>
      </c>
      <c r="J1601">
        <v>5.0059500000000003</v>
      </c>
      <c r="K1601" t="s">
        <v>35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35</v>
      </c>
      <c r="E1602" t="s">
        <v>30</v>
      </c>
      <c r="F1602" t="s">
        <v>35</v>
      </c>
      <c r="G1602" t="s">
        <v>31</v>
      </c>
      <c r="H1602" t="s">
        <v>36</v>
      </c>
      <c r="I1602">
        <v>2035</v>
      </c>
      <c r="J1602">
        <v>5.21875</v>
      </c>
      <c r="K1602" t="s">
        <v>35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35</v>
      </c>
      <c r="E1603" t="s">
        <v>30</v>
      </c>
      <c r="F1603" t="s">
        <v>35</v>
      </c>
      <c r="G1603" t="s">
        <v>31</v>
      </c>
      <c r="H1603" t="s">
        <v>36</v>
      </c>
      <c r="I1603">
        <v>2035</v>
      </c>
      <c r="J1603">
        <v>4.73515</v>
      </c>
      <c r="K1603" t="s">
        <v>35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35</v>
      </c>
      <c r="E1604" t="s">
        <v>30</v>
      </c>
      <c r="F1604" t="s">
        <v>35</v>
      </c>
      <c r="G1604" t="s">
        <v>31</v>
      </c>
      <c r="H1604" t="s">
        <v>36</v>
      </c>
      <c r="I1604">
        <v>2035</v>
      </c>
      <c r="J1604">
        <v>5.8599999999999994</v>
      </c>
      <c r="K1604" t="s">
        <v>35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2040</v>
      </c>
      <c r="J1605">
        <v>5.0498499999999993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2040</v>
      </c>
      <c r="J1606">
        <v>5.2395999999999994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2040</v>
      </c>
      <c r="J1607">
        <v>5.2990500000000003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2040</v>
      </c>
      <c r="J1608">
        <v>4.9135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2040</v>
      </c>
      <c r="J1609">
        <v>4.6133500000000005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2040</v>
      </c>
      <c r="J1610">
        <v>5.0349500000000003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2040</v>
      </c>
      <c r="J1611">
        <v>5.7446000000000002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35</v>
      </c>
      <c r="E1612" t="s">
        <v>30</v>
      </c>
      <c r="F1612" t="s">
        <v>35</v>
      </c>
      <c r="G1612" t="s">
        <v>31</v>
      </c>
      <c r="H1612" t="s">
        <v>36</v>
      </c>
      <c r="I1612">
        <v>2045</v>
      </c>
      <c r="J1612">
        <v>4.7785500000000001</v>
      </c>
      <c r="K1612" t="s">
        <v>35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35</v>
      </c>
      <c r="E1613" t="s">
        <v>30</v>
      </c>
      <c r="F1613" t="s">
        <v>35</v>
      </c>
      <c r="G1613" t="s">
        <v>31</v>
      </c>
      <c r="H1613" t="s">
        <v>36</v>
      </c>
      <c r="I1613">
        <v>2045</v>
      </c>
      <c r="J1613">
        <v>5.4906499999999996</v>
      </c>
      <c r="K1613" t="s">
        <v>35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35</v>
      </c>
      <c r="E1614" t="s">
        <v>30</v>
      </c>
      <c r="F1614" t="s">
        <v>35</v>
      </c>
      <c r="G1614" t="s">
        <v>31</v>
      </c>
      <c r="H1614" t="s">
        <v>36</v>
      </c>
      <c r="I1614">
        <v>2045</v>
      </c>
      <c r="J1614">
        <v>4.6126000000000005</v>
      </c>
      <c r="K1614" t="s">
        <v>35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35</v>
      </c>
      <c r="E1615" t="s">
        <v>30</v>
      </c>
      <c r="F1615" t="s">
        <v>35</v>
      </c>
      <c r="G1615" t="s">
        <v>31</v>
      </c>
      <c r="H1615" t="s">
        <v>36</v>
      </c>
      <c r="I1615">
        <v>2045</v>
      </c>
      <c r="J1615">
        <v>5.3256499999999996</v>
      </c>
      <c r="K1615" t="s">
        <v>35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35</v>
      </c>
      <c r="E1616" t="s">
        <v>30</v>
      </c>
      <c r="F1616" t="s">
        <v>35</v>
      </c>
      <c r="G1616" t="s">
        <v>31</v>
      </c>
      <c r="H1616" t="s">
        <v>36</v>
      </c>
      <c r="I1616">
        <v>2045</v>
      </c>
      <c r="J1616">
        <v>3.9799499999999997</v>
      </c>
      <c r="K1616" t="s">
        <v>35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35</v>
      </c>
      <c r="E1617" t="s">
        <v>30</v>
      </c>
      <c r="F1617" t="s">
        <v>35</v>
      </c>
      <c r="G1617" t="s">
        <v>31</v>
      </c>
      <c r="H1617" t="s">
        <v>36</v>
      </c>
      <c r="I1617">
        <v>2045</v>
      </c>
      <c r="J1617">
        <v>5.3595000000000006</v>
      </c>
      <c r="K1617" t="s">
        <v>35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35</v>
      </c>
      <c r="E1618" t="s">
        <v>30</v>
      </c>
      <c r="F1618" t="s">
        <v>35</v>
      </c>
      <c r="G1618" t="s">
        <v>31</v>
      </c>
      <c r="H1618" t="s">
        <v>36</v>
      </c>
      <c r="I1618">
        <v>2045</v>
      </c>
      <c r="J1618">
        <v>4.9245999999999999</v>
      </c>
      <c r="K1618" t="s">
        <v>35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35</v>
      </c>
      <c r="E1619" t="s">
        <v>30</v>
      </c>
      <c r="F1619" t="s">
        <v>35</v>
      </c>
      <c r="G1619" t="s">
        <v>31</v>
      </c>
      <c r="H1619" t="s">
        <v>36</v>
      </c>
      <c r="I1619">
        <v>2050</v>
      </c>
      <c r="J1619">
        <v>4.78505</v>
      </c>
      <c r="K1619" t="s">
        <v>35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35</v>
      </c>
      <c r="E1620" t="s">
        <v>30</v>
      </c>
      <c r="F1620" t="s">
        <v>35</v>
      </c>
      <c r="G1620" t="s">
        <v>31</v>
      </c>
      <c r="H1620" t="s">
        <v>36</v>
      </c>
      <c r="I1620">
        <v>2050</v>
      </c>
      <c r="J1620">
        <v>5.6541999999999994</v>
      </c>
      <c r="K1620" t="s">
        <v>35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35</v>
      </c>
      <c r="E1621" t="s">
        <v>30</v>
      </c>
      <c r="F1621" t="s">
        <v>35</v>
      </c>
      <c r="G1621" t="s">
        <v>31</v>
      </c>
      <c r="H1621" t="s">
        <v>36</v>
      </c>
      <c r="I1621">
        <v>2050</v>
      </c>
      <c r="J1621">
        <v>4.16</v>
      </c>
      <c r="K1621" t="s">
        <v>35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35</v>
      </c>
      <c r="E1622" t="s">
        <v>30</v>
      </c>
      <c r="F1622" t="s">
        <v>35</v>
      </c>
      <c r="G1622" t="s">
        <v>31</v>
      </c>
      <c r="H1622" t="s">
        <v>36</v>
      </c>
      <c r="I1622">
        <v>2050</v>
      </c>
      <c r="J1622">
        <v>5.0553999999999997</v>
      </c>
      <c r="K1622" t="s">
        <v>35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35</v>
      </c>
      <c r="E1623" t="s">
        <v>30</v>
      </c>
      <c r="F1623" t="s">
        <v>35</v>
      </c>
      <c r="G1623" t="s">
        <v>31</v>
      </c>
      <c r="H1623" t="s">
        <v>36</v>
      </c>
      <c r="I1623">
        <v>2050</v>
      </c>
      <c r="J1623">
        <v>4.1289999999999996</v>
      </c>
      <c r="K1623" t="s">
        <v>35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35</v>
      </c>
      <c r="E1624" t="s">
        <v>30</v>
      </c>
      <c r="F1624" t="s">
        <v>35</v>
      </c>
      <c r="G1624" t="s">
        <v>31</v>
      </c>
      <c r="H1624" t="s">
        <v>36</v>
      </c>
      <c r="I1624">
        <v>2050</v>
      </c>
      <c r="J1624">
        <v>5.3207000000000004</v>
      </c>
      <c r="K1624" t="s">
        <v>35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35</v>
      </c>
      <c r="E1625" t="s">
        <v>30</v>
      </c>
      <c r="F1625" t="s">
        <v>35</v>
      </c>
      <c r="G1625" t="s">
        <v>31</v>
      </c>
      <c r="H1625" t="s">
        <v>36</v>
      </c>
      <c r="I1625">
        <v>2050</v>
      </c>
      <c r="J1625">
        <v>4.4139499999999998</v>
      </c>
      <c r="K1625" t="s">
        <v>35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35</v>
      </c>
      <c r="E1626" t="s">
        <v>30</v>
      </c>
      <c r="F1626" t="s">
        <v>35</v>
      </c>
      <c r="G1626" t="s">
        <v>31</v>
      </c>
      <c r="H1626" t="s">
        <v>36</v>
      </c>
      <c r="I1626">
        <v>2055</v>
      </c>
      <c r="J1626">
        <v>4.5329499999999996</v>
      </c>
      <c r="K1626" t="s">
        <v>35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35</v>
      </c>
      <c r="E1627" t="s">
        <v>30</v>
      </c>
      <c r="F1627" t="s">
        <v>35</v>
      </c>
      <c r="G1627" t="s">
        <v>31</v>
      </c>
      <c r="H1627" t="s">
        <v>36</v>
      </c>
      <c r="I1627">
        <v>2055</v>
      </c>
      <c r="J1627">
        <v>5.6654</v>
      </c>
      <c r="K1627" t="s">
        <v>35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35</v>
      </c>
      <c r="E1628" t="s">
        <v>30</v>
      </c>
      <c r="F1628" t="s">
        <v>35</v>
      </c>
      <c r="G1628" t="s">
        <v>31</v>
      </c>
      <c r="H1628" t="s">
        <v>36</v>
      </c>
      <c r="I1628">
        <v>2055</v>
      </c>
      <c r="J1628">
        <v>4.3904499999999995</v>
      </c>
      <c r="K1628" t="s">
        <v>35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35</v>
      </c>
      <c r="E1629" t="s">
        <v>30</v>
      </c>
      <c r="F1629" t="s">
        <v>35</v>
      </c>
      <c r="G1629" t="s">
        <v>31</v>
      </c>
      <c r="H1629" t="s">
        <v>36</v>
      </c>
      <c r="I1629">
        <v>2055</v>
      </c>
      <c r="J1629">
        <v>4.8427000000000007</v>
      </c>
      <c r="K1629" t="s">
        <v>35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35</v>
      </c>
      <c r="E1630" t="s">
        <v>30</v>
      </c>
      <c r="F1630" t="s">
        <v>35</v>
      </c>
      <c r="G1630" t="s">
        <v>31</v>
      </c>
      <c r="H1630" t="s">
        <v>36</v>
      </c>
      <c r="I1630">
        <v>2055</v>
      </c>
      <c r="J1630">
        <v>4.0207499999999996</v>
      </c>
      <c r="K1630" t="s">
        <v>35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35</v>
      </c>
      <c r="E1631" t="s">
        <v>30</v>
      </c>
      <c r="F1631" t="s">
        <v>35</v>
      </c>
      <c r="G1631" t="s">
        <v>31</v>
      </c>
      <c r="H1631" t="s">
        <v>36</v>
      </c>
      <c r="I1631">
        <v>2055</v>
      </c>
      <c r="J1631">
        <v>5.03695</v>
      </c>
      <c r="K1631" t="s">
        <v>35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35</v>
      </c>
      <c r="E1632" t="s">
        <v>30</v>
      </c>
      <c r="F1632" t="s">
        <v>35</v>
      </c>
      <c r="G1632" t="s">
        <v>31</v>
      </c>
      <c r="H1632" t="s">
        <v>36</v>
      </c>
      <c r="I1632">
        <v>2055</v>
      </c>
      <c r="J1632">
        <v>4.5674000000000001</v>
      </c>
      <c r="K1632" t="s">
        <v>35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2060</v>
      </c>
      <c r="J1633">
        <v>5.8452000000000002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2060</v>
      </c>
      <c r="J1634">
        <v>6.6663999999999994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2060</v>
      </c>
      <c r="J1635">
        <v>5.1861999999999995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2060</v>
      </c>
      <c r="J1636">
        <v>5.8754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2060</v>
      </c>
      <c r="J1637">
        <v>5.0639500000000002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2060</v>
      </c>
      <c r="J1638">
        <v>6.1361500000000007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2060</v>
      </c>
      <c r="J1639">
        <v>5.5579999999999998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35</v>
      </c>
      <c r="E1640" t="s">
        <v>30</v>
      </c>
      <c r="F1640" t="s">
        <v>35</v>
      </c>
      <c r="G1640" t="s">
        <v>31</v>
      </c>
      <c r="H1640" t="s">
        <v>36</v>
      </c>
      <c r="I1640">
        <v>2065</v>
      </c>
      <c r="J1640">
        <v>5.5266999999999999</v>
      </c>
      <c r="K1640" t="s">
        <v>35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35</v>
      </c>
      <c r="E1641" t="s">
        <v>30</v>
      </c>
      <c r="F1641" t="s">
        <v>35</v>
      </c>
      <c r="G1641" t="s">
        <v>31</v>
      </c>
      <c r="H1641" t="s">
        <v>36</v>
      </c>
      <c r="I1641">
        <v>2065</v>
      </c>
      <c r="J1641">
        <v>6.5385</v>
      </c>
      <c r="K1641" t="s">
        <v>35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35</v>
      </c>
      <c r="E1642" t="s">
        <v>30</v>
      </c>
      <c r="F1642" t="s">
        <v>35</v>
      </c>
      <c r="G1642" t="s">
        <v>31</v>
      </c>
      <c r="H1642" t="s">
        <v>36</v>
      </c>
      <c r="I1642">
        <v>2065</v>
      </c>
      <c r="J1642">
        <v>5.0748999999999995</v>
      </c>
      <c r="K1642" t="s">
        <v>35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35</v>
      </c>
      <c r="E1643" t="s">
        <v>30</v>
      </c>
      <c r="F1643" t="s">
        <v>35</v>
      </c>
      <c r="G1643" t="s">
        <v>31</v>
      </c>
      <c r="H1643" t="s">
        <v>36</v>
      </c>
      <c r="I1643">
        <v>2065</v>
      </c>
      <c r="J1643">
        <v>5.65855</v>
      </c>
      <c r="K1643" t="s">
        <v>35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35</v>
      </c>
      <c r="E1644" t="s">
        <v>30</v>
      </c>
      <c r="F1644" t="s">
        <v>35</v>
      </c>
      <c r="G1644" t="s">
        <v>31</v>
      </c>
      <c r="H1644" t="s">
        <v>36</v>
      </c>
      <c r="I1644">
        <v>2065</v>
      </c>
      <c r="J1644">
        <v>5.1820000000000004</v>
      </c>
      <c r="K1644" t="s">
        <v>35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2065</v>
      </c>
      <c r="J1645">
        <v>5.9593500000000006</v>
      </c>
      <c r="K1645" t="s">
        <v>35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2065</v>
      </c>
      <c r="J1646">
        <v>5.8658999999999999</v>
      </c>
      <c r="K1646" t="s">
        <v>35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2070</v>
      </c>
      <c r="J1647">
        <v>5.2081999999999997</v>
      </c>
      <c r="K1647" t="s">
        <v>35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2070</v>
      </c>
      <c r="J1648">
        <v>6.4105500000000006</v>
      </c>
      <c r="K1648" t="s">
        <v>35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2070</v>
      </c>
      <c r="J1649">
        <v>4.9635999999999996</v>
      </c>
      <c r="K1649" t="s">
        <v>35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2070</v>
      </c>
      <c r="J1650">
        <v>5.4417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2070</v>
      </c>
      <c r="J1651">
        <v>5.3000500000000006</v>
      </c>
      <c r="K1651" t="s">
        <v>35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2070</v>
      </c>
      <c r="J1652">
        <v>5.7826500000000003</v>
      </c>
      <c r="K1652" t="s">
        <v>35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2070</v>
      </c>
      <c r="J1653">
        <v>6.1738</v>
      </c>
      <c r="K1653" t="s">
        <v>35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2075</v>
      </c>
      <c r="J1654">
        <v>5.0817499999999995</v>
      </c>
      <c r="K1654" t="s">
        <v>35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2075</v>
      </c>
      <c r="J1655">
        <v>6.6208</v>
      </c>
      <c r="K1655" t="s">
        <v>35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5.0854999999999997</v>
      </c>
      <c r="K1656" t="s">
        <v>35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2075</v>
      </c>
      <c r="J1657">
        <v>5.4064499999999995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2075</v>
      </c>
      <c r="J1658">
        <v>5.1056999999999997</v>
      </c>
      <c r="K1658" t="s">
        <v>35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2075</v>
      </c>
      <c r="J1659">
        <v>5.7862499999999999</v>
      </c>
      <c r="K1659" t="s">
        <v>35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2075</v>
      </c>
      <c r="J1660">
        <v>6.0717999999999996</v>
      </c>
      <c r="K1660" t="s">
        <v>35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2080</v>
      </c>
      <c r="J1661">
        <v>4.9551999999999996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2080</v>
      </c>
      <c r="J1662">
        <v>6.8310500000000003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2080</v>
      </c>
      <c r="J1663">
        <v>5.2074499999999997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2080</v>
      </c>
      <c r="J1664">
        <v>5.3712499999999999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2080</v>
      </c>
      <c r="J1665">
        <v>4.9113500000000005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2080</v>
      </c>
      <c r="J1666">
        <v>5.7898499999999995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2080</v>
      </c>
      <c r="J1667">
        <v>5.9697999999999993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2085</v>
      </c>
      <c r="J1668">
        <v>5.0263999999999998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2085</v>
      </c>
      <c r="J1669">
        <v>7.0742500000000001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2085</v>
      </c>
      <c r="J1670">
        <v>5.1766000000000005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2085</v>
      </c>
      <c r="J1671">
        <v>5.36965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2085</v>
      </c>
      <c r="J1672">
        <v>4.8847000000000005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2085</v>
      </c>
      <c r="J1673">
        <v>5.8544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2085</v>
      </c>
      <c r="J1674">
        <v>5.8603500000000004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2090</v>
      </c>
      <c r="J1675">
        <v>5.0976499999999998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2090</v>
      </c>
      <c r="J1676">
        <v>7.31745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2090</v>
      </c>
      <c r="J1677">
        <v>5.1458000000000004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2090</v>
      </c>
      <c r="J1678">
        <v>5.3680500000000002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2090</v>
      </c>
      <c r="J1679">
        <v>4.8580500000000004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2090</v>
      </c>
      <c r="J1680">
        <v>5.9189499999999997</v>
      </c>
      <c r="K1680" t="s">
        <v>35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2090</v>
      </c>
      <c r="J1681">
        <v>5.7508499999999998</v>
      </c>
      <c r="K1681" t="s">
        <v>35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35</v>
      </c>
      <c r="E1682" t="s">
        <v>30</v>
      </c>
      <c r="F1682" t="s">
        <v>35</v>
      </c>
      <c r="G1682" t="s">
        <v>31</v>
      </c>
      <c r="H1682" t="s">
        <v>36</v>
      </c>
      <c r="I1682">
        <v>2095</v>
      </c>
      <c r="J1682">
        <v>5.0595999999999997</v>
      </c>
      <c r="K1682" t="s">
        <v>35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35</v>
      </c>
      <c r="E1683" t="s">
        <v>30</v>
      </c>
      <c r="F1683" t="s">
        <v>35</v>
      </c>
      <c r="G1683" t="s">
        <v>31</v>
      </c>
      <c r="H1683" t="s">
        <v>36</v>
      </c>
      <c r="I1683">
        <v>2095</v>
      </c>
      <c r="J1683">
        <v>7.4690499999999993</v>
      </c>
      <c r="K1683" t="s">
        <v>35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35</v>
      </c>
      <c r="E1684" t="s">
        <v>30</v>
      </c>
      <c r="F1684" t="s">
        <v>35</v>
      </c>
      <c r="G1684" t="s">
        <v>31</v>
      </c>
      <c r="H1684" t="s">
        <v>36</v>
      </c>
      <c r="I1684">
        <v>2095</v>
      </c>
      <c r="J1684">
        <v>5.0733999999999995</v>
      </c>
      <c r="K1684" t="s">
        <v>35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35</v>
      </c>
      <c r="E1685" t="s">
        <v>30</v>
      </c>
      <c r="F1685" t="s">
        <v>35</v>
      </c>
      <c r="G1685" t="s">
        <v>31</v>
      </c>
      <c r="H1685" t="s">
        <v>36</v>
      </c>
      <c r="I1685">
        <v>2095</v>
      </c>
      <c r="J1685">
        <v>5.4055999999999997</v>
      </c>
      <c r="K1685" t="s">
        <v>35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35</v>
      </c>
      <c r="E1686" t="s">
        <v>30</v>
      </c>
      <c r="F1686" t="s">
        <v>35</v>
      </c>
      <c r="G1686" t="s">
        <v>31</v>
      </c>
      <c r="H1686" t="s">
        <v>36</v>
      </c>
      <c r="I1686">
        <v>2095</v>
      </c>
      <c r="J1686">
        <v>4.3528500000000001</v>
      </c>
      <c r="K1686" t="s">
        <v>35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35</v>
      </c>
      <c r="E1687" t="s">
        <v>30</v>
      </c>
      <c r="F1687" t="s">
        <v>35</v>
      </c>
      <c r="G1687" t="s">
        <v>31</v>
      </c>
      <c r="H1687" t="s">
        <v>36</v>
      </c>
      <c r="I1687">
        <v>2095</v>
      </c>
      <c r="J1687">
        <v>5.9424000000000001</v>
      </c>
      <c r="K1687" t="s">
        <v>35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35</v>
      </c>
      <c r="E1688" t="s">
        <v>30</v>
      </c>
      <c r="F1688" t="s">
        <v>35</v>
      </c>
      <c r="G1688" t="s">
        <v>31</v>
      </c>
      <c r="H1688" t="s">
        <v>36</v>
      </c>
      <c r="I1688">
        <v>2095</v>
      </c>
      <c r="J1688">
        <v>5.3330500000000001</v>
      </c>
      <c r="K1688" t="s">
        <v>35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2100</v>
      </c>
      <c r="J1689">
        <v>5.0215499999999995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2100</v>
      </c>
      <c r="J1690">
        <v>7.6207000000000003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2100</v>
      </c>
      <c r="J1691">
        <v>5.0011000000000001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2100</v>
      </c>
      <c r="J1692">
        <v>5.4432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2100</v>
      </c>
      <c r="J1693">
        <v>3.8476499999999998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2100</v>
      </c>
      <c r="J1694">
        <v>5.9658999999999995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2100</v>
      </c>
      <c r="J1695">
        <v>4.9152500000000003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45.298999999999999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45.298999999999999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45.298999999999999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45.298999999999999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45.298999999999999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45.298999999999999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45.298999999999999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61.768950000000004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60.921700000000001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60.921700000000001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60.921700000000001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41.186050000000002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59.922550000000001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50.551299999999998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63.527699999999996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65.20975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65.20975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65.20975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55.630200000000002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63.530749999999998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63.129199999999997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76.44905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78.549599999999998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67.187649999999991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60.865749999999991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64.796899999999994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76.564750000000004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72.277649999999994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78.274950000000004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87.284400000000005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74.6905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77.399000000000001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70.2209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85.318299999999994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78.636200000000002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91.383899999999997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97.080199999999991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91.983599999999996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88.692000000000007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67.809650000000005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94.320700000000002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86.875349999999997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100.31829999999999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107.75015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101.90085000000001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99.408899999999988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86.416049999999998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103.8154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95.79195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105.6557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121.4423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110.9221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110.68209999999999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106.81005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120.6434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91.275700000000001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170.05165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187.71719999999999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170.32225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170.25024999999999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156.49099999999999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192.24270000000001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188.62995000000001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203.00815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224.45685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200.35825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201.68400000000003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189.84365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212.49025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223.41245000000001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235.96469999999999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261.19650000000001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230.39425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233.11765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223.19630000000001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232.73785000000001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258.19495000000001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232.63175000000001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266.25040000000001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239.88315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239.41855000000001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229.47719999999998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240.20564999999999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324.25170000000003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229.2989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271.30435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249.37209999999999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245.71944999999999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235.75815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247.67349999999999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390.30849999999998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235.81049999999999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273.24054999999998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243.14010000000002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241.42595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280.68025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252.44459999999998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483.86914999999999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242.32215000000002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275.17669999999998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236.90805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237.13245000000001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325.60239999999999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257.21574999999996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577.42975000000001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286.72765000000004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282.98410000000001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240.45245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251.5026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342.85210000000001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281.94954999999999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506.80039999999997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331.13310000000001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290.79155000000003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243.99689999999998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265.87279999999998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360.10180000000003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306.68340000000001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436.17105000000004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3.4498000000000002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9.6959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18.2867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28.6571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45.8812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0.1104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0.15040000000000001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0.18959999999999999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0.16109999999999999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0.13769999999999999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0.13600000000000001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0.15110000000000001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0.18340000000000001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0.26219999999999999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0.30120000000000002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0.4027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0.47020000000000001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0.54779999999999995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0.62990000000000002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4.7000000000000002E-3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5.8999999999999999E-3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1.34E-2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4.4000000000000003E-3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1.1000000000000001E-3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2.3999999999999998E-3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5.4999999999999997E-3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1.32E-2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5.3400000000000003E-2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6.3200000000000006E-2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5.21E-2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5.1900000000000002E-2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7.2800000000000004E-2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0.12809999999999999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9.4000000000000004E-3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3.7600000000000001E-2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25.266999999999999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35.194499999999998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40.721999999999994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40.837500000000006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38.241500000000002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41.167500000000004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38.329499999999996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9.8000000000000004E-2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7.0000000000000001E-3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1.0129999999999999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1.2803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4.7413999999999996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5.6919000000000004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7.2179000000000002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5.4116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2.7138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2.5792000000000002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2.1101000000000001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2.2250000000000001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1.5379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1.8033999999999999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1.9453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2.8195000000000001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3.1762000000000001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3.2566000000000002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3.8357999999999999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2.4416000000000002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3.6478999999999999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3.5127999999999999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3.9821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4.3265000000000002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4.8785999999999996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4.7210999999999999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239.1576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306.69049999999999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317.49869999999999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315.40370000000001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290.38319999999999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278.8168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255.2971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227.98099999999999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295.64699999999999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305.7867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303.75709999999998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278.37439999999998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266.51220000000001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241.87350000000001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0.1105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0.15870000000000001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0.17499999999999999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0.1658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0.1196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0.10780000000000001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0.1164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0.1799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0.2752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0.34770000000000001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0.45879999999999999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0.52290000000000003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0.58689999999999998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0.65859999999999996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4.5999999999999999E-3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4.1999999999999997E-3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3.2000000000000002E-3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1.4E-3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1E-4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4.0000000000000002E-4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1E-3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1.2999999999999999E-2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5.33E-2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5.4699999999999999E-2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5.2400000000000002E-2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3.9399999999999998E-2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2.52E-2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1.23E-2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9.4000000000000004E-3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2.8199999999999996E-2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1.8800000000000001E-2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24.64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35.881999999999998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43.262999999999998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47.987500000000004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49.6265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49.967500000000001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51.5075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9.8000000000000004E-2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1.0129999999999999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1.3050999999999999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5.4339000000000004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4.2057000000000002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2.7138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2.5948000000000002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2.3433000000000002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2.6046999999999998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2.4499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2.5293000000000001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1.5379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1.8031999999999999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1.8865000000000001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2.8910999999999998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3.0405000000000002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3.3778999999999999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3.6166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2.4416000000000002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3.6859999999999999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4.0622999999999996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4.3292999999999999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4.9558999999999997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5.4337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5.7576000000000001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232.1463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301.30689999999998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343.74880000000002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345.43650000000002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357.43509999999998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367.2235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402.57350000000002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221.05950000000001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290.45249999999999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332.75119999999998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334.40609999999998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346.108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356.30720000000002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391.67439999999999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5.1849999999999996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11.6174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19.491199999999999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33.988999999999997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0.1115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0.1615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0.17899999999999999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0.158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0.13220000000000001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0.1338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0.13800000000000001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0.17949999999999999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0.2762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0.35070000000000001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0.43630000000000002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0.48209999999999997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0.54820000000000002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0.62629999999999997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4.5999999999999999E-3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4.4000000000000003E-3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3.3999999999999998E-3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2.5999999999999999E-3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2.9999999999999997E-4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1E-3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2E-3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1.2999999999999999E-2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5.3400000000000003E-2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5.4899999999999997E-2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5.2299999999999999E-2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4.3299999999999998E-2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3.8399999999999997E-2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7.4700000000000003E-2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9.4000000000000004E-3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2.8199999999999996E-2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24.689500000000002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36.046999999999997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43.554500000000004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46.711500000000001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42.223500000000001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37.526499999999999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28.369000000000003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9.8000000000000004E-2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1.0129999999999999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1.3050999999999999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5.4339000000000004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10.3095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2.7138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2.5948000000000002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2.3433000000000002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2.0493000000000001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1.5822000000000001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1.5379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1.8031999999999999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1.8865000000000001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2.8969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3.2341000000000002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3.3866999999999998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3.9201000000000001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2.4416000000000002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3.6859999999999999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4.0622999999999996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3.8214999999999999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4.4836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5.1970999999999998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4.3868999999999998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232.262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302.01280000000003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345.09030000000001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329.55119999999999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302.14679999999998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280.94830000000002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249.80350000000001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221.17449999999999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291.08479999999997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333.93090000000001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318.19369999999998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290.25310000000002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268.86200000000002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236.78899999999999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0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1.3607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2.9716999999999998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0.11269999999999999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0.15490000000000001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0.17150000000000001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0.16139999999999999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0.129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0.1222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0.1389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0.1827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0.26190000000000002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0.3271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0.42120000000000002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0.51329999999999998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0.5897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0.65180000000000005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4.7999999999999996E-3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6.7999999999999996E-3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6.4000000000000003E-3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2.8E-3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4.0000000000000002E-4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1.1999999999999999E-3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3.3999999999999998E-3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1.3100000000000001E-2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5.3699999999999998E-2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5.45E-2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5.2600000000000001E-2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3.8699999999999998E-2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2.46E-2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0.01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9.4000000000000004E-3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2.8199999999999996E-2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25.316499999999998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34.859000000000002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41.6845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50.072000000000003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57.447499999999998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61.836500000000001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55.241999999999997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9.8000000000000004E-2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1.0129999999999999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1.3050999999999999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5.4339000000000004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3.4146000000000001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6.7903000000000002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11.3035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2.7138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2.5948000000000002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2.3433000000000002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3.1920000000000002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2.5276000000000001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1.5379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1.8031999999999999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1.8865000000000001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3.2330000000000001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3.0726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3.3681000000000001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4.0890000000000004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2.4416000000000002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3.6859999999999999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4.0622999999999996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4.4287999999999998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4.7736000000000001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5.3341000000000003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5.9589999999999996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237.10159999999999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305.80799999999999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344.98379999999997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361.96370000000002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373.61849999999998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380.738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360.38959999999997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225.91569999999999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294.73809999999997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333.74970000000002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350.51240000000001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362.37009999999998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369.9846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349.69450000000001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5.3920000000000003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15.507300000000001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32.845399999999998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47.570500000000003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60.1342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0.10979999999999999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0.15409999999999999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0.1885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0.18010000000000001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0.15359999999999999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0.16070000000000001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0.1847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0.19939999999999999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0.29630000000000001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0.28439999999999999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0.3836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0.46600000000000003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0.46589999999999998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0.47539999999999999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4.4000000000000003E-3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5.7999999999999996E-3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1.2699999999999999E-2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2.3E-3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1.4E-3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5.4999999999999997E-3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1.66E-2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1.47E-2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5.7500000000000002E-2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7.1800000000000003E-2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7.0300000000000001E-2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0.12529999999999999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0.18690000000000001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0.25750000000000001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1.8800000000000001E-2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8.4599999999999995E-2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9.4000000000000004E-3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1.8800000000000001E-2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2.8199999999999996E-2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3.7600000000000001E-2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25.420999999999999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36.855499999999999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32.735999999999997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17.490000000000002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4.1469999999999994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11.978999999999999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15.631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0.105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7.0000000000000001E-3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1.0129999999999999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1.2803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7.9062999999999999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2.7138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2.5792000000000002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0.38640000000000002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2.1509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4.1970000000000001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1.5379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1.8033999999999999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0.27829999999999999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1.3388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2.2452000000000001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3.2081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3.3418000000000001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2.4416000000000002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3.6478999999999999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4.2313999999999998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4.0960000000000001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7.6351000000000004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1.9708000000000001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234.0017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295.89760000000001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255.21610000000001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214.16739999999999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173.8074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127.7908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89.562799999999996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222.78039999999999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284.60539999999997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241.64500000000001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199.4571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159.3613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114.4028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78.6721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0.111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0.1512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0.16400000000000001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0.15659999999999999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0.12280000000000001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0.11219999999999999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0.12039999999999999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0.1827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0.2601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0.31990000000000002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0.4108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0.50270000000000004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0.55969999999999998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0.61799999999999999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4.7000000000000002E-3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6.6E-3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6.1000000000000004E-3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2.8999999999999998E-3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2.9999999999999997E-4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6.9999999999999999E-4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1.9E-3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1.3100000000000001E-2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5.3499999999999999E-2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5.4399999999999997E-2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5.2699999999999997E-2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3.85E-2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2.46E-2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1.21E-2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9.4000000000000004E-3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4.7E-2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25.233999999999998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35.161499999999997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43.158499999999997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46.436500000000002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49.686999999999998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52.673499999999997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49.951000000000001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9.8000000000000004E-2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7.0000000000000001E-3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1.0129999999999999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1.2803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3.5364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5.7732000000000001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6.1288999999999998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2.7138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2.5792000000000002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2.335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2.3307000000000002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1.5379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1.8033999999999999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1.9027000000000001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2.9272999999999998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3.0950000000000002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3.4537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3.7088999999999999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2.4416000000000002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3.6478999999999999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4.0811999999999999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4.1651999999999996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4.9138000000000002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5.0670999999999999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5.8680000000000003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237.7817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306.3082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349.18060000000003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353.14690000000002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350.38569999999999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359.86130000000003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370.4624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226.6001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295.26010000000002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337.91669999999999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341.70659999999998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339.09949999999998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349.05189999999999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359.51620000000003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7.3368000000000002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16.064900000000002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29.052199999999999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36.051400000000001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42.932899999999997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0.1128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0.15160000000000001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0.18729999999999999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0.1767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0.1542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0.1421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0.1457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0.18099999999999999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0.25530000000000003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0.28079999999999999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0.39829999999999999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0.51580000000000004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0.64100000000000001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0.78749999999999998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4.7999999999999996E-3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6.1000000000000004E-3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1.0800000000000001E-2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2.5000000000000001E-3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4.0000000000000002E-4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2.8E-3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7.9000000000000008E-3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1.32E-2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5.3199999999999997E-2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3.5200000000000002E-2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6.13E-2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0.1018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0.16159999999999999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0.19939999999999999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9.4000000000000004E-3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5.6399999999999992E-2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8.4599999999999995E-2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4.7E-2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25.266999999999999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34.969000000000001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34.055999999999997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12.1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0.32450000000000001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0.16500000000000001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0.56100000000000005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9.8000000000000004E-2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7.0000000000000001E-3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1.0129999999999999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1.2803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37.366799999999998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35.660499999999999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44.4178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42.276600000000002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2.7138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2.5792000000000002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6.4066000000000001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5.8308999999999997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7.5194000000000001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9.1180000000000003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10.9641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1.5379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1.8033999999999999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5.0141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1.0589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4.0674000000000001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5.3837999999999999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5.8277999999999999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2.4416000000000002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3.6478999999999999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5.8715000000000002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5.0166000000000004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9.3051999999999992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3.8292000000000002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3.6312000000000002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238.5282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304.85300000000001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273.87740000000002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213.41149999999999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156.8997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115.8674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64.819699999999997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227.39340000000001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293.73349999999999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262.7457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202.93870000000001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147.66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108.9569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58.881599999999999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8.3799999999999999E-2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1.6956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8.6898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19.884499999999999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26.0365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26.184100000000001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25.4451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23.911999999999999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23.480499999999999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21.8065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17.081800000000001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12.5631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6.5444000000000004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1.1620999999999999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0.54200000000000004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0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0.12670000000000001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0.16919999999999999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0.21490000000000001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0.22620000000000001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0.23760000000000001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0.3019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0.3624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0.42130000000000001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0.45269999999999999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0.48799999999999999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0.52470000000000006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0.54669999999999996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0.56820000000000004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0.56659999999999999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0.56410000000000005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0.55840000000000001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0.55169999999999997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0.1784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0.25280000000000002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0.3125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0.33939999999999998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0.37440000000000001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0.42259999999999998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0.46410000000000001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0.48880000000000001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0.5625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0.61199999999999999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0.66390000000000005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0.74790000000000001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0.82879999999999998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0.88039999999999996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0.92969999999999997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0.93459999999999999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0.93779999999999997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5.1999999999999998E-3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9.1999999999999998E-3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1.6899999999999998E-2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2.1299999999999999E-2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2.35E-2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3.27E-2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4.4999999999999998E-2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5.8099999999999999E-2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7.1199999999999999E-2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8.2600000000000007E-2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9.4600000000000004E-2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0.1065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0.11840000000000001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0.12859999999999999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0.13880000000000001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0.14829999999999999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0.1573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7.1000000000000004E-3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3.1300000000000001E-2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6.9400000000000003E-2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8.5900000000000004E-2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9.98E-2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0.1193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0.16539999999999999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0.23930000000000001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0.34129999999999999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0.37390000000000001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0.39179999999999998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0.44280000000000003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0.4803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0.51929999999999998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0.54630000000000001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0.55720000000000003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0.56120000000000003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4.0000000000000002E-4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4.0000000000000002E-4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0.4269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0.56620000000000004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0.55969999999999998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0.35189999999999999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0.17299999999999999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6.5199999999999994E-2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5.4000000000000003E-3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6.0000000000000001E-3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6.0000000000000001E-3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6.3E-3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6.6E-3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8.0999999999999996E-3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9.7000000000000003E-3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1.04E-2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1.11E-2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8.0000000000000004E-4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8.0000000000000004E-4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4.0000000000000002E-4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45.298999999999999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59.6629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63.932699999999997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75.881200000000007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77.896900000000002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91.322199999999995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99.588200000000001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104.60760000000001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168.98910000000001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201.6592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234.32929999999999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230.29640000000001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226.2636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230.87880000000001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235.4941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279.0575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322.62090000000001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235.0796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281.06310000000002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271.80939999999998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208.8913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162.63300000000001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123.0776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96.014200000000002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89.490499999999997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91.164900000000003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85.255200000000002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79.605699999999999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77.285899999999998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75.114800000000002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67.802800000000005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60.609499999999997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49.601999999999997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38.927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220.84059999999999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266.05700000000002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256.01920000000001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195.3117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149.90309999999999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111.95869999999999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86.149299999999997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79.695899999999995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77.341999999999999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69.762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62.503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57.397100000000002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52.531300000000002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43.857799999999997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35.363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25.397600000000001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15.7082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0.1268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0.1714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0.2215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0.23250000000000001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0.22450000000000001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0.26329999999999998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0.31109999999999999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0.35370000000000001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0.39860000000000001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0.42770000000000002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0.45569999999999999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0.47489999999999999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0.4929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0.4919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0.4904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0.49519999999999997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0.49819999999999998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0.1812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0.25619999999999998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0.32229999999999998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0.37240000000000001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0.38629999999999998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0.41789999999999999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0.44650000000000001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0.45579999999999998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0.52649999999999997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0.55979999999999996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0.59240000000000004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0.6603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0.72650000000000003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0.76970000000000005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0.8105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0.8236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0.83630000000000004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5.1999999999999998E-3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1.0200000000000001E-2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1.7299999999999999E-2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2.1399999999999999E-2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2.3300000000000001E-2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2.8299999999999999E-2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3.6499999999999998E-2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4.4400000000000002E-2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5.5599999999999997E-2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6.25E-2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6.93E-2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7.7399999999999997E-2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8.6199999999999999E-2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9.3899999999999997E-2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0.1013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0.1085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0.1153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7.1999999999999998E-3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3.1300000000000001E-2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6.5100000000000005E-2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9.2799999999999994E-2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0.11940000000000001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0.1585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0.20669999999999999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0.252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0.34470000000000001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0.47520000000000001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0.56620000000000004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0.71609999999999996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0.84399999999999997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0.96599999999999997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1.0566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1.1083000000000001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1.1494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5.0000000000000001E-4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5.0000000000000001E-4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5.9999999999999995E-4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2.9999999999999997E-4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8.9999999999999998E-4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2.7000000000000001E-3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4.7000000000000002E-3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1.03E-2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1.6500000000000001E-2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2.87E-2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4.2000000000000003E-2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0.42670000000000002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0.57620000000000005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0.68310000000000004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0.70309999999999995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0.64429999999999998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0.63780000000000003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0.62319999999999998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0.57499999999999996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0.57040000000000002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0.60719999999999996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0.47239999999999999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0.35859999999999997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0.25559999999999999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0.1885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0.12039999999999999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0.1229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0.12470000000000001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8.0000000000000004E-4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8.0000000000000004E-4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45.298999999999999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60.879300000000001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65.233999999999995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78.558999999999997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87.097499999999997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96.801199999999994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107.2206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119.96250000000001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185.9171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221.86709999999999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257.81709999999998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263.45359999999999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269.09019999999998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269.95850000000002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270.82679999999999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278.91829999999999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287.00990000000002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233.1155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280.01710000000003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303.59199999999998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298.96030000000002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290.35340000000002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296.02370000000002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302.26760000000002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307.75659999999999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335.71539999999999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353.09230000000002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347.96449999999999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335.75420000000003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324.72460000000001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304.43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284.39150000000001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275.06560000000002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267.1576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219.00069999999999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265.12200000000001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287.267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283.43700000000001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274.54259999999999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280.13339999999999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286.26089999999999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290.58969999999999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316.6275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332.76249999999999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326.42680000000001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313.2559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301.3768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280.98559999999998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260.84539999999998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252.08770000000001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244.72970000000001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0.1757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7.2232000000000003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28.940799999999999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32.134799999999998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28.817599999999999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24.436399999999999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23.401299999999999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22.160599999999999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18.900200000000002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15.954000000000001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9.9438999999999993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4.5361000000000002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2.1621999999999999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0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0.12690000000000001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0.1699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0.2208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0.2351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0.22639999999999999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0.27210000000000001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0.34360000000000002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0.40129999999999999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0.42759999999999998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0.46310000000000001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0.49859999999999999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0.52759999999999996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0.55889999999999995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0.55779999999999996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0.55600000000000005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0.55430000000000001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0.55220000000000002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0.1782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0.25180000000000002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0.31690000000000002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0.37409999999999999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0.3503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0.36940000000000001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0.44219999999999998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0.4733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0.54120000000000001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0.59279999999999999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0.64419999999999999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0.73140000000000005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0.81599999999999995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0.86509999999999998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0.91300000000000003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0.92290000000000005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0.93010000000000004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5.1000000000000004E-3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9.7999999999999997E-3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1.67E-2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2.1499999999999998E-2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2.29E-2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2.8400000000000002E-2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3.9300000000000002E-2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5.04E-2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6.0900000000000003E-2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7.0599999999999996E-2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8.0600000000000005E-2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9.2100000000000001E-2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0.1043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0.1135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0.1227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0.13170000000000001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0.1406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7.1000000000000004E-3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6.4699999999999994E-2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9.1200000000000003E-2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0.1036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0.1104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0.17050000000000001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0.24970000000000001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0.34520000000000001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0.36230000000000001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0.37359999999999999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0.38840000000000002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0.3957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0.43780000000000002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0.47370000000000001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0.504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0.53180000000000005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4.0000000000000002E-4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5.0000000000000001E-4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5.0000000000000001E-4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0.4269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0.57399999999999995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0.68330000000000002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0.68600000000000005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0.33050000000000002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4.1599999999999998E-2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2.2000000000000001E-3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2.3999999999999998E-3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2.8E-3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3.3E-3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5.1999999999999998E-3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7.4999999999999997E-3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1.2699999999999999E-2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1.8700000000000001E-2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2.47E-2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3.09E-2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8.0000000000000004E-4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8.0000000000000004E-4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45.298999999999999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60.879300000000001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65.233999999999995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65.406700000000001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73.186700000000002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90.641599999999997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102.76730000000001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109.7169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169.87729999999999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199.96430000000001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230.05119999999999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238.2372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246.42320000000001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240.4194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234.41550000000001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239.74100000000001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245.06659999999999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235.67939999999999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283.75790000000001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307.30900000000003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296.61559999999997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196.04230000000001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123.6103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101.7097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92.744500000000002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92.104200000000006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87.328299999999999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83.1036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81.282799999999995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79.393000000000001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75.267300000000006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71.538600000000002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62.7943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54.453099999999999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221.4171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268.57909999999998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290.5736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281.17079999999999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182.0523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113.1665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92.605199999999996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83.284099999999995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79.103499999999997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72.804000000000002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67.100999999999999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63.186599999999999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59.276600000000002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53.456800000000001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48.065399999999997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40.174199999999999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32.675800000000002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0.15040000000000001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3.6949999999999998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10.123900000000001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10.4345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9.9184000000000001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9.7878000000000007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9.1578999999999997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8.4489999999999998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7.1539999999999999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5.9543999999999997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3.5272000000000001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1.3309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0.62690000000000001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0.12690000000000001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0.17130000000000001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0.22170000000000001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0.2487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0.21859999999999999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0.25059999999999999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0.29110000000000003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0.35680000000000001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0.4078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0.44409999999999999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0.48020000000000002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0.50590000000000002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0.53290000000000004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0.53449999999999998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0.53500000000000003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0.53190000000000004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0.52929999999999999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0.1784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0.25219999999999998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0.31790000000000002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0.35899999999999999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0.36859999999999998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0.38619999999999999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0.42070000000000002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0.46429999999999999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0.54900000000000004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0.59830000000000005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0.64810000000000001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0.7278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0.80420000000000003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0.85350000000000004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0.90090000000000003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0.90869999999999995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0.91290000000000004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5.1000000000000004E-3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9.7999999999999997E-3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1.67E-2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2.4899999999999999E-2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2.3400000000000001E-2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2.81E-2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3.7400000000000003E-2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4.8099999999999997E-2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6.0299999999999999E-2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6.9099999999999995E-2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8.8499999999999995E-2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9.9400000000000002E-2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0.10879999999999999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0.1178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0.1263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0.13500000000000001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7.1000000000000004E-3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3.1099999999999999E-2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6.4699999999999994E-2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9.5299999999999996E-2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0.15340000000000001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0.22670000000000001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0.34429999999999999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0.37440000000000001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0.4355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0.4425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0.44290000000000002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0.4647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0.48020000000000002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0.53169999999999995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0.57589999999999997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0.60519999999999996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0.62629999999999997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4.0000000000000002E-4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5.0000000000000001E-4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5.0000000000000001E-4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0.42659999999999998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0.57520000000000004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0.68300000000000005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0.68810000000000004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0.36609999999999998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6.8900000000000003E-2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4.0000000000000001E-3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7.3000000000000001E-3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7.7999999999999996E-3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8.3999999999999995E-3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9.1000000000000004E-3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1.01E-2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1.12E-2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1.46E-2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1.8200000000000001E-2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2.2700000000000001E-2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2.7400000000000001E-2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8.0000000000000004E-4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8.0000000000000004E-4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45.298999999999999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60.879300000000001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65.233999999999995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50.917499999999997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73.448999999999998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83.694000000000003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93.717699999999994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108.34229999999999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167.1336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196.81110000000001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226.48849999999999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235.48580000000001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244.48310000000001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241.2079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237.93270000000001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247.71340000000001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257.49419999999998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235.51349999999999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284.26150000000001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307.20920000000001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300.73099999999999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203.89490000000001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135.59520000000001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108.7144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95.226100000000002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91.066999999999993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89.130300000000005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87.477000000000004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84.637299999999996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81.831299999999999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75.580500000000001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69.720299999999995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60.184699999999999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51.024500000000003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221.2696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269.07479999999998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290.50310000000002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284.86649999999997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190.0198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122.56270000000001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96.350099999999998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81.400800000000004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74.118799999999993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70.883899999999997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67.950400000000002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63.6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59.359699999999997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52.214100000000002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45.451500000000003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36.708399999999997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28.324400000000001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5.6800000000000003E-2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4.3869999999999996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14.976000000000001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24.320399999999999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27.311699999999998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25.989699999999999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23.685600000000001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22.436299999999999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21.233899999999998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20.7029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20.019300000000001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19.303699999999999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17.1877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14.7942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13.7163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12.634399999999999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0.1212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0.11360000000000001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0.1145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8.4900000000000003E-2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7.3999999999999996E-2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7.3899999999999993E-2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8.8800000000000004E-2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8.48E-2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7.3899999999999993E-2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6.9199999999999998E-2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6.7299999999999999E-2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6.93E-2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7.1499999999999994E-2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7.4200000000000002E-2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7.7600000000000002E-2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8.2400000000000001E-2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8.72E-2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0.1701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0.27189999999999998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0.2452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0.27050000000000002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0.30480000000000002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0.32400000000000001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0.39129999999999998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0.4012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0.46060000000000001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0.48470000000000002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0.51290000000000002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0.5706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0.62639999999999996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0.67789999999999995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0.7329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0.76459999999999995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0.79490000000000005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4.1000000000000003E-3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6.7999999999999996E-3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2.07E-2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3.44E-2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4.7E-2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6.5199999999999994E-2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6.9500000000000006E-2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0.10539999999999999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0.1207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0.1278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0.13869999999999999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0.15010000000000001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0.16309999999999999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0.17660000000000001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0.19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0.20399999999999999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0.2162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6.1000000000000004E-3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2.4799999999999999E-2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0.03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3.1300000000000001E-2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3.27E-2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3.27E-2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3.56E-2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3.7999999999999999E-2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4.6899999999999997E-2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5.6300000000000003E-2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6.4699999999999994E-2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7.6799999999999993E-2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8.8400000000000006E-2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9.8100000000000007E-2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0.1079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0.1079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0.1075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4.0000000000000002E-4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4.0000000000000002E-4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0.42420000000000002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0.53700000000000003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0.3659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0.15709999999999999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6.6000000000000003E-2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8.0000000000000004E-4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8.0000000000000004E-4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4.0000000000000002E-4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45.298999999999999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40.512700000000002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56.6815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65.180800000000005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69.441800000000001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66.679500000000004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87.932100000000005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105.709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154.3535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188.82599999999999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223.29849999999999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226.75239999999999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230.2063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255.96559999999999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281.72500000000002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306.2722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330.81939999999997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232.0547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263.26319999999998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155.30959999999999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80.514099999999999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37.0456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7.6315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-1.4921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-3.6840000000000002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-4.5708000000000002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-3.9510999999999998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-4.0381999999999998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-5.1627000000000001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-6.0938999999999997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-5.0551000000000004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-4.1055000000000001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-3.4091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-2.7530000000000001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217.9461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250.73349999999999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144.50980000000001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72.094200000000001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30.2712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2.7850000000000001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-5.1052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-6.3651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-7.2458999999999998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-6.8571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-7.2085999999999997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-9.0330999999999992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-10.6942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-10.3546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-10.198700000000001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-9.7963000000000005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-9.4358000000000004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0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0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0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0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0.12690000000000001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0.1709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0.22040000000000001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0.23139999999999999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0.22600000000000001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0.2722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0.3251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0.38540000000000002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0.43840000000000001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0.4496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0.45269999999999999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0.49149999999999999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0.52959999999999996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0.52439999999999998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0.51910000000000001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0.51790000000000003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0.51719999999999999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0.1802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0.2525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0.3206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0.37130000000000002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0.38769999999999999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0.42380000000000001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0.46060000000000001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0.4803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0.55630000000000002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0.57010000000000005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0.59560000000000002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0.6925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0.78769999999999996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0.83609999999999995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0.88170000000000004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0.88849999999999996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0.8911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5.1999999999999998E-3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0.01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1.6799999999999999E-2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2.1100000000000001E-2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2.2700000000000001E-2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2.7400000000000001E-2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3.5499999999999997E-2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4.5199999999999997E-2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5.7599999999999998E-2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6.3E-2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6.8900000000000003E-2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9.1399999999999995E-2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9.9699999999999997E-2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0.10780000000000001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0.1159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0.1241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7.1000000000000004E-3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3.15E-2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6.6400000000000001E-2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9.35E-2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0.1125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0.13070000000000001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0.1507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0.1346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0.1968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0.38690000000000002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0.50360000000000005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0.56459999999999999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0.60880000000000001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0.63680000000000003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0.65090000000000003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0.64090000000000003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0.62960000000000005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5.0000000000000001E-4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5.0000000000000001E-4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5.0000000000000001E-4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2.9999999999999997E-4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1E-4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1E-4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2.0000000000000001E-4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8.9999999999999998E-4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1.6000000000000001E-3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3.3E-3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5.1999999999999998E-3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8.2000000000000007E-3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1.15E-2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0.42580000000000001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0.56720000000000004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0.6462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0.60440000000000005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0.49009999999999998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0.40960000000000002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0.3241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0.23100000000000001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0.15310000000000001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0.12330000000000001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9.64E-2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0.113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0.1293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0.1479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0.16550000000000001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0.17549999999999999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0.18440000000000001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8.0000000000000004E-4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8.0000000000000004E-4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4.0000000000000002E-4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45.298999999999999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59.860100000000003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63.518599999999999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76.583200000000005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85.107600000000005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93.959500000000006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103.5187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119.48099999999999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190.66640000000001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210.49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230.31360000000001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238.1123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245.911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251.0017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256.09249999999997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281.4683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306.8442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233.58699999999999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280.96730000000002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301.90570000000002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290.77199999999999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272.947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264.37240000000003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249.1908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231.4923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224.84819999999999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203.43539999999999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182.416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181.63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180.79169999999999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172.51230000000001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165.27979999999999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153.95529999999999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143.53989999999999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219.39930000000001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265.87920000000003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285.18060000000003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274.82369999999997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256.8442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248.06180000000001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232.86680000000001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214.13329999999999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205.8391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183.3022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161.3494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157.661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154.07169999999999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145.85650000000001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138.67959999999999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127.6711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117.5271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6.83E-2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6.1032999999999999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24.994199999999999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50.257800000000003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64.925299999999993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67.704499999999996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64.765299999999996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59.297800000000002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54.824199999999998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50.218200000000003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52.677700000000002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53.485399999999998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53.332500000000003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53.483199999999997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48.6845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44.534799999999997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0.1227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0.16420000000000001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0.1905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0.21659999999999999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0.2389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0.36630000000000001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0.44479999999999997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0.47239999999999999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0.48770000000000002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0.53029999999999999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0.57250000000000001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0.60360000000000003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0.63290000000000002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0.63349999999999995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0.63319999999999999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0.62970000000000004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0.62549999999999994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0.17419999999999999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0.2495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0.26300000000000001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0.30149999999999999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0.35270000000000001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0.46450000000000002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0.51949999999999996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0.52170000000000005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0.59630000000000005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0.6462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0.69550000000000001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0.77790000000000004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0.85940000000000005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0.91139999999999999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0.96160000000000001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0.96340000000000003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0.96499999999999997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5.1999999999999998E-3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9.1999999999999998E-3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1.44E-2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1.9699999999999999E-2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2.5100000000000001E-2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4.1700000000000001E-2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5.9900000000000002E-2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7.3800000000000004E-2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8.8300000000000003E-2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0.1016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0.1154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0.12920000000000001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0.14219999999999999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0.1525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0.16259999999999999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0.17230000000000001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0.18149999999999999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7.0000000000000001E-3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3.15E-2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7.3200000000000001E-2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9.6799999999999997E-2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0.16450000000000001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0.25779999999999997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0.39450000000000002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0.51239999999999997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0.64139999999999997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0.65949999999999998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0.67569999999999997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0.73909999999999998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0.78349999999999997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0.79010000000000002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0.80130000000000001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0.75349999999999995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0.71440000000000003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4.0000000000000002E-4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2.9999999999999997E-4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1E-4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0.42299999999999999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0.56510000000000005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0.3251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0.1162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8.0000000000000004E-4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8.0000000000000004E-4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5.0000000000000001E-4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45.298999999999999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50.704799999999999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63.268300000000004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73.185500000000005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78.250299999999996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86.003900000000002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94.661299999999997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94.245099999999994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178.42689999999999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217.00880000000001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255.5907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293.33539999999999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331.08010000000002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448.69319999999999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566.30619999999999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500.39010000000002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434.47390000000001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232.42089999999999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278.74099999999999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195.07509999999999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115.6895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49.595100000000002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1.7813000000000001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-27.915600000000001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-42.674199999999999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-36.985900000000001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-34.664299999999997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-31.999500000000001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-33.047899999999998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-32.409100000000002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-32.256900000000002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-32.399799999999999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-29.142600000000002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-26.434100000000001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218.12450000000001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263.39150000000001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181.2654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103.5442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38.614600000000003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-8.0013000000000005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-37.5946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-52.0107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-49.230200000000004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-48.186199999999999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-46.747199999999999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-49.2669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-50.067500000000003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-50.029499999999999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-50.2849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-46.1586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-42.633600000000001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0.86109999999999998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6.0849000000000002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15.6828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22.109400000000001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25.014399999999998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26.469200000000001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26.645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26.7056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24.921500000000002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19.347300000000001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14.139099999999999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7.4234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1.4274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0.8296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0.29289999999999999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0.12520000000000001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0.16589999999999999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0.21510000000000001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0.2329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0.23569999999999999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0.31430000000000002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0.38600000000000001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0.45269999999999999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0.48230000000000001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0.52149999999999996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0.56210000000000004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0.5877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0.61309999999999998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0.61129999999999995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0.60860000000000003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0.60160000000000002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0.59199999999999997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0.1802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0.25359999999999999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0.32179999999999997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0.35249999999999998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0.37359999999999999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0.42930000000000001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0.47970000000000002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0.50960000000000005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0.59489999999999998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0.65390000000000004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0.71509999999999996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0.80030000000000001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0.88280000000000003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0.93500000000000005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0.98499999999999999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0.99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0.99470000000000003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5.3E-3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7.9000000000000008E-3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1.61E-2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2.1399999999999999E-2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2.3599999999999999E-2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3.3500000000000002E-2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4.7199999999999999E-2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6.1600000000000002E-2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7.6300000000000007E-2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8.8499999999999995E-2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0.1014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0.11409999999999999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0.12720000000000001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0.1376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0.1479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0.15759999999999999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0.1668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7.1000000000000004E-3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3.1399999999999997E-2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6.93E-2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8.77E-2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0.104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0.1232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0.17399999999999999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0.25309999999999999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0.3664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0.40339999999999998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0.42330000000000001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0.48249999999999998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0.52729999999999999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0.57210000000000005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0.60489999999999999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0.62190000000000001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0.63690000000000002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4.0000000000000002E-4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4.0000000000000002E-4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0.42680000000000001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0.56279999999999997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0.59370000000000001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0.40710000000000002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0.1709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6.6500000000000004E-2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3.8999999999999998E-3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5.4999999999999997E-3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6.1000000000000004E-3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6.7000000000000002E-3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7.4999999999999997E-3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0.01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1.2500000000000001E-2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1.61E-2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1.9699999999999999E-2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2.0400000000000001E-2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2.0899999999999998E-2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8.0000000000000004E-4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8.0000000000000004E-4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4.0000000000000002E-4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45.298999999999999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63.875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63.574300000000001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77.016900000000007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79.093199999999996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91.445599999999999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101.0484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106.7038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171.11420000000001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204.3571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237.6001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234.96709999999999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232.33420000000001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240.7422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249.15020000000001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294.39780000000002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339.64530000000002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235.08349999999999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281.69929999999999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285.69779999999997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229.41669999999999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171.9119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131.89009999999999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102.9571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91.496799999999993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89.243099999999998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85.378399999999999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81.675899999999999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75.019900000000007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68.751499999999993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62.868000000000002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56.916600000000003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48.107599999999998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39.500999999999998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220.84569999999999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266.68040000000002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269.45780000000002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214.584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158.85749999999999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120.30410000000001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92.671800000000005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81.325500000000005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74.648600000000002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68.984399999999994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63.540300000000002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53.918300000000002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44.789000000000001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37.371299999999998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29.9575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22.2334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14.6837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0.1246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0.1676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0.218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0.23069999999999999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0.22720000000000001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0.2722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0.3211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0.3664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0.42349999999999999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0.4592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0.495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0.51959999999999995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0.54220000000000002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0.54330000000000001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0.54290000000000005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0.54890000000000005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0.55269999999999997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0.18260000000000001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0.25790000000000002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0.32479999999999998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0.37269999999999998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0.38819999999999999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0.42309999999999998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0.46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0.47460000000000002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0.54879999999999995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0.57930000000000004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0.61209999999999998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0.68940000000000001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0.7661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0.81840000000000002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0.86939999999999995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0.8881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0.90600000000000003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4.8999999999999998E-3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9.5999999999999992E-3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1.6400000000000001E-2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2.0400000000000001E-2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2.1899999999999999E-2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2.75E-2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3.6299999999999999E-2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4.5199999999999997E-2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5.7500000000000002E-2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6.5199999999999994E-2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7.3200000000000001E-2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8.2799999999999999E-2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9.3100000000000002E-2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0.10199999999999999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0.1108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0.11899999999999999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0.12690000000000001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7.1999999999999998E-3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3.1300000000000001E-2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6.5000000000000002E-2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9.3100000000000002E-2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0.1212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0.1633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0.21540000000000001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0.26600000000000001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0.37080000000000002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0.5171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0.61919999999999997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0.78449999999999998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0.92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1.0339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1.111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1.1373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1.1537999999999999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4.0000000000000002E-4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5.0000000000000001E-4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5.0000000000000001E-4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2.9999999999999997E-4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2.9999999999999997E-4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1.8E-3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4.7999999999999996E-3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8.2000000000000007E-3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1.7000000000000001E-2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2.6700000000000002E-2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4.3900000000000002E-2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6.2799999999999995E-2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0.42570000000000002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0.57340000000000002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0.68330000000000002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0.70350000000000001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0.65139999999999998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0.65269999999999995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0.64100000000000001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0.58989999999999998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0.58399999999999996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0.61909999999999998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0.48559999999999998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0.36730000000000002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0.26140000000000002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0.19120000000000001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0.1196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0.1212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0.1221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8.0000000000000004E-4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8.0000000000000004E-4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45.298999999999999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61.026499999999999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65.1995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78.540199999999999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87.471299999999999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97.359200000000001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108.27970000000001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122.9221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189.51730000000001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227.04660000000001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264.57589999999999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269.04719999999998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273.51850000000002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276.52260000000001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279.52659999999997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287.04989999999998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294.57319999999999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232.8683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279.69470000000001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303.72969999999998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299.37490000000003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292.04750000000001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298.89280000000002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306.98849999999999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313.77960000000002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343.39479999999998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366.44009999999997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367.52390000000003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354.21899999999999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342.02480000000003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318.9837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295.9966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281.67489999999998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269.32159999999999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218.7218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264.69200000000001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287.25389999999999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283.7011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276.09640000000002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282.82909999999998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290.77210000000002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296.31610000000001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323.7423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345.37810000000002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345.05099999999999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330.5822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317.34640000000002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294.07490000000001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270.86619999999999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257.07670000000002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245.23150000000001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0.16789999999999999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6.3799000000000001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26.305199999999999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31.178999999999998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27.4938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23.131499999999999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22.197700000000001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21.029699999999998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17.954999999999998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15.2072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9.5300999999999991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4.4497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2.1343000000000001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0.1244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0.1666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0.2175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0.2344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0.2283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0.27860000000000001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0.36659999999999998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0.43340000000000001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0.4551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0.49730000000000002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0.53810000000000002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0.57079999999999997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0.60440000000000005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0.60540000000000005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0.60450000000000004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0.60109999999999997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0.59599999999999997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0.1787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0.25230000000000002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0.31940000000000002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0.37259999999999999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0.36249999999999999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0.3831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0.45540000000000003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0.49399999999999999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0.56879999999999997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0.6321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0.69750000000000001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0.78790000000000004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0.87539999999999996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0.92430000000000001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0.97219999999999995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0.98109999999999997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0.98819999999999997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5.0000000000000001E-3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9.4999999999999998E-3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1.6299999999999999E-2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2.1299999999999999E-2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2.3E-2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2.86E-2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4.0899999999999999E-2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5.2499999999999998E-2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6.4299999999999996E-2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7.51E-2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8.5800000000000001E-2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9.7699999999999995E-2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0.1104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0.1202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0.12970000000000001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0.1391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0.1482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7.1000000000000004E-3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3.1099999999999999E-2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6.4699999999999994E-2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9.1600000000000001E-2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0.1086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0.11650000000000001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0.187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0.27600000000000002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0.3866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0.39779999999999999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0.4017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0.41760000000000003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0.42680000000000001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0.4778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0.52310000000000001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0.56210000000000004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0.59909999999999997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4.0000000000000002E-4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5.0000000000000001E-4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5.0000000000000001E-4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0.42559999999999998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0.57299999999999995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0.68579999999999997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0.68879999999999997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0.34549999999999997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4.41E-2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2.3E-3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2.5000000000000001E-3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2.8E-3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3.5999999999999999E-3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4.7999999999999996E-3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8.3000000000000001E-3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1.2500000000000001E-2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1.9900000000000001E-2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2.81E-2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3.5299999999999998E-2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4.2599999999999999E-2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8.0000000000000004E-4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8.0000000000000004E-4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45.298999999999999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61.026499999999999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65.1995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68.968599999999995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76.194299999999998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93.325599999999994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101.9111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112.12730000000001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170.7672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200.75219999999999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230.7373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241.5291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252.321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245.86080000000001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239.4006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241.16390000000001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242.9272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235.47989999999999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283.65879999999999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307.39240000000001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299.28199999999998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207.39840000000001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136.53579999999999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115.99209999999999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107.02930000000001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106.1658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103.54819999999999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101.2169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94.934200000000004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89.058400000000006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83.064400000000006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77.687399999999997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69.730099999999993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62.1023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221.22829999999999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268.4547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290.61509999999998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283.20690000000002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193.23910000000001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124.42740000000001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104.9508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95.563400000000001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91.708699999999993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87.443200000000004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83.512699999999995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75.081699999999998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67.144499999999994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59.427399999999999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52.3658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45.234499999999997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38.444099999999999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0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0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0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0.12479999999999999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0.16750000000000001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0.2165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0.2452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0.2412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0.28260000000000002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0.35039999999999999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0.3982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0.40360000000000001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0.45779999999999998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0.50900000000000001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0.54410000000000003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0.5756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0.56850000000000001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0.55820000000000003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0.56040000000000001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0.55889999999999995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0.18099999999999999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0.25590000000000002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0.32079999999999997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0.35360000000000003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0.37559999999999999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0.42120000000000002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0.47599999999999998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0.49020000000000002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0.53300000000000003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0.60329999999999995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0.67600000000000005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0.77400000000000002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0.86219999999999997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0.90290000000000004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0.94240000000000002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0.9506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0.95820000000000005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4.7999999999999996E-3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9.1999999999999998E-3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1.5599999999999999E-2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2.2700000000000001E-2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2.3199999999999998E-2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2.8299999999999999E-2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3.8699999999999998E-2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4.8399999999999999E-2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5.7500000000000002E-2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6.7599999999999993E-2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7.8200000000000006E-2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8.8999999999999996E-2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0.10879999999999999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0.1169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0.1258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0.13389999999999999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7.1000000000000004E-3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3.1199999999999999E-2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6.4799999999999996E-2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9.3700000000000006E-2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0.13239999999999999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0.1762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0.24279999999999999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0.36259999999999998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0.59840000000000004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0.60360000000000003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0.60240000000000005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0.67020000000000002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0.71309999999999996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0.73960000000000004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0.74670000000000003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0.71840000000000004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0.68969999999999998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4.0000000000000002E-4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5.0000000000000001E-4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5.0000000000000001E-4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2.0000000000000001E-4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2.0000000000000001E-4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5.0000000000000001E-4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8.9999999999999998E-4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2.3E-3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3.7000000000000002E-3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7.4000000000000003E-3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1.15E-2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0.4249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0.57240000000000002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0.6784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0.69210000000000005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0.60089999999999999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0.52059999999999995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0.44359999999999999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0.2697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0.1802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9.69E-2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0.1157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0.13370000000000001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0.15010000000000001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0.16569999999999999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0.17649999999999999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0.18590000000000001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8.0000000000000004E-4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8.0000000000000004E-4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45.298999999999999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61.026499999999999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65.1995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70.813999999999993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81.349000000000004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93.69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105.6712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113.0219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173.36689999999999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206.55690000000001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239.74680000000001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243.35130000000001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246.95580000000001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241.64400000000001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236.3322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255.29179999999999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274.25139999999999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234.3415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281.8578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305.77670000000001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302.45639999999997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281.1909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264.9443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247.54570000000001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229.7807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226.60830000000001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217.23140000000001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207.59639999999999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205.9897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203.27670000000001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190.24029999999999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178.74600000000001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170.52269999999999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163.43199999999999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220.1301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266.6891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289.0129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286.32830000000001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264.43959999999998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248.08160000000001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230.76310000000001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211.4907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206.98820000000001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195.69540000000001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184.2664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181.1516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177.17599999999999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163.8108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151.98400000000001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143.60059999999999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136.32570000000001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5.6099999999999997E-2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1.5349999999999999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14.808400000000001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24.497699999999998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28.582899999999999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24.8428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22.792999999999999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19.563800000000001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18.488900000000001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17.689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16.9312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15.7971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16.631599999999999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17.542400000000001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17.920999999999999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18.256699999999999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0.1195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0.1109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0.1152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8.8400000000000006E-2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7.7799999999999994E-2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8.5000000000000006E-2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0.1094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0.10150000000000001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8.0199999999999994E-2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7.7799999999999994E-2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7.5800000000000006E-2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7.7899999999999997E-2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8.0299999999999996E-2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8.3400000000000002E-2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8.7099999999999997E-2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9.2200000000000004E-2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9.6799999999999997E-2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0.1719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0.2777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0.25009999999999999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0.27679999999999999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0.31480000000000002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0.34499999999999997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0.41149999999999998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0.41849999999999998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0.46339999999999998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0.50349999999999995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0.54410000000000003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0.60740000000000005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0.67420000000000002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0.73280000000000001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0.79239999999999999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0.81830000000000003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0.84360000000000002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4.0000000000000001E-3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6.4000000000000003E-3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2.0799999999999999E-2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3.4200000000000001E-2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4.99E-2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6.8000000000000005E-2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7.5800000000000006E-2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0.11219999999999999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0.12670000000000001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0.1401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0.15429999999999999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0.16550000000000001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0.17680000000000001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0.18890000000000001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0.20130000000000001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0.2137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0.2248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6.1000000000000004E-3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2.5000000000000001E-2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3.0599999999999999E-2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3.2500000000000001E-2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3.6200000000000003E-2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4.0899999999999999E-2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5.1299999999999998E-2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6.3100000000000003E-2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8.72E-2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0.1137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0.1303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0.1484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0.16070000000000001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0.1749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0.18110000000000001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0.18729999999999999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4.0000000000000002E-4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4.0000000000000002E-4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0.42480000000000001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0.54020000000000001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0.37380000000000002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0.16120000000000001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6.2E-2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8.0000000000000004E-4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8.0000000000000004E-4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4.0000000000000002E-4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45.298999999999999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41.859400000000001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55.453099999999999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64.677899999999994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71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68.939800000000005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87.316199999999995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107.9111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158.6285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190.8613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223.0941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232.202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241.31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305.39490000000001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369.47980000000001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379.43200000000002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389.38420000000002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232.92519999999999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265.59449999999998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160.12360000000001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83.325199999999995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37.226999999999997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4.7736999999999998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-2.4763000000000002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-7.6445999999999996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-7.8215000000000003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-8.0978999999999992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-8.6013999999999999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-8.0106999999999999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-6.9885000000000002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-7.3630000000000004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-7.7609000000000004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-8.0654000000000003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-8.3629999999999995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218.80719999999999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253.00710000000001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148.87629999999999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74.337199999999996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30.0562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-0.52170000000000005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-6.8646000000000003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-11.2018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-11.2867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-12.0085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-12.9422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-13.135899999999999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-12.9498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-13.920999999999999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-14.9838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-15.469799999999999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-15.9254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0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0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0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0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0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0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0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0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0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0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0.1249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0.1671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0.21590000000000001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0.2291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0.22770000000000001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0.28000000000000003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0.3417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0.40570000000000001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0.46039999999999998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0.48180000000000001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0.50380000000000003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0.54179999999999995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0.57440000000000002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0.5726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0.56879999999999997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0.56520000000000004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0.55959999999999999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0.182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0.25469999999999998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0.32319999999999999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0.37240000000000001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0.38979999999999998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0.42920000000000003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0.47439999999999999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0.50160000000000005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0.5887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0.61029999999999995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0.64039999999999997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0.73509999999999998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0.82440000000000002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0.87280000000000002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0.92069999999999996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0.92849999999999999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0.93569999999999998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4.7999999999999996E-3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9.2999999999999992E-3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1.5699999999999999E-2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2.1600000000000001E-2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2.6700000000000002E-2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3.5299999999999998E-2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4.48E-2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5.8000000000000003E-2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6.6100000000000006E-2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7.4200000000000002E-2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8.5800000000000001E-2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9.7199999999999995E-2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0.1066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0.1158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0.1242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0.1321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7.1000000000000004E-3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3.1600000000000003E-2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6.6699999999999995E-2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9.4100000000000003E-2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0.114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0.13350000000000001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0.15640000000000001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0.14280000000000001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0.2142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0.42120000000000002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0.54979999999999996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0.60950000000000004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0.64559999999999995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0.66890000000000005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0.67620000000000002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0.65900000000000003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0.63990000000000002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4.0000000000000002E-4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4.0000000000000002E-4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5.0000000000000001E-4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2.9999999999999997E-4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2.0000000000000001E-4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4.0000000000000002E-4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8.0000000000000004E-4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2E-3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3.5000000000000001E-3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6.6E-3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0.01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1.5299999999999999E-2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2.12E-2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0.4249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0.56540000000000001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0.64690000000000003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0.60570000000000002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0.49540000000000001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0.41749999999999998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0.33360000000000001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0.2356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0.15989999999999999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0.13159999999999999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0.1076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0.12239999999999999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0.13650000000000001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0.15179999999999999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0.1663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0.17050000000000001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0.17369999999999999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8.0000000000000004E-4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8.0000000000000004E-4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4.0000000000000002E-4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45.298999999999999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59.984999999999999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63.542900000000003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76.546300000000002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85.528999999999996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94.681899999999999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104.1121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121.8058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193.81899999999999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214.4905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235.16210000000001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242.29900000000001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249.43600000000001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253.88749999999999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258.339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282.43079999999998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306.52260000000001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233.23990000000001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280.54759999999999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301.80860000000001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291.04500000000002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274.58519999999999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268.26839999999999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258.82920000000001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244.5164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242.6686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223.46770000000001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204.1799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200.65889999999999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196.3466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186.16679999999999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177.22040000000001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165.0573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153.8278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219.07810000000001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265.47710000000001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285.09769999999997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275.04239999999999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258.3537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251.71119999999999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241.98929999999999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226.24350000000001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222.46340000000001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201.8861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181.46960000000001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175.02099999999999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168.0873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157.96299999999999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149.05420000000001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137.13079999999999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126.1242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5.9900000000000002E-2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6.2283999999999997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26.462399999999999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52.708199999999998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64.688199999999995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63.793100000000003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59.7881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54.968800000000002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50.226799999999997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45.481099999999998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49.271099999999997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50.922499999999999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50.792200000000001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51.080399999999997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46.114699999999999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41.820799999999998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0.1192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0.15770000000000001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0.18559999999999999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0.21249999999999999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0.26440000000000002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0.40610000000000002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0.48549999999999999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0.50749999999999995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0.52500000000000002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0.56869999999999998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0.61160000000000003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0.63770000000000004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0.66069999999999995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0.65629999999999999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0.65149999999999997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0.64870000000000005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0.64680000000000004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0.17230000000000001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0.24399999999999999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0.26100000000000001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0.30120000000000002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0.37309999999999999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0.48120000000000002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0.54169999999999996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0.54479999999999995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0.63029999999999997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0.68089999999999995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0.72950000000000004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0.81289999999999996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0.89019999999999999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0.93369999999999997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0.9748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0.96850000000000003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0.96209999999999996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5.0000000000000001E-3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8.5000000000000006E-3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1.35E-2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1.9699999999999999E-2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2.9499999999999998E-2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5.11E-2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7.3599999999999999E-2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8.9300000000000004E-2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0.1057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0.1203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0.13519999999999999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0.1497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0.16289999999999999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0.17249999999999999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0.18160000000000001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0.19170000000000001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0.20169999999999999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7.0000000000000001E-3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3.15E-2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7.3499999999999996E-2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0.1021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0.27829999999999999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0.40239999999999998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0.49580000000000002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0.59160000000000001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0.59650000000000003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0.60150000000000003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0.67689999999999995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0.7278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0.73409999999999997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0.74680000000000002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0.69220000000000004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0.64680000000000004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4.0000000000000002E-4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4.0000000000000002E-4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0.41909999999999997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0.55769999999999997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0.31409999999999999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9.3299999999999994E-2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8.0000000000000004E-4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8.0000000000000004E-4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5.0000000000000001E-4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45.298999999999999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50.397799999999997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62.990099999999998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71.673400000000001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79.022099999999995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87.746799999999993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98.305700000000002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88.306299999999993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198.833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229.81610000000001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260.79919999999998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355.16800000000001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449.5369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519.04510000000005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588.55330000000004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513.21069999999997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437.8682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231.99299999999999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277.56580000000002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192.70400000000001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109.90300000000001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41.793199999999999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-3.7664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-32.2333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-37.615499999999997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-36.172400000000003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-30.245200000000001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-24.3903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-28.1113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-29.466999999999999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-29.670999999999999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-30.276199999999999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-26.901599999999998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-24.082999999999998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217.6388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262.17610000000002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178.25649999999999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97.763199999999998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30.860199999999999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-13.7898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-42.2547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-47.478400000000001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-49.103700000000003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-44.397500000000001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-39.703600000000002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-44.826900000000002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-47.4985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-47.584200000000003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-48.0747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-43.792299999999997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-40.118099999999998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0.85629999999999995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5.9661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14.446400000000001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20.543600000000001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23.025099999999998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0.1249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0.16539999999999999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0.2145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0.23719999999999999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0.23960000000000001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0.32279999999999998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0.4012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0.17960000000000001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0.252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0.32269999999999999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0.35730000000000001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0.377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0.43659999999999999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0.4924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5.3E-3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7.4999999999999997E-3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2.1399999999999999E-2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2.3599999999999999E-2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3.4200000000000001E-2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4.9099999999999998E-2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7.1000000000000004E-3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3.1399999999999997E-2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6.9199999999999998E-2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8.8700000000000001E-2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0.1047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0.12809999999999999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0.18379999999999999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4.0000000000000002E-4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4.0000000000000002E-4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2.0000000000000001E-4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0.42670000000000002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0.56089999999999995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0.59770000000000001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0.41799999999999998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0.17369999999999999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6.83E-2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3.0999999999999999E-3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8.0000000000000004E-4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8.0000000000000004E-4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4.0000000000000002E-4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45.298999999999999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65.134900000000002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63.481099999999998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77.5916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78.653000000000006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91.781499999999994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101.295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235.173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282.39760000000001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290.43669999999997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234.48500000000001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173.9984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133.42570000000001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102.82389999999999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220.93440000000001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267.36959999999999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274.13409999999999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218.72219999999999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159.62819999999999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120.35550000000001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90.972099999999998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0.12540000000000001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0.1651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0.2099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0.2218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0.2296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0.27589999999999998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0.3281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0.1817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0.25209999999999999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0.32040000000000002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0.36180000000000001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0.39329999999999998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0.43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0.4708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5.3E-3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1.2E-2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1.6500000000000001E-2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1.95E-2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2.1899999999999999E-2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2.7400000000000001E-2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3.61E-2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7.1999999999999998E-3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3.1199999999999999E-2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6.4500000000000002E-2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9.1700000000000004E-2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0.12280000000000001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0.16619999999999999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0.22040000000000001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4.0000000000000002E-4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5.0000000000000001E-4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5.0000000000000001E-4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2.9999999999999997E-4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0.4304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0.5696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0.67110000000000003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0.67689999999999995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0.66359999999999997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0.66559999999999997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0.65749999999999997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8.0000000000000004E-4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8.0000000000000004E-4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45.298999999999999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60.964100000000002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65.22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78.571700000000007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87.687700000000007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97.741600000000005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108.7865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237.38820000000001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281.87200000000001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303.74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296.32080000000002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294.63279999999997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301.80700000000002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310.82260000000002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223.13319999999999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266.85359999999997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287.3682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280.70490000000001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278.5179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285.54070000000002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294.34140000000002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0.1668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6.9435000000000002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26.305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32.569299999999998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0.1263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0.16700000000000001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0.2122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0.2195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0.21740000000000001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0.27160000000000001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0.36070000000000002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0.18099999999999999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0.25169999999999998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0.3201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0.38390000000000002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0.37530000000000002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0.4007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0.48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5.4000000000000003E-3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1.24E-2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1.6899999999999998E-2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1.8100000000000002E-2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2.01E-2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2.6100000000000002E-2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3.85E-2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7.1999999999999998E-3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3.1300000000000001E-2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6.4699999999999994E-2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9.1499999999999998E-2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0.1106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0.122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0.19589999999999999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4.0000000000000002E-4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4.0000000000000002E-4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4.0000000000000002E-4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2.0000000000000001E-4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0.43120000000000003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0.57189999999999996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0.67459999999999998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0.68330000000000002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0.34039999999999998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4.3099999999999999E-2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1.4E-3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8.0000000000000004E-4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6.9999999999999999E-4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45.298999999999999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60.964100000000002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65.22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69.150899999999993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76.540000000000006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93.703500000000005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101.89060000000001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237.5575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282.54669999999999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304.8999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292.05439999999999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205.24119999999999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136.49549999999999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113.0711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223.31649999999999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267.46100000000001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288.36579999999998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276.59410000000003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190.23869999999999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124.5386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102.3823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0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0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0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0.12509999999999999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0.16839999999999999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0.21879999999999999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0.23280000000000001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0.23089999999999999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0.27739999999999998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0.33019999999999999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0.18190000000000001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0.2576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0.32529999999999998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0.37159999999999999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0.39179999999999998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0.42949999999999999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0.47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4.7999999999999996E-3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9.4999999999999998E-3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1.6199999999999999E-2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2.0400000000000001E-2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2.2200000000000001E-2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2.7400000000000001E-2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3.5400000000000001E-2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7.1999999999999998E-3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3.1300000000000001E-2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6.5299999999999997E-2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9.3700000000000006E-2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0.1225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0.16220000000000001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0.20949999999999999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2.9999999999999997E-4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4.0000000000000002E-4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4.0000000000000002E-4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2.0000000000000001E-4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0.42599999999999999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0.57369999999999999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0.68540000000000001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0.70640000000000003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0.66690000000000005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0.67130000000000001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0.66590000000000005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8.0000000000000004E-4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6.9999999999999999E-4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45.298999999999999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60.964100000000002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65.22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77.127499999999998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85.978700000000003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94.714600000000004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105.1001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232.94229999999999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280.00040000000001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304.13639999999998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301.11739999999998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298.57100000000003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309.13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320.19799999999998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218.8272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265.01069999999999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287.64440000000002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285.31849999999997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282.29340000000002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292.46440000000001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303.14109999999999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0.05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2.0788000000000002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15.6248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25.9696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29.749199999999998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25.115100000000002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0.1172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0.1071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0.11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8.6199999999999999E-2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7.8299999999999995E-2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8.8999999999999996E-2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0.1104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0.17449999999999999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0.28050000000000003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0.25380000000000003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0.28239999999999998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0.32169999999999999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0.36049999999999999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0.43309999999999998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3.8999999999999998E-3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6.7000000000000002E-3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2.4799999999999999E-2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4.2599999999999999E-2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6.6699999999999995E-2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8.9899999999999994E-2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0.1014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6.1000000000000004E-3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2.4799999999999999E-2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3.0300000000000001E-2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3.2899999999999999E-2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3.8899999999999997E-2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4.4400000000000002E-2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5.4300000000000001E-2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5.0000000000000001E-4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5.0000000000000001E-4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0.42349999999999999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0.53859999999999997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0.37380000000000002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0.16009999999999999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5.5500000000000001E-2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8.0000000000000004E-4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8.0000000000000004E-4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5.0000000000000001E-4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45.298999999999999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42.6997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55.807299999999998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64.915899999999993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71.618499999999997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71.783199999999994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85.515900000000002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232.26990000000001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264.26949999999999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159.005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81.360100000000003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34.741999999999997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2.1556999999999999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-4.1580000000000004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218.24889999999999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251.82259999999999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147.99700000000001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72.559399999999997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27.688800000000001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-3.2010999999999998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-8.6023999999999994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0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0.1246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0.16619999999999999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0.2155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0.2293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0.2291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0.2823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0.34549999999999997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0.18210000000000001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0.25440000000000002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0.32269999999999999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0.37169999999999997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0.39100000000000001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0.43080000000000002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0.47820000000000001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9.2999999999999992E-3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1.5900000000000001E-2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2.01E-2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2.18E-2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2.6700000000000002E-2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3.5400000000000001E-2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7.1000000000000004E-3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3.1600000000000003E-2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6.6699999999999995E-2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9.4200000000000006E-2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0.11459999999999999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0.13469999999999999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0.15840000000000001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4.0000000000000002E-4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4.0000000000000002E-4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5.0000000000000001E-4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2.9999999999999997E-4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0.42449999999999999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0.56420000000000003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0.64659999999999995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0.60609999999999997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0.49940000000000001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0.42049999999999998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0.3367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8.0000000000000004E-4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8.0000000000000004E-4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4.0000000000000002E-4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45.298999999999999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60.066800000000001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63.608800000000002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76.620800000000003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85.709299999999999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95.036000000000001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104.477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233.16249999999999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280.48599999999999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302.02080000000001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291.33120000000002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275.721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270.15350000000001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262.27330000000001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219.0025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265.423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285.3313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275.34980000000002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259.45940000000002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253.5033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245.2834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5.8500000000000003E-2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6.9406999999999996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27.666399999999999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55.117899999999999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66.878699999999995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65.796199999999999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0.1181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0.15679999999999999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0.1845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0.2132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0.27150000000000002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0.41749999999999998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0.498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0.1706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0.24199999999999999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0.26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0.30220000000000002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0.37840000000000001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0.48799999999999999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0.55310000000000004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4.8999999999999998E-3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8.3000000000000001E-3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1.3100000000000001E-2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1.9599999999999999E-2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5.2299999999999999E-2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7.5499999999999998E-2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7.0000000000000001E-3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3.1399999999999997E-2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7.3599999999999999E-2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0.10340000000000001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0.185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0.28470000000000001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0.40570000000000001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4.0000000000000002E-4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4.0000000000000002E-4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0.4168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0.55510000000000004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0.31140000000000001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9.0300000000000005E-2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8.0000000000000004E-4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8.0000000000000004E-4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5.0000000000000001E-4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45.298999999999999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50.822200000000002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64.266300000000001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72.881900000000002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79.696200000000005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88.793599999999998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96.922600000000003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231.87110000000001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277.46719999999999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192.6951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108.62860000000001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39.0794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-6.5495000000000001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-34.257800000000003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217.51230000000001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262.08089999999999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178.95089999999999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96.525599999999997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28.1295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-16.639600000000002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-44.391500000000001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2025-09-19T17:50:36Z</dcterms:modified>
</cp:coreProperties>
</file>