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7EB56B3C-D407-494D-B369-96B071A4A38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<sst xmlns="http://schemas.openxmlformats.org/spreadsheetml/2006/main" count="58727" uniqueCount="95">
  <si>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</si>
  <si>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</si>
  <si>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</si>
  <si>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</si>
  <si>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</si>
  <si>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</si>
  <si>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</si>
  <si>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</si>
  <si>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</si>
  <si>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</si>
  <si>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</si>
  <si>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</si>
  <si>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</si>
  <si>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</si>
  <si>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</si>
  <si>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</si>
  <si>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</si>
  <si>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</si>
  <si>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</si>
  <si>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</si>
  <si>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</si>
  <si>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</si>
  <si>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</si>
  <si>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</si>
  <si>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</si>
  <si>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</si>
  <si>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</si>
  <si>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</si>
  <si>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</si>
  <si>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</si>
  <si>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</si>
  <si>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</si>
  <si>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</si>
  <si>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</si>
  <si>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</si>
  <si>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</si>
  <si>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</si>
  <si>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</si>
  <si>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</si>
  <si>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</si>
  <si>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</si>
  <si>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</si>
  <si>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</si>
  <si>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</si>
  <si>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</si>
  <si>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</si>
  <si>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</si>
  <si>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</si>
  <si>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</si>
  <si>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</si>
  <si>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</si>
  <si>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</si>
  <si>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</si>
  <si>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</si>
  <si>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</si>
  <si>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</si>
  <si>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</si>
  <si>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</si>
  <si>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</si>
  <si>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</si>
  <si>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</si>
  <si>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</si>
  <si>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</si>
  <si>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</si>
  <si>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</si>
  <si>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</si>
  <si>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</si>
  <si>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</si>
  <si>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</si>
  <si>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</si>
  <si>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</si>
  <si>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</si>
  <si>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</si>
  <si>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</si>
  <si>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</si>
  <si>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</si>
  <si>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</si>
  <si>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</si>
  <si>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</si>
  <si>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</si>
  <si>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</si>
  <si>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</si>
  <si>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</si>
  <si>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</si>
  <si>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DZA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</si>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</sst>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93.78</c:v>
                </c:pt>
                <c:pt idx="1">
                  <c:v>130.44903370786517</c:v>
                </c:pt>
                <c:pt idx="2">
                  <c:v>166.77184911717495</c:v>
                </c:pt>
                <c:pt idx="3">
                  <c:v>186.28049759229535</c:v>
                </c:pt>
                <c:pt idx="4">
                  <c:v>192.22642054574635</c:v>
                </c:pt>
                <c:pt idx="5">
                  <c:v>217.28961476725522</c:v>
                </c:pt>
                <c:pt idx="6">
                  <c:v>246.17626324237563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50.2</c:v>
                </c:pt>
                <c:pt idx="1">
                  <c:v>72.84369428707663</c:v>
                </c:pt>
                <c:pt idx="2">
                  <c:v>87.758819108269961</c:v>
                </c:pt>
                <c:pt idx="3">
                  <c:v>97.380583818906246</c:v>
                </c:pt>
                <c:pt idx="4">
                  <c:v>100.66715291303331</c:v>
                </c:pt>
                <c:pt idx="5">
                  <c:v>101.35887002270948</c:v>
                </c:pt>
                <c:pt idx="6">
                  <c:v>104.48275374382764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93.78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93.78</v>
      </c>
      <c r="S12" s="8">
        <f t="shared" ref="S12:X12" si="0">SUM(S17:S20)</f>
        <v>130.44903370786517</v>
      </c>
      <c r="T12" s="8">
        <f t="shared" si="0"/>
        <v>166.77184911717495</v>
      </c>
      <c r="U12" s="8">
        <f t="shared" si="0"/>
        <v>186.28049759229535</v>
      </c>
      <c r="V12" s="8">
        <f t="shared" si="0"/>
        <v>192.22642054574635</v>
      </c>
      <c r="W12" s="8">
        <f t="shared" si="0"/>
        <v>217.28961476725522</v>
      </c>
      <c r="X12" s="8">
        <f t="shared" si="0"/>
        <v>246.17626324237563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7.1999999999999998E-3</v>
      </c>
      <c r="H16" s="10">
        <f>SUMIFS(ngfs_median!$J$2:$J$17119,ngfs_median!$B$2:$B$17119,Veda!$C$5,ngfs_median!$H$2:$H$17119,Veda!$Q16,ngfs_median!$I$2:$I$17119,Veda!H$15)</f>
        <v>3.1300000000000001E-2</v>
      </c>
      <c r="I16" s="10">
        <f>SUMIFS(ngfs_median!$J$2:$J$17119,ngfs_median!$B$2:$B$17119,Veda!$C$5,ngfs_median!$H$2:$H$17119,Veda!$Q16,ngfs_median!$I$2:$I$17119,Veda!I$15)</f>
        <v>6.4750000000000002E-2</v>
      </c>
      <c r="J16" s="10">
        <f>SUMIFS(ngfs_median!$J$2:$J$17119,ngfs_median!$B$2:$B$17119,Veda!$C$5,ngfs_median!$H$2:$H$17119,Veda!$Q16,ngfs_median!$I$2:$I$17119,Veda!J$15)</f>
        <v>9.2249999999999999E-2</v>
      </c>
      <c r="K16" s="10">
        <f>SUMIFS(ngfs_median!$J$2:$J$17119,ngfs_median!$B$2:$B$17119,Veda!$C$5,ngfs_median!$H$2:$H$17119,Veda!$Q16,ngfs_median!$I$2:$I$17119,Veda!K$15)</f>
        <v>0.1203</v>
      </c>
      <c r="L16" s="10">
        <f>SUMIFS(ngfs_median!$J$2:$J$17119,ngfs_median!$B$2:$B$17119,Veda!$C$5,ngfs_median!$H$2:$H$17119,Veda!$Q16,ngfs_median!$I$2:$I$17119,Veda!L$15)</f>
        <v>0.16089999999999999</v>
      </c>
      <c r="M16" s="10">
        <f>SUMIFS(ngfs_median!$J$2:$J$17119,ngfs_median!$B$2:$B$17119,Veda!$C$5,ngfs_median!$H$2:$H$17119,Veda!$Q16,ngfs_median!$I$2:$I$17119,Veda!M$15)</f>
        <v>0.21105000000000002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9.2916666666666661</v>
      </c>
      <c r="U16" s="6">
        <f t="shared" si="2"/>
        <v>16.930555555555554</v>
      </c>
      <c r="V16" s="6">
        <f t="shared" si="2"/>
        <v>24.722222222222221</v>
      </c>
      <c r="W16" s="6">
        <f t="shared" si="2"/>
        <v>36</v>
      </c>
      <c r="X16" s="6">
        <f t="shared" si="2"/>
        <v>49.930555555555557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5.0499999999999998E-3</v>
      </c>
      <c r="H17" s="10">
        <f>SUMIFS(ngfs_median!$J$2:$J$17119,ngfs_median!$B$2:$B$17119,Veda!$C$5,ngfs_median!$H$2:$H$17119,Veda!$Q17,ngfs_median!$I$2:$I$17119,Veda!H$15)</f>
        <v>9.8999999999999991E-3</v>
      </c>
      <c r="I17" s="10">
        <f>SUMIFS(ngfs_median!$J$2:$J$17119,ngfs_median!$B$2:$B$17119,Veda!$C$5,ngfs_median!$H$2:$H$17119,Veda!$Q17,ngfs_median!$I$2:$I$17119,Veda!I$15)</f>
        <v>1.6449999999999999E-2</v>
      </c>
      <c r="J17" s="10">
        <f>SUMIFS(ngfs_median!$J$2:$J$17119,ngfs_median!$B$2:$B$17119,Veda!$C$5,ngfs_median!$H$2:$H$17119,Veda!$Q17,ngfs_median!$I$2:$I$17119,Veda!J$15)</f>
        <v>1.9950000000000002E-2</v>
      </c>
      <c r="K17" s="10">
        <f>SUMIFS(ngfs_median!$J$2:$J$17119,ngfs_median!$B$2:$B$17119,Veda!$C$5,ngfs_median!$H$2:$H$17119,Veda!$Q17,ngfs_median!$I$2:$I$17119,Veda!K$15)</f>
        <v>2.1899999999999999E-2</v>
      </c>
      <c r="L17" s="10">
        <f>SUMIFS(ngfs_median!$J$2:$J$17119,ngfs_median!$B$2:$B$17119,Veda!$C$5,ngfs_median!$H$2:$H$17119,Veda!$Q17,ngfs_median!$I$2:$I$17119,Veda!L$15)</f>
        <v>2.7450000000000002E-2</v>
      </c>
      <c r="M17" s="10">
        <f>SUMIFS(ngfs_median!$J$2:$J$17119,ngfs_median!$B$2:$B$17119,Veda!$C$5,ngfs_median!$H$2:$H$17119,Veda!$Q17,ngfs_median!$I$2:$I$17119,Veda!M$15)</f>
        <v>3.6199999999999996E-2</v>
      </c>
      <c r="Q17" s="12" t="s">
        <v>10</v>
      </c>
      <c r="R17" s="6">
        <f>$Q$10*G17/SUM($G$17:$G$19)</f>
        <v>1.520349919743178</v>
      </c>
      <c r="S17" s="6">
        <f>R17</f>
        <v>1.520349919743178</v>
      </c>
      <c r="T17" s="6">
        <f t="shared" ref="T17:X17" si="3">S17</f>
        <v>1.520349919743178</v>
      </c>
      <c r="U17" s="6">
        <f t="shared" si="3"/>
        <v>1.520349919743178</v>
      </c>
      <c r="V17" s="6">
        <f t="shared" si="3"/>
        <v>1.520349919743178</v>
      </c>
      <c r="W17" s="6">
        <f t="shared" si="3"/>
        <v>1.520349919743178</v>
      </c>
      <c r="X17" s="6">
        <f t="shared" si="3"/>
        <v>1.520349919743178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0.18145</v>
      </c>
      <c r="H18" s="10">
        <f>SUMIFS(ngfs_median!$J$2:$J$17119,ngfs_median!$B$2:$B$17119,Veda!$C$5,ngfs_median!$H$2:$H$17119,Veda!$Q18,ngfs_median!$I$2:$I$17119,Veda!H$15)</f>
        <v>0.25705</v>
      </c>
      <c r="I18" s="10">
        <f>SUMIFS(ngfs_median!$J$2:$J$17119,ngfs_median!$B$2:$B$17119,Veda!$C$5,ngfs_median!$H$2:$H$17119,Veda!$Q18,ngfs_median!$I$2:$I$17119,Veda!I$15)</f>
        <v>0.32355</v>
      </c>
      <c r="J18" s="10">
        <f>SUMIFS(ngfs_median!$J$2:$J$17119,ngfs_median!$B$2:$B$17119,Veda!$C$5,ngfs_median!$H$2:$H$17119,Veda!$Q18,ngfs_median!$I$2:$I$17119,Veda!J$15)</f>
        <v>0.37254999999999999</v>
      </c>
      <c r="K18" s="10">
        <f>SUMIFS(ngfs_median!$J$2:$J$17119,ngfs_median!$B$2:$B$17119,Veda!$C$5,ngfs_median!$H$2:$H$17119,Veda!$Q18,ngfs_median!$I$2:$I$17119,Veda!K$15)</f>
        <v>0.39074999999999999</v>
      </c>
      <c r="L18" s="10">
        <f>SUMIFS(ngfs_median!$J$2:$J$17119,ngfs_median!$B$2:$B$17119,Veda!$C$5,ngfs_median!$H$2:$H$17119,Veda!$Q18,ngfs_median!$I$2:$I$17119,Veda!L$15)</f>
        <v>0.42654999999999998</v>
      </c>
      <c r="M18" s="10">
        <f>SUMIFS(ngfs_median!$J$2:$J$17119,ngfs_median!$B$2:$B$17119,Veda!$C$5,ngfs_median!$H$2:$H$17119,Veda!$Q18,ngfs_median!$I$2:$I$17119,Veda!M$15)</f>
        <v>0.46540000000000004</v>
      </c>
      <c r="Q18" s="12" t="s">
        <v>12</v>
      </c>
      <c r="R18" s="6">
        <f>$Q$10*G18/SUM($G$17:$G$19)</f>
        <v>54.627226324237554</v>
      </c>
      <c r="S18" s="6">
        <f t="shared" ref="S18:X19" si="4">R18*H18/G18</f>
        <v>77.387316211878002</v>
      </c>
      <c r="T18" s="6">
        <f t="shared" si="4"/>
        <v>97.40776565008025</v>
      </c>
      <c r="U18" s="6">
        <f t="shared" si="4"/>
        <v>112.15967576243979</v>
      </c>
      <c r="V18" s="6">
        <f t="shared" si="4"/>
        <v>117.63895666131619</v>
      </c>
      <c r="W18" s="6">
        <f t="shared" si="4"/>
        <v>128.41688282504012</v>
      </c>
      <c r="X18" s="6">
        <f t="shared" si="4"/>
        <v>140.11304012841092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0.125</v>
      </c>
      <c r="H19" s="10">
        <f>SUMIFS(ngfs_median!$J$2:$J$17119,ngfs_median!$B$2:$B$17119,Veda!$C$5,ngfs_median!$H$2:$H$17119,Veda!$Q19,ngfs_median!$I$2:$I$17119,Veda!H$15)</f>
        <v>0.16635</v>
      </c>
      <c r="I19" s="10">
        <f>SUMIFS(ngfs_median!$J$2:$J$17119,ngfs_median!$B$2:$B$17119,Veda!$C$5,ngfs_median!$H$2:$H$17119,Veda!$Q19,ngfs_median!$I$2:$I$17119,Veda!I$15)</f>
        <v>0.21395</v>
      </c>
      <c r="J19" s="10">
        <f>SUMIFS(ngfs_median!$J$2:$J$17119,ngfs_median!$B$2:$B$17119,Veda!$C$5,ngfs_median!$H$2:$H$17119,Veda!$Q19,ngfs_median!$I$2:$I$17119,Veda!J$15)</f>
        <v>0.22625000000000001</v>
      </c>
      <c r="K19" s="10">
        <f>SUMIFS(ngfs_median!$J$2:$J$17119,ngfs_median!$B$2:$B$17119,Veda!$C$5,ngfs_median!$H$2:$H$17119,Veda!$Q19,ngfs_median!$I$2:$I$17119,Veda!K$15)</f>
        <v>0.22585</v>
      </c>
      <c r="L19" s="10">
        <f>SUMIFS(ngfs_median!$J$2:$J$17119,ngfs_median!$B$2:$B$17119,Veda!$C$5,ngfs_median!$H$2:$H$17119,Veda!$Q19,ngfs_median!$I$2:$I$17119,Veda!L$15)</f>
        <v>0.26774999999999999</v>
      </c>
      <c r="M19" s="10">
        <f>SUMIFS(ngfs_median!$J$2:$J$17119,ngfs_median!$B$2:$B$17119,Veda!$C$5,ngfs_median!$H$2:$H$17119,Veda!$Q19,ngfs_median!$I$2:$I$17119,Veda!M$15)</f>
        <v>0.31609999999999999</v>
      </c>
      <c r="Q19" s="12" t="s">
        <v>13</v>
      </c>
      <c r="R19" s="6">
        <f>$Q$10*G19/SUM($G$17:$G$19)</f>
        <v>37.632423756019264</v>
      </c>
      <c r="S19" s="6">
        <f t="shared" si="4"/>
        <v>50.081229534510435</v>
      </c>
      <c r="T19" s="6">
        <f t="shared" si="4"/>
        <v>64.411656500802579</v>
      </c>
      <c r="U19" s="6">
        <f t="shared" si="4"/>
        <v>68.114686998394873</v>
      </c>
      <c r="V19" s="6">
        <f t="shared" si="4"/>
        <v>67.994263242375609</v>
      </c>
      <c r="W19" s="6">
        <f t="shared" si="4"/>
        <v>80.608651685393255</v>
      </c>
      <c r="X19" s="6">
        <f t="shared" si="4"/>
        <v>95.164873194221514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1.4601380417335474</v>
      </c>
      <c r="T20" s="6">
        <f t="shared" si="5"/>
        <v>3.4320770465489563</v>
      </c>
      <c r="U20" s="6">
        <f t="shared" si="5"/>
        <v>4.4857849117174968</v>
      </c>
      <c r="V20" s="6">
        <f t="shared" si="5"/>
        <v>5.0728507223113963</v>
      </c>
      <c r="W20" s="6">
        <f t="shared" si="5"/>
        <v>6.7437303370786532</v>
      </c>
      <c r="X20" s="6">
        <f t="shared" si="5"/>
        <v>9.3780000000000001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50.2</v>
      </c>
      <c r="D22" s="12" t="s">
        <v>79</v>
      </c>
      <c r="G22" s="8">
        <f>G35/$G$35*$B22</f>
        <v>50.2</v>
      </c>
      <c r="H22" s="8">
        <f t="shared" ref="H22:M22" si="6">H35/$G$35*$B22</f>
        <v>72.84369428707663</v>
      </c>
      <c r="I22" s="8">
        <f t="shared" si="6"/>
        <v>87.758819108269961</v>
      </c>
      <c r="J22" s="8">
        <f t="shared" si="6"/>
        <v>97.380583818906246</v>
      </c>
      <c r="K22" s="8">
        <f t="shared" si="6"/>
        <v>100.66715291303331</v>
      </c>
      <c r="L22" s="8">
        <f t="shared" si="6"/>
        <v>101.35887002270948</v>
      </c>
      <c r="M22" s="8">
        <f t="shared" si="6"/>
        <v>104.48275374382764</v>
      </c>
      <c r="Q22" t="s">
        <v>64</v>
      </c>
      <c r="T22" s="8">
        <f>I35*1000</f>
        <v>43263</v>
      </c>
      <c r="U22" s="8">
        <f>J35*1000</f>
        <v>48006.3</v>
      </c>
      <c r="V22" s="8">
        <f>K35*1000</f>
        <v>49626.5</v>
      </c>
      <c r="W22" s="8">
        <f>L35*1000</f>
        <v>49967.5</v>
      </c>
      <c r="X22" s="8">
        <f>M35*1000</f>
        <v>51507.5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0.2</v>
      </c>
      <c r="S26" s="3">
        <f>AVERAGEIFS(historical_data_long!$D$3:$D$9999,historical_data_long!$B$3:$B$9999,"&gt;2017",historical_data_long!$A$3:$A$9999,$O26)</f>
        <v>0.42000000000000004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2.8</v>
      </c>
      <c r="S27" s="3">
        <f>AVERAGEIFS(historical_data_long!$D$3:$D$9999,historical_data_long!$B$3:$B$9999,"&gt;2017",historical_data_long!$A$3:$A$9999,$O27)</f>
        <v>1.2399999999999998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24.747399999999999</v>
      </c>
      <c r="H35" s="11">
        <f>SUMIFS(ngfs_median!$J$2:$J$17119,ngfs_median!$B$2:$B$17119,Veda!$C$5,ngfs_median!$D$2:$D$17119,Veda!$D22,ngfs_median!$I$2:$I$17119,Veda!H$15)</f>
        <v>35.910199999999996</v>
      </c>
      <c r="I35" s="11">
        <f>SUMIFS(ngfs_median!$J$2:$J$17119,ngfs_median!$B$2:$B$17119,Veda!$C$5,ngfs_median!$D$2:$D$17119,Veda!$D22,ngfs_median!$I$2:$I$17119,Veda!I$15)</f>
        <v>43.262999999999998</v>
      </c>
      <c r="J35" s="11">
        <f>SUMIFS(ngfs_median!$J$2:$J$17119,ngfs_median!$B$2:$B$17119,Veda!$C$5,ngfs_median!$D$2:$D$17119,Veda!$D22,ngfs_median!$I$2:$I$17119,Veda!J$15)</f>
        <v>48.006300000000003</v>
      </c>
      <c r="K35" s="11">
        <f>SUMIFS(ngfs_median!$J$2:$J$17119,ngfs_median!$B$2:$B$17119,Veda!$C$5,ngfs_median!$D$2:$D$17119,Veda!$D22,ngfs_median!$I$2:$I$17119,Veda!K$15)</f>
        <v>49.6265</v>
      </c>
      <c r="L35" s="11">
        <f>SUMIFS(ngfs_median!$J$2:$J$17119,ngfs_median!$B$2:$B$17119,Veda!$C$5,ngfs_median!$D$2:$D$17119,Veda!$D22,ngfs_median!$I$2:$I$17119,Veda!L$15)</f>
        <v>49.967500000000001</v>
      </c>
      <c r="M35" s="11">
        <f>SUMIFS(ngfs_median!$J$2:$J$17119,ngfs_median!$B$2:$B$17119,Veda!$C$5,ngfs_median!$D$2:$D$17119,Veda!$D22,ngfs_median!$I$2:$I$17119,Veda!M$15)</f>
        <v>51.5075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0</v>
      </c>
      <c r="T41">
        <v>1.25</v>
      </c>
      <c r="U41">
        <v>1.25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24.58</v>
      </c>
    </row>
    <row r="5" spans="1:4" x14ac:dyDescent="0.45">
      <c r="A5" t="s">
        <v>56</v>
      </c>
      <c r="B5">
        <v>2000</v>
      </c>
      <c r="C5" t="s">
        <v>74</v>
      </c>
      <c r="D5">
        <v>0.05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0.77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25.78</v>
      </c>
    </row>
    <row r="14" spans="1:4" x14ac:dyDescent="0.45">
      <c r="A14" t="s">
        <v>56</v>
      </c>
      <c r="B14">
        <v>2001</v>
      </c>
      <c r="C14" t="s">
        <v>74</v>
      </c>
      <c r="D14">
        <v>7.0000000000000007E-2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0.77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26.99</v>
      </c>
    </row>
    <row r="23" spans="1:4" x14ac:dyDescent="0.45">
      <c r="A23" t="s">
        <v>56</v>
      </c>
      <c r="B23">
        <v>2002</v>
      </c>
      <c r="C23" t="s">
        <v>74</v>
      </c>
      <c r="D23">
        <v>0.06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0.6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28.62</v>
      </c>
    </row>
    <row r="32" spans="1:4" x14ac:dyDescent="0.45">
      <c r="A32" t="s">
        <v>56</v>
      </c>
      <c r="B32">
        <v>2003</v>
      </c>
      <c r="C32" t="s">
        <v>74</v>
      </c>
      <c r="D32">
        <v>0.26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30.31</v>
      </c>
    </row>
    <row r="41" spans="1:4" x14ac:dyDescent="0.45">
      <c r="A41" t="s">
        <v>56</v>
      </c>
      <c r="B41">
        <v>2004</v>
      </c>
      <c r="C41" t="s">
        <v>74</v>
      </c>
      <c r="D41">
        <v>0.25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0.69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32.64</v>
      </c>
    </row>
    <row r="50" spans="1:4" x14ac:dyDescent="0.45">
      <c r="A50" t="s">
        <v>56</v>
      </c>
      <c r="B50">
        <v>2005</v>
      </c>
      <c r="C50" t="s">
        <v>74</v>
      </c>
      <c r="D50">
        <v>0.55000000000000004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0.72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34.26</v>
      </c>
    </row>
    <row r="59" spans="1:4" x14ac:dyDescent="0.45">
      <c r="A59" t="s">
        <v>56</v>
      </c>
      <c r="B59">
        <v>2006</v>
      </c>
      <c r="C59" t="s">
        <v>74</v>
      </c>
      <c r="D59">
        <v>0.22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0.75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36.18</v>
      </c>
    </row>
    <row r="68" spans="1:4" x14ac:dyDescent="0.45">
      <c r="A68" t="s">
        <v>56</v>
      </c>
      <c r="B68">
        <v>2007</v>
      </c>
      <c r="C68" t="s">
        <v>74</v>
      </c>
      <c r="D68">
        <v>0.22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0.79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39.159999999999997</v>
      </c>
    </row>
    <row r="77" spans="1:4" x14ac:dyDescent="0.45">
      <c r="A77" t="s">
        <v>56</v>
      </c>
      <c r="B77">
        <v>2008</v>
      </c>
      <c r="C77" t="s">
        <v>74</v>
      </c>
      <c r="D77">
        <v>0.28000000000000003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37.590000000000003</v>
      </c>
    </row>
    <row r="86" spans="1:4" x14ac:dyDescent="0.45">
      <c r="A86" t="s">
        <v>56</v>
      </c>
      <c r="B86">
        <v>2009</v>
      </c>
      <c r="C86" t="s">
        <v>74</v>
      </c>
      <c r="D86">
        <v>0.3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0.61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44.6</v>
      </c>
    </row>
    <row r="95" spans="1:4" x14ac:dyDescent="0.45">
      <c r="A95" t="s">
        <v>56</v>
      </c>
      <c r="B95">
        <v>2010</v>
      </c>
      <c r="C95" t="s">
        <v>74</v>
      </c>
      <c r="D95">
        <v>0.17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0.96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49.65</v>
      </c>
    </row>
    <row r="104" spans="1:4" x14ac:dyDescent="0.45">
      <c r="A104" t="s">
        <v>56</v>
      </c>
      <c r="B104">
        <v>2011</v>
      </c>
      <c r="C104" t="s">
        <v>74</v>
      </c>
      <c r="D104">
        <v>0.5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1.07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55.72</v>
      </c>
    </row>
    <row r="113" spans="1:4" x14ac:dyDescent="0.45">
      <c r="A113" t="s">
        <v>56</v>
      </c>
      <c r="B113">
        <v>2012</v>
      </c>
      <c r="C113" t="s">
        <v>74</v>
      </c>
      <c r="D113">
        <v>0.62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1.06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</v>
      </c>
    </row>
    <row r="121" spans="1:4" x14ac:dyDescent="0.45">
      <c r="A121" t="s">
        <v>36</v>
      </c>
      <c r="B121">
        <v>2013</v>
      </c>
      <c r="C121" t="s">
        <v>74</v>
      </c>
      <c r="D121">
        <v>58.66</v>
      </c>
    </row>
    <row r="122" spans="1:4" x14ac:dyDescent="0.45">
      <c r="A122" t="s">
        <v>56</v>
      </c>
      <c r="B122">
        <v>2013</v>
      </c>
      <c r="C122" t="s">
        <v>74</v>
      </c>
      <c r="D122">
        <v>0.33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0.9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</v>
      </c>
    </row>
    <row r="130" spans="1:4" x14ac:dyDescent="0.45">
      <c r="A130" t="s">
        <v>36</v>
      </c>
      <c r="B130">
        <v>2014</v>
      </c>
      <c r="C130" t="s">
        <v>74</v>
      </c>
      <c r="D130">
        <v>63.35</v>
      </c>
    </row>
    <row r="131" spans="1:4" x14ac:dyDescent="0.45">
      <c r="A131" t="s">
        <v>56</v>
      </c>
      <c r="B131">
        <v>2014</v>
      </c>
      <c r="C131" t="s">
        <v>74</v>
      </c>
      <c r="D131">
        <v>0.25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0.67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</v>
      </c>
    </row>
    <row r="139" spans="1:4" x14ac:dyDescent="0.45">
      <c r="A139" t="s">
        <v>36</v>
      </c>
      <c r="B139">
        <v>2015</v>
      </c>
      <c r="C139" t="s">
        <v>74</v>
      </c>
      <c r="D139">
        <v>67.67</v>
      </c>
    </row>
    <row r="140" spans="1:4" x14ac:dyDescent="0.45">
      <c r="A140" t="s">
        <v>56</v>
      </c>
      <c r="B140">
        <v>2015</v>
      </c>
      <c r="C140" t="s">
        <v>74</v>
      </c>
      <c r="D140">
        <v>0.14000000000000001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0.95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0.06</v>
      </c>
    </row>
    <row r="145" spans="1:4" x14ac:dyDescent="0.45">
      <c r="A145" t="s">
        <v>91</v>
      </c>
      <c r="B145">
        <v>2015</v>
      </c>
      <c r="C145" t="s">
        <v>74</v>
      </c>
      <c r="D145">
        <v>0.02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</v>
      </c>
    </row>
    <row r="148" spans="1:4" x14ac:dyDescent="0.45">
      <c r="A148" t="s">
        <v>36</v>
      </c>
      <c r="B148">
        <v>2016</v>
      </c>
      <c r="C148" t="s">
        <v>74</v>
      </c>
      <c r="D148">
        <v>69.69</v>
      </c>
    </row>
    <row r="149" spans="1:4" x14ac:dyDescent="0.45">
      <c r="A149" t="s">
        <v>56</v>
      </c>
      <c r="B149">
        <v>2016</v>
      </c>
      <c r="C149" t="s">
        <v>74</v>
      </c>
      <c r="D149">
        <v>0.22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1.01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0.09</v>
      </c>
    </row>
    <row r="154" spans="1:4" x14ac:dyDescent="0.45">
      <c r="A154" t="s">
        <v>91</v>
      </c>
      <c r="B154">
        <v>2016</v>
      </c>
      <c r="C154" t="s">
        <v>74</v>
      </c>
      <c r="D154">
        <v>0.03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</v>
      </c>
    </row>
    <row r="157" spans="1:4" x14ac:dyDescent="0.45">
      <c r="A157" t="s">
        <v>36</v>
      </c>
      <c r="B157">
        <v>2017</v>
      </c>
      <c r="C157" t="s">
        <v>74</v>
      </c>
      <c r="D157">
        <v>75.06</v>
      </c>
    </row>
    <row r="158" spans="1:4" x14ac:dyDescent="0.45">
      <c r="A158" t="s">
        <v>56</v>
      </c>
      <c r="B158">
        <v>2017</v>
      </c>
      <c r="C158" t="s">
        <v>74</v>
      </c>
      <c r="D158">
        <v>0.06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0.37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0.56999999999999995</v>
      </c>
    </row>
    <row r="163" spans="1:4" x14ac:dyDescent="0.45">
      <c r="A163" t="s">
        <v>91</v>
      </c>
      <c r="B163">
        <v>2017</v>
      </c>
      <c r="C163" t="s">
        <v>74</v>
      </c>
      <c r="D163">
        <v>0.01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0</v>
      </c>
    </row>
    <row r="166" spans="1:4" x14ac:dyDescent="0.45">
      <c r="A166" t="s">
        <v>36</v>
      </c>
      <c r="B166">
        <v>2018</v>
      </c>
      <c r="C166" t="s">
        <v>74</v>
      </c>
      <c r="D166">
        <v>75.5</v>
      </c>
    </row>
    <row r="167" spans="1:4" x14ac:dyDescent="0.45">
      <c r="A167" t="s">
        <v>56</v>
      </c>
      <c r="B167">
        <v>2018</v>
      </c>
      <c r="C167" t="s">
        <v>74</v>
      </c>
      <c r="D167">
        <v>0.12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0.43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0.65</v>
      </c>
    </row>
    <row r="172" spans="1:4" x14ac:dyDescent="0.45">
      <c r="A172" t="s">
        <v>91</v>
      </c>
      <c r="B172">
        <v>2018</v>
      </c>
      <c r="C172" t="s">
        <v>74</v>
      </c>
      <c r="D172">
        <v>0.01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0</v>
      </c>
    </row>
    <row r="175" spans="1:4" x14ac:dyDescent="0.45">
      <c r="A175" t="s">
        <v>36</v>
      </c>
      <c r="B175">
        <v>2019</v>
      </c>
      <c r="C175" t="s">
        <v>74</v>
      </c>
      <c r="D175">
        <v>80.36</v>
      </c>
    </row>
    <row r="176" spans="1:4" x14ac:dyDescent="0.45">
      <c r="A176" t="s">
        <v>56</v>
      </c>
      <c r="B176">
        <v>2019</v>
      </c>
      <c r="C176" t="s">
        <v>74</v>
      </c>
      <c r="D176">
        <v>0.15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0.38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0.68</v>
      </c>
    </row>
    <row r="181" spans="1:4" x14ac:dyDescent="0.45">
      <c r="A181" t="s">
        <v>91</v>
      </c>
      <c r="B181">
        <v>2019</v>
      </c>
      <c r="C181" t="s">
        <v>74</v>
      </c>
      <c r="D181">
        <v>0.01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0</v>
      </c>
    </row>
    <row r="184" spans="1:4" x14ac:dyDescent="0.45">
      <c r="A184" t="s">
        <v>36</v>
      </c>
      <c r="B184">
        <v>2020</v>
      </c>
      <c r="C184" t="s">
        <v>74</v>
      </c>
      <c r="D184">
        <v>78.13</v>
      </c>
    </row>
    <row r="185" spans="1:4" x14ac:dyDescent="0.45">
      <c r="A185" t="s">
        <v>56</v>
      </c>
      <c r="B185">
        <v>2020</v>
      </c>
      <c r="C185" t="s">
        <v>74</v>
      </c>
      <c r="D185">
        <v>0.05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0.36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0.67</v>
      </c>
    </row>
    <row r="190" spans="1:4" x14ac:dyDescent="0.45">
      <c r="A190" t="s">
        <v>91</v>
      </c>
      <c r="B190">
        <v>2020</v>
      </c>
      <c r="C190" t="s">
        <v>74</v>
      </c>
      <c r="D190">
        <v>0.01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0</v>
      </c>
    </row>
    <row r="193" spans="1:4" x14ac:dyDescent="0.45">
      <c r="A193" t="s">
        <v>36</v>
      </c>
      <c r="B193">
        <v>2021</v>
      </c>
      <c r="C193" t="s">
        <v>74</v>
      </c>
      <c r="D193">
        <v>84.42</v>
      </c>
    </row>
    <row r="194" spans="1:4" x14ac:dyDescent="0.45">
      <c r="A194" t="s">
        <v>56</v>
      </c>
      <c r="B194">
        <v>2021</v>
      </c>
      <c r="C194" t="s">
        <v>74</v>
      </c>
      <c r="D194">
        <v>0.01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0.37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0.64</v>
      </c>
    </row>
    <row r="199" spans="1:4" x14ac:dyDescent="0.45">
      <c r="A199" t="s">
        <v>91</v>
      </c>
      <c r="B199">
        <v>2021</v>
      </c>
      <c r="C199" t="s">
        <v>74</v>
      </c>
      <c r="D199">
        <v>0.01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0</v>
      </c>
    </row>
    <row r="202" spans="1:4" x14ac:dyDescent="0.45">
      <c r="A202" t="s">
        <v>36</v>
      </c>
      <c r="B202">
        <v>2022</v>
      </c>
      <c r="C202" t="s">
        <v>74</v>
      </c>
      <c r="D202">
        <v>87.12</v>
      </c>
    </row>
    <row r="203" spans="1:4" x14ac:dyDescent="0.45">
      <c r="A203" t="s">
        <v>56</v>
      </c>
      <c r="B203">
        <v>2022</v>
      </c>
      <c r="C203" t="s">
        <v>74</v>
      </c>
      <c r="D203">
        <v>0.01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0.38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0.66</v>
      </c>
    </row>
    <row r="208" spans="1:4" x14ac:dyDescent="0.45">
      <c r="A208" t="s">
        <v>91</v>
      </c>
      <c r="B208">
        <v>2022</v>
      </c>
      <c r="C208" t="s">
        <v>74</v>
      </c>
      <c r="D208">
        <v>0.01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</row>
    <row r="211" spans="1:4" x14ac:dyDescent="0.45">
      <c r="A211" t="s">
        <v>36</v>
      </c>
      <c r="B211">
        <v>2000</v>
      </c>
      <c r="C211" t="s">
        <v>75</v>
      </c>
      <c r="D211">
        <v>4.05</v>
      </c>
    </row>
    <row r="212" spans="1:4" x14ac:dyDescent="0.45">
      <c r="A212" t="s">
        <v>56</v>
      </c>
      <c r="B212">
        <v>2000</v>
      </c>
      <c r="C212" t="s">
        <v>75</v>
      </c>
      <c r="D212">
        <v>0.28000000000000003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0.39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  <c r="D217">
        <v>0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</row>
    <row r="220" spans="1:4" x14ac:dyDescent="0.45">
      <c r="A220" t="s">
        <v>36</v>
      </c>
      <c r="B220">
        <v>2001</v>
      </c>
      <c r="C220" t="s">
        <v>75</v>
      </c>
      <c r="D220">
        <v>4.3499999999999996</v>
      </c>
    </row>
    <row r="221" spans="1:4" x14ac:dyDescent="0.45">
      <c r="A221" t="s">
        <v>56</v>
      </c>
      <c r="B221">
        <v>2001</v>
      </c>
      <c r="C221" t="s">
        <v>75</v>
      </c>
      <c r="D221">
        <v>0.28000000000000003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0.39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  <c r="D226">
        <v>0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</row>
    <row r="229" spans="1:4" x14ac:dyDescent="0.45">
      <c r="A229" t="s">
        <v>36</v>
      </c>
      <c r="B229">
        <v>2002</v>
      </c>
      <c r="C229" t="s">
        <v>75</v>
      </c>
      <c r="D229">
        <v>4.7699999999999996</v>
      </c>
    </row>
    <row r="230" spans="1:4" x14ac:dyDescent="0.45">
      <c r="A230" t="s">
        <v>56</v>
      </c>
      <c r="B230">
        <v>2002</v>
      </c>
      <c r="C230" t="s">
        <v>75</v>
      </c>
      <c r="D230">
        <v>0.28000000000000003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0.44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  <c r="D235">
        <v>0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</row>
    <row r="238" spans="1:4" x14ac:dyDescent="0.45">
      <c r="A238" t="s">
        <v>36</v>
      </c>
      <c r="B238">
        <v>2003</v>
      </c>
      <c r="C238" t="s">
        <v>75</v>
      </c>
      <c r="D238">
        <v>4.8899999999999997</v>
      </c>
    </row>
    <row r="239" spans="1:4" x14ac:dyDescent="0.45">
      <c r="A239" t="s">
        <v>56</v>
      </c>
      <c r="B239">
        <v>2003</v>
      </c>
      <c r="C239" t="s">
        <v>75</v>
      </c>
      <c r="D239">
        <v>0.28000000000000003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0.45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  <c r="D244">
        <v>0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</row>
    <row r="247" spans="1:4" x14ac:dyDescent="0.45">
      <c r="A247" t="s">
        <v>36</v>
      </c>
      <c r="B247">
        <v>2004</v>
      </c>
      <c r="C247" t="s">
        <v>75</v>
      </c>
      <c r="D247">
        <v>5.18</v>
      </c>
    </row>
    <row r="248" spans="1:4" x14ac:dyDescent="0.45">
      <c r="A248" t="s">
        <v>56</v>
      </c>
      <c r="B248">
        <v>2004</v>
      </c>
      <c r="C248" t="s">
        <v>75</v>
      </c>
      <c r="D248">
        <v>0.28000000000000003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0.45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  <c r="D253">
        <v>0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</row>
    <row r="256" spans="1:4" x14ac:dyDescent="0.45">
      <c r="A256" t="s">
        <v>36</v>
      </c>
      <c r="B256">
        <v>2005</v>
      </c>
      <c r="C256" t="s">
        <v>75</v>
      </c>
      <c r="D256">
        <v>5.53</v>
      </c>
    </row>
    <row r="257" spans="1:4" x14ac:dyDescent="0.45">
      <c r="A257" t="s">
        <v>56</v>
      </c>
      <c r="B257">
        <v>2005</v>
      </c>
      <c r="C257" t="s">
        <v>75</v>
      </c>
      <c r="D257">
        <v>0.28000000000000003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0.53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  <c r="D262">
        <v>0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</row>
    <row r="265" spans="1:4" x14ac:dyDescent="0.45">
      <c r="A265" t="s">
        <v>36</v>
      </c>
      <c r="B265">
        <v>2006</v>
      </c>
      <c r="C265" t="s">
        <v>75</v>
      </c>
      <c r="D265">
        <v>6.41</v>
      </c>
    </row>
    <row r="266" spans="1:4" x14ac:dyDescent="0.45">
      <c r="A266" t="s">
        <v>56</v>
      </c>
      <c r="B266">
        <v>2006</v>
      </c>
      <c r="C266" t="s">
        <v>75</v>
      </c>
      <c r="D266">
        <v>0.25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0.53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  <c r="D271">
        <v>0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</row>
    <row r="274" spans="1:4" x14ac:dyDescent="0.45">
      <c r="A274" t="s">
        <v>36</v>
      </c>
      <c r="B274">
        <v>2007</v>
      </c>
      <c r="C274" t="s">
        <v>75</v>
      </c>
      <c r="D274">
        <v>6.9</v>
      </c>
    </row>
    <row r="275" spans="1:4" x14ac:dyDescent="0.45">
      <c r="A275" t="s">
        <v>56</v>
      </c>
      <c r="B275">
        <v>2007</v>
      </c>
      <c r="C275" t="s">
        <v>75</v>
      </c>
      <c r="D275">
        <v>0.25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0.66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  <c r="D280">
        <v>0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</row>
    <row r="283" spans="1:4" x14ac:dyDescent="0.45">
      <c r="A283" t="s">
        <v>36</v>
      </c>
      <c r="B283">
        <v>2008</v>
      </c>
      <c r="C283" t="s">
        <v>75</v>
      </c>
      <c r="D283">
        <v>6.9</v>
      </c>
    </row>
    <row r="284" spans="1:4" x14ac:dyDescent="0.45">
      <c r="A284" t="s">
        <v>56</v>
      </c>
      <c r="B284">
        <v>2008</v>
      </c>
      <c r="C284" t="s">
        <v>75</v>
      </c>
      <c r="D284">
        <v>0.23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0.68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  <c r="D289">
        <v>0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</row>
    <row r="292" spans="1:4" x14ac:dyDescent="0.45">
      <c r="A292" t="s">
        <v>36</v>
      </c>
      <c r="B292">
        <v>2009</v>
      </c>
      <c r="C292" t="s">
        <v>75</v>
      </c>
      <c r="D292">
        <v>8.1199999999999992</v>
      </c>
    </row>
    <row r="293" spans="1:4" x14ac:dyDescent="0.45">
      <c r="A293" t="s">
        <v>56</v>
      </c>
      <c r="B293">
        <v>2009</v>
      </c>
      <c r="C293" t="s">
        <v>75</v>
      </c>
      <c r="D293">
        <v>0.23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0.71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  <c r="D298">
        <v>0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</row>
    <row r="301" spans="1:4" x14ac:dyDescent="0.45">
      <c r="A301" t="s">
        <v>36</v>
      </c>
      <c r="B301">
        <v>2010</v>
      </c>
      <c r="C301" t="s">
        <v>75</v>
      </c>
      <c r="D301">
        <v>9.83</v>
      </c>
    </row>
    <row r="302" spans="1:4" x14ac:dyDescent="0.45">
      <c r="A302" t="s">
        <v>56</v>
      </c>
      <c r="B302">
        <v>2010</v>
      </c>
      <c r="C302" t="s">
        <v>75</v>
      </c>
      <c r="D302">
        <v>0.23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0.77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0.03</v>
      </c>
    </row>
    <row r="307" spans="1:4" x14ac:dyDescent="0.45">
      <c r="A307" t="s">
        <v>91</v>
      </c>
      <c r="B307">
        <v>2010</v>
      </c>
      <c r="C307" t="s">
        <v>75</v>
      </c>
      <c r="D307">
        <v>0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</row>
    <row r="310" spans="1:4" x14ac:dyDescent="0.45">
      <c r="A310" t="s">
        <v>36</v>
      </c>
      <c r="B310">
        <v>2011</v>
      </c>
      <c r="C310" t="s">
        <v>75</v>
      </c>
      <c r="D310">
        <v>10.11</v>
      </c>
    </row>
    <row r="311" spans="1:4" x14ac:dyDescent="0.45">
      <c r="A311" t="s">
        <v>56</v>
      </c>
      <c r="B311">
        <v>2011</v>
      </c>
      <c r="C311" t="s">
        <v>75</v>
      </c>
      <c r="D311">
        <v>0.23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0.84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0.03</v>
      </c>
    </row>
    <row r="316" spans="1:4" x14ac:dyDescent="0.45">
      <c r="A316" t="s">
        <v>91</v>
      </c>
      <c r="B316">
        <v>2011</v>
      </c>
      <c r="C316" t="s">
        <v>75</v>
      </c>
      <c r="D316">
        <v>0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</row>
    <row r="319" spans="1:4" x14ac:dyDescent="0.45">
      <c r="A319" t="s">
        <v>36</v>
      </c>
      <c r="B319">
        <v>2012</v>
      </c>
      <c r="C319" t="s">
        <v>75</v>
      </c>
      <c r="D319">
        <v>11.31</v>
      </c>
    </row>
    <row r="320" spans="1:4" x14ac:dyDescent="0.45">
      <c r="A320" t="s">
        <v>56</v>
      </c>
      <c r="B320">
        <v>2012</v>
      </c>
      <c r="C320" t="s">
        <v>75</v>
      </c>
      <c r="D320">
        <v>0.23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0.86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0.03</v>
      </c>
    </row>
    <row r="325" spans="1:4" x14ac:dyDescent="0.45">
      <c r="A325" t="s">
        <v>91</v>
      </c>
      <c r="B325">
        <v>2012</v>
      </c>
      <c r="C325" t="s">
        <v>75</v>
      </c>
      <c r="D325">
        <v>0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</row>
    <row r="328" spans="1:4" x14ac:dyDescent="0.45">
      <c r="A328" t="s">
        <v>36</v>
      </c>
      <c r="B328">
        <v>2013</v>
      </c>
      <c r="C328" t="s">
        <v>75</v>
      </c>
      <c r="D328">
        <v>12.51</v>
      </c>
    </row>
    <row r="329" spans="1:4" x14ac:dyDescent="0.45">
      <c r="A329" t="s">
        <v>56</v>
      </c>
      <c r="B329">
        <v>2013</v>
      </c>
      <c r="C329" t="s">
        <v>75</v>
      </c>
      <c r="D329">
        <v>0.23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1.0900000000000001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0.03</v>
      </c>
    </row>
    <row r="334" spans="1:4" x14ac:dyDescent="0.45">
      <c r="A334" t="s">
        <v>91</v>
      </c>
      <c r="B334">
        <v>2013</v>
      </c>
      <c r="C334" t="s">
        <v>75</v>
      </c>
      <c r="D334">
        <v>0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</row>
    <row r="337" spans="1:4" x14ac:dyDescent="0.45">
      <c r="A337" t="s">
        <v>36</v>
      </c>
      <c r="B337">
        <v>2014</v>
      </c>
      <c r="C337" t="s">
        <v>75</v>
      </c>
      <c r="D337">
        <v>12.77</v>
      </c>
    </row>
    <row r="338" spans="1:4" x14ac:dyDescent="0.45">
      <c r="A338" t="s">
        <v>56</v>
      </c>
      <c r="B338">
        <v>2014</v>
      </c>
      <c r="C338" t="s">
        <v>75</v>
      </c>
      <c r="D338">
        <v>0.23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1.1100000000000001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0.03</v>
      </c>
    </row>
    <row r="343" spans="1:4" x14ac:dyDescent="0.45">
      <c r="A343" t="s">
        <v>91</v>
      </c>
      <c r="B343">
        <v>2014</v>
      </c>
      <c r="C343" t="s">
        <v>75</v>
      </c>
      <c r="D343">
        <v>0.01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</row>
    <row r="346" spans="1:4" x14ac:dyDescent="0.45">
      <c r="A346" t="s">
        <v>36</v>
      </c>
      <c r="B346">
        <v>2015</v>
      </c>
      <c r="C346" t="s">
        <v>75</v>
      </c>
      <c r="D346">
        <v>14.25</v>
      </c>
    </row>
    <row r="347" spans="1:4" x14ac:dyDescent="0.45">
      <c r="A347" t="s">
        <v>56</v>
      </c>
      <c r="B347">
        <v>2015</v>
      </c>
      <c r="C347" t="s">
        <v>75</v>
      </c>
      <c r="D347">
        <v>0.23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1.1499999999999999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0.06</v>
      </c>
    </row>
    <row r="352" spans="1:4" x14ac:dyDescent="0.45">
      <c r="A352" t="s">
        <v>91</v>
      </c>
      <c r="B352">
        <v>2015</v>
      </c>
      <c r="C352" t="s">
        <v>75</v>
      </c>
      <c r="D352">
        <v>0.01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</row>
    <row r="355" spans="1:4" x14ac:dyDescent="0.45">
      <c r="A355" t="s">
        <v>36</v>
      </c>
      <c r="B355">
        <v>2016</v>
      </c>
      <c r="C355" t="s">
        <v>75</v>
      </c>
      <c r="D355">
        <v>15.52</v>
      </c>
    </row>
    <row r="356" spans="1:4" x14ac:dyDescent="0.45">
      <c r="A356" t="s">
        <v>56</v>
      </c>
      <c r="B356">
        <v>2016</v>
      </c>
      <c r="C356" t="s">
        <v>75</v>
      </c>
      <c r="D356">
        <v>0.23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1.35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0.26</v>
      </c>
    </row>
    <row r="361" spans="1:4" x14ac:dyDescent="0.45">
      <c r="A361" t="s">
        <v>91</v>
      </c>
      <c r="B361">
        <v>2016</v>
      </c>
      <c r="C361" t="s">
        <v>75</v>
      </c>
      <c r="D361">
        <v>0.01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</row>
    <row r="364" spans="1:4" x14ac:dyDescent="0.45">
      <c r="A364" t="s">
        <v>36</v>
      </c>
      <c r="B364">
        <v>2017</v>
      </c>
      <c r="C364" t="s">
        <v>75</v>
      </c>
      <c r="D364">
        <v>15.75</v>
      </c>
    </row>
    <row r="365" spans="1:4" x14ac:dyDescent="0.45">
      <c r="A365" t="s">
        <v>56</v>
      </c>
      <c r="B365">
        <v>2017</v>
      </c>
      <c r="C365" t="s">
        <v>75</v>
      </c>
      <c r="D365">
        <v>0.23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1.49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0.35</v>
      </c>
    </row>
    <row r="370" spans="1:4" x14ac:dyDescent="0.45">
      <c r="A370" t="s">
        <v>91</v>
      </c>
      <c r="B370">
        <v>2017</v>
      </c>
      <c r="C370" t="s">
        <v>75</v>
      </c>
      <c r="D370">
        <v>0.01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</row>
    <row r="373" spans="1:4" x14ac:dyDescent="0.45">
      <c r="A373" t="s">
        <v>36</v>
      </c>
      <c r="B373">
        <v>2018</v>
      </c>
      <c r="C373" t="s">
        <v>75</v>
      </c>
      <c r="D373">
        <v>16.920000000000002</v>
      </c>
    </row>
    <row r="374" spans="1:4" x14ac:dyDescent="0.45">
      <c r="A374" t="s">
        <v>56</v>
      </c>
      <c r="B374">
        <v>2018</v>
      </c>
      <c r="C374" t="s">
        <v>75</v>
      </c>
      <c r="D374">
        <v>0.23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1.46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0.37</v>
      </c>
    </row>
    <row r="379" spans="1:4" x14ac:dyDescent="0.45">
      <c r="A379" t="s">
        <v>91</v>
      </c>
      <c r="B379">
        <v>2018</v>
      </c>
      <c r="C379" t="s">
        <v>75</v>
      </c>
      <c r="D379">
        <v>0.01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</row>
    <row r="382" spans="1:4" x14ac:dyDescent="0.45">
      <c r="A382" t="s">
        <v>36</v>
      </c>
      <c r="B382">
        <v>2019</v>
      </c>
      <c r="C382" t="s">
        <v>75</v>
      </c>
      <c r="D382">
        <v>19.47</v>
      </c>
    </row>
    <row r="383" spans="1:4" x14ac:dyDescent="0.45">
      <c r="A383" t="s">
        <v>56</v>
      </c>
      <c r="B383">
        <v>2019</v>
      </c>
      <c r="C383" t="s">
        <v>75</v>
      </c>
      <c r="D383">
        <v>0.23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1.46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0.37</v>
      </c>
    </row>
    <row r="388" spans="1:4" x14ac:dyDescent="0.45">
      <c r="A388" t="s">
        <v>91</v>
      </c>
      <c r="B388">
        <v>2019</v>
      </c>
      <c r="C388" t="s">
        <v>75</v>
      </c>
      <c r="D388">
        <v>0.01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</row>
    <row r="391" spans="1:4" x14ac:dyDescent="0.45">
      <c r="A391" t="s">
        <v>36</v>
      </c>
      <c r="B391">
        <v>2020</v>
      </c>
      <c r="C391" t="s">
        <v>75</v>
      </c>
      <c r="D391">
        <v>19.690000000000001</v>
      </c>
    </row>
    <row r="392" spans="1:4" x14ac:dyDescent="0.45">
      <c r="A392" t="s">
        <v>56</v>
      </c>
      <c r="B392">
        <v>2020</v>
      </c>
      <c r="C392" t="s">
        <v>75</v>
      </c>
      <c r="D392">
        <v>0.21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1.56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0.37</v>
      </c>
    </row>
    <row r="397" spans="1:4" x14ac:dyDescent="0.45">
      <c r="A397" t="s">
        <v>91</v>
      </c>
      <c r="B397">
        <v>2020</v>
      </c>
      <c r="C397" t="s">
        <v>75</v>
      </c>
      <c r="D397">
        <v>0.01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</row>
    <row r="400" spans="1:4" x14ac:dyDescent="0.45">
      <c r="A400" t="s">
        <v>36</v>
      </c>
      <c r="B400">
        <v>2021</v>
      </c>
      <c r="C400" t="s">
        <v>75</v>
      </c>
      <c r="D400">
        <v>21.36</v>
      </c>
    </row>
    <row r="401" spans="1:4" x14ac:dyDescent="0.45">
      <c r="A401" t="s">
        <v>56</v>
      </c>
      <c r="B401">
        <v>2021</v>
      </c>
      <c r="C401" t="s">
        <v>75</v>
      </c>
      <c r="D401">
        <v>0.13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1.56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0.37</v>
      </c>
    </row>
    <row r="406" spans="1:4" x14ac:dyDescent="0.45">
      <c r="A406" t="s">
        <v>91</v>
      </c>
      <c r="B406">
        <v>2021</v>
      </c>
      <c r="C406" t="s">
        <v>75</v>
      </c>
      <c r="D406">
        <v>0.01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</row>
    <row r="409" spans="1:4" x14ac:dyDescent="0.45">
      <c r="A409" t="s">
        <v>36</v>
      </c>
      <c r="B409">
        <v>2022</v>
      </c>
      <c r="C409" t="s">
        <v>75</v>
      </c>
      <c r="D409">
        <v>23.25</v>
      </c>
    </row>
    <row r="410" spans="1:4" x14ac:dyDescent="0.45">
      <c r="A410" t="s">
        <v>56</v>
      </c>
      <c r="B410">
        <v>2022</v>
      </c>
      <c r="C410" t="s">
        <v>75</v>
      </c>
      <c r="D410">
        <v>0.13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1.56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0.45</v>
      </c>
    </row>
    <row r="415" spans="1:4" x14ac:dyDescent="0.45">
      <c r="A415" t="s">
        <v>91</v>
      </c>
      <c r="B415">
        <v>2022</v>
      </c>
      <c r="C415" t="s">
        <v>75</v>
      </c>
      <c r="D415">
        <v>0.01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15.71</v>
      </c>
    </row>
    <row r="419" spans="1:4" x14ac:dyDescent="0.45">
      <c r="A419" t="s">
        <v>56</v>
      </c>
      <c r="B419">
        <v>2000</v>
      </c>
      <c r="C419" t="s">
        <v>76</v>
      </c>
      <c r="D419">
        <v>0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0.51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16.48</v>
      </c>
    </row>
    <row r="428" spans="1:4" x14ac:dyDescent="0.45">
      <c r="A428" t="s">
        <v>56</v>
      </c>
      <c r="B428">
        <v>2001</v>
      </c>
      <c r="C428" t="s">
        <v>76</v>
      </c>
      <c r="D428">
        <v>0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0.51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17.25</v>
      </c>
    </row>
    <row r="437" spans="1:4" x14ac:dyDescent="0.45">
      <c r="A437" t="s">
        <v>56</v>
      </c>
      <c r="B437">
        <v>2002</v>
      </c>
      <c r="C437" t="s">
        <v>76</v>
      </c>
      <c r="D437">
        <v>0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0.39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18.29</v>
      </c>
    </row>
    <row r="446" spans="1:4" x14ac:dyDescent="0.45">
      <c r="A446" t="s">
        <v>56</v>
      </c>
      <c r="B446">
        <v>2003</v>
      </c>
      <c r="C446" t="s">
        <v>76</v>
      </c>
      <c r="D446">
        <v>0.01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0.45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19.37</v>
      </c>
    </row>
    <row r="455" spans="1:4" x14ac:dyDescent="0.45">
      <c r="A455" t="s">
        <v>56</v>
      </c>
      <c r="B455">
        <v>2004</v>
      </c>
      <c r="C455" t="s">
        <v>76</v>
      </c>
      <c r="D455">
        <v>0.01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0.45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20.86</v>
      </c>
    </row>
    <row r="464" spans="1:4" x14ac:dyDescent="0.45">
      <c r="A464" t="s">
        <v>56</v>
      </c>
      <c r="B464">
        <v>2005</v>
      </c>
      <c r="C464" t="s">
        <v>76</v>
      </c>
      <c r="D464">
        <v>0.01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0.47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21.9</v>
      </c>
    </row>
    <row r="473" spans="1:4" x14ac:dyDescent="0.45">
      <c r="A473" t="s">
        <v>56</v>
      </c>
      <c r="B473">
        <v>2006</v>
      </c>
      <c r="C473" t="s">
        <v>76</v>
      </c>
      <c r="D473">
        <v>0.01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0.49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23.12</v>
      </c>
    </row>
    <row r="482" spans="1:4" x14ac:dyDescent="0.45">
      <c r="A482" t="s">
        <v>56</v>
      </c>
      <c r="B482">
        <v>2007</v>
      </c>
      <c r="C482" t="s">
        <v>76</v>
      </c>
      <c r="D482">
        <v>0.01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0.52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25.03</v>
      </c>
    </row>
    <row r="491" spans="1:4" x14ac:dyDescent="0.45">
      <c r="A491" t="s">
        <v>56</v>
      </c>
      <c r="B491">
        <v>2008</v>
      </c>
      <c r="C491" t="s">
        <v>76</v>
      </c>
      <c r="D491">
        <v>0.01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0.52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24.02</v>
      </c>
    </row>
    <row r="500" spans="1:4" x14ac:dyDescent="0.45">
      <c r="A500" t="s">
        <v>56</v>
      </c>
      <c r="B500">
        <v>2009</v>
      </c>
      <c r="C500" t="s">
        <v>76</v>
      </c>
      <c r="D500">
        <v>0.01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0.4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28.5</v>
      </c>
    </row>
    <row r="509" spans="1:4" x14ac:dyDescent="0.45">
      <c r="A509" t="s">
        <v>56</v>
      </c>
      <c r="B509">
        <v>2010</v>
      </c>
      <c r="C509" t="s">
        <v>76</v>
      </c>
      <c r="D509">
        <v>0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0.63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31.73</v>
      </c>
    </row>
    <row r="518" spans="1:4" x14ac:dyDescent="0.45">
      <c r="A518" t="s">
        <v>56</v>
      </c>
      <c r="B518">
        <v>2011</v>
      </c>
      <c r="C518" t="s">
        <v>76</v>
      </c>
      <c r="D518">
        <v>0.01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0.7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35.61</v>
      </c>
    </row>
    <row r="527" spans="1:4" x14ac:dyDescent="0.45">
      <c r="A527" t="s">
        <v>56</v>
      </c>
      <c r="B527">
        <v>2012</v>
      </c>
      <c r="C527" t="s">
        <v>76</v>
      </c>
      <c r="D527">
        <v>0.01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0.7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</v>
      </c>
    </row>
    <row r="535" spans="1:4" x14ac:dyDescent="0.45">
      <c r="A535" t="s">
        <v>36</v>
      </c>
      <c r="B535">
        <v>2013</v>
      </c>
      <c r="C535" t="s">
        <v>76</v>
      </c>
      <c r="D535">
        <v>37.49</v>
      </c>
    </row>
    <row r="536" spans="1:4" x14ac:dyDescent="0.45">
      <c r="A536" t="s">
        <v>56</v>
      </c>
      <c r="B536">
        <v>2013</v>
      </c>
      <c r="C536" t="s">
        <v>76</v>
      </c>
      <c r="D536">
        <v>0.01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0.59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</v>
      </c>
    </row>
    <row r="544" spans="1:4" x14ac:dyDescent="0.45">
      <c r="A544" t="s">
        <v>36</v>
      </c>
      <c r="B544">
        <v>2014</v>
      </c>
      <c r="C544" t="s">
        <v>76</v>
      </c>
      <c r="D544">
        <v>40.49</v>
      </c>
    </row>
    <row r="545" spans="1:4" x14ac:dyDescent="0.45">
      <c r="A545" t="s">
        <v>56</v>
      </c>
      <c r="B545">
        <v>2014</v>
      </c>
      <c r="C545" t="s">
        <v>76</v>
      </c>
      <c r="D545">
        <v>0.01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0.44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</v>
      </c>
    </row>
    <row r="553" spans="1:4" x14ac:dyDescent="0.45">
      <c r="A553" t="s">
        <v>36</v>
      </c>
      <c r="B553">
        <v>2015</v>
      </c>
      <c r="C553" t="s">
        <v>76</v>
      </c>
      <c r="D553">
        <v>43.25</v>
      </c>
    </row>
    <row r="554" spans="1:4" x14ac:dyDescent="0.45">
      <c r="A554" t="s">
        <v>56</v>
      </c>
      <c r="B554">
        <v>2015</v>
      </c>
      <c r="C554" t="s">
        <v>76</v>
      </c>
      <c r="D554">
        <v>0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0.63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</v>
      </c>
    </row>
    <row r="562" spans="1:4" x14ac:dyDescent="0.45">
      <c r="A562" t="s">
        <v>36</v>
      </c>
      <c r="B562">
        <v>2016</v>
      </c>
      <c r="C562" t="s">
        <v>76</v>
      </c>
      <c r="D562">
        <v>44.54</v>
      </c>
    </row>
    <row r="563" spans="1:4" x14ac:dyDescent="0.45">
      <c r="A563" t="s">
        <v>56</v>
      </c>
      <c r="B563">
        <v>2016</v>
      </c>
      <c r="C563" t="s">
        <v>76</v>
      </c>
      <c r="D563">
        <v>0.01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0.66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</v>
      </c>
    </row>
    <row r="571" spans="1:4" x14ac:dyDescent="0.45">
      <c r="A571" t="s">
        <v>36</v>
      </c>
      <c r="B571">
        <v>2017</v>
      </c>
      <c r="C571" t="s">
        <v>76</v>
      </c>
      <c r="D571">
        <v>47.97</v>
      </c>
    </row>
    <row r="572" spans="1:4" x14ac:dyDescent="0.45">
      <c r="A572" t="s">
        <v>56</v>
      </c>
      <c r="B572">
        <v>2017</v>
      </c>
      <c r="C572" t="s">
        <v>76</v>
      </c>
      <c r="D572">
        <v>0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0.24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0.03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0</v>
      </c>
    </row>
    <row r="580" spans="1:4" x14ac:dyDescent="0.45">
      <c r="A580" t="s">
        <v>36</v>
      </c>
      <c r="B580">
        <v>2018</v>
      </c>
      <c r="C580" t="s">
        <v>76</v>
      </c>
      <c r="D580">
        <v>48.25</v>
      </c>
    </row>
    <row r="581" spans="1:4" x14ac:dyDescent="0.45">
      <c r="A581" t="s">
        <v>56</v>
      </c>
      <c r="B581">
        <v>2018</v>
      </c>
      <c r="C581" t="s">
        <v>76</v>
      </c>
      <c r="D581">
        <v>0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0.28000000000000003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0.03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0</v>
      </c>
    </row>
    <row r="589" spans="1:4" x14ac:dyDescent="0.45">
      <c r="A589" t="s">
        <v>36</v>
      </c>
      <c r="B589">
        <v>2019</v>
      </c>
      <c r="C589" t="s">
        <v>76</v>
      </c>
      <c r="D589">
        <v>51.36</v>
      </c>
    </row>
    <row r="590" spans="1:4" x14ac:dyDescent="0.45">
      <c r="A590" t="s">
        <v>56</v>
      </c>
      <c r="B590">
        <v>2019</v>
      </c>
      <c r="C590" t="s">
        <v>76</v>
      </c>
      <c r="D590">
        <v>0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0.25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0.03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0</v>
      </c>
    </row>
    <row r="598" spans="1:4" x14ac:dyDescent="0.45">
      <c r="A598" t="s">
        <v>36</v>
      </c>
      <c r="B598">
        <v>2020</v>
      </c>
      <c r="C598" t="s">
        <v>76</v>
      </c>
      <c r="D598">
        <v>49.93</v>
      </c>
    </row>
    <row r="599" spans="1:4" x14ac:dyDescent="0.45">
      <c r="A599" t="s">
        <v>56</v>
      </c>
      <c r="B599">
        <v>2020</v>
      </c>
      <c r="C599" t="s">
        <v>76</v>
      </c>
      <c r="D599">
        <v>0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0.24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0.03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0</v>
      </c>
    </row>
    <row r="607" spans="1:4" x14ac:dyDescent="0.45">
      <c r="A607" t="s">
        <v>36</v>
      </c>
      <c r="B607">
        <v>2021</v>
      </c>
      <c r="C607" t="s">
        <v>76</v>
      </c>
      <c r="D607">
        <v>53.95</v>
      </c>
    </row>
    <row r="608" spans="1:4" x14ac:dyDescent="0.45">
      <c r="A608" t="s">
        <v>56</v>
      </c>
      <c r="B608">
        <v>2021</v>
      </c>
      <c r="C608" t="s">
        <v>76</v>
      </c>
      <c r="D608">
        <v>0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0.24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0.03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0</v>
      </c>
    </row>
    <row r="616" spans="1:4" x14ac:dyDescent="0.45">
      <c r="A616" t="s">
        <v>36</v>
      </c>
      <c r="B616">
        <v>2022</v>
      </c>
      <c r="C616" t="s">
        <v>76</v>
      </c>
      <c r="D616">
        <v>55.68</v>
      </c>
    </row>
    <row r="617" spans="1:4" x14ac:dyDescent="0.45">
      <c r="A617" t="s">
        <v>56</v>
      </c>
      <c r="B617">
        <v>2022</v>
      </c>
      <c r="C617" t="s">
        <v>76</v>
      </c>
      <c r="D617">
        <v>0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0.25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0.03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0.3</v>
      </c>
    </row>
    <row r="624" spans="1:4" x14ac:dyDescent="0.45">
      <c r="A624" t="s">
        <v>60</v>
      </c>
      <c r="B624">
        <v>2000</v>
      </c>
      <c r="C624" t="s">
        <v>74</v>
      </c>
      <c r="D624">
        <v>0.2</v>
      </c>
    </row>
    <row r="625" spans="1:4" x14ac:dyDescent="0.45">
      <c r="A625" t="s">
        <v>59</v>
      </c>
      <c r="B625">
        <v>2001</v>
      </c>
      <c r="C625" t="s">
        <v>74</v>
      </c>
      <c r="D625">
        <v>0.2</v>
      </c>
    </row>
    <row r="626" spans="1:4" x14ac:dyDescent="0.45">
      <c r="A626" t="s">
        <v>60</v>
      </c>
      <c r="B626">
        <v>2001</v>
      </c>
      <c r="C626" t="s">
        <v>74</v>
      </c>
      <c r="D626">
        <v>0.2</v>
      </c>
    </row>
    <row r="627" spans="1:4" x14ac:dyDescent="0.45">
      <c r="A627" t="s">
        <v>59</v>
      </c>
      <c r="B627">
        <v>2002</v>
      </c>
      <c r="C627" t="s">
        <v>74</v>
      </c>
      <c r="D627">
        <v>0.3</v>
      </c>
    </row>
    <row r="628" spans="1:4" x14ac:dyDescent="0.45">
      <c r="A628" t="s">
        <v>60</v>
      </c>
      <c r="B628">
        <v>2002</v>
      </c>
      <c r="C628" t="s">
        <v>74</v>
      </c>
      <c r="D628">
        <v>0.2</v>
      </c>
    </row>
    <row r="629" spans="1:4" x14ac:dyDescent="0.45">
      <c r="A629" t="s">
        <v>59</v>
      </c>
      <c r="B629">
        <v>2003</v>
      </c>
      <c r="C629" t="s">
        <v>74</v>
      </c>
      <c r="D629">
        <v>0.2</v>
      </c>
    </row>
    <row r="630" spans="1:4" x14ac:dyDescent="0.45">
      <c r="A630" t="s">
        <v>60</v>
      </c>
      <c r="B630">
        <v>2003</v>
      </c>
      <c r="C630" t="s">
        <v>74</v>
      </c>
      <c r="D630">
        <v>0.2</v>
      </c>
    </row>
    <row r="631" spans="1:4" x14ac:dyDescent="0.45">
      <c r="A631" t="s">
        <v>59</v>
      </c>
      <c r="B631">
        <v>2004</v>
      </c>
      <c r="C631" t="s">
        <v>74</v>
      </c>
      <c r="D631">
        <v>0.2</v>
      </c>
    </row>
    <row r="632" spans="1:4" x14ac:dyDescent="0.45">
      <c r="A632" t="s">
        <v>60</v>
      </c>
      <c r="B632">
        <v>2004</v>
      </c>
      <c r="C632" t="s">
        <v>74</v>
      </c>
      <c r="D632">
        <v>0.2</v>
      </c>
    </row>
    <row r="633" spans="1:4" x14ac:dyDescent="0.45">
      <c r="A633" t="s">
        <v>59</v>
      </c>
      <c r="B633">
        <v>2005</v>
      </c>
      <c r="C633" t="s">
        <v>74</v>
      </c>
      <c r="D633">
        <v>0.3</v>
      </c>
    </row>
    <row r="634" spans="1:4" x14ac:dyDescent="0.45">
      <c r="A634" t="s">
        <v>60</v>
      </c>
      <c r="B634">
        <v>2005</v>
      </c>
      <c r="C634" t="s">
        <v>74</v>
      </c>
      <c r="D634">
        <v>0.2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0.4</v>
      </c>
    </row>
    <row r="637" spans="1:4" x14ac:dyDescent="0.45">
      <c r="A637" t="s">
        <v>59</v>
      </c>
      <c r="B637">
        <v>2007</v>
      </c>
      <c r="C637" t="s">
        <v>74</v>
      </c>
      <c r="D637">
        <v>0.3</v>
      </c>
    </row>
    <row r="638" spans="1:4" x14ac:dyDescent="0.45">
      <c r="A638" t="s">
        <v>60</v>
      </c>
      <c r="B638">
        <v>2007</v>
      </c>
      <c r="C638" t="s">
        <v>74</v>
      </c>
      <c r="D638">
        <v>0.3</v>
      </c>
    </row>
    <row r="639" spans="1:4" x14ac:dyDescent="0.45">
      <c r="A639" t="s">
        <v>59</v>
      </c>
      <c r="B639">
        <v>2008</v>
      </c>
      <c r="C639" t="s">
        <v>74</v>
      </c>
      <c r="D639">
        <v>0.3</v>
      </c>
    </row>
    <row r="640" spans="1:4" x14ac:dyDescent="0.45">
      <c r="A640" t="s">
        <v>60</v>
      </c>
      <c r="B640">
        <v>2008</v>
      </c>
      <c r="C640" t="s">
        <v>74</v>
      </c>
      <c r="D640">
        <v>0.3</v>
      </c>
    </row>
    <row r="641" spans="1:4" x14ac:dyDescent="0.45">
      <c r="A641" t="s">
        <v>59</v>
      </c>
      <c r="B641">
        <v>2009</v>
      </c>
      <c r="C641" t="s">
        <v>74</v>
      </c>
      <c r="D641">
        <v>0.4</v>
      </c>
    </row>
    <row r="642" spans="1:4" x14ac:dyDescent="0.45">
      <c r="A642" t="s">
        <v>60</v>
      </c>
      <c r="B642">
        <v>2009</v>
      </c>
      <c r="C642" t="s">
        <v>74</v>
      </c>
      <c r="D642">
        <v>0.3</v>
      </c>
    </row>
    <row r="643" spans="1:4" x14ac:dyDescent="0.45">
      <c r="A643" t="s">
        <v>59</v>
      </c>
      <c r="B643">
        <v>2010</v>
      </c>
      <c r="C643" t="s">
        <v>74</v>
      </c>
      <c r="D643">
        <v>0.8</v>
      </c>
    </row>
    <row r="644" spans="1:4" x14ac:dyDescent="0.45">
      <c r="A644" t="s">
        <v>60</v>
      </c>
      <c r="B644">
        <v>2010</v>
      </c>
      <c r="C644" t="s">
        <v>74</v>
      </c>
      <c r="D644">
        <v>0.7</v>
      </c>
    </row>
    <row r="645" spans="1:4" x14ac:dyDescent="0.45">
      <c r="A645" t="s">
        <v>59</v>
      </c>
      <c r="B645">
        <v>2011</v>
      </c>
      <c r="C645" t="s">
        <v>74</v>
      </c>
      <c r="D645">
        <v>0.8</v>
      </c>
    </row>
    <row r="646" spans="1:4" x14ac:dyDescent="0.45">
      <c r="A646" t="s">
        <v>60</v>
      </c>
      <c r="B646">
        <v>2011</v>
      </c>
      <c r="C646" t="s">
        <v>74</v>
      </c>
      <c r="D646">
        <v>0.7</v>
      </c>
    </row>
    <row r="647" spans="1:4" x14ac:dyDescent="0.45">
      <c r="A647" t="s">
        <v>59</v>
      </c>
      <c r="B647">
        <v>2012</v>
      </c>
      <c r="C647" t="s">
        <v>74</v>
      </c>
      <c r="D647">
        <v>1</v>
      </c>
    </row>
    <row r="648" spans="1:4" x14ac:dyDescent="0.45">
      <c r="A648" t="s">
        <v>60</v>
      </c>
      <c r="B648">
        <v>2012</v>
      </c>
      <c r="C648" t="s">
        <v>74</v>
      </c>
      <c r="D648">
        <v>0.9</v>
      </c>
    </row>
    <row r="649" spans="1:4" x14ac:dyDescent="0.45">
      <c r="A649" t="s">
        <v>59</v>
      </c>
      <c r="B649">
        <v>2013</v>
      </c>
      <c r="C649" t="s">
        <v>74</v>
      </c>
      <c r="D649">
        <v>0.4</v>
      </c>
    </row>
    <row r="650" spans="1:4" x14ac:dyDescent="0.45">
      <c r="A650" t="s">
        <v>60</v>
      </c>
      <c r="B650">
        <v>2013</v>
      </c>
      <c r="C650" t="s">
        <v>74</v>
      </c>
      <c r="D650">
        <v>0.3</v>
      </c>
    </row>
    <row r="651" spans="1:4" x14ac:dyDescent="0.45">
      <c r="A651" t="s">
        <v>59</v>
      </c>
      <c r="B651">
        <v>2014</v>
      </c>
      <c r="C651" t="s">
        <v>74</v>
      </c>
      <c r="D651">
        <v>0.9</v>
      </c>
    </row>
    <row r="652" spans="1:4" x14ac:dyDescent="0.45">
      <c r="A652" t="s">
        <v>60</v>
      </c>
      <c r="B652">
        <v>2014</v>
      </c>
      <c r="C652" t="s">
        <v>74</v>
      </c>
      <c r="D652">
        <v>0.7</v>
      </c>
    </row>
    <row r="653" spans="1:4" x14ac:dyDescent="0.45">
      <c r="A653" t="s">
        <v>59</v>
      </c>
      <c r="B653">
        <v>2015</v>
      </c>
      <c r="C653" t="s">
        <v>74</v>
      </c>
      <c r="D653">
        <v>0.6</v>
      </c>
    </row>
    <row r="654" spans="1:4" x14ac:dyDescent="0.45">
      <c r="A654" t="s">
        <v>60</v>
      </c>
      <c r="B654">
        <v>2015</v>
      </c>
      <c r="C654" t="s">
        <v>74</v>
      </c>
      <c r="D654">
        <v>0.6</v>
      </c>
    </row>
    <row r="655" spans="1:4" x14ac:dyDescent="0.45">
      <c r="A655" t="s">
        <v>59</v>
      </c>
      <c r="B655">
        <v>2016</v>
      </c>
      <c r="C655" t="s">
        <v>74</v>
      </c>
      <c r="D655">
        <v>0.5</v>
      </c>
    </row>
    <row r="656" spans="1:4" x14ac:dyDescent="0.45">
      <c r="A656" t="s">
        <v>60</v>
      </c>
      <c r="B656">
        <v>2016</v>
      </c>
      <c r="C656" t="s">
        <v>74</v>
      </c>
      <c r="D656">
        <v>0.3</v>
      </c>
    </row>
    <row r="657" spans="1:4" x14ac:dyDescent="0.45">
      <c r="A657" t="s">
        <v>59</v>
      </c>
      <c r="B657">
        <v>2017</v>
      </c>
      <c r="C657" t="s">
        <v>74</v>
      </c>
      <c r="D657">
        <v>0.9</v>
      </c>
    </row>
    <row r="658" spans="1:4" x14ac:dyDescent="0.45">
      <c r="A658" t="s">
        <v>60</v>
      </c>
      <c r="B658">
        <v>2017</v>
      </c>
      <c r="C658" t="s">
        <v>74</v>
      </c>
      <c r="D658">
        <v>0.5</v>
      </c>
    </row>
    <row r="659" spans="1:4" x14ac:dyDescent="0.45">
      <c r="A659" t="s">
        <v>59</v>
      </c>
      <c r="B659">
        <v>2018</v>
      </c>
      <c r="C659" t="s">
        <v>74</v>
      </c>
      <c r="D659">
        <v>0.6</v>
      </c>
    </row>
    <row r="660" spans="1:4" x14ac:dyDescent="0.45">
      <c r="A660" t="s">
        <v>60</v>
      </c>
      <c r="B660">
        <v>2018</v>
      </c>
      <c r="C660" t="s">
        <v>74</v>
      </c>
      <c r="D660">
        <v>0.5</v>
      </c>
    </row>
    <row r="661" spans="1:4" x14ac:dyDescent="0.45">
      <c r="A661" t="s">
        <v>59</v>
      </c>
      <c r="B661">
        <v>2019</v>
      </c>
      <c r="C661" t="s">
        <v>74</v>
      </c>
      <c r="D661">
        <v>0.7</v>
      </c>
    </row>
    <row r="662" spans="1:4" x14ac:dyDescent="0.45">
      <c r="A662" t="s">
        <v>60</v>
      </c>
      <c r="B662">
        <v>2019</v>
      </c>
      <c r="C662" t="s">
        <v>74</v>
      </c>
      <c r="D662">
        <v>0.5</v>
      </c>
    </row>
    <row r="663" spans="1:4" x14ac:dyDescent="0.45">
      <c r="A663" t="s">
        <v>59</v>
      </c>
      <c r="B663">
        <v>2020</v>
      </c>
      <c r="C663" t="s">
        <v>74</v>
      </c>
      <c r="D663">
        <v>0.6</v>
      </c>
    </row>
    <row r="664" spans="1:4" x14ac:dyDescent="0.45">
      <c r="A664" t="s">
        <v>60</v>
      </c>
      <c r="B664">
        <v>2020</v>
      </c>
      <c r="C664" t="s">
        <v>74</v>
      </c>
      <c r="D664">
        <v>0.5</v>
      </c>
    </row>
    <row r="665" spans="1:4" x14ac:dyDescent="0.45">
      <c r="A665" t="s">
        <v>59</v>
      </c>
      <c r="B665">
        <v>2021</v>
      </c>
      <c r="C665" t="s">
        <v>74</v>
      </c>
      <c r="D665">
        <v>1.5</v>
      </c>
    </row>
    <row r="666" spans="1:4" x14ac:dyDescent="0.45">
      <c r="A666" t="s">
        <v>60</v>
      </c>
      <c r="B666">
        <v>2021</v>
      </c>
      <c r="C666" t="s">
        <v>74</v>
      </c>
      <c r="D666">
        <v>0.4</v>
      </c>
    </row>
    <row r="667" spans="1:4" x14ac:dyDescent="0.45">
      <c r="A667" t="s">
        <v>59</v>
      </c>
      <c r="B667">
        <v>2022</v>
      </c>
      <c r="C667" t="s">
        <v>74</v>
      </c>
      <c r="D667">
        <v>2.8</v>
      </c>
    </row>
    <row r="668" spans="1:4" x14ac:dyDescent="0.45">
      <c r="A668" t="s">
        <v>60</v>
      </c>
      <c r="B668">
        <v>2022</v>
      </c>
      <c r="C668" t="s">
        <v>74</v>
      </c>
      <c r="D668">
        <v>0.2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9.4000000000000004E-3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9.4000000000000004E-3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9.4000000000000004E-3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9.4000000000000004E-3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1.8800000000000001E-2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9.4000000000000004E-3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9.4000000000000004E-3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3.7600000000000001E-2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2.8199999999999996E-2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2.8199999999999996E-2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2.8199999999999996E-2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8.4599999999999995E-2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4.7E-2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5.6399999999999992E-2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8.4599999999999995E-2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1.8800000000000001E-2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9.4000000000000004E-3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3.7600000000000001E-2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4.7E-2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25.266999999999999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24.64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24.689500000000002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25.316499999999998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25.420999999999999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25.233999999999998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25.266999999999999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35.194499999999998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35.881999999999998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36.046999999999997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34.859000000000002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36.855499999999999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35.161499999999997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34.969000000000001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40.721999999999994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43.262999999999998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43.554500000000004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41.6845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32.735999999999997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43.158499999999997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34.055999999999997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40.837500000000006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47.987500000000004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46.711500000000001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50.072000000000003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17.490000000000002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46.436500000000002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12.1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38.241500000000002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49.6265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42.223500000000001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57.447499999999998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4.1469999999999994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49.686999999999998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0.32450000000000001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41.167500000000004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49.967500000000001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37.526499999999999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61.836500000000001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11.978999999999999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52.673499999999997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0.16500000000000001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38.329499999999996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51.5075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28.369000000000003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55.241999999999997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15.631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49.951000000000001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0.56100000000000005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9.8000000000000004E-2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9.8000000000000004E-2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9.8000000000000004E-2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9.8000000000000004E-2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0.105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9.8000000000000004E-2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9.8000000000000004E-2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5.305E-2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5.9200000000000003E-2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1.2783500000000001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3.2328999999999999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6.5845500000000001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7.3873499999999996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0.17180000000000001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15.24165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0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25.728299999999997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16.984749999999998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7.0833500000000003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25.233649999999997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51.483000000000004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24.072949999999999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26.305099999999999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0.68035000000000001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29.166049999999998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64.806749999999994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25.599249999999998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32.352049999999998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1.4858499999999999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25.552399999999999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64.794650000000004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25.957149999999999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28.1557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4.9592000000000001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23.2393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0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62.276699999999998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25.278500000000001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23.783949999999997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4.8939000000000004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21.000050000000002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0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57.133300000000006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25.093049999999998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22.799500000000002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4.5789499999999999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19.8614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0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52.525499999999994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23.364000000000001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21.595149999999997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4.2244999999999999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19.19595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0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47.849649999999997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18.214550000000003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18.427599999999998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3.577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18.475250000000003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0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50.974400000000003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13.351099999999999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15.5806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2.9771999999999998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17.5504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0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52.203949999999999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6.9839000000000002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9.7369999999999983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1.7636000000000001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16.909649999999999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0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52.062350000000002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1.2947500000000001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4.4929000000000006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0.66544999999999999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16.168300000000002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52.281799999999997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0.68579999999999997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2.14825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0.31345000000000001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15.81865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47.3996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0.14645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0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15.445549999999999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43.177799999999998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235.12824999999998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232.99189999999999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235.57964999999999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234.92750000000001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232.59755000000001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233.41345000000001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232.20695000000001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282.04845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280.94455000000005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283.70835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283.05965000000003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264.93200000000002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280.75745000000001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278.15340000000003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288.06724999999994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303.73484999999999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307.35070000000002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306.49295000000001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159.5643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301.96325000000002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193.88954999999999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231.95085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299.16759999999999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297.94880000000001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301.78689999999995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82.342649999999992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291.18810000000002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112.79625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172.95515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293.34014999999999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206.31979999999999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289.88094999999998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37.136299999999999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275.15309999999999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45.69415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132.65789999999998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300.34990000000005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136.51564999999999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287.03715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6.2026000000000003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269.21095000000003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-0.99254999999999993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102.8905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308.90555000000001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114.5316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283.87184999999999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-1.9842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260.55124999999998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-30.074449999999999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90.493650000000002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310.7681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99.886899999999997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162.5034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-5.6642999999999999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238.00434999999999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-40.144849999999998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90.204000000000008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339.55509999999998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99.135000000000005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158.83765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-6.1961500000000003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233.75839999999999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-36.579149999999998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85.316800000000001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359.76620000000003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95.438249999999996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153.18085000000002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-6.0244999999999997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213.45155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-32.454749999999997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80.640799999999999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357.74419999999998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92.160249999999991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147.5367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-6.3197999999999999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193.29795000000001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-28.194900000000001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76.152900000000002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344.98660000000001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88.108499999999992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145.3135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-6.5867000000000004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191.14445000000001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-30.579599999999999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71.933149999999998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333.37470000000002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84.225700000000003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142.554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-6.5411999999999999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188.56914999999998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-30.93805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65.335400000000007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311.70685000000003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79.165850000000006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132.91039999999998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-6.2090500000000004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179.33955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-30.963950000000001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58.76305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290.19405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74.613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124.23314999999999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-5.9332000000000003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171.2501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-31.338000000000001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48.854799999999997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278.37025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66.262199999999993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115.35369999999999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-5.7372500000000004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159.50630000000001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-28.022100000000002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39.213999999999999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268.2396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58.277699999999996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107.22825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-5.5579999999999998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148.68385000000001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-25.25855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220.89005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220.0301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221.3227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220.69985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218.52805000000001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219.23869999999999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217.88165000000001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267.02499999999998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265.98779999999999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268.51689999999996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267.88194999999996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252.41485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265.67815000000002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262.78380000000004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271.79595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287.31759999999997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290.59434999999996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289.75800000000004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148.43664999999999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285.25594999999998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180.10814999999999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216.65309999999999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283.56905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282.18885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285.82339999999999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73.448299999999989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275.1961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100.6537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159.24284999999998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277.30714999999998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191.7389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273.36649999999997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30.163699999999999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258.90655000000004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34.737400000000001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120.32980000000001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284.18489999999997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124.483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270.27300000000002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1.13165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252.60724999999999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-10.89555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91.821950000000001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292.55675000000002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103.66655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266.95209999999997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-5.9848999999999997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243.63634999999999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-39.92465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80.5107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293.4529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89.423749999999998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146.44575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-8.7834500000000002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220.1884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-49.744550000000004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75.9953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320.18489999999997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85.406099999999995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140.55349999999999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-9.2662999999999993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214.15125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-49.16695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69.373199999999997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339.07029999999997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80.12360000000001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133.28964999999999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-9.4328000000000003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192.59415000000001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-46.291849999999997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63.021650000000001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335.7389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75.306849999999997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126.1084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-10.0754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171.40950000000001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-43.2254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55.657700000000006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321.91904999999997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69.134150000000005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122.3758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-11.084499999999998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166.34100000000001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-47.046900000000001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48.660150000000002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309.36160000000001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63.210549999999998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118.26785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-11.821999999999999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161.0795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-48.783000000000001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40.614549999999994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287.53025000000002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56.442099999999996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108.01245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-12.137799999999999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151.90975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-48.806849999999997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32.660249999999998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265.85579999999999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50.215599999999995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98.717750000000009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-12.59125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143.86689999999999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-49.1798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23.8155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254.5822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42.704349999999998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90.154499999999985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-12.633050000000001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132.40094999999999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-44.975449999999995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15.19595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244.98060000000001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35.559950000000001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82.325050000000005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-12.6806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121.82565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-41.37585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0.12504999999999999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0.125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0.12534999999999999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0.12494999999999999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0.11835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0.12475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0.11865000000000001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0.16564999999999999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0.16635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0.1668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0.16794999999999999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0.11225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0.16664999999999999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0.15725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0.2147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0.21395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0.21484999999999999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0.21765000000000001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0.11485000000000001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0.2157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0.18645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0.22955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0.22625000000000001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0.22694999999999999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0.23899999999999999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8.7300000000000003E-2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0.22920000000000001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0.21284999999999998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0.23665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0.22585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0.22189999999999999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0.22475000000000001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7.8049999999999994E-2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0.22685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0.25165000000000004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0.30810000000000004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0.26774999999999999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0.27185000000000004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0.26400000000000001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8.6999999999999994E-2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0.27610000000000001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0.38619999999999999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0.37419999999999998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0.31609999999999999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0.35215000000000002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0.31064999999999998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0.1099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0.33340000000000003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0.46514999999999995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0.437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0.36004999999999998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0.41735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0.3775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9.3150000000000011E-2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0.39555000000000001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0.48995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0.46750000000000003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0.41105000000000003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0.44135000000000002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0.40570000000000001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7.7049999999999993E-2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0.44940000000000002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0.50635000000000008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0.50475000000000003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0.44345000000000001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0.48020000000000002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0.45094999999999996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7.3499999999999996E-2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0.4657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0.54949999999999999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0.54340000000000011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0.47534999999999999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0.51834999999999998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0.49460000000000004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7.1550000000000002E-2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0.47825000000000001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0.59204999999999997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0.56719999999999993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0.49724999999999997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0.54919999999999991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0.52500000000000002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7.3599999999999999E-2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0.51664999999999994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0.62065000000000003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0.59065000000000001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0.51754999999999995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0.58165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0.55425000000000002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7.5899999999999995E-2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0.55200000000000005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0.64680000000000004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0.58894999999999997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0.51760000000000006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0.58160000000000001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0.55149999999999999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7.8800000000000009E-2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0.54849999999999999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0.64490000000000003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0.58635000000000004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0.51665000000000005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0.58025000000000004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0.54659999999999997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8.2350000000000007E-2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0.54394999999999993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0.64234999999999998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0.58000000000000007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0.52205000000000001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0.57769999999999999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0.54615000000000002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8.7300000000000003E-2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0.54154999999999998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0.63919999999999999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0.57184999999999997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0.52544999999999997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0.57410000000000005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0.54410000000000003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9.1999999999999998E-2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0.53839999999999999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0.63614999999999999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0.1799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0.18145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0.17909999999999998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0.18145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0.17319999999999999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0.18204999999999999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0.17325000000000002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0.25319999999999998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0.25705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0.25205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0.25675000000000003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0.27910000000000001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0.25455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0.24675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0.31714999999999999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0.32355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0.31974999999999998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0.32304999999999995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0.25195000000000001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0.32164999999999999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0.26200000000000001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0.35489999999999999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0.37254999999999999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0.379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0.36529999999999996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0.27959999999999996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0.37204999999999999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0.30185000000000001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0.37570000000000003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0.39074999999999999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0.36890000000000001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0.38369999999999999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0.31825000000000003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0.39039999999999997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0.37575000000000003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0.43295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0.42654999999999998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0.39190000000000003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0.42535000000000001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0.35275000000000001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0.43000000000000005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0.48460000000000003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0.48604999999999998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0.46540000000000004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0.4677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0.47299999999999998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0.42230000000000001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0.4763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0.5474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0.49920000000000003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0.4652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0.48365000000000002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0.47725000000000001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0.40984999999999999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0.49095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0.53325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0.57869999999999999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0.53764999999999996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0.55499999999999994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0.54100000000000004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0.46199999999999997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0.57250000000000001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0.61329999999999996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0.63295000000000001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0.56955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0.61244999999999994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0.6008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0.49409999999999998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0.59020000000000006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0.66354999999999997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0.6895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0.60224999999999995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0.67084999999999995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0.66205000000000003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0.52849999999999997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0.61799999999999999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0.71250000000000002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0.77410000000000001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0.67484999999999995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0.75965000000000005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0.75090000000000001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0.58899999999999997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0.71379999999999999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0.7954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0.85580000000000001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0.74629999999999996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0.8456999999999999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0.83319999999999994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0.65029999999999999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0.80604999999999993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0.87480000000000002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0.90769999999999995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0.79405000000000003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0.89470000000000005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0.87820000000000009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0.70534999999999992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0.85444999999999993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0.92254999999999998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0.95734999999999992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0.83994999999999997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0.94259999999999999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0.92165000000000008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0.76265000000000005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0.9012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0.96819999999999995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0.96229999999999993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0.85585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0.95199999999999996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0.92964999999999998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0.79144999999999999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0.90849999999999997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0.96595000000000009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0.96625000000000005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0.87115000000000009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0.95914999999999995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0.9355500000000001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0.81925000000000003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0.91339999999999999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0.96354999999999991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5.2499999999999995E-3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5.0499999999999998E-3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5.0500000000000007E-3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4.7999999999999996E-3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4.0499999999999998E-3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4.8500000000000001E-3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4.9499999999999995E-3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7.7000000000000002E-3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9.8999999999999991E-3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9.6499999999999989E-3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9.3500000000000007E-3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6.5500000000000003E-3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9.2999999999999992E-3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8.4000000000000012E-3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1.6050000000000002E-2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1.6449999999999999E-2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1.6500000000000001E-2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1.5899999999999997E-2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2.0749999999999998E-2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1.5800000000000002E-2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1.3299999999999999E-2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2.1350000000000001E-2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1.9950000000000002E-2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1.9700000000000002E-2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2.155E-2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3.4299999999999997E-2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2.0049999999999998E-2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1.9650000000000001E-2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2.3550000000000001E-2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2.1899999999999999E-2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2.1499999999999998E-2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2.2699999999999998E-2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4.845E-2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2.1700000000000001E-2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2.7299999999999998E-2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3.3100000000000004E-2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2.7450000000000002E-2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2.7250000000000003E-2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2.775E-2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6.6599999999999993E-2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2.6700000000000002E-2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4.6399999999999997E-2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4.6100000000000002E-2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3.6199999999999996E-2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3.8900000000000004E-2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3.6400000000000002E-2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7.2650000000000006E-2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3.5349999999999999E-2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6.6750000000000004E-2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5.985E-2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4.48E-2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5.1449999999999996E-2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4.8250000000000001E-2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0.10879999999999999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4.4999999999999998E-2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8.1550000000000011E-2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7.375000000000001E-2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5.6550000000000003E-2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6.2600000000000003E-2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5.8900000000000001E-2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0.1237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5.7800000000000004E-2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9.7000000000000003E-2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8.5550000000000001E-2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6.384999999999999E-2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7.2849999999999998E-2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6.8349999999999994E-2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0.13395000000000001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6.4549999999999996E-2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0.11094999999999999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9.8000000000000004E-2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7.1250000000000008E-2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8.3199999999999996E-2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7.8100000000000003E-2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0.14649999999999999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7.1550000000000002E-2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0.12529999999999999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0.1103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8.0100000000000005E-2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9.4899999999999998E-2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8.8749999999999996E-2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0.1578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8.2900000000000001E-2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0.13945000000000002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0.12280000000000001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8.9650000000000007E-2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0.10735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9.9700000000000011E-2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0.16994999999999999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9.4299999999999995E-2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0.15254999999999999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0.1331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9.7949999999999995E-2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0.11685000000000001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0.10879999999999999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0.18275000000000002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0.10314999999999999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0.16249999999999998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0.14335000000000001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0.10605000000000001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0.12620000000000001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0.11735000000000001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0.19564999999999999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0.11180000000000001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0.1721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0.15294999999999997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0.11374999999999999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0.13540000000000002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0.12605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0.20884999999999998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0.12005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0.182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0.16205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0.12110000000000001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0.1444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0.13445000000000001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0.2205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0.12809999999999999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0.19159999999999999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5.4670500000000004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5.4670500000000004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5.4670500000000004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5.6841000000000008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6.6692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5.7051999999999996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6.6654999999999998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2.0844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3.9799499999999997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4.16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5.0553999999999997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4.1289999999999996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45.298999999999999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45.298999999999999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45.298999999999999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45.298999999999999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45.298999999999999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45.298999999999999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45.298999999999999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61.768950000000004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60.921700000000001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60.921700000000001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60.921700000000001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41.186050000000002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59.922550000000001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50.551299999999998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63.527699999999996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65.20975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65.20975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65.20975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55.630200000000002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63.530749999999998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63.129199999999997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76.44905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78.549599999999998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67.187649999999991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60.865749999999991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64.796899999999994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76.564750000000004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72.277649999999994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78.274950000000004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87.284400000000005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74.6905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77.399000000000001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70.2209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85.318299999999994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78.636200000000002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91.383899999999997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97.080199999999991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91.983599999999996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88.692000000000007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67.809650000000005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94.320700000000002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86.875349999999997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100.31829999999999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107.75015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101.90085000000001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99.408899999999988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86.416049999999998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103.8154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95.79195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105.6557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121.4423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110.9221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110.68209999999999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106.81005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120.6434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91.275700000000001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170.05165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187.71719999999999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170.32225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170.25024999999999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156.49099999999999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192.24270000000001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188.62995000000001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203.00815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224.45685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200.35825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201.68400000000003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189.84365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212.49025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223.41245000000001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235.96469999999999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261.19650000000001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230.39425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233.11765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223.19630000000001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232.73785000000001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258.19495000000001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232.63175000000001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266.25040000000001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239.88315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239.41855000000001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229.47719999999998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240.20564999999999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324.25170000000003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229.2989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271.30435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249.37209999999999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245.71944999999999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235.75815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247.67349999999999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390.30849999999998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235.81049999999999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273.24054999999998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243.14010000000002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241.42595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280.68025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252.44459999999998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483.86914999999999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242.32215000000002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275.17669999999998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236.90805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237.13245000000001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325.60239999999999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257.21574999999996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577.42975000000001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286.72765000000004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282.98410000000001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240.45245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251.5026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342.85210000000001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281.94954999999999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506.80039999999997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331.13310000000001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290.79155000000003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243.99689999999998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265.87279999999998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360.10180000000003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306.68340000000001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436.17105000000004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4.0000000000000002E-4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4.0000000000000002E-4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4.0000000000000002E-4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4.0000000000000002E-4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4.0000000000000002E-4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4.0000000000000002E-4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4.0000000000000002E-4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5.0000000000000001E-4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5.0000000000000001E-4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4.0000000000000002E-4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4.0000000000000002E-4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4.0000000000000002E-4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2.0000000000000001E-4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5.0000000000000001E-4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5.0000000000000001E-4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5.0000000000000001E-4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5.0000000000000001E-4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2.9999999999999997E-4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1.9999999999999998E-4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1.5000000000000001E-4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7.5000000000000002E-4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5.0000000000000002E-5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2.5000000000000001E-4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1.3500000000000001E-3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5.0000000000000001E-4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3.7499999999999999E-3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2.5000000000000001E-4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1.4499999999999999E-3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6.4500000000000009E-3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4.4999999999999999E-4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2.5500000000000002E-3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1.3650000000000001E-2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1.15E-3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4.9499999999999995E-3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2.1600000000000001E-2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1.8500000000000001E-3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7.6E-3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3.6299999999999999E-2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3.7000000000000002E-3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1.175E-2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5.2400000000000002E-2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5.7499999999999999E-3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1.635E-2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0.42680000000000001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0.42670000000000002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0.4269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0.42599999999999999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0.42420000000000002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0.4249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0.41909999999999997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0.56279999999999997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0.57340000000000002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0.57299999999999995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0.57369999999999999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0.53859999999999997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0.56540000000000001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0.55769999999999997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0.59370000000000001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0.68310000000000004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0.68330000000000002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0.68300000000000005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0.37380000000000002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0.64659999999999995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0.31409999999999999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0.40710000000000002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0.70309999999999995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0.68600000000000005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0.69210000000000005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0.16009999999999999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0.60570000000000002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9.3299999999999994E-2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0.17299999999999999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0.65139999999999998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0.34039999999999998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0.60089999999999999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0.49540000000000001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6.6500000000000004E-2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0.65269999999999995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4.3099999999999999E-2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0.52059999999999995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0.41749999999999998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3.5000000000000001E-3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0.64100000000000001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0.44359999999999999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0.33360000000000001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5.45E-3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0.58244999999999991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2.3500000000000001E-3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0.17134999999999997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5.0000000000000002E-5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0.23330000000000001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6.0499999999999998E-3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0.57719999999999994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2.5999999999999999E-3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0.13874999999999998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5.0000000000000002E-5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0.1565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6.3499999999999997E-3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0.61314999999999997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3.1999999999999997E-3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9.4299999999999995E-2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0.12745000000000001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6.6999999999999994E-3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0.47899999999999998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4.0499999999999998E-3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5.2999999999999999E-2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5.0000000000000002E-5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0.10200000000000001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8.150000000000001E-3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0.36294999999999999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6.7499999999999999E-3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6.2899999999999998E-2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0.1177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9.5499999999999995E-3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0.25850000000000001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0.01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7.2450000000000001E-2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0.13290000000000002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1.21E-2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0.18985000000000002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1.6300000000000002E-2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8.2350000000000007E-2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0.14984999999999998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1.47E-2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0.12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2.3400000000000001E-2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9.194999999999999E-2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0.16589999999999999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1.54E-2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0.12204999999999999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0.03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9.9599999999999994E-2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0.17299999999999999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1.6E-2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0.12340000000000001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3.6749999999999998E-2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0.10665000000000001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0.17904999999999999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8.0000000000000004E-4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8.0000000000000004E-4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8.0000000000000004E-4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8.0000000000000004E-4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8.0000000000000004E-4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8.0000000000000004E-4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8.0000000000000004E-4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8.0000000000000004E-4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8.0000000000000004E-4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8.0000000000000004E-4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8.0000000000000004E-4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8.0000000000000004E-4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8.0000000000000004E-4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8.0000000000000004E-4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4.0000000000000002E-4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4.0000000000000002E-4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4.0000000000000002E-4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4.0000000000000002E-4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4.0000000000000002E-4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5.0000000000000001E-4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7.1000000000000004E-3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7.1999999999999998E-3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7.1500000000000001E-3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7.1500000000000001E-3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6.1000000000000004E-3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7.1000000000000004E-3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7.0000000000000001E-3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3.1399999999999997E-2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3.1300000000000001E-2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3.1199999999999999E-2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3.125E-2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2.4899999999999999E-2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3.1600000000000003E-2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3.15E-2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6.9250000000000006E-2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6.4750000000000002E-2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6.4699999999999994E-2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6.4750000000000002E-2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3.0449999999999998E-2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6.6549999999999998E-2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7.3349999999999999E-2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8.6800000000000002E-2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9.2249999999999999E-2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9.1350000000000001E-2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9.3700000000000006E-2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3.27E-2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9.3799999999999994E-2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9.9449999999999997E-2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0.10189999999999999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0.1203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0.1061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0.12745000000000001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3.755E-2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0.11325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0.17225000000000001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0.12125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0.16089999999999999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0.11345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0.16920000000000002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4.265E-2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0.1321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0.26805000000000001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0.16969999999999999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0.21105000000000002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0.17875000000000002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0.22614999999999999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5.28E-2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0.15355000000000002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0.39844999999999997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0.2462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0.25900000000000001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0.26285000000000003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0.36849999999999999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5.0549999999999998E-2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0.13869999999999999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0.50409999999999999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0.35385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0.35775000000000001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0.3659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0.51695000000000002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6.7049999999999998E-2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0.20550000000000002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0.61650000000000005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0.38865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0.49614999999999998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0.38005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0.52305000000000001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7.8300000000000008E-2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0.40405000000000002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0.628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0.40754999999999997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0.5927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0.38764999999999999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0.52265000000000006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8.9200000000000002E-2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0.52669999999999995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0.63860000000000006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0.46265000000000001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0.75029999999999997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0.40300000000000002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0.56745000000000001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0.10355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0.58705000000000007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0.70799999999999996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0.50380000000000003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0.88200000000000001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0.41125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0.59665000000000001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0.11840000000000001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0.62719999999999998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0.75564999999999993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0.54570000000000007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0.99995000000000001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0.45779999999999998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0.63565000000000005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0.12940000000000002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0.65285000000000004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0.7621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0.5756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1.0838000000000001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0.49840000000000001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0.6613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0.1414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0.66355000000000008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0.77405000000000002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0.58955000000000002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1.1228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0.53305000000000002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0.66179999999999994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0.14450000000000002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0.64995000000000003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0.72284999999999999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0.59905000000000008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1.1516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0.56545000000000001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0.65799999999999992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0.1474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0.63475000000000004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0.68060000000000009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3.4498000000000002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9.6959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18.2867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28.6571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45.8812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0.1104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0.15040000000000001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0.16109999999999999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0.13769999999999999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0.13600000000000001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0.15110000000000001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0.18340000000000001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0.26219999999999999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0.30120000000000002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0.4027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0.47020000000000001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0.54779999999999995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0.62990000000000002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4.7000000000000002E-3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5.8999999999999999E-3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1.34E-2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4.4000000000000003E-3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1.1000000000000001E-3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2.3999999999999998E-3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5.4999999999999997E-3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1.32E-2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5.3400000000000003E-2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6.3200000000000006E-2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5.21E-2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5.1900000000000002E-2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7.2800000000000004E-2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0.12809999999999999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3.7600000000000001E-2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25.266999999999999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35.194499999999998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40.721999999999994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40.837500000000006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38.241500000000002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41.167500000000004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38.329499999999996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9.8000000000000004E-2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1.0129999999999999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1.2803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4.7413999999999996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5.6919000000000004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7.2179000000000002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5.4116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2.7138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2.5792000000000002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2.1101000000000001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2.2250000000000001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1.5379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1.8033999999999999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1.9453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2.8195000000000001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3.1762000000000001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3.2566000000000002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3.8357999999999999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2.4416000000000002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3.6478999999999999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3.5127999999999999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3.9821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4.3265000000000002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4.8785999999999996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4.7210999999999999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239.1576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306.69049999999999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317.49869999999999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315.40370000000001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290.38319999999999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278.8168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255.2971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227.98099999999999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295.64699999999999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305.7867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303.75709999999998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278.37439999999998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266.51220000000001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241.87350000000001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0.1105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0.15870000000000001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0.17499999999999999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0.1658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0.1196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0.10780000000000001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0.1164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0.2752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0.34770000000000001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0.45879999999999999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0.52290000000000003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0.58689999999999998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0.65859999999999996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4.5999999999999999E-3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4.1999999999999997E-3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3.2000000000000002E-3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1.4E-3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4.0000000000000002E-4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1.2999999999999999E-2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5.33E-2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5.4699999999999999E-2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5.2400000000000002E-2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3.9399999999999998E-2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2.52E-2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1.23E-2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9.4000000000000004E-3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2.8199999999999996E-2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1.8800000000000001E-2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24.64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35.881999999999998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43.262999999999998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47.987500000000004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49.6265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49.967500000000001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51.5075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9.8000000000000004E-2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1.0129999999999999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1.3050999999999999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5.4339000000000004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4.2057000000000002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2.7138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2.5948000000000002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2.3433000000000002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2.6046999999999998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2.4499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2.5293000000000001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1.5379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1.8031999999999999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1.8865000000000001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2.8910999999999998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3.0405000000000002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3.3778999999999999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3.6166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2.4416000000000002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3.6859999999999999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4.0622999999999996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4.3292999999999999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4.9558999999999997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5.4337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5.7576000000000001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232.1463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301.30689999999998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343.74880000000002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345.43650000000002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357.43509999999998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367.2235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402.57350000000002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221.05950000000001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290.45249999999999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332.75119999999998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334.40609999999998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346.108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356.30720000000002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391.67439999999999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5.1849999999999996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11.6174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19.491199999999999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33.988999999999997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0.1115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0.1615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0.17899999999999999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0.158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0.13220000000000001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0.1338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0.13800000000000001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0.17949999999999999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0.2762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0.35070000000000001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0.43630000000000002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0.48209999999999997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0.54820000000000002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0.62629999999999997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4.5999999999999999E-3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3.3999999999999998E-3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2.5999999999999999E-3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2.9999999999999997E-4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1.2999999999999999E-2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5.3400000000000003E-2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5.4899999999999997E-2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5.2299999999999999E-2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4.3299999999999998E-2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3.8399999999999997E-2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7.4700000000000003E-2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9.4000000000000004E-3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2.8199999999999996E-2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24.689500000000002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36.046999999999997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43.554500000000004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46.711500000000001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42.223500000000001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37.526499999999999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28.369000000000003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9.8000000000000004E-2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1.0129999999999999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1.3050999999999999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5.4339000000000004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10.3095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2.7138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2.5948000000000002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2.3433000000000002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2.0493000000000001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1.5822000000000001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1.5379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1.8031999999999999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1.8865000000000001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2.8969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3.2341000000000002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3.3866999999999998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3.9201000000000001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2.4416000000000002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3.6859999999999999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4.0622999999999996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3.8214999999999999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4.4836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5.1970999999999998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4.3868999999999998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232.262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302.01280000000003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345.09030000000001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329.55119999999999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302.14679999999998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280.94830000000002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249.80350000000001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221.17449999999999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291.08479999999997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333.93090000000001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318.19369999999998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290.25310000000002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268.86200000000002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236.78899999999999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1.3607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2.9716999999999998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0.11269999999999999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0.15490000000000001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0.17150000000000001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0.16139999999999999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0.129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0.1222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0.1389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0.1827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0.26190000000000002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0.3271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0.42120000000000002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0.51329999999999998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0.5897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0.65180000000000005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4.7999999999999996E-3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6.7999999999999996E-3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6.4000000000000003E-3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2.8E-3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4.0000000000000002E-4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1.1999999999999999E-3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3.3999999999999998E-3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1.3100000000000001E-2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5.3699999999999998E-2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5.45E-2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5.2600000000000001E-2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3.8699999999999998E-2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2.46E-2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9.4000000000000004E-3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2.8199999999999996E-2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25.316499999999998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34.859000000000002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41.6845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50.072000000000003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57.447499999999998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61.836500000000001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55.241999999999997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9.8000000000000004E-2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1.0129999999999999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1.3050999999999999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5.4339000000000004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11.3035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2.7138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2.5948000000000002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2.3433000000000002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3.1920000000000002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2.5276000000000001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1.5379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1.8031999999999999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1.8865000000000001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3.2330000000000001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3.0726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3.3681000000000001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4.0890000000000004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2.4416000000000002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3.6859999999999999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4.0622999999999996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4.4287999999999998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4.7736000000000001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5.3341000000000003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5.9589999999999996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237.10159999999999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305.80799999999999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344.98379999999997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361.96370000000002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373.61849999999998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380.738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360.38959999999997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225.91569999999999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294.73809999999997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333.74970000000002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350.51240000000001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362.37009999999998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369.9846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349.69450000000001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5.3920000000000003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15.507300000000001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32.845399999999998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47.570500000000003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60.1342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0.10979999999999999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0.15409999999999999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0.1885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0.18010000000000001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0.15359999999999999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0.16070000000000001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0.1847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0.19939999999999999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0.29630000000000001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0.28439999999999999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0.3836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0.46600000000000003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0.46589999999999998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0.47539999999999999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4.4000000000000003E-3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5.7999999999999996E-3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1.2699999999999999E-2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5.4999999999999997E-3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1.66E-2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1.47E-2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5.7500000000000002E-2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7.1800000000000003E-2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7.0300000000000001E-2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0.12529999999999999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0.18690000000000001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0.25750000000000001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1.8800000000000001E-2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8.4599999999999995E-2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9.4000000000000004E-3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3.7600000000000001E-2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25.420999999999999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36.855499999999999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32.735999999999997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17.490000000000002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4.1469999999999994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11.978999999999999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15.631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0.105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1.0129999999999999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1.2803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2.7138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2.5792000000000002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0.38640000000000002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2.1509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4.1970000000000001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1.5379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1.8033999999999999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0.27829999999999999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2.2452000000000001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3.2081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3.3418000000000001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2.4416000000000002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3.6478999999999999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4.2313999999999998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4.0960000000000001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7.6351000000000004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1.9708000000000001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234.0017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295.89760000000001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255.21610000000001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214.16739999999999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173.8074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127.7908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89.562799999999996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222.78039999999999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284.60539999999997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241.64500000000001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199.4571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159.3613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114.4028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78.6721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0.111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0.1512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0.16400000000000001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0.15659999999999999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0.12280000000000001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0.11219999999999999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0.12039999999999999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0.1827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0.2601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0.31990000000000002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0.4108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0.50270000000000004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0.55969999999999998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0.61799999999999999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4.7000000000000002E-3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6.1000000000000004E-3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2.8999999999999998E-3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2.9999999999999997E-4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6.9999999999999999E-4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1.9E-3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1.3100000000000001E-2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5.3499999999999999E-2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5.4399999999999997E-2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5.2699999999999997E-2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3.85E-2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2.46E-2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1.21E-2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9.4000000000000004E-3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4.7E-2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25.233999999999998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35.161499999999997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43.158499999999997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46.436500000000002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49.686999999999998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52.673499999999997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49.951000000000001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9.8000000000000004E-2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1.0129999999999999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1.2803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3.5364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5.7732000000000001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6.1288999999999998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2.7138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2.5792000000000002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2.335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2.3307000000000002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1.5379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1.8033999999999999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1.9027000000000001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2.9272999999999998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3.0950000000000002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3.4537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3.7088999999999999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2.4416000000000002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3.6478999999999999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4.0811999999999999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4.1651999999999996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4.9138000000000002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5.0670999999999999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5.8680000000000003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237.7817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306.3082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349.18060000000003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353.14690000000002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350.38569999999999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359.86130000000003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370.4624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226.6001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295.26010000000002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337.91669999999999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341.70659999999998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339.09949999999998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349.05189999999999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359.51620000000003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7.3368000000000002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16.064900000000002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29.052199999999999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36.051400000000001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42.932899999999997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0.1128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0.15160000000000001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0.18729999999999999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0.1767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0.1542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0.1421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0.1457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0.18099999999999999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0.25530000000000003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0.28079999999999999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0.39829999999999999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0.51580000000000004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0.64100000000000001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0.78749999999999998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4.7999999999999996E-3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6.1000000000000004E-3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1.0800000000000001E-2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4.0000000000000002E-4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2.8E-3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7.9000000000000008E-3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1.32E-2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5.3199999999999997E-2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3.5200000000000002E-2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6.13E-2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0.1018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0.16159999999999999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0.19939999999999999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9.4000000000000004E-3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5.6399999999999992E-2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8.4599999999999995E-2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4.7E-2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25.266999999999999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34.969000000000001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34.055999999999997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12.1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0.32450000000000001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0.16500000000000001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0.56100000000000005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9.8000000000000004E-2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1.0129999999999999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1.2803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37.366799999999998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35.660499999999999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44.4178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2.7138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2.5792000000000002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6.4066000000000001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5.8308999999999997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7.5194000000000001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10.9641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1.5379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1.8033999999999999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5.0141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1.0589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4.0674000000000001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5.3837999999999999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5.8277999999999999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2.4416000000000002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3.6478999999999999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5.8715000000000002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5.0166000000000004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9.3051999999999992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3.8292000000000002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3.6312000000000002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238.5282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304.85300000000001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273.87740000000002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213.41149999999999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156.8997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115.8674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64.819699999999997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227.39340000000001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293.73349999999999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262.7457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202.93870000000001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147.66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108.9569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58.881599999999999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8.3799999999999999E-2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1.6956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8.6898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19.884499999999999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26.0365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26.184100000000001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25.4451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23.911999999999999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23.480499999999999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21.8065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17.081800000000001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12.5631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6.5444000000000004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1.1620999999999999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0.54200000000000004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0.12670000000000001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0.16919999999999999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0.21490000000000001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0.22620000000000001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0.23760000000000001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0.3019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0.3624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0.42130000000000001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0.45269999999999999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0.48799999999999999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0.52470000000000006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0.54669999999999996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0.56820000000000004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0.56659999999999999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0.56410000000000005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0.55840000000000001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0.55169999999999997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0.1784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0.25280000000000002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0.3125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0.33939999999999998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0.37440000000000001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0.42259999999999998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0.46410000000000001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0.48880000000000001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0.5625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0.61199999999999999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0.66390000000000005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0.74790000000000001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0.82879999999999998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0.88039999999999996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0.92969999999999997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0.93459999999999999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0.93779999999999997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5.1999999999999998E-3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9.1999999999999998E-3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1.6899999999999998E-2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2.1299999999999999E-2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2.35E-2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3.27E-2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4.4999999999999998E-2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5.8099999999999999E-2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7.1199999999999999E-2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8.2600000000000007E-2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9.4600000000000004E-2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0.1065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0.11840000000000001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0.12859999999999999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0.13880000000000001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0.14829999999999999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0.1573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7.1000000000000004E-3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3.1300000000000001E-2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6.9400000000000003E-2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8.5900000000000004E-2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9.98E-2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0.1193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0.16539999999999999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0.23930000000000001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0.34129999999999999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0.37390000000000001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0.39179999999999998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0.44280000000000003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0.4803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0.51929999999999998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0.54630000000000001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0.55720000000000003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0.56120000000000003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4.0000000000000002E-4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4.0000000000000002E-4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0.4269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0.56620000000000004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0.55969999999999998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0.35189999999999999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0.17299999999999999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6.5199999999999994E-2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5.4000000000000003E-3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6.0000000000000001E-3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6.0000000000000001E-3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6.3E-3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6.6E-3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8.0999999999999996E-3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9.7000000000000003E-3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1.04E-2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1.11E-2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8.0000000000000004E-4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8.0000000000000004E-4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45.298999999999999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59.6629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63.932699999999997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75.881200000000007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77.896900000000002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91.322199999999995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99.588200000000001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104.60760000000001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168.98910000000001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201.6592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234.32929999999999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230.29640000000001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226.2636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230.87880000000001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235.4941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279.0575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322.62090000000001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235.0796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281.06310000000002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271.80939999999998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208.8913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162.63300000000001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123.0776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96.014200000000002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89.490499999999997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91.164900000000003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85.255200000000002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79.605699999999999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77.285899999999998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75.114800000000002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67.802800000000005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60.609499999999997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49.601999999999997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38.927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220.84059999999999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266.05700000000002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256.01920000000001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195.3117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149.90309999999999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111.95869999999999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86.149299999999997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79.695899999999995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77.341999999999999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69.762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62.503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57.397100000000002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52.531300000000002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43.857799999999997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35.363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25.397600000000001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15.7082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0.1268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0.1714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0.2215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0.23250000000000001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0.22450000000000001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0.26329999999999998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0.31109999999999999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0.35370000000000001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0.39860000000000001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0.42770000000000002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0.45569999999999999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0.47489999999999999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0.4929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0.4919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0.4904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0.49519999999999997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0.49819999999999998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0.1812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0.25619999999999998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0.32229999999999998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0.37240000000000001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0.38629999999999998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0.41789999999999999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0.44650000000000001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0.45579999999999998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0.52649999999999997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0.55979999999999996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0.59240000000000004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0.6603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0.72650000000000003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0.76970000000000005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0.8105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0.8236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0.83630000000000004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1.0200000000000001E-2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1.7299999999999999E-2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2.1399999999999999E-2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2.3300000000000001E-2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2.8299999999999999E-2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3.6499999999999998E-2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4.4400000000000002E-2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5.5599999999999997E-2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6.25E-2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6.93E-2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7.7399999999999997E-2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8.6199999999999999E-2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9.3899999999999997E-2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0.1013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0.1085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0.1153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7.1999999999999998E-3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3.1300000000000001E-2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6.5100000000000005E-2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9.2799999999999994E-2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0.11940000000000001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0.1585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0.20669999999999999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0.252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0.34470000000000001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0.47520000000000001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0.56620000000000004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0.71609999999999996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0.84399999999999997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0.96599999999999997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1.0566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1.1083000000000001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1.1494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5.0000000000000001E-4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5.0000000000000001E-4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5.9999999999999995E-4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8.9999999999999998E-4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2.7000000000000001E-3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4.7000000000000002E-3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1.6500000000000001E-2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2.87E-2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4.2000000000000003E-2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0.42670000000000002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0.57620000000000005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0.68310000000000004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0.70309999999999995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0.64429999999999998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0.63780000000000003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0.62319999999999998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0.57499999999999996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0.57040000000000002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0.60719999999999996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0.47239999999999999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0.35859999999999997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0.25559999999999999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0.1885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0.12039999999999999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0.1229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0.12470000000000001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8.0000000000000004E-4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8.0000000000000004E-4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45.298999999999999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60.879300000000001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65.233999999999995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78.558999999999997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87.097499999999997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96.801199999999994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107.2206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119.96250000000001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185.9171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221.86709999999999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257.81709999999998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263.45359999999999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269.09019999999998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269.95850000000002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270.82679999999999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278.91829999999999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287.00990000000002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233.1155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280.01710000000003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303.59199999999998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298.96030000000002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290.35340000000002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296.02370000000002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302.26760000000002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307.75659999999999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335.71539999999999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353.09230000000002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347.96449999999999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335.75420000000003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324.72460000000001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304.43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284.39150000000001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275.06560000000002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267.1576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219.00069999999999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265.12200000000001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287.267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283.43700000000001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274.54259999999999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280.13339999999999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286.26089999999999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290.58969999999999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316.6275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332.76249999999999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326.42680000000001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313.2559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301.3768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280.98559999999998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260.84539999999998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252.08770000000001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244.72970000000001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0.1757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7.2232000000000003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28.940799999999999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32.134799999999998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28.817599999999999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24.436399999999999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23.401299999999999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22.160599999999999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18.900200000000002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15.954000000000001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9.9438999999999993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4.5361000000000002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2.1621999999999999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0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0.12690000000000001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0.1699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0.2208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0.2351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0.22639999999999999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0.27210000000000001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0.34360000000000002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0.40129999999999999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0.42759999999999998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0.46310000000000001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0.49859999999999999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0.52759999999999996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0.55889999999999995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0.55779999999999996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0.55600000000000005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0.55430000000000001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0.55220000000000002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0.1782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0.25180000000000002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0.31690000000000002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0.37409999999999999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0.3503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0.36940000000000001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0.44219999999999998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0.4733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0.54120000000000001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0.59279999999999999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0.64419999999999999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0.73140000000000005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0.81599999999999995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0.86509999999999998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0.91300000000000003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0.92290000000000005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0.93010000000000004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5.1000000000000004E-3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9.7999999999999997E-3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1.67E-2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2.1499999999999998E-2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2.8400000000000002E-2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3.9300000000000002E-2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5.04E-2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6.0900000000000003E-2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7.0599999999999996E-2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8.0600000000000005E-2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9.2100000000000001E-2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0.1043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0.1135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0.1227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0.13170000000000001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0.1406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7.1000000000000004E-3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6.4699999999999994E-2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9.1200000000000003E-2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0.1036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0.1104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0.17050000000000001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0.24970000000000001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0.34520000000000001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0.36230000000000001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0.37359999999999999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0.38840000000000002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0.3957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0.43780000000000002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0.47370000000000001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0.504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0.53180000000000005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4.0000000000000002E-4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5.0000000000000001E-4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5.0000000000000001E-4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0.4269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0.57399999999999995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0.68330000000000002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0.68600000000000005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0.33050000000000002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4.1599999999999998E-2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2.2000000000000001E-3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2.3999999999999998E-3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2.8E-3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3.3E-3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5.1999999999999998E-3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7.4999999999999997E-3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1.2699999999999999E-2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1.8700000000000001E-2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2.47E-2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3.09E-2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8.0000000000000004E-4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8.0000000000000004E-4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45.298999999999999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60.879300000000001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65.233999999999995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65.406700000000001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73.186700000000002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90.641599999999997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102.76730000000001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109.7169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169.87729999999999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199.96430000000001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230.05119999999999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238.2372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246.42320000000001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240.4194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234.41550000000001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239.74100000000001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245.06659999999999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235.67939999999999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283.75790000000001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307.30900000000003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296.61559999999997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196.04230000000001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123.6103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101.7097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92.744500000000002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92.104200000000006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87.328299999999999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83.1036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81.282799999999995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79.393000000000001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75.267300000000006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71.538600000000002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62.7943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54.453099999999999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221.4171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268.57909999999998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290.5736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281.17079999999999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182.0523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113.1665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92.605199999999996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83.284099999999995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79.103499999999997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72.804000000000002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67.100999999999999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63.186599999999999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59.276600000000002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53.456800000000001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48.065399999999997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40.174199999999999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32.675800000000002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0.15040000000000001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3.6949999999999998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10.123900000000001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10.4345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9.9184000000000001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9.7878000000000007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9.1578999999999997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8.4489999999999998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7.1539999999999999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5.9543999999999997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3.5272000000000001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1.3309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0.62690000000000001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0.12690000000000001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0.17130000000000001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0.22170000000000001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0.2487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0.21859999999999999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0.25059999999999999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0.29110000000000003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0.35680000000000001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0.4078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0.44409999999999999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0.48020000000000002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0.50590000000000002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0.53290000000000004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0.53449999999999998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0.53500000000000003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0.53190000000000004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0.52929999999999999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0.1784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0.25219999999999998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0.31790000000000002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0.35899999999999999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0.36859999999999998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0.38619999999999999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0.42070000000000002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0.46429999999999999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0.54900000000000004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0.59830000000000005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0.64810000000000001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0.7278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0.80420000000000003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0.85350000000000004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0.90090000000000003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0.90869999999999995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0.91290000000000004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9.7999999999999997E-3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1.67E-2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2.4899999999999999E-2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2.3400000000000001E-2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3.7400000000000003E-2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4.8099999999999997E-2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6.0299999999999999E-2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6.9099999999999995E-2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8.8499999999999995E-2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9.9400000000000002E-2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0.10879999999999999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0.1178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0.1263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0.13500000000000001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7.1000000000000004E-3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3.1099999999999999E-2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6.4699999999999994E-2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9.5299999999999996E-2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0.15340000000000001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0.22670000000000001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0.34429999999999999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0.37440000000000001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0.4355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0.4425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0.44290000000000002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0.4647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0.48020000000000002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0.53169999999999995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0.57589999999999997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0.60519999999999996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0.62629999999999997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4.0000000000000002E-4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5.0000000000000001E-4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5.0000000000000001E-4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0.42659999999999998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0.57520000000000004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0.68300000000000005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0.68810000000000004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0.36609999999999998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6.8900000000000003E-2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4.0000000000000001E-3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7.3000000000000001E-3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7.7999999999999996E-3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8.3999999999999995E-3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9.1000000000000004E-3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1.01E-2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1.46E-2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1.8200000000000001E-2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2.2700000000000001E-2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2.7400000000000001E-2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8.0000000000000004E-4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8.0000000000000004E-4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45.298999999999999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60.879300000000001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65.233999999999995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50.917499999999997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73.448999999999998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83.694000000000003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93.717699999999994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108.34229999999999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167.1336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196.81110000000001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226.48849999999999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235.48580000000001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244.48310000000001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241.2079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237.93270000000001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247.71340000000001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257.49419999999998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235.51349999999999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284.26150000000001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307.20920000000001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300.73099999999999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203.89490000000001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135.59520000000001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108.7144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95.226100000000002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91.066999999999993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89.130300000000005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87.477000000000004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84.637299999999996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81.831299999999999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75.580500000000001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69.720299999999995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60.184699999999999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51.024500000000003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221.2696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269.07479999999998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290.50310000000002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284.86649999999997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190.0198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122.56270000000001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96.350099999999998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81.400800000000004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74.118799999999993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70.883899999999997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67.950400000000002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63.6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59.359699999999997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52.214100000000002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45.451500000000003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36.708399999999997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28.324400000000001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5.6800000000000003E-2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4.3869999999999996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14.976000000000001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24.320399999999999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27.311699999999998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25.989699999999999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23.685600000000001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22.436299999999999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21.233899999999998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20.7029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20.019300000000001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19.303699999999999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17.1877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14.7942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13.7163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12.634399999999999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0.1212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0.11360000000000001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0.1145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8.4900000000000003E-2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7.3999999999999996E-2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7.3899999999999993E-2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8.8800000000000004E-2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8.48E-2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7.3899999999999993E-2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6.9199999999999998E-2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7.1499999999999994E-2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7.4200000000000002E-2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7.7600000000000002E-2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8.2400000000000001E-2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8.72E-2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0.1701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0.27189999999999998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0.2452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0.27050000000000002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0.30480000000000002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0.32400000000000001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0.39129999999999998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0.4012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0.46060000000000001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0.48470000000000002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0.51290000000000002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0.5706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0.62639999999999996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0.67789999999999995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0.7329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0.76459999999999995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0.79490000000000005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4.1000000000000003E-3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6.7999999999999996E-3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2.07E-2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3.44E-2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4.7E-2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6.5199999999999994E-2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6.9500000000000006E-2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0.10539999999999999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0.1207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0.1278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0.13869999999999999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0.15010000000000001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0.16309999999999999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0.17660000000000001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0.19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0.20399999999999999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0.2162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2.4799999999999999E-2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0.03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3.1300000000000001E-2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3.27E-2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3.27E-2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3.56E-2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3.7999999999999999E-2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4.6899999999999997E-2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5.6300000000000003E-2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6.4699999999999994E-2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7.6799999999999993E-2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8.8400000000000006E-2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9.8100000000000007E-2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0.1079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0.1079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0.1075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4.0000000000000002E-4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4.0000000000000002E-4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0.42420000000000002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0.53700000000000003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0.3659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0.15709999999999999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6.6000000000000003E-2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8.0000000000000004E-4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8.0000000000000004E-4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45.298999999999999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40.512700000000002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56.6815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65.180800000000005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69.441800000000001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66.679500000000004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87.932100000000005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105.709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154.3535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188.82599999999999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223.29849999999999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226.75239999999999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230.2063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255.96559999999999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281.72500000000002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306.2722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330.81939999999997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232.0547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263.26319999999998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155.30959999999999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80.514099999999999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37.0456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7.6315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-1.4921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-3.6840000000000002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-4.5708000000000002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-3.9510999999999998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-4.0381999999999998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-5.1627000000000001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-6.0938999999999997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-5.0551000000000004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-4.1055000000000001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-3.4091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-2.7530000000000001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217.9461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250.73349999999999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144.50980000000001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72.094200000000001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30.2712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2.7850000000000001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-5.1052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-6.3651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-7.2458999999999998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-6.8571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-7.2085999999999997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-9.0330999999999992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-10.6942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-10.3546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-10.198700000000001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-9.7963000000000005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-9.4358000000000004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0.12690000000000001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0.1709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0.22040000000000001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0.23139999999999999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0.22600000000000001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0.2722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0.3251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0.38540000000000002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0.43840000000000001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0.4496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0.45269999999999999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0.49149999999999999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0.52959999999999996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0.52439999999999998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0.51910000000000001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0.51790000000000003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0.51719999999999999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0.1802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0.2525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0.3206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0.37130000000000002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0.38769999999999999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0.42380000000000001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0.46060000000000001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0.4803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0.55630000000000002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0.57010000000000005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0.59560000000000002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0.6925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0.78769999999999996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0.83609999999999995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0.88170000000000004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0.88849999999999996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0.8911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1.6799999999999999E-2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2.1100000000000001E-2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2.2700000000000001E-2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2.7400000000000001E-2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3.5499999999999997E-2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4.5199999999999997E-2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5.7599999999999998E-2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6.3E-2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6.8900000000000003E-2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9.1399999999999995E-2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9.9699999999999997E-2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0.10780000000000001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0.1159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0.1241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7.1000000000000004E-3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3.15E-2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6.6400000000000001E-2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9.35E-2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0.1125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0.13070000000000001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0.1507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0.1346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0.1968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0.38690000000000002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0.50360000000000005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0.56459999999999999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0.60880000000000001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0.63680000000000003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0.65090000000000003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0.64090000000000003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0.62960000000000005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5.0000000000000001E-4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5.0000000000000001E-4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2.9999999999999997E-4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1E-4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1E-4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2.0000000000000001E-4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8.9999999999999998E-4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1.6000000000000001E-3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3.3E-3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5.1999999999999998E-3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8.2000000000000007E-3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1.15E-2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0.42580000000000001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0.56720000000000004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0.6462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0.60440000000000005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0.49009999999999998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0.40960000000000002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0.3241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0.23100000000000001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0.15310000000000001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0.12330000000000001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9.64E-2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0.113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0.1293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0.1479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0.16550000000000001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0.17549999999999999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0.18440000000000001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8.0000000000000004E-4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8.0000000000000004E-4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45.298999999999999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59.860100000000003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63.518599999999999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76.583200000000005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85.107600000000005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93.959500000000006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103.5187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119.48099999999999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190.66640000000001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210.49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230.31360000000001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238.1123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245.911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251.0017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256.09249999999997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281.4683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306.8442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233.58699999999999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280.96730000000002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301.90570000000002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290.77199999999999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272.947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264.37240000000003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249.1908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231.4923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224.84819999999999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203.43539999999999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182.416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181.63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180.79169999999999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172.51230000000001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165.27979999999999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153.95529999999999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143.53989999999999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219.39930000000001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265.87920000000003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285.18060000000003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274.82369999999997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256.8442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248.06180000000001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232.86680000000001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214.13329999999999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205.8391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183.3022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161.3494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157.661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154.07169999999999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145.85650000000001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138.67959999999999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127.6711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117.5271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6.83E-2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6.1032999999999999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24.994199999999999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50.257800000000003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64.925299999999993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67.704499999999996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64.765299999999996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59.297800000000002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54.824199999999998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50.218200000000003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52.677700000000002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53.485399999999998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53.332500000000003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53.483199999999997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48.6845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44.534799999999997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0.1227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0.16420000000000001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0.1905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0.21659999999999999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0.2389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0.36630000000000001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0.44479999999999997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0.47239999999999999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0.48770000000000002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0.53029999999999999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0.57250000000000001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0.60360000000000003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0.63290000000000002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0.63349999999999995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0.63319999999999999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0.62970000000000004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0.62549999999999994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0.17419999999999999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0.2495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0.26300000000000001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0.30149999999999999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0.35270000000000001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0.46450000000000002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0.51949999999999996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0.52170000000000005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0.59630000000000005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0.6462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0.69550000000000001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0.77790000000000004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0.85940000000000005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0.91139999999999999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0.96160000000000001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0.96340000000000003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0.96499999999999997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5.1999999999999998E-3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9.1999999999999998E-3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1.44E-2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1.9699999999999999E-2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2.5100000000000001E-2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4.1700000000000001E-2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5.9900000000000002E-2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7.3800000000000004E-2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8.8300000000000003E-2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0.1016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0.1154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0.12920000000000001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0.14219999999999999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0.1525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0.16259999999999999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0.17230000000000001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0.18149999999999999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3.15E-2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7.3200000000000001E-2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9.6799999999999997E-2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0.16450000000000001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0.25779999999999997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0.39450000000000002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0.51239999999999997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0.64139999999999997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0.65949999999999998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0.67569999999999997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0.73909999999999998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0.78349999999999997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0.79010000000000002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0.80130000000000001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0.75349999999999995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0.71440000000000003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4.0000000000000002E-4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0.42299999999999999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0.56510000000000005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0.3251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0.1162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8.0000000000000004E-4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8.0000000000000004E-4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5.0000000000000001E-4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45.298999999999999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50.704799999999999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63.268300000000004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73.185500000000005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78.250299999999996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86.003900000000002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94.661299999999997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94.245099999999994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178.42689999999999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217.00880000000001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255.5907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293.33539999999999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331.08010000000002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448.69319999999999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566.30619999999999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500.39010000000002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434.47390000000001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232.42089999999999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278.74099999999999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195.07509999999999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115.6895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49.595100000000002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1.7813000000000001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-27.915600000000001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-42.674199999999999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-36.985900000000001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-34.664299999999997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-31.999500000000001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-33.047899999999998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-32.409100000000002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-32.256900000000002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-32.399799999999999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-29.142600000000002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-26.434100000000001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218.12450000000001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263.39150000000001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181.2654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103.5442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38.614600000000003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-8.0013000000000005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-37.5946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-52.0107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-49.230200000000004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-48.186199999999999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-46.747199999999999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-49.2669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-50.067500000000003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-50.029499999999999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-50.2849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-46.1586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-42.633600000000001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0.86109999999999998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6.0849000000000002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15.6828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22.109400000000001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25.014399999999998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26.469200000000001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26.645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26.7056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24.921500000000002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19.347300000000001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14.139099999999999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7.4234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1.4274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0.8296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0.29289999999999999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0.12520000000000001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0.16589999999999999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0.21510000000000001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0.2329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0.23569999999999999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0.31430000000000002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0.38600000000000001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0.45269999999999999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0.48230000000000001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0.52149999999999996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0.56210000000000004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0.5877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0.61309999999999998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0.61129999999999995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0.60860000000000003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0.60160000000000002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0.59199999999999997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0.1802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0.25359999999999999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0.32179999999999997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0.35249999999999998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0.37359999999999999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0.42930000000000001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0.47970000000000002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0.50960000000000005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0.59489999999999998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0.65390000000000004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0.71509999999999996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0.80030000000000001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0.88280000000000003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0.93500000000000005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0.98499999999999999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0.99470000000000003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7.9000000000000008E-3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1.61E-2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2.1399999999999999E-2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2.3599999999999999E-2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3.3500000000000002E-2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4.7199999999999999E-2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6.1600000000000002E-2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7.6300000000000007E-2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8.8499999999999995E-2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0.1014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0.11409999999999999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0.12720000000000001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0.1376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0.1479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0.15759999999999999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0.1668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7.1000000000000004E-3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3.1399999999999997E-2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6.93E-2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8.77E-2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0.104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0.1232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0.17399999999999999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0.25309999999999999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0.3664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0.40339999999999998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0.42330000000000001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0.48249999999999998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0.52729999999999999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0.57210000000000005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0.60489999999999999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0.62190000000000001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0.63690000000000002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4.0000000000000002E-4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0.42680000000000001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0.56279999999999997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0.59370000000000001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0.40710000000000002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0.1709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6.6500000000000004E-2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5.4999999999999997E-3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6.1000000000000004E-3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6.7000000000000002E-3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7.4999999999999997E-3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0.01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1.2500000000000001E-2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1.61E-2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1.9699999999999999E-2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2.0400000000000001E-2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2.0899999999999998E-2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8.0000000000000004E-4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8.0000000000000004E-4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45.298999999999999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63.875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63.574300000000001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77.016900000000007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79.093199999999996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91.445599999999999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101.0484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106.7038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171.11420000000001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204.3571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237.6001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234.96709999999999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232.33420000000001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240.7422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249.15020000000001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294.39780000000002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339.64530000000002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235.08349999999999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281.69929999999999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285.69779999999997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229.41669999999999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171.9119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131.89009999999999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102.9571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91.496799999999993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89.243099999999998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85.378399999999999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81.675899999999999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75.019900000000007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68.751499999999993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62.868000000000002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56.916600000000003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48.107599999999998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39.500999999999998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220.84569999999999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266.68040000000002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269.45780000000002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214.584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158.85749999999999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120.30410000000001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92.671800000000005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81.325500000000005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74.648600000000002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68.984399999999994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63.540300000000002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53.918300000000002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44.789000000000001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37.371299999999998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29.9575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22.2334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14.6837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0.1246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0.1676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0.218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0.23069999999999999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0.22720000000000001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0.2722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0.3211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0.3664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0.42349999999999999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0.4592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0.495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0.51959999999999995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0.54220000000000002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0.54330000000000001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0.54290000000000005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0.54890000000000005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0.55269999999999997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0.18260000000000001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0.25790000000000002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0.32479999999999998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0.37269999999999998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0.38819999999999999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0.42309999999999998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0.46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0.47460000000000002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0.54879999999999995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0.57930000000000004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0.61209999999999998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0.68940000000000001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0.7661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0.81840000000000002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0.86939999999999995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0.8881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0.90600000000000003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9.5999999999999992E-3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1.6400000000000001E-2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2.0400000000000001E-2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2.1899999999999999E-2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2.75E-2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3.6299999999999999E-2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4.5199999999999997E-2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5.7500000000000002E-2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6.5199999999999994E-2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7.3200000000000001E-2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8.2799999999999999E-2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9.3100000000000002E-2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0.10199999999999999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0.1108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0.11899999999999999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0.12690000000000001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7.1999999999999998E-3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3.1300000000000001E-2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6.5000000000000002E-2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9.3100000000000002E-2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0.1212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0.1633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0.21540000000000001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0.26600000000000001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0.37080000000000002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0.5171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0.61919999999999997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0.78449999999999998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0.92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1.0339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1.111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1.1373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1.1537999999999999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4.0000000000000002E-4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5.0000000000000001E-4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5.0000000000000001E-4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1.8E-3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4.7999999999999996E-3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8.2000000000000007E-3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1.7000000000000001E-2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2.6700000000000002E-2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4.3900000000000002E-2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6.2799999999999995E-2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0.42570000000000002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0.57340000000000002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0.68330000000000002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0.70350000000000001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0.65139999999999998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0.65269999999999995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0.64100000000000001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0.58989999999999998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0.58399999999999996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0.61909999999999998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0.48559999999999998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0.36730000000000002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0.26140000000000002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0.19120000000000001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0.1196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0.1212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0.1221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8.0000000000000004E-4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8.0000000000000004E-4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45.298999999999999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61.026499999999999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65.1995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78.540199999999999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87.471299999999999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97.359200000000001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108.27970000000001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122.9221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189.51730000000001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227.04660000000001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264.57589999999999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269.04719999999998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273.51850000000002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276.52260000000001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279.52659999999997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287.04989999999998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294.57319999999999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232.8683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279.69470000000001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303.72969999999998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299.37490000000003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292.04750000000001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298.89280000000002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306.98849999999999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313.77960000000002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343.39479999999998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366.44009999999997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367.52390000000003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354.21899999999999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342.02480000000003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318.9837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295.9966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281.67489999999998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269.32159999999999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218.7218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264.69200000000001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287.25389999999999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283.7011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276.09640000000002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282.82909999999998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290.77210000000002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296.31610000000001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323.7423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345.37810000000002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345.05099999999999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330.5822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317.34640000000002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294.07490000000001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270.86619999999999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257.07670000000002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245.23150000000001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0.16789999999999999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6.3799000000000001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26.305199999999999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31.178999999999998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27.4938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23.131499999999999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22.197700000000001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21.029699999999998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17.954999999999998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15.2072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9.5300999999999991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4.4497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2.1343000000000001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0.1244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0.1666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0.2175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0.2344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0.2283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0.27860000000000001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0.36659999999999998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0.43340000000000001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0.4551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0.49730000000000002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0.53810000000000002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0.57079999999999997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0.60440000000000005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0.60540000000000005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0.60450000000000004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0.60109999999999997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0.59599999999999997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0.1787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0.25230000000000002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0.31940000000000002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0.37259999999999999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0.36249999999999999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0.3831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0.45540000000000003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0.49399999999999999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0.56879999999999997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0.6321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0.69750000000000001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0.78790000000000004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0.87539999999999996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0.92430000000000001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0.97219999999999995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0.98109999999999997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0.98819999999999997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9.4999999999999998E-3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1.6299999999999999E-2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2.1299999999999999E-2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2.3E-2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2.86E-2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4.0899999999999999E-2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5.2499999999999998E-2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6.4299999999999996E-2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7.51E-2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8.5800000000000001E-2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9.7699999999999995E-2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0.1104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0.1202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0.12970000000000001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0.1391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0.1482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7.1000000000000004E-3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3.1099999999999999E-2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6.4699999999999994E-2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9.1600000000000001E-2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0.1086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0.11650000000000001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0.187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0.27600000000000002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0.3866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0.39779999999999999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0.4017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0.41760000000000003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0.42680000000000001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0.4778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0.52310000000000001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0.56210000000000004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0.59909999999999997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4.0000000000000002E-4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5.0000000000000001E-4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5.0000000000000001E-4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0.42559999999999998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0.57299999999999995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0.68579999999999997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0.68879999999999997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0.34549999999999997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4.41E-2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2.3E-3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2.5000000000000001E-3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2.8E-3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3.5999999999999999E-3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4.7999999999999996E-3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8.3000000000000001E-3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1.2500000000000001E-2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1.9900000000000001E-2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2.81E-2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3.5299999999999998E-2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4.2599999999999999E-2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8.0000000000000004E-4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8.0000000000000004E-4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45.298999999999999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61.026499999999999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65.1995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68.968599999999995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76.194299999999998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93.325599999999994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101.9111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112.12730000000001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170.7672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200.75219999999999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230.7373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241.5291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252.321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245.86080000000001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239.4006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241.16390000000001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242.9272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235.47989999999999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283.65879999999999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307.39240000000001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299.28199999999998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207.39840000000001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136.53579999999999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115.99209999999999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107.02930000000001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106.1658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103.54819999999999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101.2169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94.934200000000004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89.058400000000006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83.064400000000006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77.687399999999997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69.730099999999993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62.1023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221.22829999999999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268.4547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290.61509999999998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283.20690000000002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193.23910000000001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124.42740000000001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104.9508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95.563400000000001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91.708699999999993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87.443200000000004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83.512699999999995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75.081699999999998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67.144499999999994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59.427399999999999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52.3658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45.234499999999997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38.444099999999999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0.12479999999999999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0.16750000000000001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0.2165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0.2452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0.2412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0.28260000000000002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0.35039999999999999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0.3982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0.40360000000000001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0.45779999999999998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0.50900000000000001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0.54410000000000003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0.5756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0.56850000000000001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0.55820000000000003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0.56040000000000001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0.55889999999999995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0.18099999999999999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0.25590000000000002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0.32079999999999997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0.35360000000000003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0.37559999999999999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0.42120000000000002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0.47599999999999998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0.49020000000000002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0.53300000000000003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0.60329999999999995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0.67600000000000005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0.77400000000000002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0.86219999999999997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0.90290000000000004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0.94240000000000002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0.9506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0.95820000000000005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4.7999999999999996E-3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1.5599999999999999E-2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2.2700000000000001E-2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2.3199999999999998E-2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2.8299999999999999E-2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3.8699999999999998E-2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4.8399999999999999E-2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5.7500000000000002E-2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6.7599999999999993E-2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7.8200000000000006E-2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8.8999999999999996E-2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0.10879999999999999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0.1169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0.1258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0.13389999999999999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7.1000000000000004E-3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3.1199999999999999E-2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6.4799999999999996E-2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9.3700000000000006E-2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0.13239999999999999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0.1762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0.24279999999999999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0.36259999999999998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0.59840000000000004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0.60360000000000003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0.60240000000000005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0.67020000000000002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0.71309999999999996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0.73960000000000004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0.74670000000000003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0.71840000000000004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0.68969999999999998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4.0000000000000002E-4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5.0000000000000001E-4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5.0000000000000001E-4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2.0000000000000001E-4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5.0000000000000001E-4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8.9999999999999998E-4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2.3E-3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3.7000000000000002E-3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7.4000000000000003E-3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1.15E-2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0.4249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0.57240000000000002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0.6784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0.69210000000000005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0.60089999999999999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0.52059999999999995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0.44359999999999999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0.2697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0.1802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9.69E-2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0.1157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0.13370000000000001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0.15010000000000001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0.16569999999999999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0.17649999999999999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0.18590000000000001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8.0000000000000004E-4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8.0000000000000004E-4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45.298999999999999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61.026499999999999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65.1995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70.813999999999993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81.349000000000004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93.69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105.6712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113.0219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173.36689999999999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206.55690000000001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239.74680000000001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243.35130000000001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246.95580000000001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241.64400000000001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236.3322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255.29179999999999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274.25139999999999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234.3415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281.8578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305.77670000000001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302.45639999999997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281.1909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264.9443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247.54570000000001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229.7807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226.60830000000001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217.23140000000001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207.59639999999999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205.9897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203.27670000000001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190.24029999999999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178.74600000000001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170.52269999999999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163.43199999999999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220.1301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266.6891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289.0129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286.32830000000001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264.43959999999998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248.08160000000001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230.76310000000001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211.4907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206.98820000000001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195.69540000000001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184.2664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181.1516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177.17599999999999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163.8108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151.98400000000001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143.60059999999999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136.32570000000001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5.6099999999999997E-2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1.5349999999999999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14.808400000000001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24.497699999999998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28.582899999999999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24.8428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22.792999999999999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19.563800000000001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18.488900000000001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17.689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16.9312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15.7971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16.631599999999999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17.542400000000001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17.920999999999999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18.256699999999999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0.1195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0.1109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0.1152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8.8400000000000006E-2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7.7799999999999994E-2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8.5000000000000006E-2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0.1094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0.10150000000000001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8.0199999999999994E-2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7.7799999999999994E-2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7.5800000000000006E-2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7.7899999999999997E-2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8.0299999999999996E-2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8.3400000000000002E-2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8.7099999999999997E-2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9.2200000000000004E-2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9.6799999999999997E-2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0.1719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0.2777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0.25009999999999999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0.27679999999999999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0.31480000000000002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0.34499999999999997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0.41149999999999998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0.41849999999999998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0.46339999999999998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0.50349999999999995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0.54410000000000003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0.60740000000000005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0.67420000000000002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0.73280000000000001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0.79239999999999999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0.81830000000000003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0.84360000000000002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4.0000000000000001E-3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6.4000000000000003E-3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2.0799999999999999E-2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3.4200000000000001E-2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4.99E-2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6.8000000000000005E-2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7.5800000000000006E-2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0.11219999999999999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0.12670000000000001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0.1401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0.15429999999999999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0.16550000000000001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0.17680000000000001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0.18890000000000001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0.20130000000000001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0.2137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0.2248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2.5000000000000001E-2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3.0599999999999999E-2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3.2500000000000001E-2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3.6200000000000003E-2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4.0899999999999999E-2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5.1299999999999998E-2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6.3100000000000003E-2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8.72E-2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0.1137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0.1303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0.1484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0.16070000000000001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0.1749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0.18110000000000001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0.18729999999999999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4.0000000000000002E-4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4.0000000000000002E-4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0.42480000000000001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0.54020000000000001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0.37380000000000002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0.16120000000000001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8.0000000000000004E-4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8.0000000000000004E-4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45.298999999999999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41.859400000000001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55.453099999999999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64.677899999999994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71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68.939800000000005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87.316199999999995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107.9111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158.6285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190.8613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223.0941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232.202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241.31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305.39490000000001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369.47980000000001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379.43200000000002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389.38420000000002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232.92519999999999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265.59449999999998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160.12360000000001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83.325199999999995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37.226999999999997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4.7736999999999998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-2.4763000000000002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-7.6445999999999996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-7.8215000000000003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-8.0978999999999992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-8.6013999999999999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-8.0106999999999999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-6.9885000000000002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-7.3630000000000004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-7.7609000000000004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-8.0654000000000003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-8.3629999999999995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218.80719999999999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253.00710000000001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148.87629999999999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74.337199999999996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30.0562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-0.52170000000000005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-6.8646000000000003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-11.2018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-11.2867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-12.0085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-12.9422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-13.135899999999999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-12.9498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-13.920999999999999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-14.9838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-15.469799999999999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-15.9254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0.1249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0.1671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0.21590000000000001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0.2291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0.22770000000000001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0.28000000000000003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0.3417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0.40570000000000001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0.46039999999999998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0.48180000000000001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0.50380000000000003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0.54179999999999995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0.57440000000000002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0.5726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0.56879999999999997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0.56520000000000004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0.55959999999999999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0.182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0.25469999999999998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0.32319999999999999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0.37240000000000001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0.38979999999999998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0.42920000000000003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0.47439999999999999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0.50160000000000005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0.5887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0.61029999999999995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0.64039999999999997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0.73509999999999998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0.82440000000000002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0.87280000000000002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0.92069999999999996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0.92849999999999999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0.93569999999999998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4.7999999999999996E-3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9.2999999999999992E-3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1.5699999999999999E-2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2.1600000000000001E-2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2.6700000000000002E-2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3.5299999999999998E-2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4.48E-2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5.8000000000000003E-2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6.6100000000000006E-2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7.4200000000000002E-2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8.5800000000000001E-2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9.7199999999999995E-2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0.1066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0.1158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0.1242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0.1321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7.1000000000000004E-3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3.1600000000000003E-2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6.6699999999999995E-2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9.4100000000000003E-2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0.114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0.13350000000000001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0.15640000000000001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0.14280000000000001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0.2142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0.42120000000000002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0.54979999999999996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0.60950000000000004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0.64559999999999995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0.66890000000000005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0.67620000000000002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0.65900000000000003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0.63990000000000002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4.0000000000000002E-4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4.0000000000000002E-4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5.0000000000000001E-4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2.9999999999999997E-4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2.0000000000000001E-4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4.0000000000000002E-4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8.0000000000000004E-4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2E-3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3.5000000000000001E-3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6.6E-3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0.01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1.5299999999999999E-2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2.12E-2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0.4249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0.56540000000000001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0.64690000000000003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0.60570000000000002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0.49540000000000001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0.41749999999999998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0.33360000000000001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0.2356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0.15989999999999999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0.13159999999999999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0.1076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0.12239999999999999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0.13650000000000001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0.15179999999999999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0.1663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0.17050000000000001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0.17369999999999999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8.0000000000000004E-4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8.0000000000000004E-4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45.298999999999999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59.984999999999999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63.542900000000003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76.546300000000002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85.528999999999996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94.681899999999999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104.1121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121.8058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193.81899999999999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214.4905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235.16210000000001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242.29900000000001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249.43600000000001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253.88749999999999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258.339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282.43079999999998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306.52260000000001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233.23990000000001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280.54759999999999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301.80860000000001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291.04500000000002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274.58519999999999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268.26839999999999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258.82920000000001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244.5164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242.6686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223.46770000000001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204.1799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200.65889999999999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196.3466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186.16679999999999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177.22040000000001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165.0573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153.8278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219.07810000000001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265.47710000000001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285.09769999999997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275.04239999999999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258.3537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251.71119999999999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241.98929999999999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226.24350000000001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222.46340000000001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201.8861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181.46960000000001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175.02099999999999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168.0873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157.96299999999999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149.05420000000001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137.13079999999999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126.1242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5.9900000000000002E-2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6.2283999999999997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26.462399999999999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52.708199999999998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64.688199999999995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63.793100000000003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59.7881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54.968800000000002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50.226799999999997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45.481099999999998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49.271099999999997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50.922499999999999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50.792200000000001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51.080399999999997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46.114699999999999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41.820799999999998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0.1192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0.15770000000000001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0.18559999999999999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0.21249999999999999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0.26440000000000002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0.40610000000000002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0.48549999999999999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0.50749999999999995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0.52500000000000002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0.56869999999999998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0.61160000000000003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0.63770000000000004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0.66069999999999995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0.65629999999999999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0.65149999999999997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0.64870000000000005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0.64680000000000004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0.17230000000000001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0.24399999999999999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0.26100000000000001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0.30120000000000002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0.37309999999999999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0.48120000000000002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0.54169999999999996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0.54479999999999995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0.63029999999999997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0.68089999999999995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0.72950000000000004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0.81289999999999996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0.89019999999999999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0.93369999999999997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0.9748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0.96850000000000003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0.96209999999999996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8.5000000000000006E-3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1.35E-2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1.9699999999999999E-2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2.9499999999999998E-2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5.11E-2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7.3599999999999999E-2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8.9300000000000004E-2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0.1057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0.1203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0.13519999999999999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0.1497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0.16289999999999999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0.17249999999999999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0.18160000000000001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0.19170000000000001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0.20169999999999999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3.15E-2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7.3499999999999996E-2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0.1021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0.27829999999999999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0.40239999999999998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0.49580000000000002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0.59160000000000001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0.59650000000000003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0.60150000000000003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0.67689999999999995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0.7278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0.73409999999999997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0.74680000000000002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0.69220000000000004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0.64680000000000004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4.0000000000000002E-4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0.41909999999999997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0.55769999999999997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0.31409999999999999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9.3299999999999994E-2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8.0000000000000004E-4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8.0000000000000004E-4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45.298999999999999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50.397799999999997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62.990099999999998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71.673400000000001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79.022099999999995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87.746799999999993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98.305700000000002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88.306299999999993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198.833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229.81610000000001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260.79919999999998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355.16800000000001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449.5369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519.04510000000005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588.55330000000004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513.21069999999997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437.8682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231.99299999999999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277.56580000000002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192.70400000000001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109.90300000000001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41.793199999999999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-3.7664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-32.2333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-37.615499999999997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-36.172400000000003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-30.245200000000001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-24.3903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-28.1113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-29.466999999999999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-29.670999999999999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-30.276199999999999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-26.901599999999998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-24.082999999999998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217.6388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262.17610000000002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178.25649999999999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97.763199999999998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30.860199999999999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-13.7898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-42.2547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-47.478400000000001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-49.103700000000003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-44.397500000000001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-39.703600000000002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-44.826900000000002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-47.4985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-47.584200000000003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-48.0747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-43.792299999999997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-40.118099999999998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0.85629999999999995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5.9661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14.446400000000001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20.543600000000001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23.025099999999998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0.1249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0.16539999999999999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0.2145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0.23719999999999999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0.23960000000000001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0.32279999999999998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0.4012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0.17960000000000001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0.252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0.32269999999999999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0.35730000000000001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0.377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0.43659999999999999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0.4924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7.4999999999999997E-3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2.1399999999999999E-2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2.3599999999999999E-2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3.4200000000000001E-2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4.9099999999999998E-2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7.1000000000000004E-3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3.1399999999999997E-2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6.9199999999999998E-2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8.8700000000000001E-2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0.1047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0.12809999999999999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0.18379999999999999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4.0000000000000002E-4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0.42670000000000002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0.56089999999999995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0.59770000000000001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0.41799999999999998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0.17369999999999999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6.83E-2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3.0999999999999999E-3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8.0000000000000004E-4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8.0000000000000004E-4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45.298999999999999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65.134900000000002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63.481099999999998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77.5916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78.653000000000006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91.781499999999994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101.295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235.173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282.39760000000001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290.43669999999997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234.48500000000001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173.9984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133.42570000000001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102.82389999999999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220.93440000000001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267.36959999999999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274.13409999999999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218.72219999999999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159.62819999999999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120.35550000000001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90.972099999999998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0.12540000000000001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0.1651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0.2099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0.2218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0.2296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0.27589999999999998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0.3281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0.1817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0.25209999999999999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0.32040000000000002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0.36180000000000001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0.39329999999999998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0.43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0.4708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5.3E-3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1.2E-2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1.6500000000000001E-2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1.95E-2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2.1899999999999999E-2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2.7400000000000001E-2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3.61E-2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7.1999999999999998E-3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3.1199999999999999E-2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6.4500000000000002E-2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9.1700000000000004E-2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0.12280000000000001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0.16619999999999999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0.22040000000000001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4.0000000000000002E-4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5.0000000000000001E-4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0.5696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0.67110000000000003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0.67689999999999995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0.66359999999999997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0.66559999999999997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0.65749999999999997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8.0000000000000004E-4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8.0000000000000004E-4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45.298999999999999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60.964100000000002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65.22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78.571700000000007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87.687700000000007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97.741600000000005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108.7865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237.38820000000001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281.87200000000001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303.74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296.32080000000002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294.63279999999997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301.80700000000002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310.82260000000002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223.13319999999999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266.85359999999997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287.3682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280.70490000000001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278.5179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285.54070000000002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294.34140000000002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0.1668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6.9435000000000002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26.305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32.569299999999998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0.1263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0.16700000000000001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0.2122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0.2195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0.21740000000000001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0.27160000000000001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0.36070000000000002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0.18099999999999999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0.25169999999999998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0.3201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0.38390000000000002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0.37530000000000002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0.4007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0.48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5.4000000000000003E-3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1.24E-2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1.6899999999999998E-2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1.8100000000000002E-2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2.01E-2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2.6100000000000002E-2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3.85E-2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7.1999999999999998E-3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3.1300000000000001E-2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6.4699999999999994E-2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9.1499999999999998E-2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0.1106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0.122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0.19589999999999999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4.0000000000000002E-4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4.0000000000000002E-4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2.0000000000000001E-4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0.43120000000000003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0.57189999999999996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0.67459999999999998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0.68330000000000002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0.34039999999999998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4.3099999999999999E-2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1.4E-3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8.0000000000000004E-4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6.9999999999999999E-4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45.298999999999999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60.964100000000002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65.22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69.150899999999993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76.540000000000006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93.703500000000005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101.89060000000001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237.5575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282.54669999999999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304.8999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292.05439999999999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205.24119999999999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136.49549999999999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113.0711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223.31649999999999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267.46100000000001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288.36579999999998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276.59410000000003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190.23869999999999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124.5386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102.3823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0.12509999999999999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0.16839999999999999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0.21879999999999999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0.23280000000000001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0.23089999999999999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0.27739999999999998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0.33019999999999999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0.18190000000000001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0.2576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0.32529999999999998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0.37159999999999999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0.39179999999999998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0.42949999999999999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0.47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4.7999999999999996E-3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9.4999999999999998E-3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2.0400000000000001E-2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2.2200000000000001E-2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2.7400000000000001E-2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3.5400000000000001E-2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7.1999999999999998E-3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3.1300000000000001E-2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6.5299999999999997E-2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9.3700000000000006E-2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0.1225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0.16220000000000001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0.20949999999999999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2.9999999999999997E-4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4.0000000000000002E-4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0.42599999999999999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0.57369999999999999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0.68540000000000001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0.70640000000000003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0.66690000000000005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0.67130000000000001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0.66590000000000005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8.0000000000000004E-4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6.9999999999999999E-4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45.298999999999999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60.964100000000002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65.22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77.127499999999998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85.978700000000003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94.714600000000004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105.1001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232.94229999999999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280.00040000000001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304.13639999999998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301.11739999999998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298.57100000000003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309.13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320.19799999999998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218.8272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265.01069999999999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287.64440000000002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285.31849999999997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282.29340000000002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292.46440000000001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303.14109999999999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0.05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2.0788000000000002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15.6248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25.9696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29.749199999999998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25.115100000000002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0.1172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0.1071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8.6199999999999999E-2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7.8299999999999995E-2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8.8999999999999996E-2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0.1104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0.17449999999999999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0.28050000000000003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0.25380000000000003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0.28239999999999998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0.32169999999999999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0.36049999999999999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0.43309999999999998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3.8999999999999998E-3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6.7000000000000002E-3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2.4799999999999999E-2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4.2599999999999999E-2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6.6699999999999995E-2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8.9899999999999994E-2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0.1014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2.4799999999999999E-2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3.0300000000000001E-2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3.2899999999999999E-2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3.8899999999999997E-2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4.4400000000000002E-2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5.4300000000000001E-2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5.0000000000000001E-4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5.0000000000000001E-4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0.42349999999999999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0.53859999999999997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0.37380000000000002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0.16009999999999999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5.5500000000000001E-2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8.0000000000000004E-4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8.0000000000000004E-4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45.298999999999999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42.6997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55.807299999999998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64.915899999999993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71.618499999999997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71.783199999999994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85.515900000000002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232.26990000000001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264.26949999999999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159.005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81.360100000000003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34.741999999999997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2.1556999999999999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-4.1580000000000004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218.24889999999999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251.82259999999999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147.99700000000001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72.559399999999997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27.688800000000001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-3.2010999999999998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-8.6023999999999994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0.1246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0.16619999999999999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0.2155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0.2293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0.2291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0.2823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0.34549999999999997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0.18210000000000001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0.25440000000000002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0.32269999999999999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0.37169999999999997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0.39100000000000001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0.43080000000000002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0.47820000000000001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9.2999999999999992E-3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1.5900000000000001E-2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2.18E-2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2.6700000000000002E-2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3.5400000000000001E-2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7.1000000000000004E-3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3.1600000000000003E-2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6.6699999999999995E-2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9.4200000000000006E-2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0.11459999999999999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0.13469999999999999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0.15840000000000001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4.0000000000000002E-4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4.0000000000000002E-4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5.0000000000000001E-4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2.9999999999999997E-4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0.42449999999999999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0.56420000000000003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0.64659999999999995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0.60609999999999997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0.49940000000000001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0.42049999999999998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0.3367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8.0000000000000004E-4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8.0000000000000004E-4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45.298999999999999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60.066800000000001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63.608800000000002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76.620800000000003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85.709299999999999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95.036000000000001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104.477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233.16249999999999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280.48599999999999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302.02080000000001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291.33120000000002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275.721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270.15350000000001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262.27330000000001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219.0025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265.423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285.3313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275.34980000000002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259.45940000000002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253.5033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245.2834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5.8500000000000003E-2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6.9406999999999996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27.666399999999999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55.117899999999999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66.878699999999995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65.796199999999999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0.1181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0.15679999999999999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0.1845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0.2132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0.27150000000000002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0.41749999999999998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0.1706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0.24199999999999999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0.26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0.30220000000000002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0.37840000000000001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0.48799999999999999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0.55310000000000004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4.8999999999999998E-3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8.3000000000000001E-3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1.3100000000000001E-2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1.9599999999999999E-2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5.2299999999999999E-2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7.5499999999999998E-2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3.1399999999999997E-2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7.3599999999999999E-2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0.10340000000000001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0.185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0.28470000000000001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0.40570000000000001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4.0000000000000002E-4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0.4168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0.55510000000000004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0.31140000000000001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9.0300000000000005E-2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8.0000000000000004E-4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8.0000000000000004E-4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45.298999999999999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50.822200000000002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64.266300000000001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72.881900000000002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79.696200000000005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88.793599999999998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96.922600000000003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231.87110000000001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277.46719999999999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192.6951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108.62860000000001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39.0794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-6.5495000000000001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-34.257800000000003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217.51230000000001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262.08089999999999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178.95089999999999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96.525599999999997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28.1295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-16.639600000000002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-44.391500000000001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2025-09-22T18:15:12Z</dcterms:modified>
</cp:coreProperties>
</file>