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0CA129B3-702B-4426-92B4-88BF4EAAB52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<sst xmlns="http://schemas.openxmlformats.org/spreadsheetml/2006/main" count="58781" uniqueCount="95">
  <si>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</si>
  <si>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</si>
  <si>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</si>
  <si>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</si>
  <si>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</si>
  <si>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</si>
  <si>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</si>
  <si>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</si>
  <si>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</si>
  <si>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</si>
  <si>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</si>
  <si>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</si>
  <si>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</si>
  <si>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</si>
  <si>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</si>
  <si>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</si>
  <si>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</si>
  <si>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</si>
  <si>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</si>
  <si>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</si>
  <si>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</si>
  <si>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</si>
  <si>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</si>
  <si>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</si>
  <si>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</si>
  <si>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</si>
  <si>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</si>
  <si>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</si>
  <si>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</si>
  <si>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</si>
  <si>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</si>
  <si>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</si>
  <si>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</si>
  <si>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</si>
  <si>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</si>
  <si>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</si>
  <si>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</si>
  <si>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</si>
  <si>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</si>
  <si>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</si>
  <si>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</si>
  <si>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</si>
  <si>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</si>
  <si>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</si>
  <si>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</si>
  <si>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</si>
  <si>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</si>
  <si>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</si>
  <si>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</si>
  <si>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</si>
  <si>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</si>
  <si>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</si>
  <si>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</si>
  <si>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</si>
  <si>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</si>
  <si>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</si>
  <si>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</si>
  <si>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</si>
  <si>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</si>
  <si>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</si>
  <si>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</si>
  <si>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</si>
  <si>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</si>
  <si>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</si>
  <si>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</si>
  <si>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</si>
  <si>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</si>
  <si>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</si>
  <si>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</si>
  <si>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</si>
  <si>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</si>
  <si>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</si>
  <si>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</si>
  <si>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</si>
  <si>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</si>
  <si>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</si>
  <si>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</si>
  <si>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</si>
  <si>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</si>
  <si>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</si>
  <si>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</si>
  <si>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</si>
  <si>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</si>
  <si>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</si>
  <si>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DEU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</si>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</sst>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719.43</c:v>
                </c:pt>
                <c:pt idx="1">
                  <c:v>708.62795469240154</c:v>
                </c:pt>
                <c:pt idx="2">
                  <c:v>763.06888479130248</c:v>
                </c:pt>
                <c:pt idx="3">
                  <c:v>799.9715658899878</c:v>
                </c:pt>
                <c:pt idx="4">
                  <c:v>799.0584743408607</c:v>
                </c:pt>
                <c:pt idx="5">
                  <c:v>775.35255034842783</c:v>
                </c:pt>
                <c:pt idx="6">
                  <c:v>759.5026593069756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201.57</c:v>
                </c:pt>
                <c:pt idx="1">
                  <c:v>170.00988503985786</c:v>
                </c:pt>
                <c:pt idx="2">
                  <c:v>109.31788238230077</c:v>
                </c:pt>
                <c:pt idx="3">
                  <c:v>107.06637781968669</c:v>
                </c:pt>
                <c:pt idx="4">
                  <c:v>109.92416700141524</c:v>
                </c:pt>
                <c:pt idx="5">
                  <c:v>114.40158332612756</c:v>
                </c:pt>
                <c:pt idx="6">
                  <c:v>102.22602910835016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719.43000000000006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719.43</v>
      </c>
      <c r="S12" s="8">
        <f t="shared" ref="S12:X12" si="0">SUM(S17:S20)</f>
        <v>708.62795469240154</v>
      </c>
      <c r="T12" s="8">
        <f t="shared" si="0"/>
        <v>763.06888479130248</v>
      </c>
      <c r="U12" s="8">
        <f t="shared" si="0"/>
        <v>799.9715658899878</v>
      </c>
      <c r="V12" s="8">
        <f t="shared" si="0"/>
        <v>799.0584743408607</v>
      </c>
      <c r="W12" s="8">
        <f t="shared" si="0"/>
        <v>775.35255034842783</v>
      </c>
      <c r="X12" s="8">
        <f t="shared" si="0"/>
        <v>759.5026593069756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1.255E-2</v>
      </c>
      <c r="H16" s="10">
        <f>SUMIFS(ngfs_median!$J$2:$J$17119,ngfs_median!$B$2:$B$17119,Veda!$C$5,ngfs_median!$H$2:$H$17119,Veda!$Q16,ngfs_median!$I$2:$I$17119,Veda!H$15)</f>
        <v>4.7899999999999998E-2</v>
      </c>
      <c r="I16" s="10">
        <f>SUMIFS(ngfs_median!$J$2:$J$17119,ngfs_median!$B$2:$B$17119,Veda!$C$5,ngfs_median!$H$2:$H$17119,Veda!$Q16,ngfs_median!$I$2:$I$17119,Veda!I$15)</f>
        <v>7.535E-2</v>
      </c>
      <c r="J16" s="10">
        <f>SUMIFS(ngfs_median!$J$2:$J$17119,ngfs_median!$B$2:$B$17119,Veda!$C$5,ngfs_median!$H$2:$H$17119,Veda!$Q16,ngfs_median!$I$2:$I$17119,Veda!J$15)</f>
        <v>8.8599999999999998E-2</v>
      </c>
      <c r="K16" s="10">
        <f>SUMIFS(ngfs_median!$J$2:$J$17119,ngfs_median!$B$2:$B$17119,Veda!$C$5,ngfs_median!$H$2:$H$17119,Veda!$Q16,ngfs_median!$I$2:$I$17119,Veda!K$15)</f>
        <v>8.7400000000000005E-2</v>
      </c>
      <c r="L16" s="10">
        <f>SUMIFS(ngfs_median!$J$2:$J$17119,ngfs_median!$B$2:$B$17119,Veda!$C$5,ngfs_median!$H$2:$H$17119,Veda!$Q16,ngfs_median!$I$2:$I$17119,Veda!L$15)</f>
        <v>9.1450000000000004E-2</v>
      </c>
      <c r="M16" s="10">
        <f>SUMIFS(ngfs_median!$J$2:$J$17119,ngfs_median!$B$2:$B$17119,Veda!$C$5,ngfs_median!$H$2:$H$17119,Veda!$Q16,ngfs_median!$I$2:$I$17119,Veda!M$15)</f>
        <v>0.1132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7.625</v>
      </c>
      <c r="U16" s="6">
        <f t="shared" si="2"/>
        <v>11.305555555555555</v>
      </c>
      <c r="V16" s="6">
        <f t="shared" si="2"/>
        <v>10.972222222222223</v>
      </c>
      <c r="W16" s="6">
        <f t="shared" si="2"/>
        <v>12.097222222222223</v>
      </c>
      <c r="X16" s="6">
        <f t="shared" si="2"/>
        <v>18.138888888888889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0.08</v>
      </c>
      <c r="H17" s="10">
        <f>SUMIFS(ngfs_median!$J$2:$J$17119,ngfs_median!$B$2:$B$17119,Veda!$C$5,ngfs_median!$H$2:$H$17119,Veda!$Q17,ngfs_median!$I$2:$I$17119,Veda!H$15)</f>
        <v>0.18015</v>
      </c>
      <c r="I17" s="10">
        <f>SUMIFS(ngfs_median!$J$2:$J$17119,ngfs_median!$B$2:$B$17119,Veda!$C$5,ngfs_median!$H$2:$H$17119,Veda!$Q17,ngfs_median!$I$2:$I$17119,Veda!I$15)</f>
        <v>0.32364999999999999</v>
      </c>
      <c r="J17" s="10">
        <f>SUMIFS(ngfs_median!$J$2:$J$17119,ngfs_median!$B$2:$B$17119,Veda!$C$5,ngfs_median!$H$2:$H$17119,Veda!$Q17,ngfs_median!$I$2:$I$17119,Veda!J$15)</f>
        <v>0.43259999999999998</v>
      </c>
      <c r="K17" s="10">
        <f>SUMIFS(ngfs_median!$J$2:$J$17119,ngfs_median!$B$2:$B$17119,Veda!$C$5,ngfs_median!$H$2:$H$17119,Veda!$Q17,ngfs_median!$I$2:$I$17119,Veda!K$15)</f>
        <v>0.45824999999999999</v>
      </c>
      <c r="L17" s="10">
        <f>SUMIFS(ngfs_median!$J$2:$J$17119,ngfs_median!$B$2:$B$17119,Veda!$C$5,ngfs_median!$H$2:$H$17119,Veda!$Q17,ngfs_median!$I$2:$I$17119,Veda!L$15)</f>
        <v>0.4602</v>
      </c>
      <c r="M17" s="10">
        <f>SUMIFS(ngfs_median!$J$2:$J$17119,ngfs_median!$B$2:$B$17119,Veda!$C$5,ngfs_median!$H$2:$H$17119,Veda!$Q17,ngfs_median!$I$2:$I$17119,Veda!M$15)</f>
        <v>0.45660000000000001</v>
      </c>
      <c r="Q17" s="12" t="s">
        <v>10</v>
      </c>
      <c r="R17" s="6">
        <f>$Q$10*G17/SUM($G$17:$G$19)</f>
        <v>27.56502789817764</v>
      </c>
      <c r="S17" s="6">
        <f>R17</f>
        <v>27.56502789817764</v>
      </c>
      <c r="T17" s="6">
        <f t="shared" ref="T17:X17" si="3">S17</f>
        <v>27.56502789817764</v>
      </c>
      <c r="U17" s="6">
        <f t="shared" si="3"/>
        <v>27.56502789817764</v>
      </c>
      <c r="V17" s="6">
        <f t="shared" si="3"/>
        <v>27.56502789817764</v>
      </c>
      <c r="W17" s="6">
        <f t="shared" si="3"/>
        <v>27.56502789817764</v>
      </c>
      <c r="X17" s="6">
        <f t="shared" si="3"/>
        <v>27.56502789817764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1.0695999999999999</v>
      </c>
      <c r="H18" s="10">
        <f>SUMIFS(ngfs_median!$J$2:$J$17119,ngfs_median!$B$2:$B$17119,Veda!$C$5,ngfs_median!$H$2:$H$17119,Veda!$Q18,ngfs_median!$I$2:$I$17119,Veda!H$15)</f>
        <v>1.0061499999999999</v>
      </c>
      <c r="I18" s="10">
        <f>SUMIFS(ngfs_median!$J$2:$J$17119,ngfs_median!$B$2:$B$17119,Veda!$C$5,ngfs_median!$H$2:$H$17119,Veda!$Q18,ngfs_median!$I$2:$I$17119,Veda!I$15)</f>
        <v>1.0308000000000002</v>
      </c>
      <c r="J18" s="10">
        <f>SUMIFS(ngfs_median!$J$2:$J$17119,ngfs_median!$B$2:$B$17119,Veda!$C$5,ngfs_median!$H$2:$H$17119,Veda!$Q18,ngfs_median!$I$2:$I$17119,Veda!J$15)</f>
        <v>1.0504500000000001</v>
      </c>
      <c r="K18" s="10">
        <f>SUMIFS(ngfs_median!$J$2:$J$17119,ngfs_median!$B$2:$B$17119,Veda!$C$5,ngfs_median!$H$2:$H$17119,Veda!$Q18,ngfs_median!$I$2:$I$17119,Veda!K$15)</f>
        <v>1.0275000000000001</v>
      </c>
      <c r="L18" s="10">
        <f>SUMIFS(ngfs_median!$J$2:$J$17119,ngfs_median!$B$2:$B$17119,Veda!$C$5,ngfs_median!$H$2:$H$17119,Veda!$Q18,ngfs_median!$I$2:$I$17119,Veda!L$15)</f>
        <v>0.99475000000000002</v>
      </c>
      <c r="M18" s="10">
        <f>SUMIFS(ngfs_median!$J$2:$J$17119,ngfs_median!$B$2:$B$17119,Veda!$C$5,ngfs_median!$H$2:$H$17119,Veda!$Q18,ngfs_median!$I$2:$I$17119,Veda!M$15)</f>
        <v>0.98194999999999999</v>
      </c>
      <c r="Q18" s="12" t="s">
        <v>12</v>
      </c>
      <c r="R18" s="6">
        <f>$Q$10*G18/SUM($G$17:$G$19)</f>
        <v>368.54442299863501</v>
      </c>
      <c r="S18" s="6">
        <f t="shared" ref="S18:X19" si="4">R18*H18/G18</f>
        <v>346.68191024689287</v>
      </c>
      <c r="T18" s="6">
        <f t="shared" si="4"/>
        <v>355.17538446801899</v>
      </c>
      <c r="U18" s="6">
        <f t="shared" si="4"/>
        <v>361.94604444550885</v>
      </c>
      <c r="V18" s="6">
        <f t="shared" si="4"/>
        <v>354.03832706721909</v>
      </c>
      <c r="W18" s="6">
        <f t="shared" si="4"/>
        <v>342.75389377140255</v>
      </c>
      <c r="X18" s="6">
        <f t="shared" si="4"/>
        <v>338.34348930769409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0.93835000000000002</v>
      </c>
      <c r="H19" s="10">
        <f>SUMIFS(ngfs_median!$J$2:$J$17119,ngfs_median!$B$2:$B$17119,Veda!$C$5,ngfs_median!$H$2:$H$17119,Veda!$Q19,ngfs_median!$I$2:$I$17119,Veda!H$15)</f>
        <v>0.87029999999999996</v>
      </c>
      <c r="I19" s="10">
        <f>SUMIFS(ngfs_median!$J$2:$J$17119,ngfs_median!$B$2:$B$17119,Veda!$C$5,ngfs_median!$H$2:$H$17119,Veda!$Q19,ngfs_median!$I$2:$I$17119,Veda!I$15)</f>
        <v>0.86014999999999997</v>
      </c>
      <c r="J19" s="10">
        <f>SUMIFS(ngfs_median!$J$2:$J$17119,ngfs_median!$B$2:$B$17119,Veda!$C$5,ngfs_median!$H$2:$H$17119,Veda!$Q19,ngfs_median!$I$2:$I$17119,Veda!J$15)</f>
        <v>0.8386499999999999</v>
      </c>
      <c r="K19" s="10">
        <f>SUMIFS(ngfs_median!$J$2:$J$17119,ngfs_median!$B$2:$B$17119,Veda!$C$5,ngfs_median!$H$2:$H$17119,Veda!$Q19,ngfs_median!$I$2:$I$17119,Veda!K$15)</f>
        <v>0.83330000000000004</v>
      </c>
      <c r="L19" s="10">
        <f>SUMIFS(ngfs_median!$J$2:$J$17119,ngfs_median!$B$2:$B$17119,Veda!$C$5,ngfs_median!$H$2:$H$17119,Veda!$Q19,ngfs_median!$I$2:$I$17119,Veda!L$15)</f>
        <v>0.79530000000000001</v>
      </c>
      <c r="M19" s="10">
        <f>SUMIFS(ngfs_median!$J$2:$J$17119,ngfs_median!$B$2:$B$17119,Veda!$C$5,ngfs_median!$H$2:$H$17119,Veda!$Q19,ngfs_median!$I$2:$I$17119,Veda!M$15)</f>
        <v>0.76570000000000005</v>
      </c>
      <c r="Q19" s="12" t="s">
        <v>13</v>
      </c>
      <c r="R19" s="6">
        <f>$Q$10*G19/SUM($G$17:$G$19)</f>
        <v>323.32054910318732</v>
      </c>
      <c r="S19" s="6">
        <f t="shared" si="4"/>
        <v>299.87304724729995</v>
      </c>
      <c r="T19" s="6">
        <f t="shared" si="4"/>
        <v>296.37573433271865</v>
      </c>
      <c r="U19" s="6">
        <f t="shared" si="4"/>
        <v>288.96763308508338</v>
      </c>
      <c r="V19" s="6">
        <f t="shared" si="4"/>
        <v>287.12422184439282</v>
      </c>
      <c r="W19" s="6">
        <f t="shared" si="4"/>
        <v>274.03083359275843</v>
      </c>
      <c r="X19" s="6">
        <f t="shared" si="4"/>
        <v>263.83177327043273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34.507969300031135</v>
      </c>
      <c r="T20" s="6">
        <f t="shared" si="5"/>
        <v>83.952738092387278</v>
      </c>
      <c r="U20" s="6">
        <f t="shared" si="5"/>
        <v>121.4928604612179</v>
      </c>
      <c r="V20" s="6">
        <f t="shared" si="5"/>
        <v>130.33089753107114</v>
      </c>
      <c r="W20" s="6">
        <f t="shared" si="5"/>
        <v>131.00279508608924</v>
      </c>
      <c r="X20" s="6">
        <f t="shared" si="5"/>
        <v>129.76236883067125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201.57</v>
      </c>
      <c r="D22" s="12" t="s">
        <v>79</v>
      </c>
      <c r="G22" s="8">
        <f>G35/$G$35*$B22</f>
        <v>201.57</v>
      </c>
      <c r="H22" s="8">
        <f t="shared" ref="H22:M22" si="6">H35/$G$35*$B22</f>
        <v>170.00988503985786</v>
      </c>
      <c r="I22" s="8">
        <f t="shared" si="6"/>
        <v>109.31788238230077</v>
      </c>
      <c r="J22" s="8">
        <f t="shared" si="6"/>
        <v>107.06637781968669</v>
      </c>
      <c r="K22" s="8">
        <f t="shared" si="6"/>
        <v>109.92416700141524</v>
      </c>
      <c r="L22" s="8">
        <f t="shared" si="6"/>
        <v>114.40158332612756</v>
      </c>
      <c r="M22" s="8">
        <f t="shared" si="6"/>
        <v>102.22602910835016</v>
      </c>
      <c r="Q22" t="s">
        <v>64</v>
      </c>
      <c r="T22" s="8">
        <f>I35*1000</f>
        <v>49548.600000000006</v>
      </c>
      <c r="U22" s="8">
        <f>J35*1000</f>
        <v>48528.099999999991</v>
      </c>
      <c r="V22" s="8">
        <f>K35*1000</f>
        <v>49823.400000000009</v>
      </c>
      <c r="W22" s="8">
        <f>L35*1000</f>
        <v>51852.800000000003</v>
      </c>
      <c r="X22" s="8">
        <f>M35*1000</f>
        <v>46334.200000000004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49.3</v>
      </c>
      <c r="S26" s="3">
        <f>AVERAGEIFS(historical_data_long!$D$3:$D$9999,historical_data_long!$B$3:$B$9999,"&gt;2017",historical_data_long!$A$3:$A$9999,$O26)</f>
        <v>48.333333333333336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76.599999999999994</v>
      </c>
      <c r="S27" s="3">
        <f>AVERAGEIFS(historical_data_long!$D$3:$D$9999,historical_data_long!$B$3:$B$9999,"&gt;2017",historical_data_long!$A$3:$A$9999,$O27)</f>
        <v>71.2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91.362100000000012</v>
      </c>
      <c r="H35" s="11">
        <f>SUMIFS(ngfs_median!$J$2:$J$17119,ngfs_median!$B$2:$B$17119,Veda!$C$5,ngfs_median!$D$2:$D$17119,Veda!$D22,ngfs_median!$I$2:$I$17119,Veda!H$15)</f>
        <v>77.057400000000001</v>
      </c>
      <c r="I35" s="11">
        <f>SUMIFS(ngfs_median!$J$2:$J$17119,ngfs_median!$B$2:$B$17119,Veda!$C$5,ngfs_median!$D$2:$D$17119,Veda!$D22,ngfs_median!$I$2:$I$17119,Veda!I$15)</f>
        <v>49.548600000000008</v>
      </c>
      <c r="J35" s="11">
        <f>SUMIFS(ngfs_median!$J$2:$J$17119,ngfs_median!$B$2:$B$17119,Veda!$C$5,ngfs_median!$D$2:$D$17119,Veda!$D22,ngfs_median!$I$2:$I$17119,Veda!J$15)</f>
        <v>48.528099999999995</v>
      </c>
      <c r="K35" s="11">
        <f>SUMIFS(ngfs_median!$J$2:$J$17119,ngfs_median!$B$2:$B$17119,Veda!$C$5,ngfs_median!$D$2:$D$17119,Veda!$D22,ngfs_median!$I$2:$I$17119,Veda!K$15)</f>
        <v>49.823400000000007</v>
      </c>
      <c r="L35" s="11">
        <f>SUMIFS(ngfs_median!$J$2:$J$17119,ngfs_median!$B$2:$B$17119,Veda!$C$5,ngfs_median!$D$2:$D$17119,Veda!$D22,ngfs_median!$I$2:$I$17119,Veda!L$15)</f>
        <v>51.852800000000002</v>
      </c>
      <c r="M35" s="11">
        <f>SUMIFS(ngfs_median!$J$2:$J$17119,ngfs_median!$B$2:$B$17119,Veda!$C$5,ngfs_median!$D$2:$D$17119,Veda!$D22,ngfs_median!$I$2:$I$17119,Veda!M$15)</f>
        <v>46.334200000000003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15.265000000000001</v>
      </c>
      <c r="T37">
        <v>26.114999999999998</v>
      </c>
      <c r="U37">
        <v>28.215</v>
      </c>
      <c r="V37" t="s">
        <v>94</v>
      </c>
    </row>
    <row r="38" spans="7:22" x14ac:dyDescent="0.45">
      <c r="Q38" t="s">
        <v>39</v>
      </c>
      <c r="R38" t="s">
        <v>93</v>
      </c>
      <c r="S38">
        <v>12.7</v>
      </c>
      <c r="T38">
        <v>15.3</v>
      </c>
      <c r="U38">
        <v>15.6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4.33</v>
      </c>
    </row>
    <row r="3" spans="1:4" x14ac:dyDescent="0.45">
      <c r="A3" t="s">
        <v>34</v>
      </c>
      <c r="B3">
        <v>2000</v>
      </c>
      <c r="C3" t="s">
        <v>74</v>
      </c>
      <c r="D3">
        <v>296.68</v>
      </c>
    </row>
    <row r="4" spans="1:4" x14ac:dyDescent="0.45">
      <c r="A4" t="s">
        <v>36</v>
      </c>
      <c r="B4">
        <v>2000</v>
      </c>
      <c r="C4" t="s">
        <v>74</v>
      </c>
      <c r="D4">
        <v>49.2</v>
      </c>
    </row>
    <row r="5" spans="1:4" x14ac:dyDescent="0.45">
      <c r="A5" t="s">
        <v>56</v>
      </c>
      <c r="B5">
        <v>2000</v>
      </c>
      <c r="C5" t="s">
        <v>74</v>
      </c>
      <c r="D5">
        <v>21.73</v>
      </c>
    </row>
    <row r="6" spans="1:4" x14ac:dyDescent="0.45">
      <c r="A6" t="s">
        <v>57</v>
      </c>
      <c r="B6">
        <v>2000</v>
      </c>
      <c r="C6" t="s">
        <v>74</v>
      </c>
      <c r="D6">
        <v>169.61</v>
      </c>
    </row>
    <row r="7" spans="1:4" x14ac:dyDescent="0.45">
      <c r="A7" t="s">
        <v>38</v>
      </c>
      <c r="B7">
        <v>2000</v>
      </c>
      <c r="C7" t="s">
        <v>74</v>
      </c>
      <c r="D7">
        <v>18.05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9.35</v>
      </c>
    </row>
    <row r="11" spans="1:4" x14ac:dyDescent="0.45">
      <c r="A11" t="s">
        <v>32</v>
      </c>
      <c r="B11">
        <v>2001</v>
      </c>
      <c r="C11" t="s">
        <v>74</v>
      </c>
      <c r="D11">
        <v>4.59</v>
      </c>
    </row>
    <row r="12" spans="1:4" x14ac:dyDescent="0.45">
      <c r="A12" t="s">
        <v>34</v>
      </c>
      <c r="B12">
        <v>2001</v>
      </c>
      <c r="C12" t="s">
        <v>74</v>
      </c>
      <c r="D12">
        <v>293.74</v>
      </c>
    </row>
    <row r="13" spans="1:4" x14ac:dyDescent="0.45">
      <c r="A13" t="s">
        <v>36</v>
      </c>
      <c r="B13">
        <v>2001</v>
      </c>
      <c r="C13" t="s">
        <v>74</v>
      </c>
      <c r="D13">
        <v>55.5</v>
      </c>
    </row>
    <row r="14" spans="1:4" x14ac:dyDescent="0.45">
      <c r="A14" t="s">
        <v>56</v>
      </c>
      <c r="B14">
        <v>2001</v>
      </c>
      <c r="C14" t="s">
        <v>74</v>
      </c>
      <c r="D14">
        <v>22.73</v>
      </c>
    </row>
    <row r="15" spans="1:4" x14ac:dyDescent="0.45">
      <c r="A15" t="s">
        <v>57</v>
      </c>
      <c r="B15">
        <v>2001</v>
      </c>
      <c r="C15" t="s">
        <v>74</v>
      </c>
      <c r="D15">
        <v>171.3</v>
      </c>
    </row>
    <row r="16" spans="1:4" x14ac:dyDescent="0.45">
      <c r="A16" t="s">
        <v>38</v>
      </c>
      <c r="B16">
        <v>2001</v>
      </c>
      <c r="C16" t="s">
        <v>74</v>
      </c>
      <c r="D16">
        <v>20.52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0.1</v>
      </c>
    </row>
    <row r="19" spans="1:4" x14ac:dyDescent="0.45">
      <c r="A19" t="s">
        <v>91</v>
      </c>
      <c r="B19">
        <v>2001</v>
      </c>
      <c r="C19" t="s">
        <v>74</v>
      </c>
      <c r="D19">
        <v>10.46</v>
      </c>
    </row>
    <row r="20" spans="1:4" x14ac:dyDescent="0.45">
      <c r="A20" t="s">
        <v>32</v>
      </c>
      <c r="B20">
        <v>2002</v>
      </c>
      <c r="C20" t="s">
        <v>74</v>
      </c>
      <c r="D20">
        <v>5.31</v>
      </c>
    </row>
    <row r="21" spans="1:4" x14ac:dyDescent="0.45">
      <c r="A21" t="s">
        <v>34</v>
      </c>
      <c r="B21">
        <v>2002</v>
      </c>
      <c r="C21" t="s">
        <v>74</v>
      </c>
      <c r="D21">
        <v>299.60000000000002</v>
      </c>
    </row>
    <row r="22" spans="1:4" x14ac:dyDescent="0.45">
      <c r="A22" t="s">
        <v>36</v>
      </c>
      <c r="B22">
        <v>2002</v>
      </c>
      <c r="C22" t="s">
        <v>74</v>
      </c>
      <c r="D22">
        <v>56.3</v>
      </c>
    </row>
    <row r="23" spans="1:4" x14ac:dyDescent="0.45">
      <c r="A23" t="s">
        <v>56</v>
      </c>
      <c r="B23">
        <v>2002</v>
      </c>
      <c r="C23" t="s">
        <v>74</v>
      </c>
      <c r="D23">
        <v>23.12</v>
      </c>
    </row>
    <row r="24" spans="1:4" x14ac:dyDescent="0.45">
      <c r="A24" t="s">
        <v>57</v>
      </c>
      <c r="B24">
        <v>2002</v>
      </c>
      <c r="C24" t="s">
        <v>74</v>
      </c>
      <c r="D24">
        <v>164.84</v>
      </c>
    </row>
    <row r="25" spans="1:4" x14ac:dyDescent="0.45">
      <c r="A25" t="s">
        <v>38</v>
      </c>
      <c r="B25">
        <v>2002</v>
      </c>
      <c r="C25" t="s">
        <v>74</v>
      </c>
      <c r="D25">
        <v>18.53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0.2</v>
      </c>
    </row>
    <row r="28" spans="1:4" x14ac:dyDescent="0.45">
      <c r="A28" t="s">
        <v>91</v>
      </c>
      <c r="B28">
        <v>2002</v>
      </c>
      <c r="C28" t="s">
        <v>74</v>
      </c>
      <c r="D28">
        <v>15.86</v>
      </c>
    </row>
    <row r="29" spans="1:4" x14ac:dyDescent="0.45">
      <c r="A29" t="s">
        <v>32</v>
      </c>
      <c r="B29">
        <v>2003</v>
      </c>
      <c r="C29" t="s">
        <v>74</v>
      </c>
      <c r="D29">
        <v>8.9499999999999993</v>
      </c>
    </row>
    <row r="30" spans="1:4" x14ac:dyDescent="0.45">
      <c r="A30" t="s">
        <v>34</v>
      </c>
      <c r="B30">
        <v>2003</v>
      </c>
      <c r="C30" t="s">
        <v>74</v>
      </c>
      <c r="D30">
        <v>304.63</v>
      </c>
    </row>
    <row r="31" spans="1:4" x14ac:dyDescent="0.45">
      <c r="A31" t="s">
        <v>36</v>
      </c>
      <c r="B31">
        <v>2003</v>
      </c>
      <c r="C31" t="s">
        <v>74</v>
      </c>
      <c r="D31">
        <v>62.59</v>
      </c>
    </row>
    <row r="32" spans="1:4" x14ac:dyDescent="0.45">
      <c r="A32" t="s">
        <v>56</v>
      </c>
      <c r="B32">
        <v>2003</v>
      </c>
      <c r="C32" t="s">
        <v>74</v>
      </c>
      <c r="D32">
        <v>18.32</v>
      </c>
    </row>
    <row r="33" spans="1:4" x14ac:dyDescent="0.45">
      <c r="A33" t="s">
        <v>57</v>
      </c>
      <c r="B33">
        <v>2003</v>
      </c>
      <c r="C33" t="s">
        <v>74</v>
      </c>
      <c r="D33">
        <v>165.06</v>
      </c>
    </row>
    <row r="34" spans="1:4" x14ac:dyDescent="0.45">
      <c r="A34" t="s">
        <v>38</v>
      </c>
      <c r="B34">
        <v>2003</v>
      </c>
      <c r="C34" t="s">
        <v>74</v>
      </c>
      <c r="D34">
        <v>23.08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0.31</v>
      </c>
    </row>
    <row r="37" spans="1:4" x14ac:dyDescent="0.45">
      <c r="A37" t="s">
        <v>91</v>
      </c>
      <c r="B37">
        <v>2003</v>
      </c>
      <c r="C37" t="s">
        <v>74</v>
      </c>
      <c r="D37">
        <v>19.09</v>
      </c>
    </row>
    <row r="38" spans="1:4" x14ac:dyDescent="0.45">
      <c r="A38" t="s">
        <v>32</v>
      </c>
      <c r="B38">
        <v>2004</v>
      </c>
      <c r="C38" t="s">
        <v>74</v>
      </c>
      <c r="D38">
        <v>10.64</v>
      </c>
    </row>
    <row r="39" spans="1:4" x14ac:dyDescent="0.45">
      <c r="A39" t="s">
        <v>34</v>
      </c>
      <c r="B39">
        <v>2004</v>
      </c>
      <c r="C39" t="s">
        <v>74</v>
      </c>
      <c r="D39">
        <v>298.77</v>
      </c>
    </row>
    <row r="40" spans="1:4" x14ac:dyDescent="0.45">
      <c r="A40" t="s">
        <v>36</v>
      </c>
      <c r="B40">
        <v>2004</v>
      </c>
      <c r="C40" t="s">
        <v>74</v>
      </c>
      <c r="D40">
        <v>62.67</v>
      </c>
    </row>
    <row r="41" spans="1:4" x14ac:dyDescent="0.45">
      <c r="A41" t="s">
        <v>56</v>
      </c>
      <c r="B41">
        <v>2004</v>
      </c>
      <c r="C41" t="s">
        <v>74</v>
      </c>
      <c r="D41">
        <v>20.75</v>
      </c>
    </row>
    <row r="42" spans="1:4" x14ac:dyDescent="0.45">
      <c r="A42" t="s">
        <v>57</v>
      </c>
      <c r="B42">
        <v>2004</v>
      </c>
      <c r="C42" t="s">
        <v>74</v>
      </c>
      <c r="D42">
        <v>167.07</v>
      </c>
    </row>
    <row r="43" spans="1:4" x14ac:dyDescent="0.45">
      <c r="A43" t="s">
        <v>38</v>
      </c>
      <c r="B43">
        <v>2004</v>
      </c>
      <c r="C43" t="s">
        <v>74</v>
      </c>
      <c r="D43">
        <v>23.12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0.56000000000000005</v>
      </c>
    </row>
    <row r="46" spans="1:4" x14ac:dyDescent="0.45">
      <c r="A46" t="s">
        <v>91</v>
      </c>
      <c r="B46">
        <v>2004</v>
      </c>
      <c r="C46" t="s">
        <v>74</v>
      </c>
      <c r="D46">
        <v>26.02</v>
      </c>
    </row>
    <row r="47" spans="1:4" x14ac:dyDescent="0.45">
      <c r="A47" t="s">
        <v>32</v>
      </c>
      <c r="B47">
        <v>2005</v>
      </c>
      <c r="C47" t="s">
        <v>74</v>
      </c>
      <c r="D47">
        <v>14.71</v>
      </c>
    </row>
    <row r="48" spans="1:4" x14ac:dyDescent="0.45">
      <c r="A48" t="s">
        <v>34</v>
      </c>
      <c r="B48">
        <v>2005</v>
      </c>
      <c r="C48" t="s">
        <v>74</v>
      </c>
      <c r="D48">
        <v>288.14</v>
      </c>
    </row>
    <row r="49" spans="1:4" x14ac:dyDescent="0.45">
      <c r="A49" t="s">
        <v>36</v>
      </c>
      <c r="B49">
        <v>2005</v>
      </c>
      <c r="C49" t="s">
        <v>74</v>
      </c>
      <c r="D49">
        <v>72.19</v>
      </c>
    </row>
    <row r="50" spans="1:4" x14ac:dyDescent="0.45">
      <c r="A50" t="s">
        <v>56</v>
      </c>
      <c r="B50">
        <v>2005</v>
      </c>
      <c r="C50" t="s">
        <v>74</v>
      </c>
      <c r="D50">
        <v>19.64</v>
      </c>
    </row>
    <row r="51" spans="1:4" x14ac:dyDescent="0.45">
      <c r="A51" t="s">
        <v>57</v>
      </c>
      <c r="B51">
        <v>2005</v>
      </c>
      <c r="C51" t="s">
        <v>74</v>
      </c>
      <c r="D51">
        <v>163.05000000000001</v>
      </c>
    </row>
    <row r="52" spans="1:4" x14ac:dyDescent="0.45">
      <c r="A52" t="s">
        <v>38</v>
      </c>
      <c r="B52">
        <v>2005</v>
      </c>
      <c r="C52" t="s">
        <v>74</v>
      </c>
      <c r="D52">
        <v>26.53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1.31</v>
      </c>
    </row>
    <row r="55" spans="1:4" x14ac:dyDescent="0.45">
      <c r="A55" t="s">
        <v>91</v>
      </c>
      <c r="B55">
        <v>2005</v>
      </c>
      <c r="C55" t="s">
        <v>74</v>
      </c>
      <c r="D55">
        <v>27.77</v>
      </c>
    </row>
    <row r="56" spans="1:4" x14ac:dyDescent="0.45">
      <c r="A56" t="s">
        <v>32</v>
      </c>
      <c r="B56">
        <v>2006</v>
      </c>
      <c r="C56" t="s">
        <v>74</v>
      </c>
      <c r="D56">
        <v>18.940000000000001</v>
      </c>
    </row>
    <row r="57" spans="1:4" x14ac:dyDescent="0.45">
      <c r="A57" t="s">
        <v>34</v>
      </c>
      <c r="B57">
        <v>2006</v>
      </c>
      <c r="C57" t="s">
        <v>74</v>
      </c>
      <c r="D57">
        <v>288.93</v>
      </c>
    </row>
    <row r="58" spans="1:4" x14ac:dyDescent="0.45">
      <c r="A58" t="s">
        <v>36</v>
      </c>
      <c r="B58">
        <v>2006</v>
      </c>
      <c r="C58" t="s">
        <v>74</v>
      </c>
      <c r="D58">
        <v>74.73</v>
      </c>
    </row>
    <row r="59" spans="1:4" x14ac:dyDescent="0.45">
      <c r="A59" t="s">
        <v>56</v>
      </c>
      <c r="B59">
        <v>2006</v>
      </c>
      <c r="C59" t="s">
        <v>74</v>
      </c>
      <c r="D59">
        <v>20.03</v>
      </c>
    </row>
    <row r="60" spans="1:4" x14ac:dyDescent="0.45">
      <c r="A60" t="s">
        <v>57</v>
      </c>
      <c r="B60">
        <v>2006</v>
      </c>
      <c r="C60" t="s">
        <v>74</v>
      </c>
      <c r="D60">
        <v>167.27</v>
      </c>
    </row>
    <row r="61" spans="1:4" x14ac:dyDescent="0.45">
      <c r="A61" t="s">
        <v>38</v>
      </c>
      <c r="B61">
        <v>2006</v>
      </c>
      <c r="C61" t="s">
        <v>74</v>
      </c>
      <c r="D61">
        <v>26.71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2.27</v>
      </c>
    </row>
    <row r="64" spans="1:4" x14ac:dyDescent="0.45">
      <c r="A64" t="s">
        <v>91</v>
      </c>
      <c r="B64">
        <v>2006</v>
      </c>
      <c r="C64" t="s">
        <v>74</v>
      </c>
      <c r="D64">
        <v>31.32</v>
      </c>
    </row>
    <row r="65" spans="1:4" x14ac:dyDescent="0.45">
      <c r="A65" t="s">
        <v>32</v>
      </c>
      <c r="B65">
        <v>2007</v>
      </c>
      <c r="C65" t="s">
        <v>74</v>
      </c>
      <c r="D65">
        <v>24.62</v>
      </c>
    </row>
    <row r="66" spans="1:4" x14ac:dyDescent="0.45">
      <c r="A66" t="s">
        <v>34</v>
      </c>
      <c r="B66">
        <v>2007</v>
      </c>
      <c r="C66" t="s">
        <v>74</v>
      </c>
      <c r="D66">
        <v>297.10000000000002</v>
      </c>
    </row>
    <row r="67" spans="1:4" x14ac:dyDescent="0.45">
      <c r="A67" t="s">
        <v>36</v>
      </c>
      <c r="B67">
        <v>2007</v>
      </c>
      <c r="C67" t="s">
        <v>74</v>
      </c>
      <c r="D67">
        <v>77.45</v>
      </c>
    </row>
    <row r="68" spans="1:4" x14ac:dyDescent="0.45">
      <c r="A68" t="s">
        <v>56</v>
      </c>
      <c r="B68">
        <v>2007</v>
      </c>
      <c r="C68" t="s">
        <v>74</v>
      </c>
      <c r="D68">
        <v>21.17</v>
      </c>
    </row>
    <row r="69" spans="1:4" x14ac:dyDescent="0.45">
      <c r="A69" t="s">
        <v>57</v>
      </c>
      <c r="B69">
        <v>2007</v>
      </c>
      <c r="C69" t="s">
        <v>74</v>
      </c>
      <c r="D69">
        <v>140.53</v>
      </c>
    </row>
    <row r="70" spans="1:4" x14ac:dyDescent="0.45">
      <c r="A70" t="s">
        <v>38</v>
      </c>
      <c r="B70">
        <v>2007</v>
      </c>
      <c r="C70" t="s">
        <v>74</v>
      </c>
      <c r="D70">
        <v>26.58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3.14</v>
      </c>
    </row>
    <row r="73" spans="1:4" x14ac:dyDescent="0.45">
      <c r="A73" t="s">
        <v>91</v>
      </c>
      <c r="B73">
        <v>2007</v>
      </c>
      <c r="C73" t="s">
        <v>74</v>
      </c>
      <c r="D73">
        <v>40.51</v>
      </c>
    </row>
    <row r="74" spans="1:4" x14ac:dyDescent="0.45">
      <c r="A74" t="s">
        <v>32</v>
      </c>
      <c r="B74">
        <v>2008</v>
      </c>
      <c r="C74" t="s">
        <v>74</v>
      </c>
      <c r="D74">
        <v>28.02</v>
      </c>
    </row>
    <row r="75" spans="1:4" x14ac:dyDescent="0.45">
      <c r="A75" t="s">
        <v>34</v>
      </c>
      <c r="B75">
        <v>2008</v>
      </c>
      <c r="C75" t="s">
        <v>74</v>
      </c>
      <c r="D75">
        <v>275.20999999999998</v>
      </c>
    </row>
    <row r="76" spans="1:4" x14ac:dyDescent="0.45">
      <c r="A76" t="s">
        <v>36</v>
      </c>
      <c r="B76">
        <v>2008</v>
      </c>
      <c r="C76" t="s">
        <v>74</v>
      </c>
      <c r="D76">
        <v>88.48</v>
      </c>
    </row>
    <row r="77" spans="1:4" x14ac:dyDescent="0.45">
      <c r="A77" t="s">
        <v>56</v>
      </c>
      <c r="B77">
        <v>2008</v>
      </c>
      <c r="C77" t="s">
        <v>74</v>
      </c>
      <c r="D77">
        <v>20.440000000000001</v>
      </c>
    </row>
    <row r="78" spans="1:4" x14ac:dyDescent="0.45">
      <c r="A78" t="s">
        <v>57</v>
      </c>
      <c r="B78">
        <v>2008</v>
      </c>
      <c r="C78" t="s">
        <v>74</v>
      </c>
      <c r="D78">
        <v>148.49</v>
      </c>
    </row>
    <row r="79" spans="1:4" x14ac:dyDescent="0.45">
      <c r="A79" t="s">
        <v>38</v>
      </c>
      <c r="B79">
        <v>2008</v>
      </c>
      <c r="C79" t="s">
        <v>74</v>
      </c>
      <c r="D79">
        <v>25.74</v>
      </c>
    </row>
    <row r="80" spans="1:4" x14ac:dyDescent="0.45">
      <c r="A80" t="s">
        <v>32</v>
      </c>
      <c r="B80">
        <v>2008</v>
      </c>
      <c r="C80" t="s">
        <v>74</v>
      </c>
      <c r="D80">
        <v>0.02</v>
      </c>
    </row>
    <row r="81" spans="1:4" x14ac:dyDescent="0.45">
      <c r="A81" t="s">
        <v>58</v>
      </c>
      <c r="B81">
        <v>2008</v>
      </c>
      <c r="C81" t="s">
        <v>74</v>
      </c>
      <c r="D81">
        <v>4.51</v>
      </c>
    </row>
    <row r="82" spans="1:4" x14ac:dyDescent="0.45">
      <c r="A82" t="s">
        <v>91</v>
      </c>
      <c r="B82">
        <v>2008</v>
      </c>
      <c r="C82" t="s">
        <v>74</v>
      </c>
      <c r="D82">
        <v>41.38</v>
      </c>
    </row>
    <row r="83" spans="1:4" x14ac:dyDescent="0.45">
      <c r="A83" t="s">
        <v>32</v>
      </c>
      <c r="B83">
        <v>2009</v>
      </c>
      <c r="C83" t="s">
        <v>74</v>
      </c>
      <c r="D83">
        <v>30.89</v>
      </c>
    </row>
    <row r="84" spans="1:4" x14ac:dyDescent="0.45">
      <c r="A84" t="s">
        <v>34</v>
      </c>
      <c r="B84">
        <v>2009</v>
      </c>
      <c r="C84" t="s">
        <v>74</v>
      </c>
      <c r="D84">
        <v>253.45</v>
      </c>
    </row>
    <row r="85" spans="1:4" x14ac:dyDescent="0.45">
      <c r="A85" t="s">
        <v>36</v>
      </c>
      <c r="B85">
        <v>2009</v>
      </c>
      <c r="C85" t="s">
        <v>74</v>
      </c>
      <c r="D85">
        <v>80.27</v>
      </c>
    </row>
    <row r="86" spans="1:4" x14ac:dyDescent="0.45">
      <c r="A86" t="s">
        <v>56</v>
      </c>
      <c r="B86">
        <v>2009</v>
      </c>
      <c r="C86" t="s">
        <v>74</v>
      </c>
      <c r="D86">
        <v>19.03</v>
      </c>
    </row>
    <row r="87" spans="1:4" x14ac:dyDescent="0.45">
      <c r="A87" t="s">
        <v>57</v>
      </c>
      <c r="B87">
        <v>2009</v>
      </c>
      <c r="C87" t="s">
        <v>74</v>
      </c>
      <c r="D87">
        <v>134.93</v>
      </c>
    </row>
    <row r="88" spans="1:4" x14ac:dyDescent="0.45">
      <c r="A88" t="s">
        <v>38</v>
      </c>
      <c r="B88">
        <v>2009</v>
      </c>
      <c r="C88" t="s">
        <v>74</v>
      </c>
      <c r="D88">
        <v>23.23</v>
      </c>
    </row>
    <row r="89" spans="1:4" x14ac:dyDescent="0.45">
      <c r="A89" t="s">
        <v>32</v>
      </c>
      <c r="B89">
        <v>2009</v>
      </c>
      <c r="C89" t="s">
        <v>74</v>
      </c>
      <c r="D89">
        <v>0.02</v>
      </c>
    </row>
    <row r="90" spans="1:4" x14ac:dyDescent="0.45">
      <c r="A90" t="s">
        <v>58</v>
      </c>
      <c r="B90">
        <v>2009</v>
      </c>
      <c r="C90" t="s">
        <v>74</v>
      </c>
      <c r="D90">
        <v>6.72</v>
      </c>
    </row>
    <row r="91" spans="1:4" x14ac:dyDescent="0.45">
      <c r="A91" t="s">
        <v>91</v>
      </c>
      <c r="B91">
        <v>2009</v>
      </c>
      <c r="C91" t="s">
        <v>74</v>
      </c>
      <c r="D91">
        <v>39.42</v>
      </c>
    </row>
    <row r="92" spans="1:4" x14ac:dyDescent="0.45">
      <c r="A92" t="s">
        <v>32</v>
      </c>
      <c r="B92">
        <v>2010</v>
      </c>
      <c r="C92" t="s">
        <v>74</v>
      </c>
      <c r="D92">
        <v>33.92</v>
      </c>
    </row>
    <row r="93" spans="1:4" x14ac:dyDescent="0.45">
      <c r="A93" t="s">
        <v>34</v>
      </c>
      <c r="B93">
        <v>2010</v>
      </c>
      <c r="C93" t="s">
        <v>74</v>
      </c>
      <c r="D93">
        <v>262.89</v>
      </c>
    </row>
    <row r="94" spans="1:4" x14ac:dyDescent="0.45">
      <c r="A94" t="s">
        <v>36</v>
      </c>
      <c r="B94">
        <v>2010</v>
      </c>
      <c r="C94" t="s">
        <v>74</v>
      </c>
      <c r="D94">
        <v>88.76</v>
      </c>
    </row>
    <row r="95" spans="1:4" x14ac:dyDescent="0.45">
      <c r="A95" t="s">
        <v>56</v>
      </c>
      <c r="B95">
        <v>2010</v>
      </c>
      <c r="C95" t="s">
        <v>74</v>
      </c>
      <c r="D95">
        <v>20.95</v>
      </c>
    </row>
    <row r="96" spans="1:4" x14ac:dyDescent="0.45">
      <c r="A96" t="s">
        <v>57</v>
      </c>
      <c r="B96">
        <v>2010</v>
      </c>
      <c r="C96" t="s">
        <v>74</v>
      </c>
      <c r="D96">
        <v>140.56</v>
      </c>
    </row>
    <row r="97" spans="1:4" x14ac:dyDescent="0.45">
      <c r="A97" t="s">
        <v>38</v>
      </c>
      <c r="B97">
        <v>2010</v>
      </c>
      <c r="C97" t="s">
        <v>74</v>
      </c>
      <c r="D97">
        <v>26.59</v>
      </c>
    </row>
    <row r="98" spans="1:4" x14ac:dyDescent="0.45">
      <c r="A98" t="s">
        <v>32</v>
      </c>
      <c r="B98">
        <v>2010</v>
      </c>
      <c r="C98" t="s">
        <v>74</v>
      </c>
      <c r="D98">
        <v>0.03</v>
      </c>
    </row>
    <row r="99" spans="1:4" x14ac:dyDescent="0.45">
      <c r="A99" t="s">
        <v>58</v>
      </c>
      <c r="B99">
        <v>2010</v>
      </c>
      <c r="C99" t="s">
        <v>74</v>
      </c>
      <c r="D99">
        <v>11.96</v>
      </c>
    </row>
    <row r="100" spans="1:4" x14ac:dyDescent="0.45">
      <c r="A100" t="s">
        <v>91</v>
      </c>
      <c r="B100">
        <v>2010</v>
      </c>
      <c r="C100" t="s">
        <v>74</v>
      </c>
      <c r="D100">
        <v>38.549999999999997</v>
      </c>
    </row>
    <row r="101" spans="1:4" x14ac:dyDescent="0.45">
      <c r="A101" t="s">
        <v>32</v>
      </c>
      <c r="B101">
        <v>2011</v>
      </c>
      <c r="C101" t="s">
        <v>74</v>
      </c>
      <c r="D101">
        <v>36.89</v>
      </c>
    </row>
    <row r="102" spans="1:4" x14ac:dyDescent="0.45">
      <c r="A102" t="s">
        <v>34</v>
      </c>
      <c r="B102">
        <v>2011</v>
      </c>
      <c r="C102" t="s">
        <v>74</v>
      </c>
      <c r="D102">
        <v>262.45999999999998</v>
      </c>
    </row>
    <row r="103" spans="1:4" x14ac:dyDescent="0.45">
      <c r="A103" t="s">
        <v>36</v>
      </c>
      <c r="B103">
        <v>2011</v>
      </c>
      <c r="C103" t="s">
        <v>74</v>
      </c>
      <c r="D103">
        <v>85.67</v>
      </c>
    </row>
    <row r="104" spans="1:4" x14ac:dyDescent="0.45">
      <c r="A104" t="s">
        <v>56</v>
      </c>
      <c r="B104">
        <v>2011</v>
      </c>
      <c r="C104" t="s">
        <v>74</v>
      </c>
      <c r="D104">
        <v>17.670000000000002</v>
      </c>
    </row>
    <row r="105" spans="1:4" x14ac:dyDescent="0.45">
      <c r="A105" t="s">
        <v>57</v>
      </c>
      <c r="B105">
        <v>2011</v>
      </c>
      <c r="C105" t="s">
        <v>74</v>
      </c>
      <c r="D105">
        <v>107.97</v>
      </c>
    </row>
    <row r="106" spans="1:4" x14ac:dyDescent="0.45">
      <c r="A106" t="s">
        <v>38</v>
      </c>
      <c r="B106">
        <v>2011</v>
      </c>
      <c r="C106" t="s">
        <v>74</v>
      </c>
      <c r="D106">
        <v>24.47</v>
      </c>
    </row>
    <row r="107" spans="1:4" x14ac:dyDescent="0.45">
      <c r="A107" t="s">
        <v>32</v>
      </c>
      <c r="B107">
        <v>2011</v>
      </c>
      <c r="C107" t="s">
        <v>74</v>
      </c>
      <c r="D107">
        <v>0.02</v>
      </c>
    </row>
    <row r="108" spans="1:4" x14ac:dyDescent="0.45">
      <c r="A108" t="s">
        <v>58</v>
      </c>
      <c r="B108">
        <v>2011</v>
      </c>
      <c r="C108" t="s">
        <v>74</v>
      </c>
      <c r="D108">
        <v>19.989999999999998</v>
      </c>
    </row>
    <row r="109" spans="1:4" x14ac:dyDescent="0.45">
      <c r="A109" t="s">
        <v>91</v>
      </c>
      <c r="B109">
        <v>2011</v>
      </c>
      <c r="C109" t="s">
        <v>74</v>
      </c>
      <c r="D109">
        <v>49.86</v>
      </c>
    </row>
    <row r="110" spans="1:4" x14ac:dyDescent="0.45">
      <c r="A110" t="s">
        <v>32</v>
      </c>
      <c r="B110">
        <v>2012</v>
      </c>
      <c r="C110" t="s">
        <v>74</v>
      </c>
      <c r="D110">
        <v>43.2</v>
      </c>
    </row>
    <row r="111" spans="1:4" x14ac:dyDescent="0.45">
      <c r="A111" t="s">
        <v>34</v>
      </c>
      <c r="B111">
        <v>2012</v>
      </c>
      <c r="C111" t="s">
        <v>74</v>
      </c>
      <c r="D111">
        <v>276.23</v>
      </c>
    </row>
    <row r="112" spans="1:4" x14ac:dyDescent="0.45">
      <c r="A112" t="s">
        <v>36</v>
      </c>
      <c r="B112">
        <v>2012</v>
      </c>
      <c r="C112" t="s">
        <v>74</v>
      </c>
      <c r="D112">
        <v>75.95</v>
      </c>
    </row>
    <row r="113" spans="1:4" x14ac:dyDescent="0.45">
      <c r="A113" t="s">
        <v>56</v>
      </c>
      <c r="B113">
        <v>2012</v>
      </c>
      <c r="C113" t="s">
        <v>74</v>
      </c>
      <c r="D113">
        <v>21.75</v>
      </c>
    </row>
    <row r="114" spans="1:4" x14ac:dyDescent="0.45">
      <c r="A114" t="s">
        <v>57</v>
      </c>
      <c r="B114">
        <v>2012</v>
      </c>
      <c r="C114" t="s">
        <v>74</v>
      </c>
      <c r="D114">
        <v>99.46</v>
      </c>
    </row>
    <row r="115" spans="1:4" x14ac:dyDescent="0.45">
      <c r="A115" t="s">
        <v>38</v>
      </c>
      <c r="B115">
        <v>2012</v>
      </c>
      <c r="C115" t="s">
        <v>74</v>
      </c>
      <c r="D115">
        <v>24.77</v>
      </c>
    </row>
    <row r="116" spans="1:4" x14ac:dyDescent="0.45">
      <c r="A116" t="s">
        <v>32</v>
      </c>
      <c r="B116">
        <v>2012</v>
      </c>
      <c r="C116" t="s">
        <v>74</v>
      </c>
      <c r="D116">
        <v>0.03</v>
      </c>
    </row>
    <row r="117" spans="1:4" x14ac:dyDescent="0.45">
      <c r="A117" t="s">
        <v>58</v>
      </c>
      <c r="B117">
        <v>2012</v>
      </c>
      <c r="C117" t="s">
        <v>74</v>
      </c>
      <c r="D117">
        <v>26.74</v>
      </c>
    </row>
    <row r="118" spans="1:4" x14ac:dyDescent="0.45">
      <c r="A118" t="s">
        <v>91</v>
      </c>
      <c r="B118">
        <v>2012</v>
      </c>
      <c r="C118" t="s">
        <v>74</v>
      </c>
      <c r="D118">
        <v>51.68</v>
      </c>
    </row>
    <row r="119" spans="1:4" x14ac:dyDescent="0.45">
      <c r="A119" t="s">
        <v>32</v>
      </c>
      <c r="B119">
        <v>2013</v>
      </c>
      <c r="C119" t="s">
        <v>74</v>
      </c>
      <c r="D119">
        <v>45.51</v>
      </c>
    </row>
    <row r="120" spans="1:4" x14ac:dyDescent="0.45">
      <c r="A120" t="s">
        <v>34</v>
      </c>
      <c r="B120">
        <v>2013</v>
      </c>
      <c r="C120" t="s">
        <v>74</v>
      </c>
      <c r="D120">
        <v>288.2</v>
      </c>
    </row>
    <row r="121" spans="1:4" x14ac:dyDescent="0.45">
      <c r="A121" t="s">
        <v>36</v>
      </c>
      <c r="B121">
        <v>2013</v>
      </c>
      <c r="C121" t="s">
        <v>74</v>
      </c>
      <c r="D121">
        <v>67</v>
      </c>
    </row>
    <row r="122" spans="1:4" x14ac:dyDescent="0.45">
      <c r="A122" t="s">
        <v>56</v>
      </c>
      <c r="B122">
        <v>2013</v>
      </c>
      <c r="C122" t="s">
        <v>74</v>
      </c>
      <c r="D122">
        <v>23</v>
      </c>
    </row>
    <row r="123" spans="1:4" x14ac:dyDescent="0.45">
      <c r="A123" t="s">
        <v>57</v>
      </c>
      <c r="B123">
        <v>2013</v>
      </c>
      <c r="C123" t="s">
        <v>74</v>
      </c>
      <c r="D123">
        <v>97.29</v>
      </c>
    </row>
    <row r="124" spans="1:4" x14ac:dyDescent="0.45">
      <c r="A124" t="s">
        <v>38</v>
      </c>
      <c r="B124">
        <v>2013</v>
      </c>
      <c r="C124" t="s">
        <v>74</v>
      </c>
      <c r="D124">
        <v>25.25</v>
      </c>
    </row>
    <row r="125" spans="1:4" x14ac:dyDescent="0.45">
      <c r="A125" t="s">
        <v>32</v>
      </c>
      <c r="B125">
        <v>2013</v>
      </c>
      <c r="C125" t="s">
        <v>74</v>
      </c>
      <c r="D125">
        <v>0.08</v>
      </c>
    </row>
    <row r="126" spans="1:4" x14ac:dyDescent="0.45">
      <c r="A126" t="s">
        <v>58</v>
      </c>
      <c r="B126">
        <v>2013</v>
      </c>
      <c r="C126" t="s">
        <v>74</v>
      </c>
      <c r="D126">
        <v>30.62</v>
      </c>
    </row>
    <row r="127" spans="1:4" x14ac:dyDescent="0.45">
      <c r="A127" t="s">
        <v>91</v>
      </c>
      <c r="B127">
        <v>2013</v>
      </c>
      <c r="C127" t="s">
        <v>74</v>
      </c>
      <c r="D127">
        <v>52.74</v>
      </c>
    </row>
    <row r="128" spans="1:4" x14ac:dyDescent="0.45">
      <c r="A128" t="s">
        <v>32</v>
      </c>
      <c r="B128">
        <v>2014</v>
      </c>
      <c r="C128" t="s">
        <v>74</v>
      </c>
      <c r="D128">
        <v>48.29</v>
      </c>
    </row>
    <row r="129" spans="1:4" x14ac:dyDescent="0.45">
      <c r="A129" t="s">
        <v>34</v>
      </c>
      <c r="B129">
        <v>2014</v>
      </c>
      <c r="C129" t="s">
        <v>74</v>
      </c>
      <c r="D129">
        <v>274.41000000000003</v>
      </c>
    </row>
    <row r="130" spans="1:4" x14ac:dyDescent="0.45">
      <c r="A130" t="s">
        <v>36</v>
      </c>
      <c r="B130">
        <v>2014</v>
      </c>
      <c r="C130" t="s">
        <v>74</v>
      </c>
      <c r="D130">
        <v>60.61</v>
      </c>
    </row>
    <row r="131" spans="1:4" x14ac:dyDescent="0.45">
      <c r="A131" t="s">
        <v>56</v>
      </c>
      <c r="B131">
        <v>2014</v>
      </c>
      <c r="C131" t="s">
        <v>74</v>
      </c>
      <c r="D131">
        <v>19.59</v>
      </c>
    </row>
    <row r="132" spans="1:4" x14ac:dyDescent="0.45">
      <c r="A132" t="s">
        <v>57</v>
      </c>
      <c r="B132">
        <v>2014</v>
      </c>
      <c r="C132" t="s">
        <v>74</v>
      </c>
      <c r="D132">
        <v>97.13</v>
      </c>
    </row>
    <row r="133" spans="1:4" x14ac:dyDescent="0.45">
      <c r="A133" t="s">
        <v>38</v>
      </c>
      <c r="B133">
        <v>2014</v>
      </c>
      <c r="C133" t="s">
        <v>74</v>
      </c>
      <c r="D133">
        <v>24.67</v>
      </c>
    </row>
    <row r="134" spans="1:4" x14ac:dyDescent="0.45">
      <c r="A134" t="s">
        <v>32</v>
      </c>
      <c r="B134">
        <v>2014</v>
      </c>
      <c r="C134" t="s">
        <v>74</v>
      </c>
      <c r="D134">
        <v>0.1</v>
      </c>
    </row>
    <row r="135" spans="1:4" x14ac:dyDescent="0.45">
      <c r="A135" t="s">
        <v>58</v>
      </c>
      <c r="B135">
        <v>2014</v>
      </c>
      <c r="C135" t="s">
        <v>74</v>
      </c>
      <c r="D135">
        <v>35.450000000000003</v>
      </c>
    </row>
    <row r="136" spans="1:4" x14ac:dyDescent="0.45">
      <c r="A136" t="s">
        <v>91</v>
      </c>
      <c r="B136">
        <v>2014</v>
      </c>
      <c r="C136" t="s">
        <v>74</v>
      </c>
      <c r="D136">
        <v>58.5</v>
      </c>
    </row>
    <row r="137" spans="1:4" x14ac:dyDescent="0.45">
      <c r="A137" t="s">
        <v>32</v>
      </c>
      <c r="B137">
        <v>2015</v>
      </c>
      <c r="C137" t="s">
        <v>74</v>
      </c>
      <c r="D137">
        <v>50.33</v>
      </c>
    </row>
    <row r="138" spans="1:4" x14ac:dyDescent="0.45">
      <c r="A138" t="s">
        <v>34</v>
      </c>
      <c r="B138">
        <v>2015</v>
      </c>
      <c r="C138" t="s">
        <v>74</v>
      </c>
      <c r="D138">
        <v>272.2</v>
      </c>
    </row>
    <row r="139" spans="1:4" x14ac:dyDescent="0.45">
      <c r="A139" t="s">
        <v>36</v>
      </c>
      <c r="B139">
        <v>2015</v>
      </c>
      <c r="C139" t="s">
        <v>74</v>
      </c>
      <c r="D139">
        <v>61.47</v>
      </c>
    </row>
    <row r="140" spans="1:4" x14ac:dyDescent="0.45">
      <c r="A140" t="s">
        <v>56</v>
      </c>
      <c r="B140">
        <v>2015</v>
      </c>
      <c r="C140" t="s">
        <v>74</v>
      </c>
      <c r="D140">
        <v>18.98</v>
      </c>
    </row>
    <row r="141" spans="1:4" x14ac:dyDescent="0.45">
      <c r="A141" t="s">
        <v>57</v>
      </c>
      <c r="B141">
        <v>2015</v>
      </c>
      <c r="C141" t="s">
        <v>74</v>
      </c>
      <c r="D141">
        <v>91.79</v>
      </c>
    </row>
    <row r="142" spans="1:4" x14ac:dyDescent="0.45">
      <c r="A142" t="s">
        <v>38</v>
      </c>
      <c r="B142">
        <v>2015</v>
      </c>
      <c r="C142" t="s">
        <v>74</v>
      </c>
      <c r="D142">
        <v>25.57</v>
      </c>
    </row>
    <row r="143" spans="1:4" x14ac:dyDescent="0.45">
      <c r="A143" t="s">
        <v>32</v>
      </c>
      <c r="B143">
        <v>2015</v>
      </c>
      <c r="C143" t="s">
        <v>74</v>
      </c>
      <c r="D143">
        <v>0.13</v>
      </c>
    </row>
    <row r="144" spans="1:4" x14ac:dyDescent="0.45">
      <c r="A144" t="s">
        <v>58</v>
      </c>
      <c r="B144">
        <v>2015</v>
      </c>
      <c r="C144" t="s">
        <v>74</v>
      </c>
      <c r="D144">
        <v>38.08</v>
      </c>
    </row>
    <row r="145" spans="1:4" x14ac:dyDescent="0.45">
      <c r="A145" t="s">
        <v>91</v>
      </c>
      <c r="B145">
        <v>2015</v>
      </c>
      <c r="C145" t="s">
        <v>74</v>
      </c>
      <c r="D145">
        <v>80.62</v>
      </c>
    </row>
    <row r="146" spans="1:4" x14ac:dyDescent="0.45">
      <c r="A146" t="s">
        <v>32</v>
      </c>
      <c r="B146">
        <v>2016</v>
      </c>
      <c r="C146" t="s">
        <v>74</v>
      </c>
      <c r="D146">
        <v>50.93</v>
      </c>
    </row>
    <row r="147" spans="1:4" x14ac:dyDescent="0.45">
      <c r="A147" t="s">
        <v>34</v>
      </c>
      <c r="B147">
        <v>2016</v>
      </c>
      <c r="C147" t="s">
        <v>74</v>
      </c>
      <c r="D147">
        <v>261.75</v>
      </c>
    </row>
    <row r="148" spans="1:4" x14ac:dyDescent="0.45">
      <c r="A148" t="s">
        <v>36</v>
      </c>
      <c r="B148">
        <v>2016</v>
      </c>
      <c r="C148" t="s">
        <v>74</v>
      </c>
      <c r="D148">
        <v>80.62</v>
      </c>
    </row>
    <row r="149" spans="1:4" x14ac:dyDescent="0.45">
      <c r="A149" t="s">
        <v>56</v>
      </c>
      <c r="B149">
        <v>2016</v>
      </c>
      <c r="C149" t="s">
        <v>74</v>
      </c>
      <c r="D149">
        <v>20.55</v>
      </c>
    </row>
    <row r="150" spans="1:4" x14ac:dyDescent="0.45">
      <c r="A150" t="s">
        <v>57</v>
      </c>
      <c r="B150">
        <v>2016</v>
      </c>
      <c r="C150" t="s">
        <v>74</v>
      </c>
      <c r="D150">
        <v>84.63</v>
      </c>
    </row>
    <row r="151" spans="1:4" x14ac:dyDescent="0.45">
      <c r="A151" t="s">
        <v>38</v>
      </c>
      <c r="B151">
        <v>2016</v>
      </c>
      <c r="C151" t="s">
        <v>74</v>
      </c>
      <c r="D151">
        <v>25.39</v>
      </c>
    </row>
    <row r="152" spans="1:4" x14ac:dyDescent="0.45">
      <c r="A152" t="s">
        <v>32</v>
      </c>
      <c r="B152">
        <v>2016</v>
      </c>
      <c r="C152" t="s">
        <v>74</v>
      </c>
      <c r="D152">
        <v>0.17</v>
      </c>
    </row>
    <row r="153" spans="1:4" x14ac:dyDescent="0.45">
      <c r="A153" t="s">
        <v>58</v>
      </c>
      <c r="B153">
        <v>2016</v>
      </c>
      <c r="C153" t="s">
        <v>74</v>
      </c>
      <c r="D153">
        <v>37.56</v>
      </c>
    </row>
    <row r="154" spans="1:4" x14ac:dyDescent="0.45">
      <c r="A154" t="s">
        <v>91</v>
      </c>
      <c r="B154">
        <v>2016</v>
      </c>
      <c r="C154" t="s">
        <v>74</v>
      </c>
      <c r="D154">
        <v>79.92</v>
      </c>
    </row>
    <row r="155" spans="1:4" x14ac:dyDescent="0.45">
      <c r="A155" t="s">
        <v>32</v>
      </c>
      <c r="B155">
        <v>2017</v>
      </c>
      <c r="C155" t="s">
        <v>74</v>
      </c>
      <c r="D155">
        <v>50.92</v>
      </c>
    </row>
    <row r="156" spans="1:4" x14ac:dyDescent="0.45">
      <c r="A156" t="s">
        <v>34</v>
      </c>
      <c r="B156">
        <v>2017</v>
      </c>
      <c r="C156" t="s">
        <v>74</v>
      </c>
      <c r="D156">
        <v>241.26</v>
      </c>
    </row>
    <row r="157" spans="1:4" x14ac:dyDescent="0.45">
      <c r="A157" t="s">
        <v>36</v>
      </c>
      <c r="B157">
        <v>2017</v>
      </c>
      <c r="C157" t="s">
        <v>74</v>
      </c>
      <c r="D157">
        <v>86.04</v>
      </c>
    </row>
    <row r="158" spans="1:4" x14ac:dyDescent="0.45">
      <c r="A158" t="s">
        <v>56</v>
      </c>
      <c r="B158">
        <v>2017</v>
      </c>
      <c r="C158" t="s">
        <v>74</v>
      </c>
      <c r="D158">
        <v>20.149999999999999</v>
      </c>
    </row>
    <row r="159" spans="1:4" x14ac:dyDescent="0.45">
      <c r="A159" t="s">
        <v>57</v>
      </c>
      <c r="B159">
        <v>2017</v>
      </c>
      <c r="C159" t="s">
        <v>74</v>
      </c>
      <c r="D159">
        <v>76.319999999999993</v>
      </c>
    </row>
    <row r="160" spans="1:4" x14ac:dyDescent="0.45">
      <c r="A160" t="s">
        <v>38</v>
      </c>
      <c r="B160">
        <v>2017</v>
      </c>
      <c r="C160" t="s">
        <v>74</v>
      </c>
      <c r="D160">
        <v>25.16</v>
      </c>
    </row>
    <row r="161" spans="1:4" x14ac:dyDescent="0.45">
      <c r="A161" t="s">
        <v>32</v>
      </c>
      <c r="B161">
        <v>2017</v>
      </c>
      <c r="C161" t="s">
        <v>74</v>
      </c>
      <c r="D161">
        <v>0.16</v>
      </c>
    </row>
    <row r="162" spans="1:4" x14ac:dyDescent="0.45">
      <c r="A162" t="s">
        <v>58</v>
      </c>
      <c r="B162">
        <v>2017</v>
      </c>
      <c r="C162" t="s">
        <v>74</v>
      </c>
      <c r="D162">
        <v>38.76</v>
      </c>
    </row>
    <row r="163" spans="1:4" x14ac:dyDescent="0.45">
      <c r="A163" t="s">
        <v>91</v>
      </c>
      <c r="B163">
        <v>2017</v>
      </c>
      <c r="C163" t="s">
        <v>74</v>
      </c>
      <c r="D163">
        <v>105.69</v>
      </c>
    </row>
    <row r="164" spans="1:4" x14ac:dyDescent="0.45">
      <c r="A164" t="s">
        <v>32</v>
      </c>
      <c r="B164">
        <v>2018</v>
      </c>
      <c r="C164" t="s">
        <v>74</v>
      </c>
      <c r="D164">
        <v>50.79</v>
      </c>
    </row>
    <row r="165" spans="1:4" x14ac:dyDescent="0.45">
      <c r="A165" t="s">
        <v>34</v>
      </c>
      <c r="B165">
        <v>2018</v>
      </c>
      <c r="C165" t="s">
        <v>74</v>
      </c>
      <c r="D165">
        <v>228.16</v>
      </c>
    </row>
    <row r="166" spans="1:4" x14ac:dyDescent="0.45">
      <c r="A166" t="s">
        <v>36</v>
      </c>
      <c r="B166">
        <v>2018</v>
      </c>
      <c r="C166" t="s">
        <v>74</v>
      </c>
      <c r="D166">
        <v>81.56</v>
      </c>
    </row>
    <row r="167" spans="1:4" x14ac:dyDescent="0.45">
      <c r="A167" t="s">
        <v>56</v>
      </c>
      <c r="B167">
        <v>2018</v>
      </c>
      <c r="C167" t="s">
        <v>74</v>
      </c>
      <c r="D167">
        <v>17.690000000000001</v>
      </c>
    </row>
    <row r="168" spans="1:4" x14ac:dyDescent="0.45">
      <c r="A168" t="s">
        <v>57</v>
      </c>
      <c r="B168">
        <v>2018</v>
      </c>
      <c r="C168" t="s">
        <v>74</v>
      </c>
      <c r="D168">
        <v>76</v>
      </c>
    </row>
    <row r="169" spans="1:4" x14ac:dyDescent="0.45">
      <c r="A169" t="s">
        <v>38</v>
      </c>
      <c r="B169">
        <v>2018</v>
      </c>
      <c r="C169" t="s">
        <v>74</v>
      </c>
      <c r="D169">
        <v>23.63</v>
      </c>
    </row>
    <row r="170" spans="1:4" x14ac:dyDescent="0.45">
      <c r="A170" t="s">
        <v>32</v>
      </c>
      <c r="B170">
        <v>2018</v>
      </c>
      <c r="C170" t="s">
        <v>74</v>
      </c>
      <c r="D170">
        <v>0.18</v>
      </c>
    </row>
    <row r="171" spans="1:4" x14ac:dyDescent="0.45">
      <c r="A171" t="s">
        <v>58</v>
      </c>
      <c r="B171">
        <v>2018</v>
      </c>
      <c r="C171" t="s">
        <v>74</v>
      </c>
      <c r="D171">
        <v>44.32</v>
      </c>
    </row>
    <row r="172" spans="1:4" x14ac:dyDescent="0.45">
      <c r="A172" t="s">
        <v>91</v>
      </c>
      <c r="B172">
        <v>2018</v>
      </c>
      <c r="C172" t="s">
        <v>74</v>
      </c>
      <c r="D172">
        <v>109.95</v>
      </c>
    </row>
    <row r="173" spans="1:4" x14ac:dyDescent="0.45">
      <c r="A173" t="s">
        <v>32</v>
      </c>
      <c r="B173">
        <v>2019</v>
      </c>
      <c r="C173" t="s">
        <v>74</v>
      </c>
      <c r="D173">
        <v>50.13</v>
      </c>
    </row>
    <row r="174" spans="1:4" x14ac:dyDescent="0.45">
      <c r="A174" t="s">
        <v>34</v>
      </c>
      <c r="B174">
        <v>2019</v>
      </c>
      <c r="C174" t="s">
        <v>74</v>
      </c>
      <c r="D174">
        <v>171.45</v>
      </c>
    </row>
    <row r="175" spans="1:4" x14ac:dyDescent="0.45">
      <c r="A175" t="s">
        <v>36</v>
      </c>
      <c r="B175">
        <v>2019</v>
      </c>
      <c r="C175" t="s">
        <v>74</v>
      </c>
      <c r="D175">
        <v>90</v>
      </c>
    </row>
    <row r="176" spans="1:4" x14ac:dyDescent="0.45">
      <c r="A176" t="s">
        <v>56</v>
      </c>
      <c r="B176">
        <v>2019</v>
      </c>
      <c r="C176" t="s">
        <v>74</v>
      </c>
      <c r="D176">
        <v>19.73</v>
      </c>
    </row>
    <row r="177" spans="1:4" x14ac:dyDescent="0.45">
      <c r="A177" t="s">
        <v>57</v>
      </c>
      <c r="B177">
        <v>2019</v>
      </c>
      <c r="C177" t="s">
        <v>74</v>
      </c>
      <c r="D177">
        <v>75.069999999999993</v>
      </c>
    </row>
    <row r="178" spans="1:4" x14ac:dyDescent="0.45">
      <c r="A178" t="s">
        <v>38</v>
      </c>
      <c r="B178">
        <v>2019</v>
      </c>
      <c r="C178" t="s">
        <v>74</v>
      </c>
      <c r="D178">
        <v>22.4</v>
      </c>
    </row>
    <row r="179" spans="1:4" x14ac:dyDescent="0.45">
      <c r="A179" t="s">
        <v>32</v>
      </c>
      <c r="B179">
        <v>2019</v>
      </c>
      <c r="C179" t="s">
        <v>74</v>
      </c>
      <c r="D179">
        <v>0.2</v>
      </c>
    </row>
    <row r="180" spans="1:4" x14ac:dyDescent="0.45">
      <c r="A180" t="s">
        <v>58</v>
      </c>
      <c r="B180">
        <v>2019</v>
      </c>
      <c r="C180" t="s">
        <v>74</v>
      </c>
      <c r="D180">
        <v>45.22</v>
      </c>
    </row>
    <row r="181" spans="1:4" x14ac:dyDescent="0.45">
      <c r="A181" t="s">
        <v>91</v>
      </c>
      <c r="B181">
        <v>2019</v>
      </c>
      <c r="C181" t="s">
        <v>74</v>
      </c>
      <c r="D181">
        <v>125.89</v>
      </c>
    </row>
    <row r="182" spans="1:4" x14ac:dyDescent="0.45">
      <c r="A182" t="s">
        <v>32</v>
      </c>
      <c r="B182">
        <v>2020</v>
      </c>
      <c r="C182" t="s">
        <v>74</v>
      </c>
      <c r="D182">
        <v>50.93</v>
      </c>
    </row>
    <row r="183" spans="1:4" x14ac:dyDescent="0.45">
      <c r="A183" t="s">
        <v>34</v>
      </c>
      <c r="B183">
        <v>2020</v>
      </c>
      <c r="C183" t="s">
        <v>74</v>
      </c>
      <c r="D183">
        <v>134.6</v>
      </c>
    </row>
    <row r="184" spans="1:4" x14ac:dyDescent="0.45">
      <c r="A184" t="s">
        <v>36</v>
      </c>
      <c r="B184">
        <v>2020</v>
      </c>
      <c r="C184" t="s">
        <v>74</v>
      </c>
      <c r="D184">
        <v>95</v>
      </c>
    </row>
    <row r="185" spans="1:4" x14ac:dyDescent="0.45">
      <c r="A185" t="s">
        <v>56</v>
      </c>
      <c r="B185">
        <v>2020</v>
      </c>
      <c r="C185" t="s">
        <v>74</v>
      </c>
      <c r="D185">
        <v>18.72</v>
      </c>
    </row>
    <row r="186" spans="1:4" x14ac:dyDescent="0.45">
      <c r="A186" t="s">
        <v>57</v>
      </c>
      <c r="B186">
        <v>2020</v>
      </c>
      <c r="C186" t="s">
        <v>74</v>
      </c>
      <c r="D186">
        <v>64.38</v>
      </c>
    </row>
    <row r="187" spans="1:4" x14ac:dyDescent="0.45">
      <c r="A187" t="s">
        <v>38</v>
      </c>
      <c r="B187">
        <v>2020</v>
      </c>
      <c r="C187" t="s">
        <v>74</v>
      </c>
      <c r="D187">
        <v>21.28</v>
      </c>
    </row>
    <row r="188" spans="1:4" x14ac:dyDescent="0.45">
      <c r="A188" t="s">
        <v>32</v>
      </c>
      <c r="B188">
        <v>2020</v>
      </c>
      <c r="C188" t="s">
        <v>74</v>
      </c>
      <c r="D188">
        <v>0.23</v>
      </c>
    </row>
    <row r="189" spans="1:4" x14ac:dyDescent="0.45">
      <c r="A189" t="s">
        <v>58</v>
      </c>
      <c r="B189">
        <v>2020</v>
      </c>
      <c r="C189" t="s">
        <v>74</v>
      </c>
      <c r="D189">
        <v>49.5</v>
      </c>
    </row>
    <row r="190" spans="1:4" x14ac:dyDescent="0.45">
      <c r="A190" t="s">
        <v>91</v>
      </c>
      <c r="B190">
        <v>2020</v>
      </c>
      <c r="C190" t="s">
        <v>74</v>
      </c>
      <c r="D190">
        <v>132.11000000000001</v>
      </c>
    </row>
    <row r="191" spans="1:4" x14ac:dyDescent="0.45">
      <c r="A191" t="s">
        <v>32</v>
      </c>
      <c r="B191">
        <v>2021</v>
      </c>
      <c r="C191" t="s">
        <v>74</v>
      </c>
      <c r="D191">
        <v>49.1</v>
      </c>
    </row>
    <row r="192" spans="1:4" x14ac:dyDescent="0.45">
      <c r="A192" t="s">
        <v>34</v>
      </c>
      <c r="B192">
        <v>2021</v>
      </c>
      <c r="C192" t="s">
        <v>74</v>
      </c>
      <c r="D192">
        <v>164.65</v>
      </c>
    </row>
    <row r="193" spans="1:4" x14ac:dyDescent="0.45">
      <c r="A193" t="s">
        <v>36</v>
      </c>
      <c r="B193">
        <v>2021</v>
      </c>
      <c r="C193" t="s">
        <v>74</v>
      </c>
      <c r="D193">
        <v>90.31</v>
      </c>
    </row>
    <row r="194" spans="1:4" x14ac:dyDescent="0.45">
      <c r="A194" t="s">
        <v>56</v>
      </c>
      <c r="B194">
        <v>2021</v>
      </c>
      <c r="C194" t="s">
        <v>74</v>
      </c>
      <c r="D194">
        <v>19.66</v>
      </c>
    </row>
    <row r="195" spans="1:4" x14ac:dyDescent="0.45">
      <c r="A195" t="s">
        <v>57</v>
      </c>
      <c r="B195">
        <v>2021</v>
      </c>
      <c r="C195" t="s">
        <v>74</v>
      </c>
      <c r="D195">
        <v>69.13</v>
      </c>
    </row>
    <row r="196" spans="1:4" x14ac:dyDescent="0.45">
      <c r="A196" t="s">
        <v>38</v>
      </c>
      <c r="B196">
        <v>2021</v>
      </c>
      <c r="C196" t="s">
        <v>74</v>
      </c>
      <c r="D196">
        <v>22.24</v>
      </c>
    </row>
    <row r="197" spans="1:4" x14ac:dyDescent="0.45">
      <c r="A197" t="s">
        <v>32</v>
      </c>
      <c r="B197">
        <v>2021</v>
      </c>
      <c r="C197" t="s">
        <v>74</v>
      </c>
      <c r="D197">
        <v>0.24</v>
      </c>
    </row>
    <row r="198" spans="1:4" x14ac:dyDescent="0.45">
      <c r="A198" t="s">
        <v>58</v>
      </c>
      <c r="B198">
        <v>2021</v>
      </c>
      <c r="C198" t="s">
        <v>74</v>
      </c>
      <c r="D198">
        <v>49.34</v>
      </c>
    </row>
    <row r="199" spans="1:4" x14ac:dyDescent="0.45">
      <c r="A199" t="s">
        <v>91</v>
      </c>
      <c r="B199">
        <v>2021</v>
      </c>
      <c r="C199" t="s">
        <v>74</v>
      </c>
      <c r="D199">
        <v>114.65</v>
      </c>
    </row>
    <row r="200" spans="1:4" x14ac:dyDescent="0.45">
      <c r="A200" t="s">
        <v>32</v>
      </c>
      <c r="B200">
        <v>2022</v>
      </c>
      <c r="C200" t="s">
        <v>74</v>
      </c>
      <c r="D200">
        <v>48.14</v>
      </c>
    </row>
    <row r="201" spans="1:4" x14ac:dyDescent="0.45">
      <c r="A201" t="s">
        <v>34</v>
      </c>
      <c r="B201">
        <v>2022</v>
      </c>
      <c r="C201" t="s">
        <v>74</v>
      </c>
      <c r="D201">
        <v>179.98</v>
      </c>
    </row>
    <row r="202" spans="1:4" x14ac:dyDescent="0.45">
      <c r="A202" t="s">
        <v>36</v>
      </c>
      <c r="B202">
        <v>2022</v>
      </c>
      <c r="C202" t="s">
        <v>74</v>
      </c>
      <c r="D202">
        <v>79.05</v>
      </c>
    </row>
    <row r="203" spans="1:4" x14ac:dyDescent="0.45">
      <c r="A203" t="s">
        <v>56</v>
      </c>
      <c r="B203">
        <v>2022</v>
      </c>
      <c r="C203" t="s">
        <v>74</v>
      </c>
      <c r="D203">
        <v>17.63</v>
      </c>
    </row>
    <row r="204" spans="1:4" x14ac:dyDescent="0.45">
      <c r="A204" t="s">
        <v>57</v>
      </c>
      <c r="B204">
        <v>2022</v>
      </c>
      <c r="C204" t="s">
        <v>74</v>
      </c>
      <c r="D204">
        <v>34.71</v>
      </c>
    </row>
    <row r="205" spans="1:4" x14ac:dyDescent="0.45">
      <c r="A205" t="s">
        <v>38</v>
      </c>
      <c r="B205">
        <v>2022</v>
      </c>
      <c r="C205" t="s">
        <v>74</v>
      </c>
      <c r="D205">
        <v>21.55</v>
      </c>
    </row>
    <row r="206" spans="1:4" x14ac:dyDescent="0.45">
      <c r="A206" t="s">
        <v>32</v>
      </c>
      <c r="B206">
        <v>2022</v>
      </c>
      <c r="C206" t="s">
        <v>74</v>
      </c>
      <c r="D206">
        <v>0.21</v>
      </c>
    </row>
    <row r="207" spans="1:4" x14ac:dyDescent="0.45">
      <c r="A207" t="s">
        <v>58</v>
      </c>
      <c r="B207">
        <v>2022</v>
      </c>
      <c r="C207" t="s">
        <v>74</v>
      </c>
      <c r="D207">
        <v>60.3</v>
      </c>
    </row>
    <row r="208" spans="1:4" x14ac:dyDescent="0.45">
      <c r="A208" t="s">
        <v>91</v>
      </c>
      <c r="B208">
        <v>2022</v>
      </c>
      <c r="C208" t="s">
        <v>74</v>
      </c>
      <c r="D208">
        <v>124.66</v>
      </c>
    </row>
    <row r="209" spans="1:4" x14ac:dyDescent="0.45">
      <c r="A209" t="s">
        <v>32</v>
      </c>
      <c r="B209">
        <v>2023</v>
      </c>
      <c r="C209" t="s">
        <v>74</v>
      </c>
      <c r="D209">
        <v>46.04</v>
      </c>
    </row>
    <row r="210" spans="1:4" x14ac:dyDescent="0.45">
      <c r="A210" t="s">
        <v>34</v>
      </c>
      <c r="B210">
        <v>2023</v>
      </c>
      <c r="C210" t="s">
        <v>74</v>
      </c>
      <c r="D210">
        <v>135.44</v>
      </c>
    </row>
    <row r="211" spans="1:4" x14ac:dyDescent="0.45">
      <c r="A211" t="s">
        <v>36</v>
      </c>
      <c r="B211">
        <v>2023</v>
      </c>
      <c r="C211" t="s">
        <v>74</v>
      </c>
      <c r="D211">
        <v>77.73</v>
      </c>
    </row>
    <row r="212" spans="1:4" x14ac:dyDescent="0.45">
      <c r="A212" t="s">
        <v>56</v>
      </c>
      <c r="B212">
        <v>2023</v>
      </c>
      <c r="C212" t="s">
        <v>74</v>
      </c>
      <c r="D212">
        <v>19.47</v>
      </c>
    </row>
    <row r="213" spans="1:4" x14ac:dyDescent="0.45">
      <c r="A213" t="s">
        <v>57</v>
      </c>
      <c r="B213">
        <v>2023</v>
      </c>
      <c r="C213" t="s">
        <v>74</v>
      </c>
      <c r="D213">
        <v>8.76</v>
      </c>
    </row>
    <row r="214" spans="1:4" x14ac:dyDescent="0.45">
      <c r="A214" t="s">
        <v>38</v>
      </c>
      <c r="B214">
        <v>2023</v>
      </c>
      <c r="C214" t="s">
        <v>74</v>
      </c>
      <c r="D214">
        <v>20.14</v>
      </c>
    </row>
    <row r="215" spans="1:4" x14ac:dyDescent="0.45">
      <c r="A215" t="s">
        <v>32</v>
      </c>
      <c r="B215">
        <v>2023</v>
      </c>
      <c r="C215" t="s">
        <v>74</v>
      </c>
      <c r="D215">
        <v>0.21</v>
      </c>
    </row>
    <row r="216" spans="1:4" x14ac:dyDescent="0.45">
      <c r="A216" t="s">
        <v>58</v>
      </c>
      <c r="B216">
        <v>2023</v>
      </c>
      <c r="C216" t="s">
        <v>74</v>
      </c>
      <c r="D216">
        <v>61.22</v>
      </c>
    </row>
    <row r="217" spans="1:4" x14ac:dyDescent="0.45">
      <c r="A217" t="s">
        <v>91</v>
      </c>
      <c r="B217">
        <v>2023</v>
      </c>
      <c r="C217" t="s">
        <v>74</v>
      </c>
      <c r="D217">
        <v>137.32</v>
      </c>
    </row>
    <row r="218" spans="1:4" x14ac:dyDescent="0.45">
      <c r="A218" t="s">
        <v>32</v>
      </c>
      <c r="B218">
        <v>2000</v>
      </c>
      <c r="C218" t="s">
        <v>75</v>
      </c>
      <c r="D218">
        <v>0.47</v>
      </c>
    </row>
    <row r="219" spans="1:4" x14ac:dyDescent="0.45">
      <c r="A219" t="s">
        <v>34</v>
      </c>
      <c r="B219">
        <v>2000</v>
      </c>
      <c r="C219" t="s">
        <v>75</v>
      </c>
      <c r="D219">
        <v>52.55</v>
      </c>
    </row>
    <row r="220" spans="1:4" x14ac:dyDescent="0.45">
      <c r="A220" t="s">
        <v>36</v>
      </c>
      <c r="B220">
        <v>2000</v>
      </c>
      <c r="C220" t="s">
        <v>75</v>
      </c>
      <c r="D220">
        <v>16.02</v>
      </c>
    </row>
    <row r="221" spans="1:4" x14ac:dyDescent="0.45">
      <c r="A221" t="s">
        <v>56</v>
      </c>
      <c r="B221">
        <v>2000</v>
      </c>
      <c r="C221" t="s">
        <v>75</v>
      </c>
      <c r="D221">
        <v>4.83</v>
      </c>
    </row>
    <row r="222" spans="1:4" x14ac:dyDescent="0.45">
      <c r="A222" t="s">
        <v>57</v>
      </c>
      <c r="B222">
        <v>2000</v>
      </c>
      <c r="C222" t="s">
        <v>75</v>
      </c>
      <c r="D222">
        <v>22.4</v>
      </c>
    </row>
    <row r="223" spans="1:4" x14ac:dyDescent="0.45">
      <c r="A223" t="s">
        <v>38</v>
      </c>
      <c r="B223">
        <v>2000</v>
      </c>
      <c r="C223" t="s">
        <v>75</v>
      </c>
      <c r="D223">
        <v>1.29</v>
      </c>
    </row>
    <row r="224" spans="1:4" x14ac:dyDescent="0.45">
      <c r="A224" t="s">
        <v>32</v>
      </c>
      <c r="B224">
        <v>2000</v>
      </c>
      <c r="C224" t="s">
        <v>75</v>
      </c>
      <c r="D224">
        <v>0.28999999999999998</v>
      </c>
    </row>
    <row r="225" spans="1:4" x14ac:dyDescent="0.45">
      <c r="A225" t="s">
        <v>58</v>
      </c>
      <c r="B225">
        <v>2000</v>
      </c>
      <c r="C225" t="s">
        <v>75</v>
      </c>
      <c r="D225">
        <v>0.11</v>
      </c>
    </row>
    <row r="226" spans="1:4" x14ac:dyDescent="0.45">
      <c r="A226" t="s">
        <v>91</v>
      </c>
      <c r="B226">
        <v>2000</v>
      </c>
      <c r="C226" t="s">
        <v>75</v>
      </c>
      <c r="D226">
        <v>6.09</v>
      </c>
    </row>
    <row r="227" spans="1:4" x14ac:dyDescent="0.45">
      <c r="A227" t="s">
        <v>32</v>
      </c>
      <c r="B227">
        <v>2001</v>
      </c>
      <c r="C227" t="s">
        <v>75</v>
      </c>
      <c r="D227">
        <v>0.75</v>
      </c>
    </row>
    <row r="228" spans="1:4" x14ac:dyDescent="0.45">
      <c r="A228" t="s">
        <v>34</v>
      </c>
      <c r="B228">
        <v>2001</v>
      </c>
      <c r="C228" t="s">
        <v>75</v>
      </c>
      <c r="D228">
        <v>51.96</v>
      </c>
    </row>
    <row r="229" spans="1:4" x14ac:dyDescent="0.45">
      <c r="A229" t="s">
        <v>36</v>
      </c>
      <c r="B229">
        <v>2001</v>
      </c>
      <c r="C229" t="s">
        <v>75</v>
      </c>
      <c r="D229">
        <v>16.21</v>
      </c>
    </row>
    <row r="230" spans="1:4" x14ac:dyDescent="0.45">
      <c r="A230" t="s">
        <v>56</v>
      </c>
      <c r="B230">
        <v>2001</v>
      </c>
      <c r="C230" t="s">
        <v>75</v>
      </c>
      <c r="D230">
        <v>4.83</v>
      </c>
    </row>
    <row r="231" spans="1:4" x14ac:dyDescent="0.45">
      <c r="A231" t="s">
        <v>57</v>
      </c>
      <c r="B231">
        <v>2001</v>
      </c>
      <c r="C231" t="s">
        <v>75</v>
      </c>
      <c r="D231">
        <v>22.4</v>
      </c>
    </row>
    <row r="232" spans="1:4" x14ac:dyDescent="0.45">
      <c r="A232" t="s">
        <v>38</v>
      </c>
      <c r="B232">
        <v>2001</v>
      </c>
      <c r="C232" t="s">
        <v>75</v>
      </c>
      <c r="D232">
        <v>1.29</v>
      </c>
    </row>
    <row r="233" spans="1:4" x14ac:dyDescent="0.45">
      <c r="A233" t="s">
        <v>32</v>
      </c>
      <c r="B233">
        <v>2001</v>
      </c>
      <c r="C233" t="s">
        <v>75</v>
      </c>
      <c r="D233">
        <v>0.28999999999999998</v>
      </c>
    </row>
    <row r="234" spans="1:4" x14ac:dyDescent="0.45">
      <c r="A234" t="s">
        <v>58</v>
      </c>
      <c r="B234">
        <v>2001</v>
      </c>
      <c r="C234" t="s">
        <v>75</v>
      </c>
      <c r="D234">
        <v>0.19</v>
      </c>
    </row>
    <row r="235" spans="1:4" x14ac:dyDescent="0.45">
      <c r="A235" t="s">
        <v>91</v>
      </c>
      <c r="B235">
        <v>2001</v>
      </c>
      <c r="C235" t="s">
        <v>75</v>
      </c>
      <c r="D235">
        <v>8.75</v>
      </c>
    </row>
    <row r="236" spans="1:4" x14ac:dyDescent="0.45">
      <c r="A236" t="s">
        <v>32</v>
      </c>
      <c r="B236">
        <v>2002</v>
      </c>
      <c r="C236" t="s">
        <v>75</v>
      </c>
      <c r="D236">
        <v>0.87</v>
      </c>
    </row>
    <row r="237" spans="1:4" x14ac:dyDescent="0.45">
      <c r="A237" t="s">
        <v>34</v>
      </c>
      <c r="B237">
        <v>2002</v>
      </c>
      <c r="C237" t="s">
        <v>75</v>
      </c>
      <c r="D237">
        <v>52.45</v>
      </c>
    </row>
    <row r="238" spans="1:4" x14ac:dyDescent="0.45">
      <c r="A238" t="s">
        <v>36</v>
      </c>
      <c r="B238">
        <v>2002</v>
      </c>
      <c r="C238" t="s">
        <v>75</v>
      </c>
      <c r="D238">
        <v>16.329999999999998</v>
      </c>
    </row>
    <row r="239" spans="1:4" x14ac:dyDescent="0.45">
      <c r="A239" t="s">
        <v>56</v>
      </c>
      <c r="B239">
        <v>2002</v>
      </c>
      <c r="C239" t="s">
        <v>75</v>
      </c>
      <c r="D239">
        <v>4.9400000000000004</v>
      </c>
    </row>
    <row r="240" spans="1:4" x14ac:dyDescent="0.45">
      <c r="A240" t="s">
        <v>57</v>
      </c>
      <c r="B240">
        <v>2002</v>
      </c>
      <c r="C240" t="s">
        <v>75</v>
      </c>
      <c r="D240">
        <v>23.4</v>
      </c>
    </row>
    <row r="241" spans="1:4" x14ac:dyDescent="0.45">
      <c r="A241" t="s">
        <v>38</v>
      </c>
      <c r="B241">
        <v>2002</v>
      </c>
      <c r="C241" t="s">
        <v>75</v>
      </c>
      <c r="D241">
        <v>1.29</v>
      </c>
    </row>
    <row r="242" spans="1:4" x14ac:dyDescent="0.45">
      <c r="A242" t="s">
        <v>32</v>
      </c>
      <c r="B242">
        <v>2002</v>
      </c>
      <c r="C242" t="s">
        <v>75</v>
      </c>
      <c r="D242">
        <v>0.28999999999999998</v>
      </c>
    </row>
    <row r="243" spans="1:4" x14ac:dyDescent="0.45">
      <c r="A243" t="s">
        <v>58</v>
      </c>
      <c r="B243">
        <v>2002</v>
      </c>
      <c r="C243" t="s">
        <v>75</v>
      </c>
      <c r="D243">
        <v>0.26</v>
      </c>
    </row>
    <row r="244" spans="1:4" x14ac:dyDescent="0.45">
      <c r="A244" t="s">
        <v>91</v>
      </c>
      <c r="B244">
        <v>2002</v>
      </c>
      <c r="C244" t="s">
        <v>75</v>
      </c>
      <c r="D244">
        <v>12</v>
      </c>
    </row>
    <row r="245" spans="1:4" x14ac:dyDescent="0.45">
      <c r="A245" t="s">
        <v>32</v>
      </c>
      <c r="B245">
        <v>2003</v>
      </c>
      <c r="C245" t="s">
        <v>75</v>
      </c>
      <c r="D245">
        <v>1.44</v>
      </c>
    </row>
    <row r="246" spans="1:4" x14ac:dyDescent="0.45">
      <c r="A246" t="s">
        <v>34</v>
      </c>
      <c r="B246">
        <v>2003</v>
      </c>
      <c r="C246" t="s">
        <v>75</v>
      </c>
      <c r="D246">
        <v>52.03</v>
      </c>
    </row>
    <row r="247" spans="1:4" x14ac:dyDescent="0.45">
      <c r="A247" t="s">
        <v>36</v>
      </c>
      <c r="B247">
        <v>2003</v>
      </c>
      <c r="C247" t="s">
        <v>75</v>
      </c>
      <c r="D247">
        <v>16.66</v>
      </c>
    </row>
    <row r="248" spans="1:4" x14ac:dyDescent="0.45">
      <c r="A248" t="s">
        <v>56</v>
      </c>
      <c r="B248">
        <v>2003</v>
      </c>
      <c r="C248" t="s">
        <v>75</v>
      </c>
      <c r="D248">
        <v>4.95</v>
      </c>
    </row>
    <row r="249" spans="1:4" x14ac:dyDescent="0.45">
      <c r="A249" t="s">
        <v>57</v>
      </c>
      <c r="B249">
        <v>2003</v>
      </c>
      <c r="C249" t="s">
        <v>75</v>
      </c>
      <c r="D249">
        <v>21.44</v>
      </c>
    </row>
    <row r="250" spans="1:4" x14ac:dyDescent="0.45">
      <c r="A250" t="s">
        <v>38</v>
      </c>
      <c r="B250">
        <v>2003</v>
      </c>
      <c r="C250" t="s">
        <v>75</v>
      </c>
      <c r="D250">
        <v>1.29</v>
      </c>
    </row>
    <row r="251" spans="1:4" x14ac:dyDescent="0.45">
      <c r="A251" t="s">
        <v>32</v>
      </c>
      <c r="B251">
        <v>2003</v>
      </c>
      <c r="C251" t="s">
        <v>75</v>
      </c>
      <c r="D251">
        <v>0.45</v>
      </c>
    </row>
    <row r="252" spans="1:4" x14ac:dyDescent="0.45">
      <c r="A252" t="s">
        <v>58</v>
      </c>
      <c r="B252">
        <v>2003</v>
      </c>
      <c r="C252" t="s">
        <v>75</v>
      </c>
      <c r="D252">
        <v>0.44</v>
      </c>
    </row>
    <row r="253" spans="1:4" x14ac:dyDescent="0.45">
      <c r="A253" t="s">
        <v>91</v>
      </c>
      <c r="B253">
        <v>2003</v>
      </c>
      <c r="C253" t="s">
        <v>75</v>
      </c>
      <c r="D253">
        <v>14.38</v>
      </c>
    </row>
    <row r="254" spans="1:4" x14ac:dyDescent="0.45">
      <c r="A254" t="s">
        <v>32</v>
      </c>
      <c r="B254">
        <v>2004</v>
      </c>
      <c r="C254" t="s">
        <v>75</v>
      </c>
      <c r="D254">
        <v>1.69</v>
      </c>
    </row>
    <row r="255" spans="1:4" x14ac:dyDescent="0.45">
      <c r="A255" t="s">
        <v>34</v>
      </c>
      <c r="B255">
        <v>2004</v>
      </c>
      <c r="C255" t="s">
        <v>75</v>
      </c>
      <c r="D255">
        <v>51.94</v>
      </c>
    </row>
    <row r="256" spans="1:4" x14ac:dyDescent="0.45">
      <c r="A256" t="s">
        <v>36</v>
      </c>
      <c r="B256">
        <v>2004</v>
      </c>
      <c r="C256" t="s">
        <v>75</v>
      </c>
      <c r="D256">
        <v>17.28</v>
      </c>
    </row>
    <row r="257" spans="1:4" x14ac:dyDescent="0.45">
      <c r="A257" t="s">
        <v>56</v>
      </c>
      <c r="B257">
        <v>2004</v>
      </c>
      <c r="C257" t="s">
        <v>75</v>
      </c>
      <c r="D257">
        <v>5.19</v>
      </c>
    </row>
    <row r="258" spans="1:4" x14ac:dyDescent="0.45">
      <c r="A258" t="s">
        <v>57</v>
      </c>
      <c r="B258">
        <v>2004</v>
      </c>
      <c r="C258" t="s">
        <v>75</v>
      </c>
      <c r="D258">
        <v>20.55</v>
      </c>
    </row>
    <row r="259" spans="1:4" x14ac:dyDescent="0.45">
      <c r="A259" t="s">
        <v>38</v>
      </c>
      <c r="B259">
        <v>2004</v>
      </c>
      <c r="C259" t="s">
        <v>75</v>
      </c>
      <c r="D259">
        <v>1.29</v>
      </c>
    </row>
    <row r="260" spans="1:4" x14ac:dyDescent="0.45">
      <c r="A260" t="s">
        <v>32</v>
      </c>
      <c r="B260">
        <v>2004</v>
      </c>
      <c r="C260" t="s">
        <v>75</v>
      </c>
      <c r="D260">
        <v>0.47</v>
      </c>
    </row>
    <row r="261" spans="1:4" x14ac:dyDescent="0.45">
      <c r="A261" t="s">
        <v>58</v>
      </c>
      <c r="B261">
        <v>2004</v>
      </c>
      <c r="C261" t="s">
        <v>75</v>
      </c>
      <c r="D261">
        <v>1.1100000000000001</v>
      </c>
    </row>
    <row r="262" spans="1:4" x14ac:dyDescent="0.45">
      <c r="A262" t="s">
        <v>91</v>
      </c>
      <c r="B262">
        <v>2004</v>
      </c>
      <c r="C262" t="s">
        <v>75</v>
      </c>
      <c r="D262">
        <v>16.420000000000002</v>
      </c>
    </row>
    <row r="263" spans="1:4" x14ac:dyDescent="0.45">
      <c r="A263" t="s">
        <v>32</v>
      </c>
      <c r="B263">
        <v>2005</v>
      </c>
      <c r="C263" t="s">
        <v>75</v>
      </c>
      <c r="D263">
        <v>2.37</v>
      </c>
    </row>
    <row r="264" spans="1:4" x14ac:dyDescent="0.45">
      <c r="A264" t="s">
        <v>34</v>
      </c>
      <c r="B264">
        <v>2005</v>
      </c>
      <c r="C264" t="s">
        <v>75</v>
      </c>
      <c r="D264">
        <v>51.43</v>
      </c>
    </row>
    <row r="265" spans="1:4" x14ac:dyDescent="0.45">
      <c r="A265" t="s">
        <v>36</v>
      </c>
      <c r="B265">
        <v>2005</v>
      </c>
      <c r="C265" t="s">
        <v>75</v>
      </c>
      <c r="D265">
        <v>19.13</v>
      </c>
    </row>
    <row r="266" spans="1:4" x14ac:dyDescent="0.45">
      <c r="A266" t="s">
        <v>56</v>
      </c>
      <c r="B266">
        <v>2005</v>
      </c>
      <c r="C266" t="s">
        <v>75</v>
      </c>
      <c r="D266">
        <v>5.21</v>
      </c>
    </row>
    <row r="267" spans="1:4" x14ac:dyDescent="0.45">
      <c r="A267" t="s">
        <v>57</v>
      </c>
      <c r="B267">
        <v>2005</v>
      </c>
      <c r="C267" t="s">
        <v>75</v>
      </c>
      <c r="D267">
        <v>20.38</v>
      </c>
    </row>
    <row r="268" spans="1:4" x14ac:dyDescent="0.45">
      <c r="A268" t="s">
        <v>38</v>
      </c>
      <c r="B268">
        <v>2005</v>
      </c>
      <c r="C268" t="s">
        <v>75</v>
      </c>
      <c r="D268">
        <v>1.29</v>
      </c>
    </row>
    <row r="269" spans="1:4" x14ac:dyDescent="0.45">
      <c r="A269" t="s">
        <v>32</v>
      </c>
      <c r="B269">
        <v>2005</v>
      </c>
      <c r="C269" t="s">
        <v>75</v>
      </c>
      <c r="D269">
        <v>0.59</v>
      </c>
    </row>
    <row r="270" spans="1:4" x14ac:dyDescent="0.45">
      <c r="A270" t="s">
        <v>58</v>
      </c>
      <c r="B270">
        <v>2005</v>
      </c>
      <c r="C270" t="s">
        <v>75</v>
      </c>
      <c r="D270">
        <v>2.06</v>
      </c>
    </row>
    <row r="271" spans="1:4" x14ac:dyDescent="0.45">
      <c r="A271" t="s">
        <v>91</v>
      </c>
      <c r="B271">
        <v>2005</v>
      </c>
      <c r="C271" t="s">
        <v>75</v>
      </c>
      <c r="D271">
        <v>18.25</v>
      </c>
    </row>
    <row r="272" spans="1:4" x14ac:dyDescent="0.45">
      <c r="A272" t="s">
        <v>32</v>
      </c>
      <c r="B272">
        <v>2006</v>
      </c>
      <c r="C272" t="s">
        <v>75</v>
      </c>
      <c r="D272">
        <v>3.02</v>
      </c>
    </row>
    <row r="273" spans="1:4" x14ac:dyDescent="0.45">
      <c r="A273" t="s">
        <v>34</v>
      </c>
      <c r="B273">
        <v>2006</v>
      </c>
      <c r="C273" t="s">
        <v>75</v>
      </c>
      <c r="D273">
        <v>51.43</v>
      </c>
    </row>
    <row r="274" spans="1:4" x14ac:dyDescent="0.45">
      <c r="A274" t="s">
        <v>36</v>
      </c>
      <c r="B274">
        <v>2006</v>
      </c>
      <c r="C274" t="s">
        <v>75</v>
      </c>
      <c r="D274">
        <v>19.61</v>
      </c>
    </row>
    <row r="275" spans="1:4" x14ac:dyDescent="0.45">
      <c r="A275" t="s">
        <v>56</v>
      </c>
      <c r="B275">
        <v>2006</v>
      </c>
      <c r="C275" t="s">
        <v>75</v>
      </c>
      <c r="D275">
        <v>5.19</v>
      </c>
    </row>
    <row r="276" spans="1:4" x14ac:dyDescent="0.45">
      <c r="A276" t="s">
        <v>57</v>
      </c>
      <c r="B276">
        <v>2006</v>
      </c>
      <c r="C276" t="s">
        <v>75</v>
      </c>
      <c r="D276">
        <v>20.21</v>
      </c>
    </row>
    <row r="277" spans="1:4" x14ac:dyDescent="0.45">
      <c r="A277" t="s">
        <v>38</v>
      </c>
      <c r="B277">
        <v>2006</v>
      </c>
      <c r="C277" t="s">
        <v>75</v>
      </c>
      <c r="D277">
        <v>1.29</v>
      </c>
    </row>
    <row r="278" spans="1:4" x14ac:dyDescent="0.45">
      <c r="A278" t="s">
        <v>32</v>
      </c>
      <c r="B278">
        <v>2006</v>
      </c>
      <c r="C278" t="s">
        <v>75</v>
      </c>
      <c r="D278">
        <v>0.64</v>
      </c>
    </row>
    <row r="279" spans="1:4" x14ac:dyDescent="0.45">
      <c r="A279" t="s">
        <v>58</v>
      </c>
      <c r="B279">
        <v>2006</v>
      </c>
      <c r="C279" t="s">
        <v>75</v>
      </c>
      <c r="D279">
        <v>2.9</v>
      </c>
    </row>
    <row r="280" spans="1:4" x14ac:dyDescent="0.45">
      <c r="A280" t="s">
        <v>91</v>
      </c>
      <c r="B280">
        <v>2006</v>
      </c>
      <c r="C280" t="s">
        <v>75</v>
      </c>
      <c r="D280">
        <v>20.47</v>
      </c>
    </row>
    <row r="281" spans="1:4" x14ac:dyDescent="0.45">
      <c r="A281" t="s">
        <v>32</v>
      </c>
      <c r="B281">
        <v>2007</v>
      </c>
      <c r="C281" t="s">
        <v>75</v>
      </c>
      <c r="D281">
        <v>3.39</v>
      </c>
    </row>
    <row r="282" spans="1:4" x14ac:dyDescent="0.45">
      <c r="A282" t="s">
        <v>34</v>
      </c>
      <c r="B282">
        <v>2007</v>
      </c>
      <c r="C282" t="s">
        <v>75</v>
      </c>
      <c r="D282">
        <v>51.23</v>
      </c>
    </row>
    <row r="283" spans="1:4" x14ac:dyDescent="0.45">
      <c r="A283" t="s">
        <v>36</v>
      </c>
      <c r="B283">
        <v>2007</v>
      </c>
      <c r="C283" t="s">
        <v>75</v>
      </c>
      <c r="D283">
        <v>20.96</v>
      </c>
    </row>
    <row r="284" spans="1:4" x14ac:dyDescent="0.45">
      <c r="A284" t="s">
        <v>56</v>
      </c>
      <c r="B284">
        <v>2007</v>
      </c>
      <c r="C284" t="s">
        <v>75</v>
      </c>
      <c r="D284">
        <v>5.14</v>
      </c>
    </row>
    <row r="285" spans="1:4" x14ac:dyDescent="0.45">
      <c r="A285" t="s">
        <v>57</v>
      </c>
      <c r="B285">
        <v>2007</v>
      </c>
      <c r="C285" t="s">
        <v>75</v>
      </c>
      <c r="D285">
        <v>20.21</v>
      </c>
    </row>
    <row r="286" spans="1:4" x14ac:dyDescent="0.45">
      <c r="A286" t="s">
        <v>38</v>
      </c>
      <c r="B286">
        <v>2007</v>
      </c>
      <c r="C286" t="s">
        <v>75</v>
      </c>
      <c r="D286">
        <v>1.29</v>
      </c>
    </row>
    <row r="287" spans="1:4" x14ac:dyDescent="0.45">
      <c r="A287" t="s">
        <v>32</v>
      </c>
      <c r="B287">
        <v>2007</v>
      </c>
      <c r="C287" t="s">
        <v>75</v>
      </c>
      <c r="D287">
        <v>0.62</v>
      </c>
    </row>
    <row r="288" spans="1:4" x14ac:dyDescent="0.45">
      <c r="A288" t="s">
        <v>58</v>
      </c>
      <c r="B288">
        <v>2007</v>
      </c>
      <c r="C288" t="s">
        <v>75</v>
      </c>
      <c r="D288">
        <v>4.17</v>
      </c>
    </row>
    <row r="289" spans="1:4" x14ac:dyDescent="0.45">
      <c r="A289" t="s">
        <v>91</v>
      </c>
      <c r="B289">
        <v>2007</v>
      </c>
      <c r="C289" t="s">
        <v>75</v>
      </c>
      <c r="D289">
        <v>22.12</v>
      </c>
    </row>
    <row r="290" spans="1:4" x14ac:dyDescent="0.45">
      <c r="A290" t="s">
        <v>32</v>
      </c>
      <c r="B290">
        <v>2008</v>
      </c>
      <c r="C290" t="s">
        <v>75</v>
      </c>
      <c r="D290">
        <v>3.68</v>
      </c>
    </row>
    <row r="291" spans="1:4" x14ac:dyDescent="0.45">
      <c r="A291" t="s">
        <v>34</v>
      </c>
      <c r="B291">
        <v>2008</v>
      </c>
      <c r="C291" t="s">
        <v>75</v>
      </c>
      <c r="D291">
        <v>51.23</v>
      </c>
    </row>
    <row r="292" spans="1:4" x14ac:dyDescent="0.45">
      <c r="A292" t="s">
        <v>36</v>
      </c>
      <c r="B292">
        <v>2008</v>
      </c>
      <c r="C292" t="s">
        <v>75</v>
      </c>
      <c r="D292">
        <v>21.8</v>
      </c>
    </row>
    <row r="293" spans="1:4" x14ac:dyDescent="0.45">
      <c r="A293" t="s">
        <v>56</v>
      </c>
      <c r="B293">
        <v>2008</v>
      </c>
      <c r="C293" t="s">
        <v>75</v>
      </c>
      <c r="D293">
        <v>5.16</v>
      </c>
    </row>
    <row r="294" spans="1:4" x14ac:dyDescent="0.45">
      <c r="A294" t="s">
        <v>57</v>
      </c>
      <c r="B294">
        <v>2008</v>
      </c>
      <c r="C294" t="s">
        <v>75</v>
      </c>
      <c r="D294">
        <v>20.49</v>
      </c>
    </row>
    <row r="295" spans="1:4" x14ac:dyDescent="0.45">
      <c r="A295" t="s">
        <v>38</v>
      </c>
      <c r="B295">
        <v>2008</v>
      </c>
      <c r="C295" t="s">
        <v>75</v>
      </c>
      <c r="D295">
        <v>1.29</v>
      </c>
    </row>
    <row r="296" spans="1:4" x14ac:dyDescent="0.45">
      <c r="A296" t="s">
        <v>32</v>
      </c>
      <c r="B296">
        <v>2008</v>
      </c>
      <c r="C296" t="s">
        <v>75</v>
      </c>
      <c r="D296">
        <v>0.69</v>
      </c>
    </row>
    <row r="297" spans="1:4" x14ac:dyDescent="0.45">
      <c r="A297" t="s">
        <v>58</v>
      </c>
      <c r="B297">
        <v>2008</v>
      </c>
      <c r="C297" t="s">
        <v>75</v>
      </c>
      <c r="D297">
        <v>6.12</v>
      </c>
    </row>
    <row r="298" spans="1:4" x14ac:dyDescent="0.45">
      <c r="A298" t="s">
        <v>91</v>
      </c>
      <c r="B298">
        <v>2008</v>
      </c>
      <c r="C298" t="s">
        <v>75</v>
      </c>
      <c r="D298">
        <v>22.79</v>
      </c>
    </row>
    <row r="299" spans="1:4" x14ac:dyDescent="0.45">
      <c r="A299" t="s">
        <v>32</v>
      </c>
      <c r="B299">
        <v>2009</v>
      </c>
      <c r="C299" t="s">
        <v>75</v>
      </c>
      <c r="D299">
        <v>4.87</v>
      </c>
    </row>
    <row r="300" spans="1:4" x14ac:dyDescent="0.45">
      <c r="A300" t="s">
        <v>34</v>
      </c>
      <c r="B300">
        <v>2009</v>
      </c>
      <c r="C300" t="s">
        <v>75</v>
      </c>
      <c r="D300">
        <v>51.26</v>
      </c>
    </row>
    <row r="301" spans="1:4" x14ac:dyDescent="0.45">
      <c r="A301" t="s">
        <v>36</v>
      </c>
      <c r="B301">
        <v>2009</v>
      </c>
      <c r="C301" t="s">
        <v>75</v>
      </c>
      <c r="D301">
        <v>22.21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  <c r="D303">
        <v>20.48</v>
      </c>
    </row>
    <row r="304" spans="1:4" x14ac:dyDescent="0.45">
      <c r="A304" t="s">
        <v>38</v>
      </c>
      <c r="B304">
        <v>2009</v>
      </c>
      <c r="C304" t="s">
        <v>75</v>
      </c>
      <c r="D304">
        <v>1.29</v>
      </c>
    </row>
    <row r="305" spans="1:4" x14ac:dyDescent="0.45">
      <c r="A305" t="s">
        <v>32</v>
      </c>
      <c r="B305">
        <v>2009</v>
      </c>
      <c r="C305" t="s">
        <v>75</v>
      </c>
      <c r="D305">
        <v>0.73</v>
      </c>
    </row>
    <row r="306" spans="1:4" x14ac:dyDescent="0.45">
      <c r="A306" t="s">
        <v>58</v>
      </c>
      <c r="B306">
        <v>2009</v>
      </c>
      <c r="C306" t="s">
        <v>75</v>
      </c>
      <c r="D306">
        <v>10.57</v>
      </c>
    </row>
    <row r="307" spans="1:4" x14ac:dyDescent="0.45">
      <c r="A307" t="s">
        <v>91</v>
      </c>
      <c r="B307">
        <v>2009</v>
      </c>
      <c r="C307" t="s">
        <v>75</v>
      </c>
      <c r="D307">
        <v>25.73</v>
      </c>
    </row>
    <row r="308" spans="1:4" x14ac:dyDescent="0.45">
      <c r="A308" t="s">
        <v>32</v>
      </c>
      <c r="B308">
        <v>2010</v>
      </c>
      <c r="C308" t="s">
        <v>75</v>
      </c>
      <c r="D308">
        <v>5.46</v>
      </c>
    </row>
    <row r="309" spans="1:4" x14ac:dyDescent="0.45">
      <c r="A309" t="s">
        <v>34</v>
      </c>
      <c r="B309">
        <v>2010</v>
      </c>
      <c r="C309" t="s">
        <v>75</v>
      </c>
      <c r="D309">
        <v>51.26</v>
      </c>
    </row>
    <row r="310" spans="1:4" x14ac:dyDescent="0.45">
      <c r="A310" t="s">
        <v>36</v>
      </c>
      <c r="B310">
        <v>2010</v>
      </c>
      <c r="C310" t="s">
        <v>75</v>
      </c>
      <c r="D310">
        <v>24.56</v>
      </c>
    </row>
    <row r="311" spans="1:4" x14ac:dyDescent="0.45">
      <c r="A311" t="s">
        <v>56</v>
      </c>
      <c r="B311">
        <v>2010</v>
      </c>
      <c r="C311" t="s">
        <v>75</v>
      </c>
      <c r="D311">
        <v>5.41</v>
      </c>
    </row>
    <row r="312" spans="1:4" x14ac:dyDescent="0.45">
      <c r="A312" t="s">
        <v>57</v>
      </c>
      <c r="B312">
        <v>2010</v>
      </c>
      <c r="C312" t="s">
        <v>75</v>
      </c>
      <c r="D312">
        <v>20.47</v>
      </c>
    </row>
    <row r="313" spans="1:4" x14ac:dyDescent="0.45">
      <c r="A313" t="s">
        <v>38</v>
      </c>
      <c r="B313">
        <v>2010</v>
      </c>
      <c r="C313" t="s">
        <v>75</v>
      </c>
      <c r="D313">
        <v>1.33</v>
      </c>
    </row>
    <row r="314" spans="1:4" x14ac:dyDescent="0.45">
      <c r="A314" t="s">
        <v>32</v>
      </c>
      <c r="B314">
        <v>2010</v>
      </c>
      <c r="C314" t="s">
        <v>75</v>
      </c>
      <c r="D314">
        <v>0.77</v>
      </c>
    </row>
    <row r="315" spans="1:4" x14ac:dyDescent="0.45">
      <c r="A315" t="s">
        <v>58</v>
      </c>
      <c r="B315">
        <v>2010</v>
      </c>
      <c r="C315" t="s">
        <v>75</v>
      </c>
      <c r="D315">
        <v>18.010000000000002</v>
      </c>
    </row>
    <row r="316" spans="1:4" x14ac:dyDescent="0.45">
      <c r="A316" t="s">
        <v>91</v>
      </c>
      <c r="B316">
        <v>2010</v>
      </c>
      <c r="C316" t="s">
        <v>75</v>
      </c>
      <c r="D316">
        <v>26.9</v>
      </c>
    </row>
    <row r="317" spans="1:4" x14ac:dyDescent="0.45">
      <c r="A317" t="s">
        <v>32</v>
      </c>
      <c r="B317">
        <v>2011</v>
      </c>
      <c r="C317" t="s">
        <v>75</v>
      </c>
      <c r="D317">
        <v>6.42</v>
      </c>
    </row>
    <row r="318" spans="1:4" x14ac:dyDescent="0.45">
      <c r="A318" t="s">
        <v>34</v>
      </c>
      <c r="B318">
        <v>2011</v>
      </c>
      <c r="C318" t="s">
        <v>75</v>
      </c>
      <c r="D318">
        <v>50.52</v>
      </c>
    </row>
    <row r="319" spans="1:4" x14ac:dyDescent="0.45">
      <c r="A319" t="s">
        <v>36</v>
      </c>
      <c r="B319">
        <v>2011</v>
      </c>
      <c r="C319" t="s">
        <v>75</v>
      </c>
      <c r="D319">
        <v>25.45</v>
      </c>
    </row>
    <row r="320" spans="1:4" x14ac:dyDescent="0.45">
      <c r="A320" t="s">
        <v>56</v>
      </c>
      <c r="B320">
        <v>2011</v>
      </c>
      <c r="C320" t="s">
        <v>75</v>
      </c>
      <c r="D320">
        <v>5.62</v>
      </c>
    </row>
    <row r="321" spans="1:4" x14ac:dyDescent="0.45">
      <c r="A321" t="s">
        <v>57</v>
      </c>
      <c r="B321">
        <v>2011</v>
      </c>
      <c r="C321" t="s">
        <v>75</v>
      </c>
      <c r="D321">
        <v>20.47</v>
      </c>
    </row>
    <row r="322" spans="1:4" x14ac:dyDescent="0.45">
      <c r="A322" t="s">
        <v>38</v>
      </c>
      <c r="B322">
        <v>2011</v>
      </c>
      <c r="C322" t="s">
        <v>75</v>
      </c>
      <c r="D322">
        <v>1.33</v>
      </c>
    </row>
    <row r="323" spans="1:4" x14ac:dyDescent="0.45">
      <c r="A323" t="s">
        <v>32</v>
      </c>
      <c r="B323">
        <v>2011</v>
      </c>
      <c r="C323" t="s">
        <v>75</v>
      </c>
      <c r="D323">
        <v>0.75</v>
      </c>
    </row>
    <row r="324" spans="1:4" x14ac:dyDescent="0.45">
      <c r="A324" t="s">
        <v>58</v>
      </c>
      <c r="B324">
        <v>2011</v>
      </c>
      <c r="C324" t="s">
        <v>75</v>
      </c>
      <c r="D324">
        <v>25.92</v>
      </c>
    </row>
    <row r="325" spans="1:4" x14ac:dyDescent="0.45">
      <c r="A325" t="s">
        <v>91</v>
      </c>
      <c r="B325">
        <v>2011</v>
      </c>
      <c r="C325" t="s">
        <v>75</v>
      </c>
      <c r="D325">
        <v>28.71</v>
      </c>
    </row>
    <row r="326" spans="1:4" x14ac:dyDescent="0.45">
      <c r="A326" t="s">
        <v>32</v>
      </c>
      <c r="B326">
        <v>2012</v>
      </c>
      <c r="C326" t="s">
        <v>75</v>
      </c>
      <c r="D326">
        <v>6.76</v>
      </c>
    </row>
    <row r="327" spans="1:4" x14ac:dyDescent="0.45">
      <c r="A327" t="s">
        <v>34</v>
      </c>
      <c r="B327">
        <v>2012</v>
      </c>
      <c r="C327" t="s">
        <v>75</v>
      </c>
      <c r="D327">
        <v>50.43</v>
      </c>
    </row>
    <row r="328" spans="1:4" x14ac:dyDescent="0.45">
      <c r="A328" t="s">
        <v>36</v>
      </c>
      <c r="B328">
        <v>2012</v>
      </c>
      <c r="C328" t="s">
        <v>75</v>
      </c>
      <c r="D328">
        <v>25.68</v>
      </c>
    </row>
    <row r="329" spans="1:4" x14ac:dyDescent="0.45">
      <c r="A329" t="s">
        <v>56</v>
      </c>
      <c r="B329">
        <v>2012</v>
      </c>
      <c r="C329" t="s">
        <v>75</v>
      </c>
      <c r="D329">
        <v>5.61</v>
      </c>
    </row>
    <row r="330" spans="1:4" x14ac:dyDescent="0.45">
      <c r="A330" t="s">
        <v>57</v>
      </c>
      <c r="B330">
        <v>2012</v>
      </c>
      <c r="C330" t="s">
        <v>75</v>
      </c>
      <c r="D330">
        <v>12.07</v>
      </c>
    </row>
    <row r="331" spans="1:4" x14ac:dyDescent="0.45">
      <c r="A331" t="s">
        <v>38</v>
      </c>
      <c r="B331">
        <v>2012</v>
      </c>
      <c r="C331" t="s">
        <v>75</v>
      </c>
      <c r="D331">
        <v>1.33</v>
      </c>
    </row>
    <row r="332" spans="1:4" x14ac:dyDescent="0.45">
      <c r="A332" t="s">
        <v>32</v>
      </c>
      <c r="B332">
        <v>2012</v>
      </c>
      <c r="C332" t="s">
        <v>75</v>
      </c>
      <c r="D332">
        <v>0.73</v>
      </c>
    </row>
    <row r="333" spans="1:4" x14ac:dyDescent="0.45">
      <c r="A333" t="s">
        <v>58</v>
      </c>
      <c r="B333">
        <v>2012</v>
      </c>
      <c r="C333" t="s">
        <v>75</v>
      </c>
      <c r="D333">
        <v>34.08</v>
      </c>
    </row>
    <row r="334" spans="1:4" x14ac:dyDescent="0.45">
      <c r="A334" t="s">
        <v>91</v>
      </c>
      <c r="B334">
        <v>2012</v>
      </c>
      <c r="C334" t="s">
        <v>75</v>
      </c>
      <c r="D334">
        <v>30.98</v>
      </c>
    </row>
    <row r="335" spans="1:4" x14ac:dyDescent="0.45">
      <c r="A335" t="s">
        <v>32</v>
      </c>
      <c r="B335">
        <v>2013</v>
      </c>
      <c r="C335" t="s">
        <v>75</v>
      </c>
      <c r="D335">
        <v>7.03</v>
      </c>
    </row>
    <row r="336" spans="1:4" x14ac:dyDescent="0.45">
      <c r="A336" t="s">
        <v>34</v>
      </c>
      <c r="B336">
        <v>2013</v>
      </c>
      <c r="C336" t="s">
        <v>75</v>
      </c>
      <c r="D336">
        <v>50.72</v>
      </c>
    </row>
    <row r="337" spans="1:4" x14ac:dyDescent="0.45">
      <c r="A337" t="s">
        <v>36</v>
      </c>
      <c r="B337">
        <v>2013</v>
      </c>
      <c r="C337" t="s">
        <v>75</v>
      </c>
      <c r="D337">
        <v>27.01</v>
      </c>
    </row>
    <row r="338" spans="1:4" x14ac:dyDescent="0.45">
      <c r="A338" t="s">
        <v>56</v>
      </c>
      <c r="B338">
        <v>2013</v>
      </c>
      <c r="C338" t="s">
        <v>75</v>
      </c>
      <c r="D338">
        <v>5.59</v>
      </c>
    </row>
    <row r="339" spans="1:4" x14ac:dyDescent="0.45">
      <c r="A339" t="s">
        <v>57</v>
      </c>
      <c r="B339">
        <v>2013</v>
      </c>
      <c r="C339" t="s">
        <v>75</v>
      </c>
      <c r="D339">
        <v>12.07</v>
      </c>
    </row>
    <row r="340" spans="1:4" x14ac:dyDescent="0.45">
      <c r="A340" t="s">
        <v>38</v>
      </c>
      <c r="B340">
        <v>2013</v>
      </c>
      <c r="C340" t="s">
        <v>75</v>
      </c>
      <c r="D340">
        <v>1.67</v>
      </c>
    </row>
    <row r="341" spans="1:4" x14ac:dyDescent="0.45">
      <c r="A341" t="s">
        <v>32</v>
      </c>
      <c r="B341">
        <v>2013</v>
      </c>
      <c r="C341" t="s">
        <v>75</v>
      </c>
      <c r="D341">
        <v>0.96</v>
      </c>
    </row>
    <row r="342" spans="1:4" x14ac:dyDescent="0.45">
      <c r="A342" t="s">
        <v>58</v>
      </c>
      <c r="B342">
        <v>2013</v>
      </c>
      <c r="C342" t="s">
        <v>75</v>
      </c>
      <c r="D342">
        <v>36.71</v>
      </c>
    </row>
    <row r="343" spans="1:4" x14ac:dyDescent="0.45">
      <c r="A343" t="s">
        <v>91</v>
      </c>
      <c r="B343">
        <v>2013</v>
      </c>
      <c r="C343" t="s">
        <v>75</v>
      </c>
      <c r="D343">
        <v>33.479999999999997</v>
      </c>
    </row>
    <row r="344" spans="1:4" x14ac:dyDescent="0.45">
      <c r="A344" t="s">
        <v>32</v>
      </c>
      <c r="B344">
        <v>2014</v>
      </c>
      <c r="C344" t="s">
        <v>75</v>
      </c>
      <c r="D344">
        <v>7.26</v>
      </c>
    </row>
    <row r="345" spans="1:4" x14ac:dyDescent="0.45">
      <c r="A345" t="s">
        <v>34</v>
      </c>
      <c r="B345">
        <v>2014</v>
      </c>
      <c r="C345" t="s">
        <v>75</v>
      </c>
      <c r="D345">
        <v>50.1</v>
      </c>
    </row>
    <row r="346" spans="1:4" x14ac:dyDescent="0.45">
      <c r="A346" t="s">
        <v>36</v>
      </c>
      <c r="B346">
        <v>2014</v>
      </c>
      <c r="C346" t="s">
        <v>75</v>
      </c>
      <c r="D346">
        <v>27.25</v>
      </c>
    </row>
    <row r="347" spans="1:4" x14ac:dyDescent="0.45">
      <c r="A347" t="s">
        <v>56</v>
      </c>
      <c r="B347">
        <v>2014</v>
      </c>
      <c r="C347" t="s">
        <v>75</v>
      </c>
      <c r="D347">
        <v>5.58</v>
      </c>
    </row>
    <row r="348" spans="1:4" x14ac:dyDescent="0.45">
      <c r="A348" t="s">
        <v>57</v>
      </c>
      <c r="B348">
        <v>2014</v>
      </c>
      <c r="C348" t="s">
        <v>75</v>
      </c>
      <c r="D348">
        <v>12.07</v>
      </c>
    </row>
    <row r="349" spans="1:4" x14ac:dyDescent="0.45">
      <c r="A349" t="s">
        <v>38</v>
      </c>
      <c r="B349">
        <v>2014</v>
      </c>
      <c r="C349" t="s">
        <v>75</v>
      </c>
      <c r="D349">
        <v>1.67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37.9</v>
      </c>
    </row>
    <row r="352" spans="1:4" x14ac:dyDescent="0.45">
      <c r="A352" t="s">
        <v>91</v>
      </c>
      <c r="B352">
        <v>2014</v>
      </c>
      <c r="C352" t="s">
        <v>75</v>
      </c>
      <c r="D352">
        <v>38.61</v>
      </c>
    </row>
    <row r="353" spans="1:4" x14ac:dyDescent="0.45">
      <c r="A353" t="s">
        <v>32</v>
      </c>
      <c r="B353">
        <v>2015</v>
      </c>
      <c r="C353" t="s">
        <v>75</v>
      </c>
      <c r="D353">
        <v>7.47</v>
      </c>
    </row>
    <row r="354" spans="1:4" x14ac:dyDescent="0.45">
      <c r="A354" t="s">
        <v>34</v>
      </c>
      <c r="B354">
        <v>2015</v>
      </c>
      <c r="C354" t="s">
        <v>75</v>
      </c>
      <c r="D354">
        <v>52.4</v>
      </c>
    </row>
    <row r="355" spans="1:4" x14ac:dyDescent="0.45">
      <c r="A355" t="s">
        <v>36</v>
      </c>
      <c r="B355">
        <v>2015</v>
      </c>
      <c r="C355" t="s">
        <v>75</v>
      </c>
      <c r="D355">
        <v>27.55</v>
      </c>
    </row>
    <row r="356" spans="1:4" x14ac:dyDescent="0.45">
      <c r="A356" t="s">
        <v>56</v>
      </c>
      <c r="B356">
        <v>2015</v>
      </c>
      <c r="C356" t="s">
        <v>75</v>
      </c>
      <c r="D356">
        <v>5.59</v>
      </c>
    </row>
    <row r="357" spans="1:4" x14ac:dyDescent="0.45">
      <c r="A357" t="s">
        <v>57</v>
      </c>
      <c r="B357">
        <v>2015</v>
      </c>
      <c r="C357" t="s">
        <v>75</v>
      </c>
      <c r="D357">
        <v>10.8</v>
      </c>
    </row>
    <row r="358" spans="1:4" x14ac:dyDescent="0.45">
      <c r="A358" t="s">
        <v>38</v>
      </c>
      <c r="B358">
        <v>2015</v>
      </c>
      <c r="C358" t="s">
        <v>75</v>
      </c>
      <c r="D358">
        <v>1.69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39.22</v>
      </c>
    </row>
    <row r="361" spans="1:4" x14ac:dyDescent="0.45">
      <c r="A361" t="s">
        <v>91</v>
      </c>
      <c r="B361">
        <v>2015</v>
      </c>
      <c r="C361" t="s">
        <v>75</v>
      </c>
      <c r="D361">
        <v>44.58</v>
      </c>
    </row>
    <row r="362" spans="1:4" x14ac:dyDescent="0.45">
      <c r="A362" t="s">
        <v>32</v>
      </c>
      <c r="B362">
        <v>2016</v>
      </c>
      <c r="C362" t="s">
        <v>75</v>
      </c>
      <c r="D362">
        <v>7.68</v>
      </c>
    </row>
    <row r="363" spans="1:4" x14ac:dyDescent="0.45">
      <c r="A363" t="s">
        <v>34</v>
      </c>
      <c r="B363">
        <v>2016</v>
      </c>
      <c r="C363" t="s">
        <v>75</v>
      </c>
      <c r="D363">
        <v>51.72</v>
      </c>
    </row>
    <row r="364" spans="1:4" x14ac:dyDescent="0.45">
      <c r="A364" t="s">
        <v>36</v>
      </c>
      <c r="B364">
        <v>2016</v>
      </c>
      <c r="C364" t="s">
        <v>75</v>
      </c>
      <c r="D364">
        <v>29.31</v>
      </c>
    </row>
    <row r="365" spans="1:4" x14ac:dyDescent="0.45">
      <c r="A365" t="s">
        <v>56</v>
      </c>
      <c r="B365">
        <v>2016</v>
      </c>
      <c r="C365" t="s">
        <v>75</v>
      </c>
      <c r="D365">
        <v>5.63</v>
      </c>
    </row>
    <row r="366" spans="1:4" x14ac:dyDescent="0.45">
      <c r="A366" t="s">
        <v>57</v>
      </c>
      <c r="B366">
        <v>2016</v>
      </c>
      <c r="C366" t="s">
        <v>75</v>
      </c>
      <c r="D366">
        <v>10.8</v>
      </c>
    </row>
    <row r="367" spans="1:4" x14ac:dyDescent="0.45">
      <c r="A367" t="s">
        <v>38</v>
      </c>
      <c r="B367">
        <v>2016</v>
      </c>
      <c r="C367" t="s">
        <v>75</v>
      </c>
      <c r="D367">
        <v>1.69</v>
      </c>
    </row>
    <row r="368" spans="1:4" x14ac:dyDescent="0.45">
      <c r="A368" t="s">
        <v>32</v>
      </c>
      <c r="B368">
        <v>2016</v>
      </c>
      <c r="C368" t="s">
        <v>75</v>
      </c>
      <c r="D368">
        <v>1.01</v>
      </c>
    </row>
    <row r="369" spans="1:4" x14ac:dyDescent="0.45">
      <c r="A369" t="s">
        <v>58</v>
      </c>
      <c r="B369">
        <v>2016</v>
      </c>
      <c r="C369" t="s">
        <v>75</v>
      </c>
      <c r="D369">
        <v>40.68</v>
      </c>
    </row>
    <row r="370" spans="1:4" x14ac:dyDescent="0.45">
      <c r="A370" t="s">
        <v>91</v>
      </c>
      <c r="B370">
        <v>2016</v>
      </c>
      <c r="C370" t="s">
        <v>75</v>
      </c>
      <c r="D370">
        <v>49.44</v>
      </c>
    </row>
    <row r="371" spans="1:4" x14ac:dyDescent="0.45">
      <c r="A371" t="s">
        <v>32</v>
      </c>
      <c r="B371">
        <v>2017</v>
      </c>
      <c r="C371" t="s">
        <v>75</v>
      </c>
      <c r="D371">
        <v>7.98</v>
      </c>
    </row>
    <row r="372" spans="1:4" x14ac:dyDescent="0.45">
      <c r="A372" t="s">
        <v>34</v>
      </c>
      <c r="B372">
        <v>2017</v>
      </c>
      <c r="C372" t="s">
        <v>75</v>
      </c>
      <c r="D372">
        <v>48.37</v>
      </c>
    </row>
    <row r="373" spans="1:4" x14ac:dyDescent="0.45">
      <c r="A373" t="s">
        <v>36</v>
      </c>
      <c r="B373">
        <v>2017</v>
      </c>
      <c r="C373" t="s">
        <v>75</v>
      </c>
      <c r="D373">
        <v>29.54</v>
      </c>
    </row>
    <row r="374" spans="1:4" x14ac:dyDescent="0.45">
      <c r="A374" t="s">
        <v>56</v>
      </c>
      <c r="B374">
        <v>2017</v>
      </c>
      <c r="C374" t="s">
        <v>75</v>
      </c>
      <c r="D374">
        <v>5.63</v>
      </c>
    </row>
    <row r="375" spans="1:4" x14ac:dyDescent="0.45">
      <c r="A375" t="s">
        <v>57</v>
      </c>
      <c r="B375">
        <v>2017</v>
      </c>
      <c r="C375" t="s">
        <v>75</v>
      </c>
      <c r="D375">
        <v>10.8</v>
      </c>
    </row>
    <row r="376" spans="1:4" x14ac:dyDescent="0.45">
      <c r="A376" t="s">
        <v>38</v>
      </c>
      <c r="B376">
        <v>2017</v>
      </c>
      <c r="C376" t="s">
        <v>75</v>
      </c>
      <c r="D376">
        <v>1.69</v>
      </c>
    </row>
    <row r="377" spans="1:4" x14ac:dyDescent="0.45">
      <c r="A377" t="s">
        <v>32</v>
      </c>
      <c r="B377">
        <v>2017</v>
      </c>
      <c r="C377" t="s">
        <v>75</v>
      </c>
      <c r="D377">
        <v>1.04</v>
      </c>
    </row>
    <row r="378" spans="1:4" x14ac:dyDescent="0.45">
      <c r="A378" t="s">
        <v>58</v>
      </c>
      <c r="B378">
        <v>2017</v>
      </c>
      <c r="C378" t="s">
        <v>75</v>
      </c>
      <c r="D378">
        <v>42.29</v>
      </c>
    </row>
    <row r="379" spans="1:4" x14ac:dyDescent="0.45">
      <c r="A379" t="s">
        <v>91</v>
      </c>
      <c r="B379">
        <v>2017</v>
      </c>
      <c r="C379" t="s">
        <v>75</v>
      </c>
      <c r="D379">
        <v>55.58</v>
      </c>
    </row>
    <row r="380" spans="1:4" x14ac:dyDescent="0.45">
      <c r="A380" t="s">
        <v>32</v>
      </c>
      <c r="B380">
        <v>2018</v>
      </c>
      <c r="C380" t="s">
        <v>75</v>
      </c>
      <c r="D380">
        <v>8.6</v>
      </c>
    </row>
    <row r="381" spans="1:4" x14ac:dyDescent="0.45">
      <c r="A381" t="s">
        <v>34</v>
      </c>
      <c r="B381">
        <v>2018</v>
      </c>
      <c r="C381" t="s">
        <v>75</v>
      </c>
      <c r="D381">
        <v>47.32</v>
      </c>
    </row>
    <row r="382" spans="1:4" x14ac:dyDescent="0.45">
      <c r="A382" t="s">
        <v>36</v>
      </c>
      <c r="B382">
        <v>2018</v>
      </c>
      <c r="C382" t="s">
        <v>75</v>
      </c>
      <c r="D382">
        <v>29.62</v>
      </c>
    </row>
    <row r="383" spans="1:4" x14ac:dyDescent="0.45">
      <c r="A383" t="s">
        <v>56</v>
      </c>
      <c r="B383">
        <v>2018</v>
      </c>
      <c r="C383" t="s">
        <v>75</v>
      </c>
      <c r="D383">
        <v>5.33</v>
      </c>
    </row>
    <row r="384" spans="1:4" x14ac:dyDescent="0.45">
      <c r="A384" t="s">
        <v>57</v>
      </c>
      <c r="B384">
        <v>2018</v>
      </c>
      <c r="C384" t="s">
        <v>75</v>
      </c>
      <c r="D384">
        <v>10.8</v>
      </c>
    </row>
    <row r="385" spans="1:4" x14ac:dyDescent="0.45">
      <c r="A385" t="s">
        <v>38</v>
      </c>
      <c r="B385">
        <v>2018</v>
      </c>
      <c r="C385" t="s">
        <v>75</v>
      </c>
      <c r="D385">
        <v>1.69</v>
      </c>
    </row>
    <row r="386" spans="1:4" x14ac:dyDescent="0.45">
      <c r="A386" t="s">
        <v>32</v>
      </c>
      <c r="B386">
        <v>2018</v>
      </c>
      <c r="C386" t="s">
        <v>75</v>
      </c>
      <c r="D386">
        <v>1.1000000000000001</v>
      </c>
    </row>
    <row r="387" spans="1:4" x14ac:dyDescent="0.45">
      <c r="A387" t="s">
        <v>58</v>
      </c>
      <c r="B387">
        <v>2018</v>
      </c>
      <c r="C387" t="s">
        <v>75</v>
      </c>
      <c r="D387">
        <v>45.16</v>
      </c>
    </row>
    <row r="388" spans="1:4" x14ac:dyDescent="0.45">
      <c r="A388" t="s">
        <v>91</v>
      </c>
      <c r="B388">
        <v>2018</v>
      </c>
      <c r="C388" t="s">
        <v>75</v>
      </c>
      <c r="D388">
        <v>58.72</v>
      </c>
    </row>
    <row r="389" spans="1:4" x14ac:dyDescent="0.45">
      <c r="A389" t="s">
        <v>32</v>
      </c>
      <c r="B389">
        <v>2019</v>
      </c>
      <c r="C389" t="s">
        <v>75</v>
      </c>
      <c r="D389">
        <v>8.91</v>
      </c>
    </row>
    <row r="390" spans="1:4" x14ac:dyDescent="0.45">
      <c r="A390" t="s">
        <v>34</v>
      </c>
      <c r="B390">
        <v>2019</v>
      </c>
      <c r="C390" t="s">
        <v>75</v>
      </c>
      <c r="D390">
        <v>46.08</v>
      </c>
    </row>
    <row r="391" spans="1:4" x14ac:dyDescent="0.45">
      <c r="A391" t="s">
        <v>36</v>
      </c>
      <c r="B391">
        <v>2019</v>
      </c>
      <c r="C391" t="s">
        <v>75</v>
      </c>
      <c r="D391">
        <v>30.03</v>
      </c>
    </row>
    <row r="392" spans="1:4" x14ac:dyDescent="0.45">
      <c r="A392" t="s">
        <v>56</v>
      </c>
      <c r="B392">
        <v>2019</v>
      </c>
      <c r="C392" t="s">
        <v>75</v>
      </c>
      <c r="D392">
        <v>5.38</v>
      </c>
    </row>
    <row r="393" spans="1:4" x14ac:dyDescent="0.45">
      <c r="A393" t="s">
        <v>57</v>
      </c>
      <c r="B393">
        <v>2019</v>
      </c>
      <c r="C393" t="s">
        <v>75</v>
      </c>
      <c r="D393">
        <v>9.52</v>
      </c>
    </row>
    <row r="394" spans="1:4" x14ac:dyDescent="0.45">
      <c r="A394" t="s">
        <v>38</v>
      </c>
      <c r="B394">
        <v>2019</v>
      </c>
      <c r="C394" t="s">
        <v>75</v>
      </c>
      <c r="D394">
        <v>1.69</v>
      </c>
    </row>
    <row r="395" spans="1:4" x14ac:dyDescent="0.45">
      <c r="A395" t="s">
        <v>32</v>
      </c>
      <c r="B395">
        <v>2019</v>
      </c>
      <c r="C395" t="s">
        <v>75</v>
      </c>
      <c r="D395">
        <v>1.1200000000000001</v>
      </c>
    </row>
    <row r="396" spans="1:4" x14ac:dyDescent="0.45">
      <c r="A396" t="s">
        <v>58</v>
      </c>
      <c r="B396">
        <v>2019</v>
      </c>
      <c r="C396" t="s">
        <v>75</v>
      </c>
      <c r="D396">
        <v>48.91</v>
      </c>
    </row>
    <row r="397" spans="1:4" x14ac:dyDescent="0.45">
      <c r="A397" t="s">
        <v>91</v>
      </c>
      <c r="B397">
        <v>2019</v>
      </c>
      <c r="C397" t="s">
        <v>75</v>
      </c>
      <c r="D397">
        <v>60.74</v>
      </c>
    </row>
    <row r="398" spans="1:4" x14ac:dyDescent="0.45">
      <c r="A398" t="s">
        <v>32</v>
      </c>
      <c r="B398">
        <v>2020</v>
      </c>
      <c r="C398" t="s">
        <v>75</v>
      </c>
      <c r="D398">
        <v>9.3000000000000007</v>
      </c>
    </row>
    <row r="399" spans="1:4" x14ac:dyDescent="0.45">
      <c r="A399" t="s">
        <v>34</v>
      </c>
      <c r="B399">
        <v>2020</v>
      </c>
      <c r="C399" t="s">
        <v>75</v>
      </c>
      <c r="D399">
        <v>46.86</v>
      </c>
    </row>
    <row r="400" spans="1:4" x14ac:dyDescent="0.45">
      <c r="A400" t="s">
        <v>36</v>
      </c>
      <c r="B400">
        <v>2020</v>
      </c>
      <c r="C400" t="s">
        <v>75</v>
      </c>
      <c r="D400">
        <v>30.77</v>
      </c>
    </row>
    <row r="401" spans="1:4" x14ac:dyDescent="0.45">
      <c r="A401" t="s">
        <v>56</v>
      </c>
      <c r="B401">
        <v>2020</v>
      </c>
      <c r="C401" t="s">
        <v>75</v>
      </c>
      <c r="D401">
        <v>5.45</v>
      </c>
    </row>
    <row r="402" spans="1:4" x14ac:dyDescent="0.45">
      <c r="A402" t="s">
        <v>57</v>
      </c>
      <c r="B402">
        <v>2020</v>
      </c>
      <c r="C402" t="s">
        <v>75</v>
      </c>
      <c r="D402">
        <v>8.11</v>
      </c>
    </row>
    <row r="403" spans="1:4" x14ac:dyDescent="0.45">
      <c r="A403" t="s">
        <v>38</v>
      </c>
      <c r="B403">
        <v>2020</v>
      </c>
      <c r="C403" t="s">
        <v>75</v>
      </c>
      <c r="D403">
        <v>1.69</v>
      </c>
    </row>
    <row r="404" spans="1:4" x14ac:dyDescent="0.45">
      <c r="A404" t="s">
        <v>32</v>
      </c>
      <c r="B404">
        <v>2020</v>
      </c>
      <c r="C404" t="s">
        <v>75</v>
      </c>
      <c r="D404">
        <v>1.06</v>
      </c>
    </row>
    <row r="405" spans="1:4" x14ac:dyDescent="0.45">
      <c r="A405" t="s">
        <v>58</v>
      </c>
      <c r="B405">
        <v>2020</v>
      </c>
      <c r="C405" t="s">
        <v>75</v>
      </c>
      <c r="D405">
        <v>53.67</v>
      </c>
    </row>
    <row r="406" spans="1:4" x14ac:dyDescent="0.45">
      <c r="A406" t="s">
        <v>91</v>
      </c>
      <c r="B406">
        <v>2020</v>
      </c>
      <c r="C406" t="s">
        <v>75</v>
      </c>
      <c r="D406">
        <v>62.2</v>
      </c>
    </row>
    <row r="407" spans="1:4" x14ac:dyDescent="0.45">
      <c r="A407" t="s">
        <v>32</v>
      </c>
      <c r="B407">
        <v>2021</v>
      </c>
      <c r="C407" t="s">
        <v>75</v>
      </c>
      <c r="D407">
        <v>8.75</v>
      </c>
    </row>
    <row r="408" spans="1:4" x14ac:dyDescent="0.45">
      <c r="A408" t="s">
        <v>34</v>
      </c>
      <c r="B408">
        <v>2021</v>
      </c>
      <c r="C408" t="s">
        <v>75</v>
      </c>
      <c r="D408">
        <v>40.98</v>
      </c>
    </row>
    <row r="409" spans="1:4" x14ac:dyDescent="0.45">
      <c r="A409" t="s">
        <v>36</v>
      </c>
      <c r="B409">
        <v>2021</v>
      </c>
      <c r="C409" t="s">
        <v>75</v>
      </c>
      <c r="D409">
        <v>30.79</v>
      </c>
    </row>
    <row r="410" spans="1:4" x14ac:dyDescent="0.45">
      <c r="A410" t="s">
        <v>56</v>
      </c>
      <c r="B410">
        <v>2021</v>
      </c>
      <c r="C410" t="s">
        <v>75</v>
      </c>
      <c r="D410">
        <v>5.49</v>
      </c>
    </row>
    <row r="411" spans="1:4" x14ac:dyDescent="0.45">
      <c r="A411" t="s">
        <v>57</v>
      </c>
      <c r="B411">
        <v>2021</v>
      </c>
      <c r="C411" t="s">
        <v>75</v>
      </c>
      <c r="D411">
        <v>8.11</v>
      </c>
    </row>
    <row r="412" spans="1:4" x14ac:dyDescent="0.45">
      <c r="A412" t="s">
        <v>38</v>
      </c>
      <c r="B412">
        <v>2021</v>
      </c>
      <c r="C412" t="s">
        <v>75</v>
      </c>
      <c r="D412">
        <v>1.45</v>
      </c>
    </row>
    <row r="413" spans="1:4" x14ac:dyDescent="0.45">
      <c r="A413" t="s">
        <v>32</v>
      </c>
      <c r="B413">
        <v>2021</v>
      </c>
      <c r="C413" t="s">
        <v>75</v>
      </c>
      <c r="D413">
        <v>1.0900000000000001</v>
      </c>
    </row>
    <row r="414" spans="1:4" x14ac:dyDescent="0.45">
      <c r="A414" t="s">
        <v>58</v>
      </c>
      <c r="B414">
        <v>2021</v>
      </c>
      <c r="C414" t="s">
        <v>75</v>
      </c>
      <c r="D414">
        <v>60.04</v>
      </c>
    </row>
    <row r="415" spans="1:4" x14ac:dyDescent="0.45">
      <c r="A415" t="s">
        <v>91</v>
      </c>
      <c r="B415">
        <v>2021</v>
      </c>
      <c r="C415" t="s">
        <v>75</v>
      </c>
      <c r="D415">
        <v>63.71</v>
      </c>
    </row>
    <row r="416" spans="1:4" x14ac:dyDescent="0.45">
      <c r="A416" t="s">
        <v>32</v>
      </c>
      <c r="B416">
        <v>2022</v>
      </c>
      <c r="C416" t="s">
        <v>75</v>
      </c>
      <c r="D416">
        <v>8.81</v>
      </c>
    </row>
    <row r="417" spans="1:4" x14ac:dyDescent="0.45">
      <c r="A417" t="s">
        <v>34</v>
      </c>
      <c r="B417">
        <v>2022</v>
      </c>
      <c r="C417" t="s">
        <v>75</v>
      </c>
      <c r="D417">
        <v>40.43</v>
      </c>
    </row>
    <row r="418" spans="1:4" x14ac:dyDescent="0.45">
      <c r="A418" t="s">
        <v>36</v>
      </c>
      <c r="B418">
        <v>2022</v>
      </c>
      <c r="C418" t="s">
        <v>75</v>
      </c>
      <c r="D418">
        <v>32.4</v>
      </c>
    </row>
    <row r="419" spans="1:4" x14ac:dyDescent="0.45">
      <c r="A419" t="s">
        <v>56</v>
      </c>
      <c r="B419">
        <v>2022</v>
      </c>
      <c r="C419" t="s">
        <v>75</v>
      </c>
      <c r="D419">
        <v>5.62</v>
      </c>
    </row>
    <row r="420" spans="1:4" x14ac:dyDescent="0.45">
      <c r="A420" t="s">
        <v>57</v>
      </c>
      <c r="B420">
        <v>2022</v>
      </c>
      <c r="C420" t="s">
        <v>75</v>
      </c>
      <c r="D420">
        <v>4.2</v>
      </c>
    </row>
    <row r="421" spans="1:4" x14ac:dyDescent="0.45">
      <c r="A421" t="s">
        <v>38</v>
      </c>
      <c r="B421">
        <v>2022</v>
      </c>
      <c r="C421" t="s">
        <v>75</v>
      </c>
      <c r="D421">
        <v>1.45</v>
      </c>
    </row>
    <row r="422" spans="1:4" x14ac:dyDescent="0.45">
      <c r="A422" t="s">
        <v>32</v>
      </c>
      <c r="B422">
        <v>2022</v>
      </c>
      <c r="C422" t="s">
        <v>75</v>
      </c>
      <c r="D422">
        <v>1.07</v>
      </c>
    </row>
    <row r="423" spans="1:4" x14ac:dyDescent="0.45">
      <c r="A423" t="s">
        <v>58</v>
      </c>
      <c r="B423">
        <v>2022</v>
      </c>
      <c r="C423" t="s">
        <v>75</v>
      </c>
      <c r="D423">
        <v>67.48</v>
      </c>
    </row>
    <row r="424" spans="1:4" x14ac:dyDescent="0.45">
      <c r="A424" t="s">
        <v>91</v>
      </c>
      <c r="B424">
        <v>2022</v>
      </c>
      <c r="C424" t="s">
        <v>75</v>
      </c>
      <c r="D424">
        <v>66.16</v>
      </c>
    </row>
    <row r="425" spans="1:4" x14ac:dyDescent="0.45">
      <c r="A425" t="s">
        <v>32</v>
      </c>
      <c r="B425">
        <v>2023</v>
      </c>
      <c r="C425" t="s">
        <v>75</v>
      </c>
      <c r="D425">
        <v>8.93</v>
      </c>
    </row>
    <row r="426" spans="1:4" x14ac:dyDescent="0.45">
      <c r="A426" t="s">
        <v>34</v>
      </c>
      <c r="B426">
        <v>2023</v>
      </c>
      <c r="C426" t="s">
        <v>75</v>
      </c>
      <c r="D426">
        <v>40.43</v>
      </c>
    </row>
    <row r="427" spans="1:4" x14ac:dyDescent="0.45">
      <c r="A427" t="s">
        <v>36</v>
      </c>
      <c r="B427">
        <v>2023</v>
      </c>
      <c r="C427" t="s">
        <v>75</v>
      </c>
      <c r="D427">
        <v>33.950000000000003</v>
      </c>
    </row>
    <row r="428" spans="1:4" x14ac:dyDescent="0.45">
      <c r="A428" t="s">
        <v>56</v>
      </c>
      <c r="B428">
        <v>2023</v>
      </c>
      <c r="C428" t="s">
        <v>75</v>
      </c>
      <c r="D428">
        <v>5.74</v>
      </c>
    </row>
    <row r="429" spans="1:4" x14ac:dyDescent="0.45">
      <c r="A429" t="s">
        <v>57</v>
      </c>
      <c r="B429">
        <v>2023</v>
      </c>
      <c r="C429" t="s">
        <v>75</v>
      </c>
      <c r="D429">
        <v>0</v>
      </c>
    </row>
    <row r="430" spans="1:4" x14ac:dyDescent="0.45">
      <c r="A430" t="s">
        <v>38</v>
      </c>
      <c r="B430">
        <v>2023</v>
      </c>
      <c r="C430" t="s">
        <v>75</v>
      </c>
      <c r="D430">
        <v>1.45</v>
      </c>
    </row>
    <row r="431" spans="1:4" x14ac:dyDescent="0.45">
      <c r="A431" t="s">
        <v>32</v>
      </c>
      <c r="B431">
        <v>2023</v>
      </c>
      <c r="C431" t="s">
        <v>75</v>
      </c>
      <c r="D431">
        <v>1.07</v>
      </c>
    </row>
    <row r="432" spans="1:4" x14ac:dyDescent="0.45">
      <c r="A432" t="s">
        <v>58</v>
      </c>
      <c r="B432">
        <v>2023</v>
      </c>
      <c r="C432" t="s">
        <v>75</v>
      </c>
      <c r="D432">
        <v>81.739999999999995</v>
      </c>
    </row>
    <row r="433" spans="1:4" x14ac:dyDescent="0.45">
      <c r="A433" t="s">
        <v>91</v>
      </c>
      <c r="B433">
        <v>2023</v>
      </c>
      <c r="C433" t="s">
        <v>75</v>
      </c>
      <c r="D433">
        <v>69.459999999999994</v>
      </c>
    </row>
    <row r="434" spans="1:4" x14ac:dyDescent="0.45">
      <c r="A434" t="s">
        <v>32</v>
      </c>
      <c r="B434">
        <v>2000</v>
      </c>
      <c r="C434" t="s">
        <v>76</v>
      </c>
      <c r="D434">
        <v>0.94</v>
      </c>
    </row>
    <row r="435" spans="1:4" x14ac:dyDescent="0.45">
      <c r="A435" t="s">
        <v>34</v>
      </c>
      <c r="B435">
        <v>2000</v>
      </c>
      <c r="C435" t="s">
        <v>76</v>
      </c>
      <c r="D435">
        <v>290.60000000000002</v>
      </c>
    </row>
    <row r="436" spans="1:4" x14ac:dyDescent="0.45">
      <c r="A436" t="s">
        <v>36</v>
      </c>
      <c r="B436">
        <v>2000</v>
      </c>
      <c r="C436" t="s">
        <v>76</v>
      </c>
      <c r="D436">
        <v>21.21</v>
      </c>
    </row>
    <row r="437" spans="1:4" x14ac:dyDescent="0.45">
      <c r="A437" t="s">
        <v>56</v>
      </c>
      <c r="B437">
        <v>2000</v>
      </c>
      <c r="C437" t="s">
        <v>76</v>
      </c>
      <c r="D437">
        <v>0.52</v>
      </c>
    </row>
    <row r="438" spans="1:4" x14ac:dyDescent="0.45">
      <c r="A438" t="s">
        <v>57</v>
      </c>
      <c r="B438">
        <v>2000</v>
      </c>
      <c r="C438" t="s">
        <v>76</v>
      </c>
      <c r="D438">
        <v>0.82</v>
      </c>
    </row>
    <row r="439" spans="1:4" x14ac:dyDescent="0.45">
      <c r="A439" t="s">
        <v>38</v>
      </c>
      <c r="B439">
        <v>2000</v>
      </c>
      <c r="C439" t="s">
        <v>76</v>
      </c>
      <c r="D439">
        <v>11.88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0.11</v>
      </c>
    </row>
    <row r="443" spans="1:4" x14ac:dyDescent="0.45">
      <c r="A443" t="s">
        <v>32</v>
      </c>
      <c r="B443">
        <v>2001</v>
      </c>
      <c r="C443" t="s">
        <v>76</v>
      </c>
      <c r="D443">
        <v>0.99</v>
      </c>
    </row>
    <row r="444" spans="1:4" x14ac:dyDescent="0.45">
      <c r="A444" t="s">
        <v>34</v>
      </c>
      <c r="B444">
        <v>2001</v>
      </c>
      <c r="C444" t="s">
        <v>76</v>
      </c>
      <c r="D444">
        <v>287.44</v>
      </c>
    </row>
    <row r="445" spans="1:4" x14ac:dyDescent="0.45">
      <c r="A445" t="s">
        <v>36</v>
      </c>
      <c r="B445">
        <v>2001</v>
      </c>
      <c r="C445" t="s">
        <v>76</v>
      </c>
      <c r="D445">
        <v>23.93</v>
      </c>
    </row>
    <row r="446" spans="1:4" x14ac:dyDescent="0.45">
      <c r="A446" t="s">
        <v>56</v>
      </c>
      <c r="B446">
        <v>2001</v>
      </c>
      <c r="C446" t="s">
        <v>76</v>
      </c>
      <c r="D446">
        <v>0.54</v>
      </c>
    </row>
    <row r="447" spans="1:4" x14ac:dyDescent="0.45">
      <c r="A447" t="s">
        <v>57</v>
      </c>
      <c r="B447">
        <v>2001</v>
      </c>
      <c r="C447" t="s">
        <v>76</v>
      </c>
      <c r="D447">
        <v>0.83</v>
      </c>
    </row>
    <row r="448" spans="1:4" x14ac:dyDescent="0.45">
      <c r="A448" t="s">
        <v>38</v>
      </c>
      <c r="B448">
        <v>2001</v>
      </c>
      <c r="C448" t="s">
        <v>76</v>
      </c>
      <c r="D448">
        <v>13.5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0.13</v>
      </c>
    </row>
    <row r="452" spans="1:4" x14ac:dyDescent="0.45">
      <c r="A452" t="s">
        <v>32</v>
      </c>
      <c r="B452">
        <v>2002</v>
      </c>
      <c r="C452" t="s">
        <v>76</v>
      </c>
      <c r="D452">
        <v>1.1499999999999999</v>
      </c>
    </row>
    <row r="453" spans="1:4" x14ac:dyDescent="0.45">
      <c r="A453" t="s">
        <v>34</v>
      </c>
      <c r="B453">
        <v>2002</v>
      </c>
      <c r="C453" t="s">
        <v>76</v>
      </c>
      <c r="D453">
        <v>293.32</v>
      </c>
    </row>
    <row r="454" spans="1:4" x14ac:dyDescent="0.45">
      <c r="A454" t="s">
        <v>36</v>
      </c>
      <c r="B454">
        <v>2002</v>
      </c>
      <c r="C454" t="s">
        <v>76</v>
      </c>
      <c r="D454">
        <v>24.28</v>
      </c>
    </row>
    <row r="455" spans="1:4" x14ac:dyDescent="0.45">
      <c r="A455" t="s">
        <v>56</v>
      </c>
      <c r="B455">
        <v>2002</v>
      </c>
      <c r="C455" t="s">
        <v>76</v>
      </c>
      <c r="D455">
        <v>0.55000000000000004</v>
      </c>
    </row>
    <row r="456" spans="1:4" x14ac:dyDescent="0.45">
      <c r="A456" t="s">
        <v>57</v>
      </c>
      <c r="B456">
        <v>2002</v>
      </c>
      <c r="C456" t="s">
        <v>76</v>
      </c>
      <c r="D456">
        <v>0.8</v>
      </c>
    </row>
    <row r="457" spans="1:4" x14ac:dyDescent="0.45">
      <c r="A457" t="s">
        <v>38</v>
      </c>
      <c r="B457">
        <v>2002</v>
      </c>
      <c r="C457" t="s">
        <v>76</v>
      </c>
      <c r="D457">
        <v>12.19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0.01</v>
      </c>
    </row>
    <row r="460" spans="1:4" x14ac:dyDescent="0.45">
      <c r="A460" t="s">
        <v>91</v>
      </c>
      <c r="B460">
        <v>2002</v>
      </c>
      <c r="C460" t="s">
        <v>76</v>
      </c>
      <c r="D460">
        <v>0.19</v>
      </c>
    </row>
    <row r="461" spans="1:4" x14ac:dyDescent="0.45">
      <c r="A461" t="s">
        <v>32</v>
      </c>
      <c r="B461">
        <v>2003</v>
      </c>
      <c r="C461" t="s">
        <v>76</v>
      </c>
      <c r="D461">
        <v>1.93</v>
      </c>
    </row>
    <row r="462" spans="1:4" x14ac:dyDescent="0.45">
      <c r="A462" t="s">
        <v>34</v>
      </c>
      <c r="B462">
        <v>2003</v>
      </c>
      <c r="C462" t="s">
        <v>76</v>
      </c>
      <c r="D462">
        <v>297.54000000000002</v>
      </c>
    </row>
    <row r="463" spans="1:4" x14ac:dyDescent="0.45">
      <c r="A463" t="s">
        <v>36</v>
      </c>
      <c r="B463">
        <v>2003</v>
      </c>
      <c r="C463" t="s">
        <v>76</v>
      </c>
      <c r="D463">
        <v>26.99</v>
      </c>
    </row>
    <row r="464" spans="1:4" x14ac:dyDescent="0.45">
      <c r="A464" t="s">
        <v>56</v>
      </c>
      <c r="B464">
        <v>2003</v>
      </c>
      <c r="C464" t="s">
        <v>76</v>
      </c>
      <c r="D464">
        <v>0.44</v>
      </c>
    </row>
    <row r="465" spans="1:4" x14ac:dyDescent="0.45">
      <c r="A465" t="s">
        <v>57</v>
      </c>
      <c r="B465">
        <v>2003</v>
      </c>
      <c r="C465" t="s">
        <v>76</v>
      </c>
      <c r="D465">
        <v>0.8</v>
      </c>
    </row>
    <row r="466" spans="1:4" x14ac:dyDescent="0.45">
      <c r="A466" t="s">
        <v>38</v>
      </c>
      <c r="B466">
        <v>2003</v>
      </c>
      <c r="C466" t="s">
        <v>76</v>
      </c>
      <c r="D466">
        <v>15.19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0.01</v>
      </c>
    </row>
    <row r="469" spans="1:4" x14ac:dyDescent="0.45">
      <c r="A469" t="s">
        <v>91</v>
      </c>
      <c r="B469">
        <v>2003</v>
      </c>
      <c r="C469" t="s">
        <v>76</v>
      </c>
      <c r="D469">
        <v>0.23</v>
      </c>
    </row>
    <row r="470" spans="1:4" x14ac:dyDescent="0.45">
      <c r="A470" t="s">
        <v>32</v>
      </c>
      <c r="B470">
        <v>2004</v>
      </c>
      <c r="C470" t="s">
        <v>76</v>
      </c>
      <c r="D470">
        <v>2.2999999999999998</v>
      </c>
    </row>
    <row r="471" spans="1:4" x14ac:dyDescent="0.45">
      <c r="A471" t="s">
        <v>34</v>
      </c>
      <c r="B471">
        <v>2004</v>
      </c>
      <c r="C471" t="s">
        <v>76</v>
      </c>
      <c r="D471">
        <v>291.94</v>
      </c>
    </row>
    <row r="472" spans="1:4" x14ac:dyDescent="0.45">
      <c r="A472" t="s">
        <v>36</v>
      </c>
      <c r="B472">
        <v>2004</v>
      </c>
      <c r="C472" t="s">
        <v>76</v>
      </c>
      <c r="D472">
        <v>27.02</v>
      </c>
    </row>
    <row r="473" spans="1:4" x14ac:dyDescent="0.45">
      <c r="A473" t="s">
        <v>56</v>
      </c>
      <c r="B473">
        <v>2004</v>
      </c>
      <c r="C473" t="s">
        <v>76</v>
      </c>
      <c r="D473">
        <v>0.49</v>
      </c>
    </row>
    <row r="474" spans="1:4" x14ac:dyDescent="0.45">
      <c r="A474" t="s">
        <v>57</v>
      </c>
      <c r="B474">
        <v>2004</v>
      </c>
      <c r="C474" t="s">
        <v>76</v>
      </c>
      <c r="D474">
        <v>0.81</v>
      </c>
    </row>
    <row r="475" spans="1:4" x14ac:dyDescent="0.45">
      <c r="A475" t="s">
        <v>38</v>
      </c>
      <c r="B475">
        <v>2004</v>
      </c>
      <c r="C475" t="s">
        <v>76</v>
      </c>
      <c r="D475">
        <v>15.21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0.32</v>
      </c>
    </row>
    <row r="479" spans="1:4" x14ac:dyDescent="0.45">
      <c r="A479" t="s">
        <v>32</v>
      </c>
      <c r="B479">
        <v>2005</v>
      </c>
      <c r="C479" t="s">
        <v>76</v>
      </c>
      <c r="D479">
        <v>3.18</v>
      </c>
    </row>
    <row r="480" spans="1:4" x14ac:dyDescent="0.45">
      <c r="A480" t="s">
        <v>34</v>
      </c>
      <c r="B480">
        <v>2005</v>
      </c>
      <c r="C480" t="s">
        <v>76</v>
      </c>
      <c r="D480">
        <v>281.62</v>
      </c>
    </row>
    <row r="481" spans="1:4" x14ac:dyDescent="0.45">
      <c r="A481" t="s">
        <v>36</v>
      </c>
      <c r="B481">
        <v>2005</v>
      </c>
      <c r="C481" t="s">
        <v>76</v>
      </c>
      <c r="D481">
        <v>31.13</v>
      </c>
    </row>
    <row r="482" spans="1:4" x14ac:dyDescent="0.45">
      <c r="A482" t="s">
        <v>56</v>
      </c>
      <c r="B482">
        <v>2005</v>
      </c>
      <c r="C482" t="s">
        <v>76</v>
      </c>
      <c r="D482">
        <v>0.47</v>
      </c>
    </row>
    <row r="483" spans="1:4" x14ac:dyDescent="0.45">
      <c r="A483" t="s">
        <v>57</v>
      </c>
      <c r="B483">
        <v>2005</v>
      </c>
      <c r="C483" t="s">
        <v>76</v>
      </c>
      <c r="D483">
        <v>0.79</v>
      </c>
    </row>
    <row r="484" spans="1:4" x14ac:dyDescent="0.45">
      <c r="A484" t="s">
        <v>38</v>
      </c>
      <c r="B484">
        <v>2005</v>
      </c>
      <c r="C484" t="s">
        <v>76</v>
      </c>
      <c r="D484">
        <v>17.46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0.06</v>
      </c>
    </row>
    <row r="487" spans="1:4" x14ac:dyDescent="0.45">
      <c r="A487" t="s">
        <v>91</v>
      </c>
      <c r="B487">
        <v>2005</v>
      </c>
      <c r="C487" t="s">
        <v>76</v>
      </c>
      <c r="D487">
        <v>0.34</v>
      </c>
    </row>
    <row r="488" spans="1:4" x14ac:dyDescent="0.45">
      <c r="A488" t="s">
        <v>32</v>
      </c>
      <c r="B488">
        <v>2006</v>
      </c>
      <c r="C488" t="s">
        <v>76</v>
      </c>
      <c r="D488">
        <v>4.09</v>
      </c>
    </row>
    <row r="489" spans="1:4" x14ac:dyDescent="0.45">
      <c r="A489" t="s">
        <v>34</v>
      </c>
      <c r="B489">
        <v>2006</v>
      </c>
      <c r="C489" t="s">
        <v>76</v>
      </c>
      <c r="D489">
        <v>282.22000000000003</v>
      </c>
    </row>
    <row r="490" spans="1:4" x14ac:dyDescent="0.45">
      <c r="A490" t="s">
        <v>36</v>
      </c>
      <c r="B490">
        <v>2006</v>
      </c>
      <c r="C490" t="s">
        <v>76</v>
      </c>
      <c r="D490">
        <v>32.22</v>
      </c>
    </row>
    <row r="491" spans="1:4" x14ac:dyDescent="0.45">
      <c r="A491" t="s">
        <v>56</v>
      </c>
      <c r="B491">
        <v>2006</v>
      </c>
      <c r="C491" t="s">
        <v>76</v>
      </c>
      <c r="D491">
        <v>0.48</v>
      </c>
    </row>
    <row r="492" spans="1:4" x14ac:dyDescent="0.45">
      <c r="A492" t="s">
        <v>57</v>
      </c>
      <c r="B492">
        <v>2006</v>
      </c>
      <c r="C492" t="s">
        <v>76</v>
      </c>
      <c r="D492">
        <v>0.81</v>
      </c>
    </row>
    <row r="493" spans="1:4" x14ac:dyDescent="0.45">
      <c r="A493" t="s">
        <v>38</v>
      </c>
      <c r="B493">
        <v>2006</v>
      </c>
      <c r="C493" t="s">
        <v>76</v>
      </c>
      <c r="D493">
        <v>17.579999999999998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0.11</v>
      </c>
    </row>
    <row r="496" spans="1:4" x14ac:dyDescent="0.45">
      <c r="A496" t="s">
        <v>91</v>
      </c>
      <c r="B496">
        <v>2006</v>
      </c>
      <c r="C496" t="s">
        <v>76</v>
      </c>
      <c r="D496">
        <v>0.38</v>
      </c>
    </row>
    <row r="497" spans="1:4" x14ac:dyDescent="0.45">
      <c r="A497" t="s">
        <v>32</v>
      </c>
      <c r="B497">
        <v>2007</v>
      </c>
      <c r="C497" t="s">
        <v>76</v>
      </c>
      <c r="D497">
        <v>5.32</v>
      </c>
    </row>
    <row r="498" spans="1:4" x14ac:dyDescent="0.45">
      <c r="A498" t="s">
        <v>34</v>
      </c>
      <c r="B498">
        <v>2007</v>
      </c>
      <c r="C498" t="s">
        <v>76</v>
      </c>
      <c r="D498">
        <v>290.19</v>
      </c>
    </row>
    <row r="499" spans="1:4" x14ac:dyDescent="0.45">
      <c r="A499" t="s">
        <v>36</v>
      </c>
      <c r="B499">
        <v>2007</v>
      </c>
      <c r="C499" t="s">
        <v>76</v>
      </c>
      <c r="D499">
        <v>33.4</v>
      </c>
    </row>
    <row r="500" spans="1:4" x14ac:dyDescent="0.45">
      <c r="A500" t="s">
        <v>56</v>
      </c>
      <c r="B500">
        <v>2007</v>
      </c>
      <c r="C500" t="s">
        <v>76</v>
      </c>
      <c r="D500">
        <v>0.5</v>
      </c>
    </row>
    <row r="501" spans="1:4" x14ac:dyDescent="0.45">
      <c r="A501" t="s">
        <v>57</v>
      </c>
      <c r="B501">
        <v>2007</v>
      </c>
      <c r="C501" t="s">
        <v>76</v>
      </c>
      <c r="D501">
        <v>0.68</v>
      </c>
    </row>
    <row r="502" spans="1:4" x14ac:dyDescent="0.45">
      <c r="A502" t="s">
        <v>38</v>
      </c>
      <c r="B502">
        <v>2007</v>
      </c>
      <c r="C502" t="s">
        <v>76</v>
      </c>
      <c r="D502">
        <v>17.489999999999998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0.15</v>
      </c>
    </row>
    <row r="505" spans="1:4" x14ac:dyDescent="0.45">
      <c r="A505" t="s">
        <v>91</v>
      </c>
      <c r="B505">
        <v>2007</v>
      </c>
      <c r="C505" t="s">
        <v>76</v>
      </c>
      <c r="D505">
        <v>0.5</v>
      </c>
    </row>
    <row r="506" spans="1:4" x14ac:dyDescent="0.45">
      <c r="A506" t="s">
        <v>32</v>
      </c>
      <c r="B506">
        <v>2008</v>
      </c>
      <c r="C506" t="s">
        <v>76</v>
      </c>
      <c r="D506">
        <v>6.06</v>
      </c>
    </row>
    <row r="507" spans="1:4" x14ac:dyDescent="0.45">
      <c r="A507" t="s">
        <v>34</v>
      </c>
      <c r="B507">
        <v>2008</v>
      </c>
      <c r="C507" t="s">
        <v>76</v>
      </c>
      <c r="D507">
        <v>269.13</v>
      </c>
    </row>
    <row r="508" spans="1:4" x14ac:dyDescent="0.45">
      <c r="A508" t="s">
        <v>36</v>
      </c>
      <c r="B508">
        <v>2008</v>
      </c>
      <c r="C508" t="s">
        <v>76</v>
      </c>
      <c r="D508">
        <v>38.15</v>
      </c>
    </row>
    <row r="509" spans="1:4" x14ac:dyDescent="0.45">
      <c r="A509" t="s">
        <v>56</v>
      </c>
      <c r="B509">
        <v>2008</v>
      </c>
      <c r="C509" t="s">
        <v>76</v>
      </c>
      <c r="D509">
        <v>0.49</v>
      </c>
    </row>
    <row r="510" spans="1:4" x14ac:dyDescent="0.45">
      <c r="A510" t="s">
        <v>57</v>
      </c>
      <c r="B510">
        <v>2008</v>
      </c>
      <c r="C510" t="s">
        <v>76</v>
      </c>
      <c r="D510">
        <v>0.72</v>
      </c>
    </row>
    <row r="511" spans="1:4" x14ac:dyDescent="0.45">
      <c r="A511" t="s">
        <v>38</v>
      </c>
      <c r="B511">
        <v>2008</v>
      </c>
      <c r="C511" t="s">
        <v>76</v>
      </c>
      <c r="D511">
        <v>16.940000000000001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0.21</v>
      </c>
    </row>
    <row r="514" spans="1:4" x14ac:dyDescent="0.45">
      <c r="A514" t="s">
        <v>91</v>
      </c>
      <c r="B514">
        <v>2008</v>
      </c>
      <c r="C514" t="s">
        <v>76</v>
      </c>
      <c r="D514">
        <v>0.51</v>
      </c>
    </row>
    <row r="515" spans="1:4" x14ac:dyDescent="0.45">
      <c r="A515" t="s">
        <v>32</v>
      </c>
      <c r="B515">
        <v>2009</v>
      </c>
      <c r="C515" t="s">
        <v>76</v>
      </c>
      <c r="D515">
        <v>6.68</v>
      </c>
    </row>
    <row r="516" spans="1:4" x14ac:dyDescent="0.45">
      <c r="A516" t="s">
        <v>34</v>
      </c>
      <c r="B516">
        <v>2009</v>
      </c>
      <c r="C516" t="s">
        <v>76</v>
      </c>
      <c r="D516">
        <v>248.17</v>
      </c>
    </row>
    <row r="517" spans="1:4" x14ac:dyDescent="0.45">
      <c r="A517" t="s">
        <v>36</v>
      </c>
      <c r="B517">
        <v>2009</v>
      </c>
      <c r="C517" t="s">
        <v>76</v>
      </c>
      <c r="D517">
        <v>34.61</v>
      </c>
    </row>
    <row r="518" spans="1:4" x14ac:dyDescent="0.45">
      <c r="A518" t="s">
        <v>56</v>
      </c>
      <c r="B518">
        <v>2009</v>
      </c>
      <c r="C518" t="s">
        <v>76</v>
      </c>
      <c r="D518">
        <v>0.45</v>
      </c>
    </row>
    <row r="519" spans="1:4" x14ac:dyDescent="0.45">
      <c r="A519" t="s">
        <v>57</v>
      </c>
      <c r="B519">
        <v>2009</v>
      </c>
      <c r="C519" t="s">
        <v>76</v>
      </c>
      <c r="D519">
        <v>0.65</v>
      </c>
    </row>
    <row r="520" spans="1:4" x14ac:dyDescent="0.45">
      <c r="A520" t="s">
        <v>38</v>
      </c>
      <c r="B520">
        <v>2009</v>
      </c>
      <c r="C520" t="s">
        <v>76</v>
      </c>
      <c r="D520">
        <v>15.29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0.32</v>
      </c>
    </row>
    <row r="523" spans="1:4" x14ac:dyDescent="0.45">
      <c r="A523" t="s">
        <v>91</v>
      </c>
      <c r="B523">
        <v>2009</v>
      </c>
      <c r="C523" t="s">
        <v>76</v>
      </c>
      <c r="D523">
        <v>0.48</v>
      </c>
    </row>
    <row r="524" spans="1:4" x14ac:dyDescent="0.45">
      <c r="A524" t="s">
        <v>32</v>
      </c>
      <c r="B524">
        <v>2010</v>
      </c>
      <c r="C524" t="s">
        <v>76</v>
      </c>
      <c r="D524">
        <v>7.33</v>
      </c>
    </row>
    <row r="525" spans="1:4" x14ac:dyDescent="0.45">
      <c r="A525" t="s">
        <v>34</v>
      </c>
      <c r="B525">
        <v>2010</v>
      </c>
      <c r="C525" t="s">
        <v>76</v>
      </c>
      <c r="D525">
        <v>257.17</v>
      </c>
    </row>
    <row r="526" spans="1:4" x14ac:dyDescent="0.45">
      <c r="A526" t="s">
        <v>36</v>
      </c>
      <c r="B526">
        <v>2010</v>
      </c>
      <c r="C526" t="s">
        <v>76</v>
      </c>
      <c r="D526">
        <v>38.270000000000003</v>
      </c>
    </row>
    <row r="527" spans="1:4" x14ac:dyDescent="0.45">
      <c r="A527" t="s">
        <v>56</v>
      </c>
      <c r="B527">
        <v>2010</v>
      </c>
      <c r="C527" t="s">
        <v>76</v>
      </c>
      <c r="D527">
        <v>0.5</v>
      </c>
    </row>
    <row r="528" spans="1:4" x14ac:dyDescent="0.45">
      <c r="A528" t="s">
        <v>57</v>
      </c>
      <c r="B528">
        <v>2010</v>
      </c>
      <c r="C528" t="s">
        <v>76</v>
      </c>
      <c r="D528">
        <v>0.68</v>
      </c>
    </row>
    <row r="529" spans="1:4" x14ac:dyDescent="0.45">
      <c r="A529" t="s">
        <v>38</v>
      </c>
      <c r="B529">
        <v>2010</v>
      </c>
      <c r="C529" t="s">
        <v>76</v>
      </c>
      <c r="D529">
        <v>17.5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0.56999999999999995</v>
      </c>
    </row>
    <row r="532" spans="1:4" x14ac:dyDescent="0.45">
      <c r="A532" t="s">
        <v>91</v>
      </c>
      <c r="B532">
        <v>2010</v>
      </c>
      <c r="C532" t="s">
        <v>76</v>
      </c>
      <c r="D532">
        <v>0.47</v>
      </c>
    </row>
    <row r="533" spans="1:4" x14ac:dyDescent="0.45">
      <c r="A533" t="s">
        <v>32</v>
      </c>
      <c r="B533">
        <v>2011</v>
      </c>
      <c r="C533" t="s">
        <v>76</v>
      </c>
      <c r="D533">
        <v>7.98</v>
      </c>
    </row>
    <row r="534" spans="1:4" x14ac:dyDescent="0.45">
      <c r="A534" t="s">
        <v>34</v>
      </c>
      <c r="B534">
        <v>2011</v>
      </c>
      <c r="C534" t="s">
        <v>76</v>
      </c>
      <c r="D534">
        <v>256.93</v>
      </c>
    </row>
    <row r="535" spans="1:4" x14ac:dyDescent="0.45">
      <c r="A535" t="s">
        <v>36</v>
      </c>
      <c r="B535">
        <v>2011</v>
      </c>
      <c r="C535" t="s">
        <v>76</v>
      </c>
      <c r="D535">
        <v>36.94</v>
      </c>
    </row>
    <row r="536" spans="1:4" x14ac:dyDescent="0.45">
      <c r="A536" t="s">
        <v>56</v>
      </c>
      <c r="B536">
        <v>2011</v>
      </c>
      <c r="C536" t="s">
        <v>76</v>
      </c>
      <c r="D536">
        <v>0.42</v>
      </c>
    </row>
    <row r="537" spans="1:4" x14ac:dyDescent="0.45">
      <c r="A537" t="s">
        <v>57</v>
      </c>
      <c r="B537">
        <v>2011</v>
      </c>
      <c r="C537" t="s">
        <v>76</v>
      </c>
      <c r="D537">
        <v>0.52</v>
      </c>
    </row>
    <row r="538" spans="1:4" x14ac:dyDescent="0.45">
      <c r="A538" t="s">
        <v>38</v>
      </c>
      <c r="B538">
        <v>2011</v>
      </c>
      <c r="C538" t="s">
        <v>76</v>
      </c>
      <c r="D538">
        <v>16.100000000000001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0.95</v>
      </c>
    </row>
    <row r="541" spans="1:4" x14ac:dyDescent="0.45">
      <c r="A541" t="s">
        <v>91</v>
      </c>
      <c r="B541">
        <v>2011</v>
      </c>
      <c r="C541" t="s">
        <v>76</v>
      </c>
      <c r="D541">
        <v>0.61</v>
      </c>
    </row>
    <row r="542" spans="1:4" x14ac:dyDescent="0.45">
      <c r="A542" t="s">
        <v>32</v>
      </c>
      <c r="B542">
        <v>2012</v>
      </c>
      <c r="C542" t="s">
        <v>76</v>
      </c>
      <c r="D542">
        <v>9.34</v>
      </c>
    </row>
    <row r="543" spans="1:4" x14ac:dyDescent="0.45">
      <c r="A543" t="s">
        <v>34</v>
      </c>
      <c r="B543">
        <v>2012</v>
      </c>
      <c r="C543" t="s">
        <v>76</v>
      </c>
      <c r="D543">
        <v>269.77999999999997</v>
      </c>
    </row>
    <row r="544" spans="1:4" x14ac:dyDescent="0.45">
      <c r="A544" t="s">
        <v>36</v>
      </c>
      <c r="B544">
        <v>2012</v>
      </c>
      <c r="C544" t="s">
        <v>76</v>
      </c>
      <c r="D544">
        <v>32.75</v>
      </c>
    </row>
    <row r="545" spans="1:4" x14ac:dyDescent="0.45">
      <c r="A545" t="s">
        <v>56</v>
      </c>
      <c r="B545">
        <v>2012</v>
      </c>
      <c r="C545" t="s">
        <v>76</v>
      </c>
      <c r="D545">
        <v>0.52</v>
      </c>
    </row>
    <row r="546" spans="1:4" x14ac:dyDescent="0.45">
      <c r="A546" t="s">
        <v>57</v>
      </c>
      <c r="B546">
        <v>2012</v>
      </c>
      <c r="C546" t="s">
        <v>76</v>
      </c>
      <c r="D546">
        <v>0.48</v>
      </c>
    </row>
    <row r="547" spans="1:4" x14ac:dyDescent="0.45">
      <c r="A547" t="s">
        <v>38</v>
      </c>
      <c r="B547">
        <v>2012</v>
      </c>
      <c r="C547" t="s">
        <v>76</v>
      </c>
      <c r="D547">
        <v>16.3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1.27</v>
      </c>
    </row>
    <row r="550" spans="1:4" x14ac:dyDescent="0.45">
      <c r="A550" t="s">
        <v>91</v>
      </c>
      <c r="B550">
        <v>2012</v>
      </c>
      <c r="C550" t="s">
        <v>76</v>
      </c>
      <c r="D550">
        <v>0.64</v>
      </c>
    </row>
    <row r="551" spans="1:4" x14ac:dyDescent="0.45">
      <c r="A551" t="s">
        <v>32</v>
      </c>
      <c r="B551">
        <v>2013</v>
      </c>
      <c r="C551" t="s">
        <v>76</v>
      </c>
      <c r="D551">
        <v>9.84</v>
      </c>
    </row>
    <row r="552" spans="1:4" x14ac:dyDescent="0.45">
      <c r="A552" t="s">
        <v>34</v>
      </c>
      <c r="B552">
        <v>2013</v>
      </c>
      <c r="C552" t="s">
        <v>76</v>
      </c>
      <c r="D552">
        <v>280.32</v>
      </c>
    </row>
    <row r="553" spans="1:4" x14ac:dyDescent="0.45">
      <c r="A553" t="s">
        <v>36</v>
      </c>
      <c r="B553">
        <v>2013</v>
      </c>
      <c r="C553" t="s">
        <v>76</v>
      </c>
      <c r="D553">
        <v>28.89</v>
      </c>
    </row>
    <row r="554" spans="1:4" x14ac:dyDescent="0.45">
      <c r="A554" t="s">
        <v>56</v>
      </c>
      <c r="B554">
        <v>2013</v>
      </c>
      <c r="C554" t="s">
        <v>76</v>
      </c>
      <c r="D554">
        <v>0.55000000000000004</v>
      </c>
    </row>
    <row r="555" spans="1:4" x14ac:dyDescent="0.45">
      <c r="A555" t="s">
        <v>57</v>
      </c>
      <c r="B555">
        <v>2013</v>
      </c>
      <c r="C555" t="s">
        <v>76</v>
      </c>
      <c r="D555">
        <v>0.47</v>
      </c>
    </row>
    <row r="556" spans="1:4" x14ac:dyDescent="0.45">
      <c r="A556" t="s">
        <v>38</v>
      </c>
      <c r="B556">
        <v>2013</v>
      </c>
      <c r="C556" t="s">
        <v>76</v>
      </c>
      <c r="D556">
        <v>16.61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1.46</v>
      </c>
    </row>
    <row r="559" spans="1:4" x14ac:dyDescent="0.45">
      <c r="A559" t="s">
        <v>91</v>
      </c>
      <c r="B559">
        <v>2013</v>
      </c>
      <c r="C559" t="s">
        <v>76</v>
      </c>
      <c r="D559">
        <v>0.65</v>
      </c>
    </row>
    <row r="560" spans="1:4" x14ac:dyDescent="0.45">
      <c r="A560" t="s">
        <v>32</v>
      </c>
      <c r="B560">
        <v>2014</v>
      </c>
      <c r="C560" t="s">
        <v>76</v>
      </c>
      <c r="D560">
        <v>10.44</v>
      </c>
    </row>
    <row r="561" spans="1:4" x14ac:dyDescent="0.45">
      <c r="A561" t="s">
        <v>34</v>
      </c>
      <c r="B561">
        <v>2014</v>
      </c>
      <c r="C561" t="s">
        <v>76</v>
      </c>
      <c r="D561">
        <v>266.64999999999998</v>
      </c>
    </row>
    <row r="562" spans="1:4" x14ac:dyDescent="0.45">
      <c r="A562" t="s">
        <v>36</v>
      </c>
      <c r="B562">
        <v>2014</v>
      </c>
      <c r="C562" t="s">
        <v>76</v>
      </c>
      <c r="D562">
        <v>26.13</v>
      </c>
    </row>
    <row r="563" spans="1:4" x14ac:dyDescent="0.45">
      <c r="A563" t="s">
        <v>56</v>
      </c>
      <c r="B563">
        <v>2014</v>
      </c>
      <c r="C563" t="s">
        <v>76</v>
      </c>
      <c r="D563">
        <v>0.47</v>
      </c>
    </row>
    <row r="564" spans="1:4" x14ac:dyDescent="0.45">
      <c r="A564" t="s">
        <v>57</v>
      </c>
      <c r="B564">
        <v>2014</v>
      </c>
      <c r="C564" t="s">
        <v>76</v>
      </c>
      <c r="D564">
        <v>0.47</v>
      </c>
    </row>
    <row r="565" spans="1:4" x14ac:dyDescent="0.45">
      <c r="A565" t="s">
        <v>38</v>
      </c>
      <c r="B565">
        <v>2014</v>
      </c>
      <c r="C565" t="s">
        <v>76</v>
      </c>
      <c r="D565">
        <v>16.23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1.68</v>
      </c>
    </row>
    <row r="568" spans="1:4" x14ac:dyDescent="0.45">
      <c r="A568" t="s">
        <v>91</v>
      </c>
      <c r="B568">
        <v>2014</v>
      </c>
      <c r="C568" t="s">
        <v>76</v>
      </c>
      <c r="D568">
        <v>0.72</v>
      </c>
    </row>
    <row r="569" spans="1:4" x14ac:dyDescent="0.45">
      <c r="A569" t="s">
        <v>32</v>
      </c>
      <c r="B569">
        <v>2015</v>
      </c>
      <c r="C569" t="s">
        <v>76</v>
      </c>
      <c r="D569">
        <v>10.88</v>
      </c>
    </row>
    <row r="570" spans="1:4" x14ac:dyDescent="0.45">
      <c r="A570" t="s">
        <v>34</v>
      </c>
      <c r="B570">
        <v>2015</v>
      </c>
      <c r="C570" t="s">
        <v>76</v>
      </c>
      <c r="D570">
        <v>263.95999999999998</v>
      </c>
    </row>
    <row r="571" spans="1:4" x14ac:dyDescent="0.45">
      <c r="A571" t="s">
        <v>36</v>
      </c>
      <c r="B571">
        <v>2015</v>
      </c>
      <c r="C571" t="s">
        <v>76</v>
      </c>
      <c r="D571">
        <v>26.51</v>
      </c>
    </row>
    <row r="572" spans="1:4" x14ac:dyDescent="0.45">
      <c r="A572" t="s">
        <v>56</v>
      </c>
      <c r="B572">
        <v>2015</v>
      </c>
      <c r="C572" t="s">
        <v>76</v>
      </c>
      <c r="D572">
        <v>0.45</v>
      </c>
    </row>
    <row r="573" spans="1:4" x14ac:dyDescent="0.45">
      <c r="A573" t="s">
        <v>57</v>
      </c>
      <c r="B573">
        <v>2015</v>
      </c>
      <c r="C573" t="s">
        <v>76</v>
      </c>
      <c r="D573">
        <v>0.44</v>
      </c>
    </row>
    <row r="574" spans="1:4" x14ac:dyDescent="0.45">
      <c r="A574" t="s">
        <v>38</v>
      </c>
      <c r="B574">
        <v>2015</v>
      </c>
      <c r="C574" t="s">
        <v>76</v>
      </c>
      <c r="D574">
        <v>16.829999999999998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1.81</v>
      </c>
    </row>
    <row r="577" spans="1:4" x14ac:dyDescent="0.45">
      <c r="A577" t="s">
        <v>91</v>
      </c>
      <c r="B577">
        <v>2015</v>
      </c>
      <c r="C577" t="s">
        <v>76</v>
      </c>
      <c r="D577">
        <v>1</v>
      </c>
    </row>
    <row r="578" spans="1:4" x14ac:dyDescent="0.45">
      <c r="A578" t="s">
        <v>32</v>
      </c>
      <c r="B578">
        <v>2016</v>
      </c>
      <c r="C578" t="s">
        <v>76</v>
      </c>
      <c r="D578">
        <v>11.01</v>
      </c>
    </row>
    <row r="579" spans="1:4" x14ac:dyDescent="0.45">
      <c r="A579" t="s">
        <v>34</v>
      </c>
      <c r="B579">
        <v>2016</v>
      </c>
      <c r="C579" t="s">
        <v>76</v>
      </c>
      <c r="D579">
        <v>253.51</v>
      </c>
    </row>
    <row r="580" spans="1:4" x14ac:dyDescent="0.45">
      <c r="A580" t="s">
        <v>36</v>
      </c>
      <c r="B580">
        <v>2016</v>
      </c>
      <c r="C580" t="s">
        <v>76</v>
      </c>
      <c r="D580">
        <v>34.76</v>
      </c>
    </row>
    <row r="581" spans="1:4" x14ac:dyDescent="0.45">
      <c r="A581" t="s">
        <v>56</v>
      </c>
      <c r="B581">
        <v>2016</v>
      </c>
      <c r="C581" t="s">
        <v>76</v>
      </c>
      <c r="D581">
        <v>0.49</v>
      </c>
    </row>
    <row r="582" spans="1:4" x14ac:dyDescent="0.45">
      <c r="A582" t="s">
        <v>57</v>
      </c>
      <c r="B582">
        <v>2016</v>
      </c>
      <c r="C582" t="s">
        <v>76</v>
      </c>
      <c r="D582">
        <v>0.41</v>
      </c>
    </row>
    <row r="583" spans="1:4" x14ac:dyDescent="0.45">
      <c r="A583" t="s">
        <v>38</v>
      </c>
      <c r="B583">
        <v>2016</v>
      </c>
      <c r="C583" t="s">
        <v>76</v>
      </c>
      <c r="D583">
        <v>16.71</v>
      </c>
    </row>
    <row r="584" spans="1:4" x14ac:dyDescent="0.45">
      <c r="A584" t="s">
        <v>32</v>
      </c>
      <c r="B584">
        <v>2016</v>
      </c>
      <c r="C584" t="s">
        <v>76</v>
      </c>
      <c r="D584">
        <v>0.01</v>
      </c>
    </row>
    <row r="585" spans="1:4" x14ac:dyDescent="0.45">
      <c r="A585" t="s">
        <v>58</v>
      </c>
      <c r="B585">
        <v>2016</v>
      </c>
      <c r="C585" t="s">
        <v>76</v>
      </c>
      <c r="D585">
        <v>1.78</v>
      </c>
    </row>
    <row r="586" spans="1:4" x14ac:dyDescent="0.45">
      <c r="A586" t="s">
        <v>91</v>
      </c>
      <c r="B586">
        <v>2016</v>
      </c>
      <c r="C586" t="s">
        <v>76</v>
      </c>
      <c r="D586">
        <v>0.99</v>
      </c>
    </row>
    <row r="587" spans="1:4" x14ac:dyDescent="0.45">
      <c r="A587" t="s">
        <v>32</v>
      </c>
      <c r="B587">
        <v>2017</v>
      </c>
      <c r="C587" t="s">
        <v>76</v>
      </c>
      <c r="D587">
        <v>11.01</v>
      </c>
    </row>
    <row r="588" spans="1:4" x14ac:dyDescent="0.45">
      <c r="A588" t="s">
        <v>34</v>
      </c>
      <c r="B588">
        <v>2017</v>
      </c>
      <c r="C588" t="s">
        <v>76</v>
      </c>
      <c r="D588">
        <v>234.03</v>
      </c>
    </row>
    <row r="589" spans="1:4" x14ac:dyDescent="0.45">
      <c r="A589" t="s">
        <v>36</v>
      </c>
      <c r="B589">
        <v>2017</v>
      </c>
      <c r="C589" t="s">
        <v>76</v>
      </c>
      <c r="D589">
        <v>37.1</v>
      </c>
    </row>
    <row r="590" spans="1:4" x14ac:dyDescent="0.45">
      <c r="A590" t="s">
        <v>56</v>
      </c>
      <c r="B590">
        <v>2017</v>
      </c>
      <c r="C590" t="s">
        <v>76</v>
      </c>
      <c r="D590">
        <v>0.48</v>
      </c>
    </row>
    <row r="591" spans="1:4" x14ac:dyDescent="0.45">
      <c r="A591" t="s">
        <v>57</v>
      </c>
      <c r="B591">
        <v>2017</v>
      </c>
      <c r="C591" t="s">
        <v>76</v>
      </c>
      <c r="D591">
        <v>0.37</v>
      </c>
    </row>
    <row r="592" spans="1:4" x14ac:dyDescent="0.45">
      <c r="A592" t="s">
        <v>38</v>
      </c>
      <c r="B592">
        <v>2017</v>
      </c>
      <c r="C592" t="s">
        <v>76</v>
      </c>
      <c r="D592">
        <v>16.559999999999999</v>
      </c>
    </row>
    <row r="593" spans="1:4" x14ac:dyDescent="0.45">
      <c r="A593" t="s">
        <v>32</v>
      </c>
      <c r="B593">
        <v>2017</v>
      </c>
      <c r="C593" t="s">
        <v>76</v>
      </c>
      <c r="D593">
        <v>0.01</v>
      </c>
    </row>
    <row r="594" spans="1:4" x14ac:dyDescent="0.45">
      <c r="A594" t="s">
        <v>58</v>
      </c>
      <c r="B594">
        <v>2017</v>
      </c>
      <c r="C594" t="s">
        <v>76</v>
      </c>
      <c r="D594">
        <v>1.84</v>
      </c>
    </row>
    <row r="595" spans="1:4" x14ac:dyDescent="0.45">
      <c r="A595" t="s">
        <v>91</v>
      </c>
      <c r="B595">
        <v>2017</v>
      </c>
      <c r="C595" t="s">
        <v>76</v>
      </c>
      <c r="D595">
        <v>1.31</v>
      </c>
    </row>
    <row r="596" spans="1:4" x14ac:dyDescent="0.45">
      <c r="A596" t="s">
        <v>32</v>
      </c>
      <c r="B596">
        <v>2018</v>
      </c>
      <c r="C596" t="s">
        <v>76</v>
      </c>
      <c r="D596">
        <v>10.98</v>
      </c>
    </row>
    <row r="597" spans="1:4" x14ac:dyDescent="0.45">
      <c r="A597" t="s">
        <v>34</v>
      </c>
      <c r="B597">
        <v>2018</v>
      </c>
      <c r="C597" t="s">
        <v>76</v>
      </c>
      <c r="D597">
        <v>221.42</v>
      </c>
    </row>
    <row r="598" spans="1:4" x14ac:dyDescent="0.45">
      <c r="A598" t="s">
        <v>36</v>
      </c>
      <c r="B598">
        <v>2018</v>
      </c>
      <c r="C598" t="s">
        <v>76</v>
      </c>
      <c r="D598">
        <v>35.17</v>
      </c>
    </row>
    <row r="599" spans="1:4" x14ac:dyDescent="0.45">
      <c r="A599" t="s">
        <v>56</v>
      </c>
      <c r="B599">
        <v>2018</v>
      </c>
      <c r="C599" t="s">
        <v>76</v>
      </c>
      <c r="D599">
        <v>0.42</v>
      </c>
    </row>
    <row r="600" spans="1:4" x14ac:dyDescent="0.45">
      <c r="A600" t="s">
        <v>57</v>
      </c>
      <c r="B600">
        <v>2018</v>
      </c>
      <c r="C600" t="s">
        <v>76</v>
      </c>
      <c r="D600">
        <v>0.37</v>
      </c>
    </row>
    <row r="601" spans="1:4" x14ac:dyDescent="0.45">
      <c r="A601" t="s">
        <v>38</v>
      </c>
      <c r="B601">
        <v>2018</v>
      </c>
      <c r="C601" t="s">
        <v>76</v>
      </c>
      <c r="D601">
        <v>15.55</v>
      </c>
    </row>
    <row r="602" spans="1:4" x14ac:dyDescent="0.45">
      <c r="A602" t="s">
        <v>32</v>
      </c>
      <c r="B602">
        <v>2018</v>
      </c>
      <c r="C602" t="s">
        <v>76</v>
      </c>
      <c r="D602">
        <v>0.01</v>
      </c>
    </row>
    <row r="603" spans="1:4" x14ac:dyDescent="0.45">
      <c r="A603" t="s">
        <v>58</v>
      </c>
      <c r="B603">
        <v>2018</v>
      </c>
      <c r="C603" t="s">
        <v>76</v>
      </c>
      <c r="D603">
        <v>2.11</v>
      </c>
    </row>
    <row r="604" spans="1:4" x14ac:dyDescent="0.45">
      <c r="A604" t="s">
        <v>91</v>
      </c>
      <c r="B604">
        <v>2018</v>
      </c>
      <c r="C604" t="s">
        <v>76</v>
      </c>
      <c r="D604">
        <v>1.37</v>
      </c>
    </row>
    <row r="605" spans="1:4" x14ac:dyDescent="0.45">
      <c r="A605" t="s">
        <v>32</v>
      </c>
      <c r="B605">
        <v>2019</v>
      </c>
      <c r="C605" t="s">
        <v>76</v>
      </c>
      <c r="D605">
        <v>10.84</v>
      </c>
    </row>
    <row r="606" spans="1:4" x14ac:dyDescent="0.45">
      <c r="A606" t="s">
        <v>34</v>
      </c>
      <c r="B606">
        <v>2019</v>
      </c>
      <c r="C606" t="s">
        <v>76</v>
      </c>
      <c r="D606">
        <v>166.58</v>
      </c>
    </row>
    <row r="607" spans="1:4" x14ac:dyDescent="0.45">
      <c r="A607" t="s">
        <v>36</v>
      </c>
      <c r="B607">
        <v>2019</v>
      </c>
      <c r="C607" t="s">
        <v>76</v>
      </c>
      <c r="D607">
        <v>38.81</v>
      </c>
    </row>
    <row r="608" spans="1:4" x14ac:dyDescent="0.45">
      <c r="A608" t="s">
        <v>56</v>
      </c>
      <c r="B608">
        <v>2019</v>
      </c>
      <c r="C608" t="s">
        <v>76</v>
      </c>
      <c r="D608">
        <v>0.47</v>
      </c>
    </row>
    <row r="609" spans="1:4" x14ac:dyDescent="0.45">
      <c r="A609" t="s">
        <v>57</v>
      </c>
      <c r="B609">
        <v>2019</v>
      </c>
      <c r="C609" t="s">
        <v>76</v>
      </c>
      <c r="D609">
        <v>0.36</v>
      </c>
    </row>
    <row r="610" spans="1:4" x14ac:dyDescent="0.45">
      <c r="A610" t="s">
        <v>38</v>
      </c>
      <c r="B610">
        <v>2019</v>
      </c>
      <c r="C610" t="s">
        <v>76</v>
      </c>
      <c r="D610">
        <v>14.74</v>
      </c>
    </row>
    <row r="611" spans="1:4" x14ac:dyDescent="0.45">
      <c r="A611" t="s">
        <v>32</v>
      </c>
      <c r="B611">
        <v>2019</v>
      </c>
      <c r="C611" t="s">
        <v>76</v>
      </c>
      <c r="D611">
        <v>0.01</v>
      </c>
    </row>
    <row r="612" spans="1:4" x14ac:dyDescent="0.45">
      <c r="A612" t="s">
        <v>58</v>
      </c>
      <c r="B612">
        <v>2019</v>
      </c>
      <c r="C612" t="s">
        <v>76</v>
      </c>
      <c r="D612">
        <v>2.15</v>
      </c>
    </row>
    <row r="613" spans="1:4" x14ac:dyDescent="0.45">
      <c r="A613" t="s">
        <v>91</v>
      </c>
      <c r="B613">
        <v>2019</v>
      </c>
      <c r="C613" t="s">
        <v>76</v>
      </c>
      <c r="D613">
        <v>1.57</v>
      </c>
    </row>
    <row r="614" spans="1:4" x14ac:dyDescent="0.45">
      <c r="A614" t="s">
        <v>32</v>
      </c>
      <c r="B614">
        <v>2020</v>
      </c>
      <c r="C614" t="s">
        <v>76</v>
      </c>
      <c r="D614">
        <v>11.01</v>
      </c>
    </row>
    <row r="615" spans="1:4" x14ac:dyDescent="0.45">
      <c r="A615" t="s">
        <v>34</v>
      </c>
      <c r="B615">
        <v>2020</v>
      </c>
      <c r="C615" t="s">
        <v>76</v>
      </c>
      <c r="D615">
        <v>130.84</v>
      </c>
    </row>
    <row r="616" spans="1:4" x14ac:dyDescent="0.45">
      <c r="A616" t="s">
        <v>36</v>
      </c>
      <c r="B616">
        <v>2020</v>
      </c>
      <c r="C616" t="s">
        <v>76</v>
      </c>
      <c r="D616">
        <v>40.96</v>
      </c>
    </row>
    <row r="617" spans="1:4" x14ac:dyDescent="0.45">
      <c r="A617" t="s">
        <v>56</v>
      </c>
      <c r="B617">
        <v>2020</v>
      </c>
      <c r="C617" t="s">
        <v>76</v>
      </c>
      <c r="D617">
        <v>0.44</v>
      </c>
    </row>
    <row r="618" spans="1:4" x14ac:dyDescent="0.45">
      <c r="A618" t="s">
        <v>57</v>
      </c>
      <c r="B618">
        <v>2020</v>
      </c>
      <c r="C618" t="s">
        <v>76</v>
      </c>
      <c r="D618">
        <v>0.31</v>
      </c>
    </row>
    <row r="619" spans="1:4" x14ac:dyDescent="0.45">
      <c r="A619" t="s">
        <v>38</v>
      </c>
      <c r="B619">
        <v>2020</v>
      </c>
      <c r="C619" t="s">
        <v>76</v>
      </c>
      <c r="D619">
        <v>14</v>
      </c>
    </row>
    <row r="620" spans="1:4" x14ac:dyDescent="0.45">
      <c r="A620" t="s">
        <v>32</v>
      </c>
      <c r="B620">
        <v>2020</v>
      </c>
      <c r="C620" t="s">
        <v>76</v>
      </c>
      <c r="D620">
        <v>0.01</v>
      </c>
    </row>
    <row r="621" spans="1:4" x14ac:dyDescent="0.45">
      <c r="A621" t="s">
        <v>58</v>
      </c>
      <c r="B621">
        <v>2020</v>
      </c>
      <c r="C621" t="s">
        <v>76</v>
      </c>
      <c r="D621">
        <v>2.35</v>
      </c>
    </row>
    <row r="622" spans="1:4" x14ac:dyDescent="0.45">
      <c r="A622" t="s">
        <v>91</v>
      </c>
      <c r="B622">
        <v>2020</v>
      </c>
      <c r="C622" t="s">
        <v>76</v>
      </c>
      <c r="D622">
        <v>1.65</v>
      </c>
    </row>
    <row r="623" spans="1:4" x14ac:dyDescent="0.45">
      <c r="A623" t="s">
        <v>32</v>
      </c>
      <c r="B623">
        <v>2021</v>
      </c>
      <c r="C623" t="s">
        <v>76</v>
      </c>
      <c r="D623">
        <v>10.62</v>
      </c>
    </row>
    <row r="624" spans="1:4" x14ac:dyDescent="0.45">
      <c r="A624" t="s">
        <v>34</v>
      </c>
      <c r="B624">
        <v>2021</v>
      </c>
      <c r="C624" t="s">
        <v>76</v>
      </c>
      <c r="D624">
        <v>159.79</v>
      </c>
    </row>
    <row r="625" spans="1:4" x14ac:dyDescent="0.45">
      <c r="A625" t="s">
        <v>36</v>
      </c>
      <c r="B625">
        <v>2021</v>
      </c>
      <c r="C625" t="s">
        <v>76</v>
      </c>
      <c r="D625">
        <v>38.94</v>
      </c>
    </row>
    <row r="626" spans="1:4" x14ac:dyDescent="0.45">
      <c r="A626" t="s">
        <v>56</v>
      </c>
      <c r="B626">
        <v>2021</v>
      </c>
      <c r="C626" t="s">
        <v>76</v>
      </c>
      <c r="D626">
        <v>0.47</v>
      </c>
    </row>
    <row r="627" spans="1:4" x14ac:dyDescent="0.45">
      <c r="A627" t="s">
        <v>57</v>
      </c>
      <c r="B627">
        <v>2021</v>
      </c>
      <c r="C627" t="s">
        <v>76</v>
      </c>
      <c r="D627">
        <v>0.33</v>
      </c>
    </row>
    <row r="628" spans="1:4" x14ac:dyDescent="0.45">
      <c r="A628" t="s">
        <v>38</v>
      </c>
      <c r="B628">
        <v>2021</v>
      </c>
      <c r="C628" t="s">
        <v>76</v>
      </c>
      <c r="D628">
        <v>14.63</v>
      </c>
    </row>
    <row r="629" spans="1:4" x14ac:dyDescent="0.45">
      <c r="A629" t="s">
        <v>32</v>
      </c>
      <c r="B629">
        <v>2021</v>
      </c>
      <c r="C629" t="s">
        <v>76</v>
      </c>
      <c r="D629">
        <v>0.01</v>
      </c>
    </row>
    <row r="630" spans="1:4" x14ac:dyDescent="0.45">
      <c r="A630" t="s">
        <v>58</v>
      </c>
      <c r="B630">
        <v>2021</v>
      </c>
      <c r="C630" t="s">
        <v>76</v>
      </c>
      <c r="D630">
        <v>2.34</v>
      </c>
    </row>
    <row r="631" spans="1:4" x14ac:dyDescent="0.45">
      <c r="A631" t="s">
        <v>91</v>
      </c>
      <c r="B631">
        <v>2021</v>
      </c>
      <c r="C631" t="s">
        <v>76</v>
      </c>
      <c r="D631">
        <v>1.43</v>
      </c>
    </row>
    <row r="632" spans="1:4" x14ac:dyDescent="0.45">
      <c r="A632" t="s">
        <v>32</v>
      </c>
      <c r="B632">
        <v>2022</v>
      </c>
      <c r="C632" t="s">
        <v>76</v>
      </c>
      <c r="D632">
        <v>10.41</v>
      </c>
    </row>
    <row r="633" spans="1:4" x14ac:dyDescent="0.45">
      <c r="A633" t="s">
        <v>34</v>
      </c>
      <c r="B633">
        <v>2022</v>
      </c>
      <c r="C633" t="s">
        <v>76</v>
      </c>
      <c r="D633">
        <v>174.33</v>
      </c>
    </row>
    <row r="634" spans="1:4" x14ac:dyDescent="0.45">
      <c r="A634" t="s">
        <v>36</v>
      </c>
      <c r="B634">
        <v>2022</v>
      </c>
      <c r="C634" t="s">
        <v>76</v>
      </c>
      <c r="D634">
        <v>34.090000000000003</v>
      </c>
    </row>
    <row r="635" spans="1:4" x14ac:dyDescent="0.45">
      <c r="A635" t="s">
        <v>56</v>
      </c>
      <c r="B635">
        <v>2022</v>
      </c>
      <c r="C635" t="s">
        <v>76</v>
      </c>
      <c r="D635">
        <v>0.42</v>
      </c>
    </row>
    <row r="636" spans="1:4" x14ac:dyDescent="0.45">
      <c r="A636" t="s">
        <v>57</v>
      </c>
      <c r="B636">
        <v>2022</v>
      </c>
      <c r="C636" t="s">
        <v>76</v>
      </c>
      <c r="D636">
        <v>0.17</v>
      </c>
    </row>
    <row r="637" spans="1:4" x14ac:dyDescent="0.45">
      <c r="A637" t="s">
        <v>38</v>
      </c>
      <c r="B637">
        <v>2022</v>
      </c>
      <c r="C637" t="s">
        <v>76</v>
      </c>
      <c r="D637">
        <v>14.18</v>
      </c>
    </row>
    <row r="638" spans="1:4" x14ac:dyDescent="0.45">
      <c r="A638" t="s">
        <v>32</v>
      </c>
      <c r="B638">
        <v>2022</v>
      </c>
      <c r="C638" t="s">
        <v>76</v>
      </c>
      <c r="D638">
        <v>0.01</v>
      </c>
    </row>
    <row r="639" spans="1:4" x14ac:dyDescent="0.45">
      <c r="A639" t="s">
        <v>58</v>
      </c>
      <c r="B639">
        <v>2022</v>
      </c>
      <c r="C639" t="s">
        <v>76</v>
      </c>
      <c r="D639">
        <v>2.87</v>
      </c>
    </row>
    <row r="640" spans="1:4" x14ac:dyDescent="0.45">
      <c r="A640" t="s">
        <v>91</v>
      </c>
      <c r="B640">
        <v>2022</v>
      </c>
      <c r="C640" t="s">
        <v>76</v>
      </c>
      <c r="D640">
        <v>1.55</v>
      </c>
    </row>
    <row r="641" spans="1:4" x14ac:dyDescent="0.45">
      <c r="A641" t="s">
        <v>32</v>
      </c>
      <c r="B641">
        <v>2023</v>
      </c>
      <c r="C641" t="s">
        <v>76</v>
      </c>
      <c r="D641">
        <v>9.9499999999999993</v>
      </c>
    </row>
    <row r="642" spans="1:4" x14ac:dyDescent="0.45">
      <c r="A642" t="s">
        <v>34</v>
      </c>
      <c r="B642">
        <v>2023</v>
      </c>
      <c r="C642" t="s">
        <v>76</v>
      </c>
      <c r="D642">
        <v>131.27000000000001</v>
      </c>
    </row>
    <row r="643" spans="1:4" x14ac:dyDescent="0.45">
      <c r="A643" t="s">
        <v>36</v>
      </c>
      <c r="B643">
        <v>2023</v>
      </c>
      <c r="C643" t="s">
        <v>76</v>
      </c>
      <c r="D643">
        <v>33.520000000000003</v>
      </c>
    </row>
    <row r="644" spans="1:4" x14ac:dyDescent="0.45">
      <c r="A644" t="s">
        <v>56</v>
      </c>
      <c r="B644">
        <v>2023</v>
      </c>
      <c r="C644" t="s">
        <v>76</v>
      </c>
      <c r="D644">
        <v>0.46</v>
      </c>
    </row>
    <row r="645" spans="1:4" x14ac:dyDescent="0.45">
      <c r="A645" t="s">
        <v>57</v>
      </c>
      <c r="B645">
        <v>2023</v>
      </c>
      <c r="C645" t="s">
        <v>76</v>
      </c>
      <c r="D645">
        <v>0.04</v>
      </c>
    </row>
    <row r="646" spans="1:4" x14ac:dyDescent="0.45">
      <c r="A646" t="s">
        <v>38</v>
      </c>
      <c r="B646">
        <v>2023</v>
      </c>
      <c r="C646" t="s">
        <v>76</v>
      </c>
      <c r="D646">
        <v>13.25</v>
      </c>
    </row>
    <row r="647" spans="1:4" x14ac:dyDescent="0.45">
      <c r="A647" t="s">
        <v>32</v>
      </c>
      <c r="B647">
        <v>2023</v>
      </c>
      <c r="C647" t="s">
        <v>76</v>
      </c>
      <c r="D647">
        <v>0.01</v>
      </c>
    </row>
    <row r="648" spans="1:4" x14ac:dyDescent="0.45">
      <c r="A648" t="s">
        <v>58</v>
      </c>
      <c r="B648">
        <v>2023</v>
      </c>
      <c r="C648" t="s">
        <v>76</v>
      </c>
      <c r="D648">
        <v>2.91</v>
      </c>
    </row>
    <row r="649" spans="1:4" x14ac:dyDescent="0.45">
      <c r="A649" t="s">
        <v>91</v>
      </c>
      <c r="B649">
        <v>2023</v>
      </c>
      <c r="C649" t="s">
        <v>76</v>
      </c>
      <c r="D649">
        <v>1.71</v>
      </c>
    </row>
    <row r="650" spans="1:4" x14ac:dyDescent="0.45">
      <c r="A650" t="s">
        <v>59</v>
      </c>
      <c r="B650">
        <v>2000</v>
      </c>
      <c r="C650" t="s">
        <v>74</v>
      </c>
      <c r="D650">
        <v>42.1</v>
      </c>
    </row>
    <row r="651" spans="1:4" x14ac:dyDescent="0.45">
      <c r="A651" t="s">
        <v>60</v>
      </c>
      <c r="B651">
        <v>2000</v>
      </c>
      <c r="C651" t="s">
        <v>74</v>
      </c>
      <c r="D651">
        <v>45.1</v>
      </c>
    </row>
    <row r="652" spans="1:4" x14ac:dyDescent="0.45">
      <c r="A652" t="s">
        <v>59</v>
      </c>
      <c r="B652">
        <v>2001</v>
      </c>
      <c r="C652" t="s">
        <v>74</v>
      </c>
      <c r="D652">
        <v>42.1</v>
      </c>
    </row>
    <row r="653" spans="1:4" x14ac:dyDescent="0.45">
      <c r="A653" t="s">
        <v>60</v>
      </c>
      <c r="B653">
        <v>2001</v>
      </c>
      <c r="C653" t="s">
        <v>74</v>
      </c>
      <c r="D653">
        <v>45.8</v>
      </c>
    </row>
    <row r="654" spans="1:4" x14ac:dyDescent="0.45">
      <c r="A654" t="s">
        <v>59</v>
      </c>
      <c r="B654">
        <v>2002</v>
      </c>
      <c r="C654" t="s">
        <v>74</v>
      </c>
      <c r="D654">
        <v>38.4</v>
      </c>
    </row>
    <row r="655" spans="1:4" x14ac:dyDescent="0.45">
      <c r="A655" t="s">
        <v>60</v>
      </c>
      <c r="B655">
        <v>2002</v>
      </c>
      <c r="C655" t="s">
        <v>74</v>
      </c>
      <c r="D655">
        <v>48.4</v>
      </c>
    </row>
    <row r="656" spans="1:4" x14ac:dyDescent="0.45">
      <c r="A656" t="s">
        <v>59</v>
      </c>
      <c r="B656">
        <v>2003</v>
      </c>
      <c r="C656" t="s">
        <v>74</v>
      </c>
      <c r="D656">
        <v>52.4</v>
      </c>
    </row>
    <row r="657" spans="1:4" x14ac:dyDescent="0.45">
      <c r="A657" t="s">
        <v>60</v>
      </c>
      <c r="B657">
        <v>2003</v>
      </c>
      <c r="C657" t="s">
        <v>74</v>
      </c>
      <c r="D657">
        <v>49.1</v>
      </c>
    </row>
    <row r="658" spans="1:4" x14ac:dyDescent="0.45">
      <c r="A658" t="s">
        <v>59</v>
      </c>
      <c r="B658">
        <v>2004</v>
      </c>
      <c r="C658" t="s">
        <v>74</v>
      </c>
      <c r="D658">
        <v>50.8</v>
      </c>
    </row>
    <row r="659" spans="1:4" x14ac:dyDescent="0.45">
      <c r="A659" t="s">
        <v>60</v>
      </c>
      <c r="B659">
        <v>2004</v>
      </c>
      <c r="C659" t="s">
        <v>74</v>
      </c>
      <c r="D659">
        <v>48.2</v>
      </c>
    </row>
    <row r="660" spans="1:4" x14ac:dyDescent="0.45">
      <c r="A660" t="s">
        <v>59</v>
      </c>
      <c r="B660">
        <v>2005</v>
      </c>
      <c r="C660" t="s">
        <v>74</v>
      </c>
      <c r="D660">
        <v>61.4</v>
      </c>
    </row>
    <row r="661" spans="1:4" x14ac:dyDescent="0.45">
      <c r="A661" t="s">
        <v>60</v>
      </c>
      <c r="B661">
        <v>2005</v>
      </c>
      <c r="C661" t="s">
        <v>74</v>
      </c>
      <c r="D661">
        <v>56.9</v>
      </c>
    </row>
    <row r="662" spans="1:4" x14ac:dyDescent="0.45">
      <c r="A662" t="s">
        <v>59</v>
      </c>
      <c r="B662">
        <v>2006</v>
      </c>
      <c r="C662" t="s">
        <v>74</v>
      </c>
      <c r="D662">
        <v>65.400000000000006</v>
      </c>
    </row>
    <row r="663" spans="1:4" x14ac:dyDescent="0.45">
      <c r="A663" t="s">
        <v>60</v>
      </c>
      <c r="B663">
        <v>2006</v>
      </c>
      <c r="C663" t="s">
        <v>74</v>
      </c>
      <c r="D663">
        <v>48.5</v>
      </c>
    </row>
    <row r="664" spans="1:4" x14ac:dyDescent="0.45">
      <c r="A664" t="s">
        <v>59</v>
      </c>
      <c r="B664">
        <v>2007</v>
      </c>
      <c r="C664" t="s">
        <v>74</v>
      </c>
      <c r="D664">
        <v>62.5</v>
      </c>
    </row>
    <row r="665" spans="1:4" x14ac:dyDescent="0.45">
      <c r="A665" t="s">
        <v>60</v>
      </c>
      <c r="B665">
        <v>2007</v>
      </c>
      <c r="C665" t="s">
        <v>74</v>
      </c>
      <c r="D665">
        <v>46</v>
      </c>
    </row>
    <row r="666" spans="1:4" x14ac:dyDescent="0.45">
      <c r="A666" t="s">
        <v>59</v>
      </c>
      <c r="B666">
        <v>2008</v>
      </c>
      <c r="C666" t="s">
        <v>74</v>
      </c>
      <c r="D666">
        <v>61.8</v>
      </c>
    </row>
    <row r="667" spans="1:4" x14ac:dyDescent="0.45">
      <c r="A667" t="s">
        <v>60</v>
      </c>
      <c r="B667">
        <v>2008</v>
      </c>
      <c r="C667" t="s">
        <v>74</v>
      </c>
      <c r="D667">
        <v>41.7</v>
      </c>
    </row>
    <row r="668" spans="1:4" x14ac:dyDescent="0.45">
      <c r="A668" t="s">
        <v>59</v>
      </c>
      <c r="B668">
        <v>2009</v>
      </c>
      <c r="C668" t="s">
        <v>74</v>
      </c>
      <c r="D668">
        <v>54.1</v>
      </c>
    </row>
    <row r="669" spans="1:4" x14ac:dyDescent="0.45">
      <c r="A669" t="s">
        <v>60</v>
      </c>
      <c r="B669">
        <v>2009</v>
      </c>
      <c r="C669" t="s">
        <v>74</v>
      </c>
      <c r="D669">
        <v>41.9</v>
      </c>
    </row>
    <row r="670" spans="1:4" x14ac:dyDescent="0.45">
      <c r="A670" t="s">
        <v>59</v>
      </c>
      <c r="B670">
        <v>2010</v>
      </c>
      <c r="C670" t="s">
        <v>74</v>
      </c>
      <c r="D670">
        <v>57.9</v>
      </c>
    </row>
    <row r="671" spans="1:4" x14ac:dyDescent="0.45">
      <c r="A671" t="s">
        <v>60</v>
      </c>
      <c r="B671">
        <v>2010</v>
      </c>
      <c r="C671" t="s">
        <v>74</v>
      </c>
      <c r="D671">
        <v>43</v>
      </c>
    </row>
    <row r="672" spans="1:4" x14ac:dyDescent="0.45">
      <c r="A672" t="s">
        <v>59</v>
      </c>
      <c r="B672">
        <v>2011</v>
      </c>
      <c r="C672" t="s">
        <v>74</v>
      </c>
      <c r="D672">
        <v>54.8</v>
      </c>
    </row>
    <row r="673" spans="1:4" x14ac:dyDescent="0.45">
      <c r="A673" t="s">
        <v>60</v>
      </c>
      <c r="B673">
        <v>2011</v>
      </c>
      <c r="C673" t="s">
        <v>74</v>
      </c>
      <c r="D673">
        <v>51</v>
      </c>
    </row>
    <row r="674" spans="1:4" x14ac:dyDescent="0.45">
      <c r="A674" t="s">
        <v>59</v>
      </c>
      <c r="B674">
        <v>2012</v>
      </c>
      <c r="C674" t="s">
        <v>74</v>
      </c>
      <c r="D674">
        <v>66.8</v>
      </c>
    </row>
    <row r="675" spans="1:4" x14ac:dyDescent="0.45">
      <c r="A675" t="s">
        <v>60</v>
      </c>
      <c r="B675">
        <v>2012</v>
      </c>
      <c r="C675" t="s">
        <v>74</v>
      </c>
      <c r="D675">
        <v>46.3</v>
      </c>
    </row>
    <row r="676" spans="1:4" x14ac:dyDescent="0.45">
      <c r="A676" t="s">
        <v>59</v>
      </c>
      <c r="B676">
        <v>2013</v>
      </c>
      <c r="C676" t="s">
        <v>74</v>
      </c>
      <c r="D676">
        <v>71.400000000000006</v>
      </c>
    </row>
    <row r="677" spans="1:4" x14ac:dyDescent="0.45">
      <c r="A677" t="s">
        <v>60</v>
      </c>
      <c r="B677">
        <v>2013</v>
      </c>
      <c r="C677" t="s">
        <v>74</v>
      </c>
      <c r="D677">
        <v>39.200000000000003</v>
      </c>
    </row>
    <row r="678" spans="1:4" x14ac:dyDescent="0.45">
      <c r="A678" t="s">
        <v>59</v>
      </c>
      <c r="B678">
        <v>2014</v>
      </c>
      <c r="C678" t="s">
        <v>74</v>
      </c>
      <c r="D678">
        <v>74.3</v>
      </c>
    </row>
    <row r="679" spans="1:4" x14ac:dyDescent="0.45">
      <c r="A679" t="s">
        <v>60</v>
      </c>
      <c r="B679">
        <v>2014</v>
      </c>
      <c r="C679" t="s">
        <v>74</v>
      </c>
      <c r="D679">
        <v>40.4</v>
      </c>
    </row>
    <row r="680" spans="1:4" x14ac:dyDescent="0.45">
      <c r="A680" t="s">
        <v>59</v>
      </c>
      <c r="B680">
        <v>2015</v>
      </c>
      <c r="C680" t="s">
        <v>74</v>
      </c>
      <c r="D680">
        <v>85.3</v>
      </c>
    </row>
    <row r="681" spans="1:4" x14ac:dyDescent="0.45">
      <c r="A681" t="s">
        <v>60</v>
      </c>
      <c r="B681">
        <v>2015</v>
      </c>
      <c r="C681" t="s">
        <v>74</v>
      </c>
      <c r="D681">
        <v>37</v>
      </c>
    </row>
    <row r="682" spans="1:4" x14ac:dyDescent="0.45">
      <c r="A682" t="s">
        <v>59</v>
      </c>
      <c r="B682">
        <v>2016</v>
      </c>
      <c r="C682" t="s">
        <v>74</v>
      </c>
      <c r="D682">
        <v>78.900000000000006</v>
      </c>
    </row>
    <row r="683" spans="1:4" x14ac:dyDescent="0.45">
      <c r="A683" t="s">
        <v>60</v>
      </c>
      <c r="B683">
        <v>2016</v>
      </c>
      <c r="C683" t="s">
        <v>74</v>
      </c>
      <c r="D683">
        <v>28.3</v>
      </c>
    </row>
    <row r="684" spans="1:4" x14ac:dyDescent="0.45">
      <c r="A684" t="s">
        <v>59</v>
      </c>
      <c r="B684">
        <v>2017</v>
      </c>
      <c r="C684" t="s">
        <v>74</v>
      </c>
      <c r="D684">
        <v>80.3</v>
      </c>
    </row>
    <row r="685" spans="1:4" x14ac:dyDescent="0.45">
      <c r="A685" t="s">
        <v>60</v>
      </c>
      <c r="B685">
        <v>2017</v>
      </c>
      <c r="C685" t="s">
        <v>74</v>
      </c>
      <c r="D685">
        <v>27.8</v>
      </c>
    </row>
    <row r="686" spans="1:4" x14ac:dyDescent="0.45">
      <c r="A686" t="s">
        <v>59</v>
      </c>
      <c r="B686">
        <v>2018</v>
      </c>
      <c r="C686" t="s">
        <v>74</v>
      </c>
      <c r="D686">
        <v>80.5</v>
      </c>
    </row>
    <row r="687" spans="1:4" x14ac:dyDescent="0.45">
      <c r="A687" t="s">
        <v>60</v>
      </c>
      <c r="B687">
        <v>2018</v>
      </c>
      <c r="C687" t="s">
        <v>74</v>
      </c>
      <c r="D687">
        <v>31.7</v>
      </c>
    </row>
    <row r="688" spans="1:4" x14ac:dyDescent="0.45">
      <c r="A688" t="s">
        <v>59</v>
      </c>
      <c r="B688">
        <v>2019</v>
      </c>
      <c r="C688" t="s">
        <v>74</v>
      </c>
      <c r="D688">
        <v>72.8</v>
      </c>
    </row>
    <row r="689" spans="1:4" x14ac:dyDescent="0.45">
      <c r="A689" t="s">
        <v>60</v>
      </c>
      <c r="B689">
        <v>2019</v>
      </c>
      <c r="C689" t="s">
        <v>74</v>
      </c>
      <c r="D689">
        <v>40.1</v>
      </c>
    </row>
    <row r="690" spans="1:4" x14ac:dyDescent="0.45">
      <c r="A690" t="s">
        <v>59</v>
      </c>
      <c r="B690">
        <v>2020</v>
      </c>
      <c r="C690" t="s">
        <v>74</v>
      </c>
      <c r="D690">
        <v>66.900000000000006</v>
      </c>
    </row>
    <row r="691" spans="1:4" x14ac:dyDescent="0.45">
      <c r="A691" t="s">
        <v>60</v>
      </c>
      <c r="B691">
        <v>2020</v>
      </c>
      <c r="C691" t="s">
        <v>74</v>
      </c>
      <c r="D691">
        <v>47.9</v>
      </c>
    </row>
    <row r="692" spans="1:4" x14ac:dyDescent="0.45">
      <c r="A692" t="s">
        <v>59</v>
      </c>
      <c r="B692">
        <v>2021</v>
      </c>
      <c r="C692" t="s">
        <v>74</v>
      </c>
      <c r="D692">
        <v>70.3</v>
      </c>
    </row>
    <row r="693" spans="1:4" x14ac:dyDescent="0.45">
      <c r="A693" t="s">
        <v>60</v>
      </c>
      <c r="B693">
        <v>2021</v>
      </c>
      <c r="C693" t="s">
        <v>74</v>
      </c>
      <c r="D693">
        <v>51.7</v>
      </c>
    </row>
    <row r="694" spans="1:4" x14ac:dyDescent="0.45">
      <c r="A694" t="s">
        <v>59</v>
      </c>
      <c r="B694">
        <v>2022</v>
      </c>
      <c r="C694" t="s">
        <v>74</v>
      </c>
      <c r="D694">
        <v>76.599999999999994</v>
      </c>
    </row>
    <row r="695" spans="1:4" x14ac:dyDescent="0.45">
      <c r="A695" t="s">
        <v>60</v>
      </c>
      <c r="B695">
        <v>2022</v>
      </c>
      <c r="C695" t="s">
        <v>74</v>
      </c>
      <c r="D695">
        <v>49.3</v>
      </c>
    </row>
    <row r="696" spans="1:4" x14ac:dyDescent="0.45">
      <c r="A696" t="s">
        <v>59</v>
      </c>
      <c r="B696">
        <v>2023</v>
      </c>
      <c r="C696" t="s">
        <v>74</v>
      </c>
      <c r="D696">
        <v>60.1</v>
      </c>
    </row>
    <row r="697" spans="1:4" x14ac:dyDescent="0.45">
      <c r="A697" t="s">
        <v>60</v>
      </c>
      <c r="B697">
        <v>2023</v>
      </c>
      <c r="C697" t="s">
        <v>74</v>
      </c>
      <c r="D697">
        <v>69.3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68.855000000000004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45.326799999999999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28.340999999999998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19.035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10.5374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68.75160000000001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47.056400000000004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27.438600000000001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25.840599999999998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20.7834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8.6668000000000003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4.4462000000000002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69.240400000000008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47.620400000000004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27.8522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10.904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2.9985999999999997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69.701000000000008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46.896599999999999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27.100200000000001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8.2249999999999996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3.0268000000000002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68.9208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45.204599999999999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24.327199999999998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6.6176000000000004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2.0868000000000002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0.24439999999999998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67.915000000000006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44.537199999999999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25.962800000000001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14.626399999999999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7.0875999999999992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1.8800000000000001E-2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1.8800000000000001E-2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69.033600000000007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44.715800000000002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15.810799999999999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3.6565999999999996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0.32900000000000001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0.54519999999999991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0.12219999999999999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20.669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24.288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25.740000000000002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25.547500000000003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30.932000000000002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38.763999999999996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37.482500000000002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20.454499999999999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29.161000000000001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22.110000000000003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22.6875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29.040000000000003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43.186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41.888000000000005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20.421500000000002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29.095000000000002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21.994499999999999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19.442499999999999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20.9605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24.497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18.161000000000001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20.828499999999998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28.979500000000002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21.345500000000001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19.2775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19.744999999999997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19.101500000000001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14.805999999999999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20.2895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24.4695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17.253499999999999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4.3889999999999993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4.125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8.6624999999999996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13.024000000000001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20.251000000000001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23.694000000000003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21.785499999999999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22.302500000000002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26.103000000000002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32.3125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41.728500000000004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20.965999999999998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24.463999999999999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15.592499999999999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1.133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1.9855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1.837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0.24200000000000002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2.2050000000000001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7.0000000000000001E-3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2.1560000000000001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0.84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2.1419999999999999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0.83300000000000007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2.2189999999999999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0.84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2.1560000000000001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7.0000000000000001E-3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2.1629999999999998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7.0000000000000001E-3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2.2329999999999997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7.0000000000000001E-3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0.55725000000000002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4.1395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11.229949999999999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20.204450000000001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26.279049999999998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27.872450000000001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25.765550000000001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23.75825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21.236499999999999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18.970500000000001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18.267099999999999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17.533650000000002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18.45205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19.421500000000002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19.679949999999998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19.65305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0.38485000000000003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0.39324999999999999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0.39229999999999998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0.37835000000000002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0.35639999999999999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0.31574999999999998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0.28420000000000001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0.23365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0.15205000000000002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7.8049999999999994E-2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3.8800000000000001E-2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0.3664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0.37060000000000004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1.9856500000000001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28.648099999999999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73.894599999999997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85.443250000000006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85.991549999999989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78.628950000000003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72.994900000000001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67.468699999999998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58.304400000000001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49.681899999999999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39.768550000000005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30.494900000000001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28.695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26.93375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0.37085000000000001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0.37514999999999998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1.2315499999999999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6.1647499999999997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11.2361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14.70975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15.483450000000001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15.466749999999999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14.66545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13.930250000000001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11.98945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10.040949999999999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10.381900000000002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10.6563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11.16065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11.61885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0.65264999999999995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12.0358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25.641950000000001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37.92595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44.816450000000003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44.9649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44.001849999999997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40.527450000000002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38.068399999999997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35.882000000000005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35.356549999999999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34.816500000000005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34.730800000000002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34.707800000000006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34.201949999999997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33.506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0.69215000000000004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5.1640999999999995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12.146800000000001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19.8216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21.869500000000002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23.061050000000002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22.56635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20.977800000000002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18.332700000000003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15.941849999999999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12.42675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8.6892500000000013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8.4454999999999991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8.2146000000000008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9.546050000000001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10.813649999999999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0.6652499999999999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23.047449999999998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60.817250000000001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94.760850000000005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96.677549999999997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91.12115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85.142200000000003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73.600200000000001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60.518999999999998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48.033549999999998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39.204300000000003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30.99295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30.842099999999999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31.904450000000001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33.493049999999997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34.92165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572.27735000000007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407.70564999999999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226.69159999999999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122.6918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44.617149999999995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1.4370000000000001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-24.616050000000001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-31.950099999999999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-39.042699999999996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-39.388750000000002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-39.816600000000001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-39.985050000000001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-40.065849999999998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-41.44135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-42.84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-39.630650000000003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-36.258000000000003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574.01610000000005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425.09095000000002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300.97659999999996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227.55959999999999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163.12205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112.3249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92.712050000000005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78.466650000000001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68.031800000000004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66.773449999999997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66.315399999999997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62.577100000000002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56.65645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51.029250000000005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45.425200000000004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44.561450000000001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43.729100000000003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570.41965000000005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422.75094999999999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300.42345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176.3082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1.5849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-85.787000000000006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-116.2889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-116.67769999999999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-109.8379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-105.52015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-100.94145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-90.687200000000004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-80.933400000000006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-71.074700000000007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-61.776150000000001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-55.893299999999996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-50.055100000000003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571.61540000000002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419.35919999999999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294.96859999999998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189.91735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55.702349999999996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4.72715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-22.208649999999999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-28.3017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-32.4024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-33.773850000000003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-35.069299999999998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-37.346199999999996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-39.498549999999994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-41.050700000000006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-42.761899999999997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-38.027299999999997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-33.252049999999997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563.42065000000002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323.53530000000001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115.8317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31.761299999999999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-26.69295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-60.456000000000003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-71.035150000000002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-71.789950000000005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-68.545150000000007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-61.193550000000002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-54.131599999999999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-59.852049999999998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-65.507000000000005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-62.601799999999997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-59.7258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-62.717350000000003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-65.543149999999997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571.59344999999996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390.64834999999999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199.34829999999999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109.9037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42.186250000000001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5.5255999999999998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-18.6021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-26.163499999999999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-31.591450000000002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-31.666350000000001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-31.87115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-31.02815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-30.2454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-29.484349999999999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-28.760249999999999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-24.557299999999998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-20.345700000000001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568.41740000000004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368.50409999999999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140.84865000000002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5.6394000000000002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-87.073700000000002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-110.35825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-116.741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-110.67564999999999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-100.7191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-83.195899999999995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-66.095650000000006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-63.023350000000001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-60.445599999999999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-57.278700000000001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-55.322450000000003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-59.712050000000005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-63.968050000000005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604.94299999999998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416.06504999999999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242.39535000000001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145.87394999999998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74.114949999999993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34.529700000000005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11.300750000000001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1.9279500000000001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-9.0668500000000005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-10.48255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-12.01585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-13.180099999999999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-14.271049999999999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-15.424800000000001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-16.628349999999998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-17.514699999999998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-18.16065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607.02260000000001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433.31970000000001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317.95839999999998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250.14159999999998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191.94130000000001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147.22390000000001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133.42815000000002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118.762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107.68074999999999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105.61410000000001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104.33275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101.84529999999999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97.166699999999992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89.461849999999998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81.78125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74.588999999999999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67.42179999999999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602.98019999999997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428.6866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312.91700000000003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201.28719999999998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35.847499999999997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-46.00085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-71.912450000000007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-74.180749999999989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-71.580199999999991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-68.988900000000001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-66.1387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-57.40645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-49.190049999999999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-39.622450000000001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-30.623249999999999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-29.073549999999997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-27.558149999999998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604.66165000000001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426.82375000000002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310.05470000000003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215.89429999999999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90.258899999999997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46.185850000000002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24.5245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16.0928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8.1616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4.4531999999999998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0.82089999999999985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-0.31505000000000005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-1.3469000000000002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-3.7101999999999999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-6.2406000000000006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-7.7386999999999997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-9.1781499999999987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596.27814999999998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336.93525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139.66874999999999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61.4696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7.3321000000000005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-21.998150000000003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-29.228850000000001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-29.11965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-27.7988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-26.8064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-26.077550000000002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-26.959099999999999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-27.780799999999999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-28.240649999999999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-28.736499999999999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-29.279150000000001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-29.643349999999998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604.55219999999997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400.08849999999995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217.4247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134.72025000000002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73.846299999999999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42.385899999999999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23.053550000000001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13.348850000000001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4.0190999999999999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1.5823500000000001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-0.99990000000000001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0.66214999999999991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2.3491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2.1582500000000002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1.9330000000000001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-3.9500000000000091E-3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-1.9290499999999999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601.06774999999993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377.70915000000002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160.23570000000001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31.652200000000001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-57.262649999999994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-77.952650000000006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-82.94765000000001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-77.548900000000003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-69.843250000000012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-58.280149999999999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-47.137649999999994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-38.809650000000005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-30.985700000000001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-31.038899999999998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-32.322299999999998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-34.224249999999998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-35.986699999999999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0.94389999999999996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0.90685000000000004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0.88924999999999998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0.9012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0.84915000000000007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0.81794999999999995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0.76839999999999997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0.71100000000000008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0.63139999999999996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0.58899999999999997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0.55079999999999996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0.51600000000000001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0.48265000000000002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0.44464999999999999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0.40534999999999999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0.36294999999999999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0.32500000000000001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0.93835000000000002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0.87029999999999996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0.86014999999999997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0.8386499999999999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0.83330000000000004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0.79530000000000001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0.76570000000000005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0.69899999999999995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0.62440000000000007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0.57369999999999999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0.51295000000000002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0.46079999999999999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0.42185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0.3916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0.36025000000000001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0.33055000000000001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0.30404999999999999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0.93684999999999996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0.87944999999999995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0.88444999999999996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0.90504999999999991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0.89515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0.86044999999999994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0.79079999999999995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0.72425000000000006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0.63834999999999997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0.59434999999999993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0.55305000000000004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0.51669999999999994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0.47935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0.43459999999999999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0.40064999999999995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0.37239999999999995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0.34299999999999997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0.94609999999999994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0.88219999999999998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0.87385000000000002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0.81929999999999992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0.82139999999999991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0.81054999999999999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0.76919999999999999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0.71805000000000008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0.64365000000000006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0.60250000000000004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0.55935000000000001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0.50285000000000002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0.44874999999999998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0.40584999999999999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0.37709999999999999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0.34775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0.31725000000000003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0.92969999999999997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0.61145000000000005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0.47904999999999998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0.45200000000000001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0.4108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0.36155000000000004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0.34060000000000001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0.30454999999999999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0.26480000000000004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0.25019999999999998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0.23459999999999998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0.22120000000000001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0.20984999999999998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0.2014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0.19420000000000001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0.18564999999999998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0.17695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0.94394999999999996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0.88355000000000006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0.84830000000000005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0.90175000000000005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0.87975000000000003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0.84010000000000007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0.77794999999999992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0.71704999999999997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0.63719999999999999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0.58984999999999999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0.5363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0.47350000000000003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0.42725000000000002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0.39415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0.36324999999999996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0.33434999999999998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0.30645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0.92349999999999999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0.86434999999999995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0.88325000000000009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0.88064999999999993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0.86830000000000007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0.80449999999999999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0.73270000000000002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0.69015000000000004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0.62329999999999997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0.58505000000000007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0.54905000000000004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0.51524999999999999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0.4844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0.45504999999999995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0.42685000000000001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0.38890000000000002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0.35399999999999998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1.1132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1.0669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1.08775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1.0962999999999998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1.0758999999999999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1.0685500000000001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1.0381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0.96534999999999993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0.96439999999999992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0.95840000000000003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0.94555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0.97145000000000004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1.00065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1.0279500000000001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1.0522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1.07165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1.0975999999999999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1.0695999999999999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1.0061499999999999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1.0308000000000002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1.0504500000000001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1.0275000000000001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0.99475000000000002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0.98194999999999999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0.93524999999999991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0.92535000000000001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0.92025000000000001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0.90649999999999997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0.92775000000000007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0.96029999999999993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0.99354999999999993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1.02765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1.0663499999999999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1.1013000000000002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1.12765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1.0514000000000001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1.0752999999999999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1.0944500000000001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1.0844999999999998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1.1008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1.05775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0.97714999999999996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0.95140000000000002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0.94655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0.93704999999999994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0.95879999999999999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0.98239999999999994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0.99944999999999995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1.02125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1.0565500000000001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1.0880000000000001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1.10385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1.03135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1.0609500000000001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1.1358000000000001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1.11225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1.1004499999999999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1.0344500000000001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0.97435000000000005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0.96794999999999998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0.96239999999999992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0.95029999999999992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0.9597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0.97065000000000001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0.98904999999999998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1.0144500000000001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1.0478000000000001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1.0802499999999999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1.14175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1.0884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1.0206500000000001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1.09745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1.10195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1.0668500000000001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1.0582500000000001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0.94964999999999999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0.90775000000000006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0.90175000000000005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0.89074999999999993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0.91165000000000007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0.93635000000000002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0.95829999999999993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0.98185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1.0060499999999999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1.02715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1.0863499999999999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1.0186999999999999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1.0453000000000001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1.0906500000000001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1.0993999999999999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1.07345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1.0358000000000001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0.96934999999999993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0.96779999999999999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0.96005000000000007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0.94320000000000004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0.93775000000000008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0.94755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0.97570000000000001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1.008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1.0453999999999999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1.08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1.13425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1.0459499999999999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1.0929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1.1884000000000001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1.1715500000000001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1.1103499999999999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1.0459999999999998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0.95710000000000006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0.96449999999999991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0.95615000000000006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0.94479999999999997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0.97279999999999989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1.0044999999999999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1.0413999999999999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1.0784499999999999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1.1158999999999999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1.1501999999999999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8.1549999999999997E-2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0.19739999999999999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0.36899999999999999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0.50880000000000003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0.57394999999999996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0.58929999999999993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0.58199999999999996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0.57410000000000005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0.56625000000000003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0.55400000000000005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0.55569999999999997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0.55925000000000002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0.55449999999999999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0.54039999999999999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0.52190000000000003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0.49619999999999997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0.48135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0.08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0.18015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0.32364999999999999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0.43259999999999998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0.45824999999999999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0.4602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0.45660000000000001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0.45265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0.44409999999999999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0.42470000000000002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0.41000000000000003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0.40195000000000003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0.39765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0.3952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0.39450000000000002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0.39329999999999998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0.39215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8.0799999999999997E-2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0.18154999999999999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0.32815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0.44145000000000001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0.44355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0.45730000000000004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0.46394999999999997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0.45645000000000002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0.44569999999999999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0.43735000000000002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0.44005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0.44335000000000002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0.43630000000000002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0.4204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0.41234999999999999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0.40620000000000001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0.39939999999999998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8.1549999999999997E-2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0.18645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0.32624999999999998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0.4466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0.44305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0.47509999999999997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0.46960000000000002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0.44484999999999997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0.4355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0.42544999999999999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0.42285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0.41190000000000004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0.39355000000000001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0.38324999999999998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0.38119999999999998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0.38264999999999999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0.38444999999999996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7.8649999999999998E-2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0.20205000000000001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0.28649999999999998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0.40065000000000001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0.47234999999999999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0.44805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0.35209999999999997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0.378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0.37260000000000004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0.36050000000000004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0.3609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0.36665000000000003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0.3669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0.36314999999999997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0.36065000000000003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0.35639999999999999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0.35209999999999997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8.1299999999999997E-2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0.18735000000000002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0.33079999999999998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0.42899999999999999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0.45105000000000001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0.45834999999999998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0.45419999999999999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0.44974999999999998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0.4501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0.43469999999999998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0.42484999999999995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0.40844999999999998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0.39495000000000002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0.38965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0.3881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0.38755000000000001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0.38724999999999998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8.1350000000000006E-2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0.1946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0.36349999999999999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0.4834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0.54865000000000008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0.56254999999999999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0.55099999999999993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0.54580000000000006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0.54170000000000007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0.53185000000000004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0.53144999999999998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0.53525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0.5333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0.52705000000000002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0.51994999999999991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0.50520000000000009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0.49299999999999999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7.54115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1.2764500000000001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1.4137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4.8227500000000001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4.6227999999999998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4.6227999999999998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4.6289499999999997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4.6227999999999998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5.0952500000000001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89.96575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91.722499999999997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80.866849999999999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94.775350000000003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109.4058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127.68880000000001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138.68365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231.57419999999999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276.86974999999995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322.16525000000001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329.49990000000003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336.83455000000004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339.76205000000004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342.68944999999997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348.86220000000003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355.03494999999998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82.284700000000001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95.1999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85.915099999999995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88.236950000000007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98.972450000000009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109.85804999999999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118.9221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132.76395000000002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202.08070000000001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247.37195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292.66325000000001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289.27425000000005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285.88525000000004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283.90915000000001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281.93314999999996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274.43950000000001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266.94579999999996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82.284700000000001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95.1999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85.915099999999995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67.341350000000006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120.63204999999999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160.59660000000002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161.64535000000001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174.55090000000001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296.1721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359.3349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422.49770000000001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431.72564999999997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440.95359999999999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441.67345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442.39335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450.49324999999999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458.59320000000002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82.284700000000001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95.1999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85.915099999999995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70.272050000000007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99.064899999999994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125.70115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127.8946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139.0829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277.65129999999999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334.3218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336.99554999999998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339.66935000000001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332.01355000000001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324.35770000000002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338.12104999999997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351.88430000000005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82.284700000000001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42.180800000000005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79.161200000000008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85.023949999999999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98.771500000000003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92.769149999999996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123.6588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138.9537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209.56855000000002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259.17174999999997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308.77499999999998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299.42885000000001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290.08265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283.4889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276.89509999999996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304.50725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332.11930000000001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82.284700000000001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90.086849999999998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91.933149999999998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84.959299999999999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101.9907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119.41069999999999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134.60120000000001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143.03975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231.95824999999999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275.41724999999997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318.87615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305.05365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291.23109999999997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276.61815000000001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262.00514999999996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277.25805000000003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292.51094999999998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82.312600000000003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93.561599999999999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105.96599999999999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133.94040000000001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142.2116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146.59960000000001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175.14765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294.91550000000001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396.57960000000003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498.24369999999999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516.12689999999998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534.01009999999997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540.76405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547.51790000000005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571.23070000000007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0.68230000000000002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0.25119999999999998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3.2500000000000001E-2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6.9999999999999999E-4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5.0000000000000001E-4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2.9999999999999997E-4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1E-4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0.67610000000000003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0.27089999999999997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0.1293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9.9000000000000005E-2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5.04E-2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1.6000000000000001E-3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5.9999999999999995E-4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1E-4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1.6000000000000001E-3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1.84E-2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3.1100000000000003E-2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5.2000000000000005E-2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6.93E-2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8.5400000000000004E-2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9.9500000000000005E-2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9.4950000000000007E-2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9.06E-2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0.68500000000000005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0.27400000000000002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0.13109999999999999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4.2599999999999999E-2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2.9999999999999997E-4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2.0000000000000001E-4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0.68279999999999996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0.27429999999999999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0.13039999999999999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5.3100000000000001E-2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5.9999999999999995E-4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2.9999999999999997E-4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0.68359999999999999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0.21299999999999999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5.9999999999999995E-4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4.0000000000000002E-4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2.9999999999999997E-4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2.0000000000000001E-4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0.67949999999999999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0.222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6.9999999999999999E-4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5.9999999999999995E-4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4.0000000000000002E-4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2.9999999999999997E-4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1E-4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0.67859999999999998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0.2208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5.9999999999999995E-4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2.9999999999999997E-4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2.0000000000000001E-4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0.44590000000000002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0.45779999999999998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0.20449999999999999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7.9600000000000004E-2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4.5999999999999999E-3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3.5000000000000001E-3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2.3999999999999998E-3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1.75E-3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1E-3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6.4999999999999997E-4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1.5000000000000001E-4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1E-4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0.43869999999999998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0.45650000000000002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0.3538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0.18410000000000001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8.6099999999999996E-2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7.7999999999999996E-3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8.3000000000000001E-3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7.8499999999999993E-3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8.150000000000001E-3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9.2999999999999992E-3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9.6499999999999989E-3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9.4999999999999998E-3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9.5499999999999995E-3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8.3000000000000001E-3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7.0499999999999998E-3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5.6500000000000005E-3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4.3E-3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0.4486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0.46600000000000003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0.36470000000000002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0.16120000000000001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1.1000000000000001E-3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8.0000000000000004E-4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2.9999999999999997E-4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1E-4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0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0.44519999999999998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0.46289999999999998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0.35980000000000001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0.17480000000000001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7.7000000000000002E-3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7.3000000000000001E-3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5.5999999999999999E-3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4.2000000000000006E-3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2.0499999999999997E-3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1.5500000000000002E-3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1.3500000000000001E-3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5.4999999999999992E-4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5.0000000000000002E-5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0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0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0.45190000000000002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0.39279999999999998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6.1100000000000002E-2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2.2000000000000001E-3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6.9999999999999999E-4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5.0000000000000001E-4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2.9999999999999997E-4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2.0000000000000001E-4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1E-4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5.0000000000000002E-5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0.44209999999999999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0.43909999999999999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0.14080000000000001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4.7699999999999999E-2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4.7999999999999996E-3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3.7000000000000002E-3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2.5000000000000001E-3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1.8E-3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1.4E-3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8.5000000000000006E-4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2.5000000000000001E-4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1E-4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0.44990000000000002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0.4194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8.7499999999999994E-2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8.9999999999999998E-4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5.9999999999999995E-4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2.0000000000000001E-4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1.61E-2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9.9000000000000008E-3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3.8E-3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1.5900000000000001E-2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9.4000000000000004E-3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3.5999999999999999E-3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1.61E-2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9.5999999999999992E-3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3.7000000000000002E-3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1.61E-2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9.4999999999999998E-3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3.5999999999999999E-3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1.6199999999999999E-2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8.9999999999999993E-3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3.2000000000000002E-3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1.6E-2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9.5999999999999992E-3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3.7000000000000002E-3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1.6199999999999999E-2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9.7000000000000003E-3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3.8999999999999998E-3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1.2449999999999999E-2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4.65E-2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6.8399999999999989E-2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9.2249999999999999E-2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0.1149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0.16915000000000002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0.2296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0.2833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0.34194999999999998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0.33174999999999999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0.31755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0.30205000000000004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0.28589999999999999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0.28170000000000001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0.27860000000000001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0.28139999999999998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0.27990000000000004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1.255E-2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4.7899999999999998E-2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7.535E-2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8.8599999999999998E-2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8.7400000000000005E-2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9.1450000000000004E-2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0.1132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0.1079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0.16865000000000002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0.20834999999999998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0.24519999999999997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0.29835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0.34094999999999998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0.38334999999999997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0.41759999999999997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0.4224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0.42249999999999999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1.23E-2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4.6049999999999994E-2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7.1750000000000008E-2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7.8850000000000003E-2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0.11555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0.26519999999999999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0.43945000000000001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0.53885000000000005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0.61775000000000002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0.58139999999999992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0.54184999999999994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0.48929999999999996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0.43874999999999997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0.39690000000000003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0.35455000000000003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0.34105000000000002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0.32755000000000001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1.24E-2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4.6800000000000001E-2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7.3200000000000001E-2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7.9149999999999998E-2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9.2549999999999993E-2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0.14949999999999999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0.22255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0.27529999999999999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0.33789999999999998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0.33560000000000001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0.32874999999999999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0.32715000000000005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0.32045000000000001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0.32440000000000002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0.32474999999999998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0.3206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0.31555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1.18E-2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2.9850000000000002E-2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4.6350000000000002E-2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6.1499999999999999E-2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8.1350000000000006E-2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8.9200000000000002E-2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9.5350000000000004E-2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0.10314999999999999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0.13319999999999999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0.13685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0.13775000000000001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0.13125000000000001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0.125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0.12395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0.12304999999999999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0.1265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0.12864999999999999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1.2449999999999999E-2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4.4350000000000001E-2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6.6900000000000001E-2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9.0200000000000002E-2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0.13100000000000001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0.20924999999999999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0.28589999999999999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0.34330000000000005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0.40525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0.39374999999999999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0.37814999999999999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0.37670000000000003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0.36349999999999999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0.36345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0.3634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0.35599999999999998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0.34739999999999999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1.2200000000000001E-2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4.2349999999999999E-2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8.4849999999999995E-2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0.16239999999999999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0.27295000000000003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0.37104999999999999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0.44120000000000004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0.46525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0.45999999999999996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0.40965000000000001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0.35189999999999999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0.313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0.27174999999999999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0.26800000000000002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0.27534999999999998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0.28254999999999997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0.28810000000000002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13.0228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27.904299999999999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35.470500000000001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34.135199999999998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55.903500000000001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0.54930000000000001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0.43440000000000001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0.3735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0.29830000000000001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0.26569999999999999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0.253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0.25879999999999997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1.2333000000000001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1.2922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1.3358000000000001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1.1973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1.3240000000000001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1.446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1.5703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0.10630000000000001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7.9200000000000007E-2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0.15379999999999999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0.2903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0.4385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0.62390000000000001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0.67030000000000001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1.9E-3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3.27E-2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6.2700000000000006E-2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68.855000000000004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45.326799999999999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28.340999999999998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19.035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10.5374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20.669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24.288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25.740000000000002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25.547500000000003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30.932000000000002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38.763999999999996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37.482500000000002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2.2050000000000001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7.0000000000000001E-3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518.43489999999997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484.29849999999999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369.0874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274.77390000000003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213.81190000000001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155.3202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109.2784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555.38720000000001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498.22329999999999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394.82650000000001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308.47460000000001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253.56370000000001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197.88419999999999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155.3058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0.5202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0.43209999999999998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0.35959999999999998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0.2964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0.28489999999999999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0.27650000000000002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0.26500000000000001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1.2219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1.3189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1.4371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1.3452999999999999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1.2988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1.3055000000000001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1.3259000000000001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9.8299999999999998E-2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7.9200000000000007E-2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0.12280000000000001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9.3600000000000003E-2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7.5399999999999995E-2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9.2399999999999996E-2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0.15459999999999999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68.75160000000001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47.056400000000004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27.438600000000001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25.840599999999998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20.7834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8.6668000000000003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4.4462000000000002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20.454499999999999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29.161000000000001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22.110000000000003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22.6875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29.040000000000003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43.186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41.888000000000005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2.1560000000000001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0.84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519.55029999999999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516.46180000000004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403.50130000000001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428.12150000000003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433.89010000000002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442.36079999999998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421.0881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556.64800000000002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531.36659999999995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431.0222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462.5378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474.23379999999997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488.4513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473.08420000000001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13.1525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19.482600000000001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24.713999999999999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35.756100000000004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0.51970000000000005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0.42980000000000002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0.35510000000000003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0.33229999999999998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0.28749999999999998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0.2545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0.2303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1.2191000000000001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1.3126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1.4273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1.2384999999999999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1.4044000000000001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1.5697000000000001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1.7177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9.7900000000000001E-2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7.8700000000000006E-2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0.1217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0.24010000000000001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0.39479999999999998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0.52969999999999995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0.62290000000000001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2.52E-2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5.28E-2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9.4799999999999995E-2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69.240400000000008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47.620400000000004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27.8522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10.904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2.9985999999999997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20.421500000000002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29.095000000000002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21.994499999999999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19.442499999999999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20.9605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24.497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18.161000000000001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2.1419999999999999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0.83300000000000007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520.68269999999995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520.19420000000002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408.86439999999999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278.0394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189.64179999999999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124.4217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67.490799999999993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557.79359999999997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532.91639999999995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432.0197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308.88060000000002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227.249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165.34110000000001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112.3856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14.721399999999999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19.447700000000001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25.337399999999999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38.976100000000002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0.54469999999999996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0.45169999999999999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0.37209999999999999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0.30830000000000002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0.28920000000000001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0.27629999999999999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0.2666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1.2428999999999999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1.3085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1.3801000000000001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1.2226999999999999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1.2856000000000001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1.3051999999999999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1.3035000000000001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0.10639999999999999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8.4000000000000005E-2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0.12570000000000001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0.2409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0.38040000000000002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0.57789999999999997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0.68689999999999996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1.09E-2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4.7500000000000001E-2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0.08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69.701000000000008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46.896599999999999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27.100200000000001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8.2249999999999996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3.0268000000000002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20.828499999999998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28.979500000000002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21.345500000000001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19.2775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19.744999999999997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19.101500000000001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14.805999999999999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0.84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521.37239999999997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514.07600000000002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398.75310000000002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284.50850000000003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193.87280000000001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115.6735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54.730899999999998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558.49940000000004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527.80799999999999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424.12329999999997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319.00749999999999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236.45150000000001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163.99639999999999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108.9181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31.764299999999999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40.067599999999999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35.734000000000002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36.092799999999997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43.9161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0.48720000000000002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0.38140000000000002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0.31719999999999998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0.29110000000000003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0.27660000000000001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0.2021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0.1729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1.1940999999999999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1.3009999999999999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1.0789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0.90549999999999997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0.82250000000000001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0.81730000000000003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0.79920000000000002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0.1031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7.4099999999999999E-2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0.13800000000000001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0.27950000000000003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0.46639999999999998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0.69930000000000003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0.82740000000000002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3.5400000000000001E-2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7.46E-2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0.1139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0.14910000000000001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0.16800000000000001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68.9208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45.204599999999999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24.327199999999998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6.6176000000000004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2.0868000000000002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0.24439999999999998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20.2895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24.4695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17.253499999999999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4.3889999999999993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4.125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8.6624999999999996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13.024000000000001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2.1560000000000001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7.0000000000000001E-3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522.39689999999996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493.75599999999997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282.1311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147.102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70.170199999999994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7.6028000000000002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-20.118099999999998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559.66089999999997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508.49059999999997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310.09129999999999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179.9366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108.57470000000001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53.153100000000002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28.5869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11.6174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14.105499999999999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15.7525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23.235499999999998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0.53269999999999995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0.41199999999999998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0.3503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0.2954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0.26469999999999999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0.25140000000000001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0.25740000000000002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1.2105999999999999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1.2696000000000001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1.2616000000000001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1.2456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1.2777000000000001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1.2974000000000001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1.2761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0.10780000000000001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8.1100000000000005E-2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7.9899999999999999E-2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0.15060000000000001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0.25869999999999999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0.46870000000000001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0.70420000000000005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2.8999999999999998E-3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6.1000000000000004E-3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7.7000000000000002E-3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7.6E-3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67.915000000000006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44.537199999999999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25.962800000000001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14.626399999999999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7.0875999999999992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1.8800000000000001E-2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20.251000000000001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23.694000000000003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21.785499999999999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22.302500000000002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26.103000000000002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32.3125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41.728500000000004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2.1629999999999998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7.0000000000000001E-3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518.71429999999998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489.72899999999998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407.87979999999999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315.19029999999998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258.8997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210.36349999999999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178.52789999999999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555.79049999999995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504.90339999999998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435.21300000000002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351.6311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303.0179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259.73919999999998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232.9522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43.474600000000002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46.690600000000003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36.590200000000003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45.412199999999999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42.322499999999998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0.55410000000000004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0.43809999999999999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0.45119999999999999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0.38600000000000001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0.35010000000000002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0.40760000000000002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0.4879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1.2569999999999999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1.3160000000000001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1.3762000000000001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1.5484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1.7594000000000001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1.8230999999999999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1.855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0.1055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8.2000000000000003E-2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0.16489999999999999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0.28539999999999999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0.45250000000000001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0.55189999999999995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0.58479999999999999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3.32E-2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6.9099999999999995E-2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0.12180000000000001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0.18779999999999999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0.2306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69.033600000000007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44.715800000000002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15.810799999999999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3.6565999999999996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0.54519999999999991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0.12219999999999999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20.965999999999998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24.463999999999999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15.592499999999999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1.133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1.9855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1.837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0.24200000000000002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2.2329999999999997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7.0000000000000001E-3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519.51679999999999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481.64589999999998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268.51260000000002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137.79929999999999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70.285399999999996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23.718800000000002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-5.7050000000000001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556.37860000000001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495.63409999999999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296.19049999999999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171.80760000000001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109.0865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67.666899999999998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42.113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0.4083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4.1207000000000003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10.5901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18.818899999999999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25.155200000000001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26.527000000000001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25.803000000000001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23.670200000000001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21.094999999999999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18.759699999999999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18.1386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17.492999999999999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18.587499999999999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19.704599999999999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19.8766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19.7502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0.94530000000000003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0.89880000000000004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0.88290000000000002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0.90239999999999998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0.84630000000000005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0.81410000000000005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0.76419999999999999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0.70650000000000002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0.62719999999999998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0.58409999999999995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0.5454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0.51049999999999995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0.47539999999999999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0.43440000000000001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0.3957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0.35930000000000001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0.31900000000000001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1.1079000000000001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1.0468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1.081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1.0912999999999999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1.0685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1.0549999999999999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1.0225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0.95889999999999997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0.95799999999999996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0.95050000000000001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0.93610000000000004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0.96140000000000003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0.98880000000000001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1.0139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1.0367999999999999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1.0578000000000001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1.0852999999999999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8.1299999999999997E-2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0.19639999999999999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0.36899999999999999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0.50690000000000002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0.57099999999999995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0.58140000000000003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0.57320000000000004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0.57010000000000005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0.56220000000000003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0.54949999999999999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0.55079999999999996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0.55379999999999996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0.54690000000000005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0.52939999999999998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0.50990000000000002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0.49059999999999998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0.47920000000000001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1.24E-2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6.8099999999999994E-2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9.35E-2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0.1191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0.17130000000000001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0.23069999999999999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0.28299999999999997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0.34010000000000001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0.33079999999999998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0.31719999999999998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0.30170000000000002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0.2858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0.28170000000000001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0.2782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0.28079999999999999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0.27929999999999999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0.68110000000000004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0.22520000000000001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8.0000000000000004E-4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6.9999999999999999E-4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4.0000000000000002E-4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2.9999999999999997E-4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0.44569999999999999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0.43419999999999997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0.17169999999999999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7.6700000000000004E-2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4.5999999999999999E-3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3.5000000000000001E-3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2.3999999999999998E-3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1.6000000000000001E-3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8.9999999999999998E-4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5.9999999999999995E-4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9.7999999999999997E-3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3.8E-3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572.22670000000005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397.72359999999998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210.9896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120.31440000000001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43.927700000000002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1.4469000000000001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-25.371300000000002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-30.813700000000001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-38.078800000000001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-38.223500000000001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-38.4527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-39.049700000000001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-39.553199999999997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-41.294899999999998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-43.038800000000002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-39.736800000000002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-36.296300000000002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604.91409999999996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405.48270000000002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226.21360000000001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142.58799999999999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73.238399999999999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34.185400000000001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10.2729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2.8702000000000001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-8.2399000000000004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-9.4779999999999998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-10.8309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-12.356999999999999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-13.8032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-15.2507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-16.730399999999999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-17.538499999999999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-18.096900000000002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0.3674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0.36559999999999998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0.36470000000000002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0.35270000000000001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0.3322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0.29409999999999997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0.26440000000000002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0.21779999999999999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0.14080000000000001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7.0999999999999994E-2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3.5099999999999999E-2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0.94699999999999995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0.87639999999999996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0.8609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0.83609999999999995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0.83020000000000005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0.79549999999999998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0.76500000000000001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0.69699999999999995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0.62409999999999999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0.56850000000000001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0.50080000000000002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0.45119999999999999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0.41299999999999998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0.37959999999999999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0.34820000000000001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0.31869999999999998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0.2944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1.07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1.0074000000000001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1.0499000000000001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1.0275000000000001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0.99490000000000001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0.98080000000000001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0.93259999999999998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0.92169999999999996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0.91069999999999995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0.88949999999999996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0.91600000000000004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0.95369999999999999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0.98499999999999999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1.0165999999999999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1.0528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1.0840000000000001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8.0100000000000005E-2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0.18529999999999999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0.32440000000000002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0.43280000000000002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0.45639999999999997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0.4582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0.45279999999999998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0.44800000000000001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0.4385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0.41460000000000002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0.39379999999999998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0.3891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0.38800000000000001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0.38440000000000002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0.38340000000000002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0.38269999999999998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0.38169999999999998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1.2500000000000001E-2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7.4899999999999994E-2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8.7999999999999995E-2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8.6599999999999996E-2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9.0899999999999995E-2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0.11219999999999999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0.1071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0.16220000000000001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0.1976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0.2316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0.27939999999999998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0.31759999999999999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0.35930000000000001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0.4002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0.40250000000000002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0.67610000000000003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0.27200000000000002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0.1293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9.9000000000000005E-2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4.7199999999999999E-2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1.4E-3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5.0000000000000001E-4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1.17E-2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2.07E-2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3.6600000000000001E-2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5.0299999999999997E-2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6.3100000000000003E-2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7.4300000000000005E-2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7.0900000000000005E-2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6.7799999999999999E-2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0.439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0.45369999999999999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0.34210000000000002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0.16769999999999999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7.6399999999999996E-2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7.7999999999999996E-3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8.2000000000000007E-3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7.9000000000000008E-3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8.6999999999999994E-3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8.8999999999999999E-3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9.2999999999999992E-3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8.0999999999999996E-3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6.8999999999999999E-3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5.5999999999999999E-3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4.3E-3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1.5900000000000001E-2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3.5999999999999999E-3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573.93489999999997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423.8648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296.78629999999998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223.72280000000001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159.24600000000001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112.0154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91.1755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75.985500000000002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64.660499999999999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63.365900000000003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63.623199999999997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59.318300000000001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53.294699999999999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48.010300000000001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42.674799999999998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41.322200000000002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40.043500000000002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606.9393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432.24349999999998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314.01220000000001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246.49860000000001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188.28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146.94290000000001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131.93260000000001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116.3289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104.34229999999999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102.2453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101.6836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98.663399999999996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93.9285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86.578000000000003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79.164199999999994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71.493300000000005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63.872799999999998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0.34970000000000001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0.34410000000000002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1.9375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30.757000000000001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75.501199999999997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87.493799999999993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86.326099999999997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79.077500000000001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73.974599999999995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68.893199999999993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60.072299999999998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51.765799999999999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41.145800000000001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31.068999999999999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29.087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27.1129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0.93700000000000006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0.88660000000000005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0.88349999999999995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0.90249999999999997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0.89380000000000004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0.85629999999999995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0.78620000000000001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0.7208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0.6351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0.59060000000000001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0.54879999999999995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0.50939999999999996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0.47110000000000002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0.4264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0.39839999999999998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0.37219999999999998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0.34420000000000001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1.1277999999999999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1.0526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1.075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1.0887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1.0834999999999999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1.0952999999999999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1.0486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0.97219999999999995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0.94630000000000003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0.94040000000000001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0.92989999999999995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0.94940000000000002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0.97189999999999999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0.98719999999999997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1.0107999999999999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1.0465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1.0797000000000001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8.0799999999999997E-2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0.18709999999999999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0.32779999999999998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0.441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0.44090000000000001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0.45029999999999998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0.45469999999999999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0.44969999999999999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0.43840000000000001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0.42949999999999999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0.43149999999999999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0.43109999999999998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0.42270000000000002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0.40629999999999999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0.40310000000000001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0.39800000000000002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0.39329999999999998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1.23E-2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4.5199999999999997E-2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7.1300000000000002E-2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7.8200000000000006E-2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0.11509999999999999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0.26379999999999998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0.4365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0.53469999999999995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0.61450000000000005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0.58169999999999999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0.54520000000000002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0.49349999999999999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0.44390000000000002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0.4007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0.35499999999999998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0.34060000000000001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0.32569999999999999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0.68500000000000005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0.27500000000000002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0.13109999999999999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4.1700000000000001E-2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2.9999999999999997E-4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0.44879999999999998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0.46600000000000003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0.35170000000000001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0.14530000000000001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1.1000000000000001E-3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8.0000000000000004E-4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2.9999999999999997E-4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9.7000000000000003E-3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3.7000000000000002E-3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570.35140000000001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416.16919999999999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291.0299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173.25530000000001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-3.7111000000000001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-88.455299999999994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-115.8288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-116.81019999999999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-111.09910000000001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-107.3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-103.1048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-93.048100000000005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-83.468699999999998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-72.936199999999999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-62.840200000000003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-56.770099999999999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-50.719900000000003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602.91010000000006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422.23820000000001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303.76339999999999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198.82589999999999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31.832000000000001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-47.1128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-70.214100000000002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-73.190899999999999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-72.03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-70.024299999999997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-67.625399999999999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-59.170999999999999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-51.2089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-41.015999999999998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-31.265599999999999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-29.572299999999998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-27.8795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0.35389999999999999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0.3483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1.0335000000000001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4.5660999999999996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11.2554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14.8818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16.1859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16.319099999999999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15.6609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15.089700000000001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13.520799999999999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11.8782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11.756500000000001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11.661199999999999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12.0311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12.339399999999999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0.94720000000000004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0.88619999999999999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0.876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0.81559999999999999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0.83289999999999997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0.82099999999999995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0.77129999999999999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0.71960000000000002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0.64180000000000004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0.60070000000000001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0.55269999999999997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0.49619999999999997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0.44779999999999998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0.41099999999999998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0.3795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0.34839999999999999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0.31559999999999999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1.1017999999999999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1.0345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1.0622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1.1434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1.1231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1.1125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1.0426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0.97809999999999997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0.96870000000000001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0.96179999999999999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0.94599999999999995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0.95320000000000005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0.96619999999999995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0.99109999999999998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1.0155000000000001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1.0451999999999999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1.0743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8.1299999999999997E-2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0.18690000000000001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0.32719999999999999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0.44569999999999999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0.42049999999999998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0.38750000000000001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0.41830000000000001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0.42799999999999999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0.41849999999999998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0.40720000000000001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0.39979999999999999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0.38850000000000001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0.3755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0.36909999999999998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0.3649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0.36859999999999998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0.373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1.24E-2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4.5999999999999999E-2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7.2800000000000004E-2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7.8700000000000006E-2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9.6699999999999994E-2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0.16189999999999999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0.22869999999999999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0.27529999999999999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0.33439999999999998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0.33189999999999997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0.32590000000000002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0.32340000000000002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0.314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0.31159999999999999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0.30940000000000001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0.3085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0.30609999999999998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0.68200000000000005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0.27429999999999999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0.13039999999999999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5.0900000000000001E-2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5.0000000000000001E-4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0.44519999999999998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0.46150000000000002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0.34910000000000002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0.158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7.7000000000000002E-3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7.3000000000000001E-3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5.5999999999999999E-3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1.5E-3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1.6999999999999999E-3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9.5999999999999992E-3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3.5999999999999999E-3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571.30020000000002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418.64800000000002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293.36219999999997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177.9314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44.767499999999998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0.74109999999999998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-23.333600000000001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-29.802700000000002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-34.03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-35.792700000000004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-37.518000000000001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-41.3934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-44.9529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-45.944200000000002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-46.776000000000003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-41.784300000000002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-36.790199999999999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604.33730000000003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426.10919999999999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308.50420000000003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205.85579999999999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79.533799999999999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42.700400000000002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23.2227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14.426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6.3848000000000003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2.3731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-1.6001000000000001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-4.1551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-6.4103000000000003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-7.9607999999999999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-9.3991000000000007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-10.613300000000001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-11.789899999999999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0.65469999999999995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11.883800000000001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25.526599999999998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38.210099999999997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46.419899999999998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47.472299999999997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45.913899999999998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43.870800000000003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41.307899999999997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39.079700000000003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38.320099999999996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37.565899999999999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37.058399999999999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36.631700000000002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34.954300000000003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33.090000000000003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0.94199999999999995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0.61850000000000005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0.48809999999999998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0.46150000000000002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0.4199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0.3715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0.34799999999999998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0.29930000000000001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0.2631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0.248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0.23219999999999999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0.21879999999999999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0.20749999999999999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0.19919999999999999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0.19220000000000001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0.18279999999999999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0.17330000000000001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1.1395999999999999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1.0863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1.0192000000000001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1.101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1.1032999999999999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1.0683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1.0549999999999999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0.93479999999999996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0.9012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0.8931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0.88080000000000003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0.90110000000000001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0.92520000000000002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0.9476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0.97150000000000003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0.99299999999999999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1.0114000000000001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7.8600000000000003E-2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0.20480000000000001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0.28899999999999998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0.40329999999999999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0.4783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0.44700000000000001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0.34660000000000002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0.38519999999999999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0.37640000000000001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0.36330000000000001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0.36170000000000002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0.36709999999999998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0.36699999999999999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0.36249999999999999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0.3594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0.3548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0.35020000000000001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1.18E-2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2.9399999999999999E-2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4.58E-2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6.1199999999999997E-2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8.1799999999999998E-2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8.9399999999999993E-2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8.72E-2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9.0399999999999994E-2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0.1124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0.11849999999999999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0.1221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0.1173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0.1125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0.1135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0.1145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0.12379999999999999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0.1313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0.68359999999999999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0.21310000000000001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6.9999999999999999E-4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4.0000000000000002E-4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2.9999999999999997E-4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0.45190000000000002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0.38679999999999998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5.6300000000000003E-2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2.2000000000000001E-3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6.9999999999999999E-4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5.0000000000000001E-4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2.9999999999999997E-4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1.6199999999999999E-2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8.9999999999999993E-3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3.2000000000000002E-3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564.35720000000003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323.26280000000003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115.40819999999999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31.935400000000001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-26.873799999999999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-60.972200000000001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-71.836299999999994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-71.682500000000005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-69.855699999999999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-62.341999999999999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-55.161099999999998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-61.5197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-67.815399999999997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-64.7821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-61.791600000000003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-63.928400000000003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-65.902900000000002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597.11320000000001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336.28120000000001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138.8075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61.457299999999996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7.3905000000000003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-22.072600000000001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-29.795500000000001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-28.961400000000001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-28.9298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-27.588899999999999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-26.559799999999999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-27.8733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-29.127600000000001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-29.212299999999999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-29.3432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-29.241900000000001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-28.962299999999999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0.70069999999999999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5.1341999999999999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12.060700000000001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19.724499999999999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21.743500000000001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22.6967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22.447299999999998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20.841999999999999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18.200700000000001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15.7889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12.6219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9.2286000000000001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9.1647999999999996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9.1117000000000008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10.542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11.9026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0.94389999999999996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0.88480000000000003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0.85199999999999998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0.90129999999999999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0.87709999999999999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0.83789999999999998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0.77569999999999995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0.71450000000000002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0.63470000000000004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0.59060000000000001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0.53159999999999996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0.46460000000000001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0.42349999999999999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0.3896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0.35599999999999998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0.32679999999999998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0.29870000000000002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1.0867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1.0199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1.0464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1.0867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1.0912999999999999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1.0663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1.0277000000000001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0.96519999999999995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0.96319999999999995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0.95520000000000005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0.93589999999999995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0.92630000000000001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0.93640000000000001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0.9667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0.99880000000000002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1.0341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1.0664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8.1100000000000005E-2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0.18790000000000001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0.33139999999999997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0.4294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0.44919999999999999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0.44979999999999998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0.44180000000000003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0.44350000000000001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0.44359999999999999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0.42959999999999998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0.41549999999999998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0.3947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0.38400000000000001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0.37980000000000003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0.379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0.37840000000000001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1.24E-2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4.4499999999999998E-2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6.6900000000000001E-2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9.0399999999999994E-2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0.1331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0.2092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0.2848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0.34150000000000003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0.40250000000000002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0.39019999999999999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0.37419999999999998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0.37309999999999999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0.3604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0.36030000000000001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0.36049999999999999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0.3528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0.34389999999999998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0.67959999999999998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0.22270000000000001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6.9999999999999999E-4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5.9999999999999995E-4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4.0000000000000002E-4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2.9999999999999997E-4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0.44219999999999998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0.43519999999999998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0.14799999999999999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4.87E-2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4.7999999999999996E-3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3.7000000000000002E-3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2.5000000000000001E-3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1.6999999999999999E-3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1.2999999999999999E-3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8.0000000000000004E-4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2.0000000000000001E-4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9.5999999999999992E-3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3.7000000000000002E-3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571.66330000000005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390.86160000000001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199.55719999999999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109.9481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42.092199999999998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5.0091000000000001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-18.5761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-27.868600000000001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-33.096200000000003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-32.901200000000003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-32.703699999999998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-31.9575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-31.439599999999999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-30.909800000000001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-30.3582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-26.256799999999998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-22.141999999999999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604.58839999999998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400.54199999999997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217.83930000000001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135.0258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73.983699999999999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42.110500000000002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23.342700000000001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11.9213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2.8222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0.65239999999999998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-1.5042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7.7399999999999997E-2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1.4856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1.0860000000000001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0.70640000000000003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-1.3141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-3.3188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0.66679999999999995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22.785799999999998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60.586199999999998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96.350700000000003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101.6283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96.672700000000006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88.865799999999993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77.136499999999998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63.534399999999998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50.496899999999997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40.521799999999999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31.257100000000001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30.986799999999999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32.197400000000002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33.909999999999997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35.274299999999997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0.93959999999999999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0.87780000000000002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0.91510000000000002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0.90839999999999999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0.89600000000000002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0.83489999999999998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0.76459999999999995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0.70440000000000003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0.63680000000000003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0.59789999999999999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0.56079999999999997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0.52629999999999999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0.49490000000000001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0.46429999999999999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0.4335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0.39150000000000001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0.35449999999999998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1.1352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1.0356000000000001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1.0903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1.171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1.1471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1.0878000000000001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1.0145999999999999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0.9385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0.94369999999999998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0.93330000000000002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0.91859999999999997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0.94059999999999999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0.96699999999999997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0.99950000000000006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1.0311999999999999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1.0632999999999999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1.0927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8.1500000000000003E-2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0.19500000000000001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0.372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0.48880000000000001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0.55200000000000005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0.56699999999999995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0.55279999999999996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0.54810000000000003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0.54420000000000002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0.53380000000000005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0.53480000000000005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0.53859999999999997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0.53110000000000002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0.52129999999999999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0.50180000000000002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0.48570000000000002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1.23E-2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4.2200000000000001E-2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8.4599999999999995E-2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0.1608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0.27210000000000001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0.37240000000000001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0.45219999999999999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0.47839999999999999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0.47549999999999998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0.42370000000000002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0.36409999999999998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0.31890000000000002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0.27160000000000001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0.26690000000000003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0.2757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0.2848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0.29049999999999998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0.68220000000000003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0.22359999999999999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5.9999999999999995E-4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4.0000000000000002E-4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2.0000000000000001E-4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0.45040000000000002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0.4148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9.2600000000000002E-2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8.0000000000000004E-4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4.0000000000000002E-4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1.6199999999999999E-2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9.5999999999999992E-3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3.8999999999999998E-3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570.01080000000002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368.9984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142.84620000000001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6.4519000000000002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-87.908699999999996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-114.2055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-119.1627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-112.577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-104.20529999999999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-86.273200000000003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-68.701999999999998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-64.427199999999999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-60.7577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-57.4818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-55.688000000000002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-60.247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-64.460300000000004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602.49580000000003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377.8064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161.8083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32.610900000000001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-58.289499999999997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-82.4071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-85.953800000000001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-79.495900000000006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-73.340500000000006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-61.359699999999997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-49.734499999999997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-40.221299999999999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-31.322399999999998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-31.2682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-32.715499999999999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-34.795400000000001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-36.5289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0.70760000000000001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3.7907999999999999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10.475199999999999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19.028199999999998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24.3291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26.195900000000002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25.728100000000001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23.846299999999999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21.378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19.1813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18.395600000000002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17.574300000000001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18.316600000000001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19.138400000000001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19.4833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19.555900000000001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0.94450000000000001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0.91490000000000005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0.89559999999999995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0.85199999999999998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0.82179999999999997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0.77259999999999995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0.71550000000000002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0.63560000000000005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0.59389999999999998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0.55620000000000003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0.52149999999999996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0.4899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0.45490000000000003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0.41499999999999998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0.36659999999999998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0.33100000000000002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1.1113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1.0646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1.0853999999999999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1.0934999999999999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1.0712999999999999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1.0621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1.0333000000000001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0.9718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0.9708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0.96630000000000005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0.95499999999999996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0.98150000000000004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1.0125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1.042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1.0676000000000001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1.0854999999999999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1.1099000000000001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8.1299999999999997E-2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0.19839999999999999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0.36899999999999999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0.51070000000000004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0.57689999999999997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0.5887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0.58099999999999996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0.57809999999999995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0.57030000000000003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0.5585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0.56059999999999999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0.56469999999999998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0.56210000000000004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0.5514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0.53390000000000004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0.50180000000000002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0.48349999999999999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1.2500000000000001E-2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6.8699999999999997E-2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9.0999999999999998E-2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0.11269999999999999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0.16700000000000001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0.22850000000000001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0.28360000000000002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0.34379999999999999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0.3327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0.31790000000000002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0.3024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0.28599999999999998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0.28170000000000001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0.27900000000000003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0.28199999999999997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0.28050000000000003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0.68230000000000002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0.25119999999999998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3.2500000000000001E-2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8.0000000000000004E-4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5.0000000000000001E-4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2.9999999999999997E-4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0.44590000000000002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0.45779999999999998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0.20449999999999999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7.9600000000000004E-2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5.3E-3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4.1000000000000003E-3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2.8999999999999998E-3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1.9E-3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1.1000000000000001E-3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6.9999999999999999E-4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2.0000000000000001E-4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1.61E-2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9.9000000000000008E-3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3.8E-3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572.88660000000004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407.64449999999999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224.91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122.0305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44.958500000000001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1.4271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-23.860800000000001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-33.086500000000001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-40.006599999999999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-40.554000000000002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-41.180500000000002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-40.920400000000001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-40.578499999999998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-41.587800000000001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-42.641199999999998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-39.524500000000003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-36.219700000000003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605.72469999999998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416.06369999999998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240.761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145.655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74.977999999999994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34.874000000000002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12.3286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0.98570000000000002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-9.8938000000000006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-11.4871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-13.200799999999999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-14.0032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-14.738899999999999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-15.5989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-16.526299999999999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-17.4909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-18.224399999999999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0.40229999999999999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0.4209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0.4199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0.40400000000000003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0.38059999999999999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0.33739999999999998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0.30399999999999999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0.2495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0.1633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8.5099999999999995E-2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4.2500000000000003E-2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0.94689999999999996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0.87319999999999998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0.85940000000000005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0.84119999999999995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0.83640000000000003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0.79510000000000003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0.76639999999999997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0.70099999999999996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0.62470000000000003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0.57889999999999997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0.52510000000000001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0.47039999999999998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0.43070000000000003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0.40360000000000001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0.37230000000000002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0.34239999999999998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0.31369999999999998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1.0691999999999999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1.0048999999999999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1.0296000000000001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1.0509999999999999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1.0275000000000001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0.99460000000000004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0.98309999999999997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0.93789999999999996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0.92900000000000005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0.92979999999999996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0.92349999999999999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0.9395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0.96689999999999998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1.0021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1.0387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1.0799000000000001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1.1186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7.9899999999999999E-2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0.1845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0.32290000000000002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0.43240000000000001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0.46010000000000001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0.4622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0.46039999999999998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0.45729999999999998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0.44969999999999999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0.43480000000000002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0.42620000000000002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0.4148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0.4073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0.40600000000000003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0.40560000000000002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0.40389999999999998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0.40260000000000001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1.26E-2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4.8800000000000003E-2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7.5800000000000006E-2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8.9200000000000002E-2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8.8200000000000001E-2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9.1999999999999998E-2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0.1087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0.17510000000000001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0.21909999999999999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0.25879999999999997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0.31730000000000003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0.36430000000000001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0.40739999999999998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0.44209999999999999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0.4446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0.4425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0.67630000000000001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0.27089999999999997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0.129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9.8799999999999999E-2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5.04E-2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1.6000000000000001E-3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5.9999999999999995E-4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3.2000000000000002E-3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2.5100000000000001E-2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4.1500000000000002E-2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6.7400000000000002E-2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8.8300000000000003E-2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0.1077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0.12470000000000001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0.11899999999999999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0.1134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0.43869999999999998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0.45700000000000002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0.3538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0.18410000000000001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8.6099999999999996E-2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7.7999999999999996E-3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8.3000000000000001E-3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8.0000000000000002E-3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8.3999999999999995E-3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9.9000000000000008E-3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1.04E-2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0.01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9.7999999999999997E-3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8.5000000000000006E-3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7.1999999999999998E-3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5.7000000000000002E-3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4.3E-3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1.5900000000000001E-2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3.5000000000000001E-3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574.09730000000002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425.3766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298.78559999999999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226.35939999999999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162.80930000000001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112.6344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94.248599999999996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80.947800000000001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71.403099999999995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70.180999999999997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69.007599999999996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65.835899999999995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60.0182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54.048200000000001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48.175600000000003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47.800699999999999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47.414700000000003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607.10590000000002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433.72949999999997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315.98289999999997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249.09479999999999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191.78210000000001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147.50489999999999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134.9237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121.1951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111.0192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108.9829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106.9819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105.02719999999999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100.4049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92.345699999999994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84.398300000000006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77.684700000000007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70.970799999999997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0.3831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0.39710000000000001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1.9772000000000001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29.994299999999999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76.034999999999997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87.442599999999999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85.656999999999996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78.180400000000006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72.015199999999993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66.044200000000004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56.536499999999997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47.597999999999999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38.391300000000001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29.9208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28.303000000000001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26.7546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0.93720000000000003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0.88339999999999996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0.88539999999999996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0.90759999999999996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0.89649999999999996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0.86460000000000004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0.7954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0.72770000000000001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0.64159999999999995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0.59809999999999997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0.55730000000000002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0.52400000000000002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0.48759999999999998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0.44280000000000003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0.40289999999999998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0.37259999999999999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0.34179999999999999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1.1274999999999999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1.0502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1.0755999999999999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1.0920000000000001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1.0854999999999999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1.1025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1.0603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0.98209999999999997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0.95650000000000002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0.95269999999999999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0.94420000000000004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0.96819999999999995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0.9929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1.0117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1.0317000000000001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1.0666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1.0963000000000001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8.0799999999999997E-2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0.18690000000000001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0.32850000000000001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0.44190000000000002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0.44619999999999999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0.4546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0.4607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0.4632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0.45300000000000001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0.44519999999999998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0.4486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0.4556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0.44990000000000002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0.4345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0.42159999999999997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0.41439999999999999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0.40550000000000003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1.23E-2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4.6899999999999997E-2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7.22E-2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7.9500000000000001E-2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0.11600000000000001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0.2666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0.44240000000000002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0.54300000000000004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0.621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0.58109999999999995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0.53849999999999998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0.48509999999999998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0.43359999999999999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0.3931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0.35410000000000003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0.34150000000000003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0.32940000000000003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0.68500000000000005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0.27400000000000002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0.13100000000000001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4.2599999999999999E-2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2.9999999999999997E-4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0.4486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0.46970000000000001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0.36470000000000002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0.16120000000000001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1.1000000000000001E-3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8.0000000000000004E-4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2.9999999999999997E-4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1.61E-2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9.5999999999999992E-3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3.7000000000000002E-3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570.48789999999997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417.61320000000001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292.87610000000001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176.89099999999999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8.48E-2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-86.946100000000001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-118.9473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-116.54519999999999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-108.5767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-103.7403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-98.778099999999995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-88.326300000000003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-78.398099999999999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-69.213200000000001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-60.7121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-55.016500000000001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-49.390300000000003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603.05029999999999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423.66269999999997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305.5779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202.172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34.671999999999997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-46.869500000000002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-75.422300000000007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-75.170599999999993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-71.130399999999995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-67.953500000000005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-64.652000000000001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-55.6419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-47.171199999999999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-38.228900000000003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-29.980899999999998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-28.5748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-27.236799999999999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0.38779999999999998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0.40200000000000002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1.1548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4.8773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10.632400000000001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14.219799999999999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14.781000000000001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14.6144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13.67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12.770799999999999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10.4581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8.2036999999999995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9.0073000000000008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9.6514000000000006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10.2902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10.898300000000001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0.94499999999999995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0.87819999999999998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0.87170000000000003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0.82299999999999995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0.80989999999999995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0.80010000000000003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0.7671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0.71650000000000003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0.64549999999999996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0.60429999999999995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0.56599999999999995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0.50949999999999995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0.44969999999999999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0.4007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0.37469999999999998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0.34710000000000002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0.31890000000000002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1.0941000000000001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1.0246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1.0551999999999999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1.1202000000000001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1.0981000000000001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1.0878000000000001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1.0263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0.97060000000000002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0.96719999999999995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0.96299999999999997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0.9546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0.96619999999999995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0.97509999999999997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0.98699999999999999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1.0134000000000001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1.0504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1.0862000000000001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8.1000000000000003E-2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0.186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0.32529999999999998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0.44750000000000001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0.46560000000000001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0.47289999999999999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0.46579999999999999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0.4617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0.45250000000000001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0.44369999999999998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0.44590000000000002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0.43530000000000002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0.41160000000000002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0.39739999999999998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0.39750000000000002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0.3967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0.39589999999999997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1.24E-2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4.7600000000000003E-2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7.3700000000000002E-2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7.9600000000000004E-2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9.06E-2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0.1371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0.21640000000000001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0.27529999999999999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0.34139999999999998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0.33929999999999999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0.33160000000000001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0.33090000000000003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0.32690000000000002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0.3372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0.34010000000000001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0.3327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0.32500000000000001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0.68279999999999996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0.27289999999999998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0.13020000000000001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5.3100000000000001E-2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5.9999999999999995E-4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2.9999999999999997E-4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0.44409999999999999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0.46289999999999998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0.35980000000000001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0.17480000000000001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9.1999999999999998E-3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7.7000000000000002E-3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6.0000000000000001E-3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4.4000000000000003E-3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2.0999999999999999E-3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1.6000000000000001E-3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5.0000000000000001E-4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9.4999999999999998E-3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3.5999999999999999E-3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571.93060000000003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420.07040000000001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295.60879999999997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190.22810000000001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55.714399999999998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6.9679000000000002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-21.0837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-26.800699999999999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-30.774799999999999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-31.754999999999999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-32.620600000000003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-33.298999999999999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-34.044199999999996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-36.157200000000003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-38.747799999999998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-34.270299999999999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-29.713899999999999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604.98599999999999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427.53829999999999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310.71339999999998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215.92609999999999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89.853399999999993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48.754399999999997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25.8263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17.759599999999999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9.9383999999999997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6.5332999999999997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3.2418999999999998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3.5249999999999999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3.7164999999999999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0.54039999999999999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-3.0821000000000001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-4.8640999999999996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-6.5663999999999998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0.65620000000000001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12.1081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25.757300000000001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38.118499999999997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45.296700000000001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45.260300000000001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42.089799999999997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37.184100000000001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34.828899999999997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32.6843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32.393000000000001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32.067100000000003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32.403199999999998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32.783900000000003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33.449599999999997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33.921999999999997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0.94010000000000005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0.62170000000000003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0.48770000000000002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0.46450000000000002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0.42649999999999999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0.3836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0.36709999999999998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0.30980000000000002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0.26650000000000001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0.25240000000000001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0.23699999999999999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0.22359999999999999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0.2122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0.2036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0.19620000000000001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0.1885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0.18060000000000001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1.1438999999999999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1.0905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1.0221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1.1072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1.1189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1.099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1.0983000000000001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0.96450000000000002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0.9143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0.91039999999999999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0.90069999999999995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0.92220000000000002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0.94750000000000001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0.96899999999999997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0.99219999999999997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1.0190999999999999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1.0428999999999999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7.8700000000000006E-2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0.2036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0.28870000000000001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0.40500000000000003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0.48130000000000001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0.44390000000000002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0.34399999999999997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0.37080000000000002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0.36880000000000002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0.35770000000000002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0.36009999999999998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0.36620000000000003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0.36680000000000001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0.36380000000000001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0.3619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0.35799999999999998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0.35399999999999998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1.18E-2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3.0700000000000002E-2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4.7600000000000003E-2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6.1600000000000002E-2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8.09E-2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8.8999999999999996E-2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9.7000000000000003E-2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0.1159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0.154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0.1552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0.15340000000000001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0.1452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0.13750000000000001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0.13439999999999999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0.13159999999999999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0.12920000000000001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0.126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0.68369999999999997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0.21299999999999999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5.9999999999999995E-4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4.0000000000000002E-4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2.9999999999999997E-4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0.4526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0.39279999999999998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6.1100000000000002E-2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2.0999999999999999E-3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6.9999999999999999E-4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5.0000000000000001E-4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2.9999999999999997E-4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1.6299999999999999E-2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8.9999999999999993E-3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3.2000000000000002E-3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564.55780000000004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323.80779999999999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116.2552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31.587199999999999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-26.5121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-59.984299999999998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-70.531700000000001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-71.897400000000005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-67.2346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-60.045099999999998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-53.1021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-58.184399999999997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-63.198599999999999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-60.421500000000002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-57.66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-61.506300000000003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-65.183400000000006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597.27570000000003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337.58929999999998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140.53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61.481900000000003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7.2736999999999998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-21.9237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-28.662199999999999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-29.277899999999999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-26.6678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-26.023900000000001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-25.595300000000002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-26.044899999999998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-26.434000000000001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-27.268999999999998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-28.129799999999999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-29.316400000000002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-30.324400000000001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0.69069999999999998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5.194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12.232900000000001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19.918700000000001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21.9955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22.886600000000001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22.685400000000001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21.113600000000002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18.464700000000001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16.094799999999999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12.2316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8.1499000000000006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7.7262000000000004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7.3174999999999999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8.5501000000000005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9.7247000000000003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0.94430000000000003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0.88300000000000001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0.84760000000000002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0.90469999999999995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0.88239999999999996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0.84230000000000005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0.7802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0.71960000000000002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0.63970000000000005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0.58909999999999996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0.54100000000000004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0.4824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0.43099999999999999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0.3987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0.3705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0.34189999999999998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0.31419999999999998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1.0853999999999999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1.0175000000000001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1.0442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1.0892999999999999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1.0936999999999999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1.0696000000000001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1.034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0.97350000000000003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0.97240000000000004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0.96489999999999998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0.95050000000000001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0.94920000000000004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0.9587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0.98470000000000002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1.0172000000000001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1.0567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1.0935999999999999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8.1299999999999997E-2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0.1875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0.33019999999999999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0.42959999999999998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0.45290000000000002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0.45639999999999997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0.4521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0.45600000000000002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0.45660000000000001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0.43980000000000002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0.43419999999999997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0.42220000000000002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0.40589999999999998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0.3982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0.39639999999999997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0.39610000000000001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0.39610000000000001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1.2500000000000001E-2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6.6900000000000001E-2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0.09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0.12889999999999999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0.20930000000000001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0.28699999999999998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0.34510000000000002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0.40799999999999997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0.39729999999999999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0.3821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0.38030000000000003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0.36659999999999998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0.36659999999999998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0.36630000000000001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0.35920000000000002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0.35089999999999999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0.6794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0.222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6.9999999999999999E-4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5.9999999999999995E-4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4.0000000000000002E-4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2.9999999999999997E-4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0.442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0.43909999999999999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0.14080000000000001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4.7699999999999999E-2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5.4000000000000003E-3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4.1999999999999997E-3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3.0000000000000001E-3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1.9E-3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1.5E-3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8.9999999999999998E-4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2.9999999999999997E-4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9.5999999999999992E-3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3.5999999999999999E-3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571.63099999999997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390.43509999999998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199.13939999999999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109.8593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42.280299999999997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6.0420999999999996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-18.6281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-24.458400000000001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-30.0867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-30.4315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-31.038599999999999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-30.098800000000001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-29.051200000000001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-28.058900000000001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-27.162299999999998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-22.857800000000001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-18.549399999999999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604.59490000000005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399.63499999999999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216.88990000000001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134.41470000000001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73.7089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42.661299999999997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22.764399999999998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14.776400000000001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5.2160000000000002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2.5123000000000002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-0.49559999999999998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1.2468999999999999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3.2126000000000001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3.2305000000000001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3.1596000000000002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1.3062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-0.5393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0.66579999999999995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22.890899999999998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61.048299999999998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93.294200000000004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94.292500000000004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88.686000000000007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81.418599999999998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70.063900000000004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57.503599999999999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45.5702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37.886800000000001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30.7288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30.697399999999998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31.611499999999999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33.076099999999997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34.569000000000003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0.92349999999999999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0.86229999999999996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0.88290000000000002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0.88009999999999999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0.86850000000000005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0.80259999999999998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0.73060000000000003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0.67589999999999995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0.60980000000000001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0.57220000000000004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0.5373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0.50419999999999998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0.47389999999999999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0.44579999999999997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0.42020000000000002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0.38629999999999998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0.35349999999999998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1.1331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1.0452999999999999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1.0927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1.1874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1.1704000000000001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1.1064000000000001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1.0450999999999999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0.97570000000000001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0.98529999999999995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0.97899999999999998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0.97099999999999997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1.0049999999999999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1.042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1.0832999999999999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1.1256999999999999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1.1685000000000001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1.2077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8.1199999999999994E-2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0.19420000000000001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0.36299999999999999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0.48249999999999998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0.54720000000000002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0.56130000000000002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0.5484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0.54349999999999998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0.53920000000000001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0.52990000000000004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0.52810000000000001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0.5302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0.52800000000000002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0.52300000000000002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0.51859999999999995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0.50860000000000005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0.50029999999999997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1.2200000000000001E-2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4.3299999999999998E-2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8.5500000000000007E-2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0.16400000000000001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0.27379999999999999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0.36969999999999997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0.436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0.4521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0.44450000000000001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0.39560000000000001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0.3397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0.30709999999999998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0.27189999999999998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0.26910000000000001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0.27500000000000002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0.28029999999999999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0.28570000000000001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0.67849999999999999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0.22070000000000001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5.9999999999999995E-4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2.9999999999999997E-4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2.0000000000000001E-4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0.44990000000000002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0.4194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8.7499999999999994E-2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8.9999999999999998E-4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5.9999999999999995E-4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1.6199999999999999E-2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9.7000000000000003E-3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3.8999999999999998E-3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568.3854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368.00979999999998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138.8511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4.8269000000000002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-86.238699999999994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-107.57989999999999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-115.4525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-108.7743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-97.232900000000001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-80.118600000000001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-63.4893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-61.619500000000002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-60.133499999999998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-57.075600000000001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-54.956899999999997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-59.177100000000003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-63.4758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601.03679999999997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377.61189999999999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158.66309999999999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30.6935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-56.235799999999998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-75.397300000000001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-81.930300000000003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-75.601900000000001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-66.346000000000004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-55.200600000000001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-44.540799999999997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-37.398000000000003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-30.649000000000001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-30.8096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-31.929099999999998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-33.653100000000002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-35.444499999999998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0.70620000000000005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4.1582999999999997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11.8698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21.380700000000001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27.402899999999999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29.2179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0.94330000000000003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0.92030000000000001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0.90620000000000001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0.90410000000000001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0.85550000000000004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0.8256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0.7782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1.1151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1.0691999999999999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1.0901000000000001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1.0991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1.0805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1.075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1.0428999999999999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8.1799999999999998E-2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0.19969999999999999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0.371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0.51339999999999997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0.57950000000000002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0.58989999999999998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0.58299999999999996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1.2500000000000001E-2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4.7199999999999999E-2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6.9500000000000006E-2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9.3799999999999994E-2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0.1171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0.17219999999999999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0.23519999999999999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0.6825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0.25169999999999998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3.3099999999999997E-2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6.9999999999999999E-4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5.0000000000000001E-4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2.9999999999999997E-4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0.44629999999999997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0.46850000000000003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0.2142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8.1600000000000006E-2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4.1999999999999997E-3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3.0999999999999999E-3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1.61E-2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9.9000000000000008E-3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3.8E-3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572.32799999999997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407.76679999999999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228.47319999999999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123.3531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44.275799999999997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-0.77390000000000003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-26.702999999999999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604.97190000000001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416.06639999999999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244.02969999999999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146.09289999999999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73.251900000000006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31.499199999999998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8.3298000000000005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0.45950000000000002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0.49209999999999998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0.49390000000000001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0.48049999999999998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0.45779999999999998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0.40339999999999998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0.92979999999999996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0.86739999999999995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0.89049999999999996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0.87039999999999995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0.87880000000000003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0.84209999999999996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0.81589999999999996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1.0227999999999999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0.96619999999999995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1.0238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1.0448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1.0147999999999999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0.98719999999999997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0.97550000000000003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7.3200000000000001E-2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0.17580000000000001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0.3261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0.43719999999999998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0.47310000000000002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0.48280000000000001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0.48349999999999999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1.26E-2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4.9399999999999999E-2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7.6999999999999999E-2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9.06E-2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8.9800000000000005E-2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9.2999999999999999E-2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0.1158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0.66600000000000004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0.26840000000000003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0.13120000000000001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0.1004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5.2900000000000003E-2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1.6000000000000001E-3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6.9999999999999999E-4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0.43319999999999997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0.45650000000000002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0.36599999999999999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0.19189999999999999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9.0399999999999994E-2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8.0000000000000002E-3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8.6E-3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1.5699999999999999E-2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9.2999999999999992E-3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3.7000000000000002E-3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576.67449999999997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424.80529999999999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303.16759999999999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228.75980000000001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163.4348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111.71380000000001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90.362499999999997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609.54629999999997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432.90989999999999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319.93389999999999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251.1884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192.10050000000001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146.3246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130.79429999999999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0.46029999999999999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0.49359999999999998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1.9941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27.3019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72.287999999999997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83.443899999999999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0.93669999999999998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0.87549999999999994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0.90269999999999995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0.92510000000000003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0.92969999999999997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0.89600000000000002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0.81989999999999996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1.0215000000000001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0.96109999999999995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1.0181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1.0969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1.0801000000000001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1.0991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1.0551999999999999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7.3200000000000001E-2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0.1762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0.3286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0.44500000000000001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0.45050000000000001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0.4672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1.26E-2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4.9500000000000002E-2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7.7200000000000005E-2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0.08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0.1182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0.26860000000000001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0.44669999999999999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0.66820000000000002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0.27010000000000001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0.1328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4.3799999999999999E-2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2.9999999999999997E-4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0.433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0.45619999999999999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0.36599999999999999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0.1673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8.9999999999999998E-4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6.9999999999999999E-4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1.5699999999999999E-2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9.2999999999999992E-3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3.5999999999999999E-3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577.59680000000003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427.88869999999997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307.9708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175.72540000000001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3.085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-84.627899999999997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-116.749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610.41700000000003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433.71050000000002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320.2561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200.4024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37.023000000000003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-45.132199999999997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-73.610799999999998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0.4496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0.46839999999999998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1.3083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7.4522000000000004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11.216799999999999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14.537699999999999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0.95450000000000002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0.89200000000000002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0.8952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0.84850000000000003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0.83689999999999998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0.83260000000000001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0.79459999999999997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1.1059000000000001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1.0282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1.0597000000000001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1.1282000000000001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1.1013999999999999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1.0884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1.0065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8.1799999999999998E-2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0.18729999999999999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0.32990000000000003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0.45419999999999999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0.46970000000000001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0.4773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0.47339999999999999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1.24E-2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4.7899999999999998E-2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7.3599999999999999E-2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8.0100000000000005E-2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0.16569999999999999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0.26690000000000003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0.68620000000000003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0.27510000000000001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0.1323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5.4399999999999997E-2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5.9999999999999995E-4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2.9999999999999997E-4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0.44619999999999999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0.46579999999999999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0.36349999999999999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0.1794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6.1999999999999998E-3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5.3E-3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3.8E-3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1.61E-2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9.4999999999999998E-3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3.5999999999999999E-3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572.47630000000004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415.27850000000001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294.32839999999999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189.60659999999999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55.690300000000001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2.4864000000000002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-29.9876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605.47879999999998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422.78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309.39600000000002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215.86250000000001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90.664400000000001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43.6173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15.911799999999999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0.65059999999999996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11.9635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25.285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37.733400000000003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44.336199999999998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44.669499999999999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0.91930000000000001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0.60440000000000005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0.47039999999999998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0.4425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0.4017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0.35160000000000002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0.3332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1.1312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1.0818000000000001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1.0136000000000001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1.0939000000000001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1.1006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1.0653999999999999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1.0615000000000001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7.8E-2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0.2843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0.39800000000000002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0.46529999999999999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0.4491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0.35759999999999997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1.18E-2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3.0300000000000001E-2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4.6899999999999997E-2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6.1400000000000003E-2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8.0399999999999999E-2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8.72E-2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9.3700000000000006E-2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0.67959999999999998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0.21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5.9999999999999995E-4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4.0000000000000002E-4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2.9999999999999997E-4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0.45119999999999999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0.39579999999999999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6.5600000000000006E-2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2.3E-3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8.0000000000000004E-4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5.9999999999999995E-4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4.0000000000000002E-4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1.6199999999999999E-2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9.1000000000000004E-3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3.2000000000000002E-3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562.48410000000001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320.64589999999998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114.5397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30.520099999999999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-27.596499999999999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-60.927700000000002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-71.538600000000002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595.44309999999996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333.91109999999998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138.1807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60.237499999999997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6.5484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-22.363299999999999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-30.211600000000001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0.69359999999999999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6.2801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14.6959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23.534800000000001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25.470800000000001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26.0029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0.94399999999999995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0.8841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0.84899999999999998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0.9022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0.88490000000000002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0.84599999999999997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0.78249999999999997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1.0860000000000001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1.0163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1.0442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1.0920000000000001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1.1051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1.0772999999999999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1.0376000000000001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8.1299999999999997E-2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0.18720000000000001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0.33150000000000002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0.42859999999999998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0.45450000000000002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0.46029999999999999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0.45629999999999998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1.2500000000000001E-2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4.4200000000000003E-2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6.7400000000000002E-2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9.2299999999999993E-2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0.13539999999999999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0.219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0.29980000000000001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0.67949999999999999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0.22170000000000001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8.0000000000000004E-4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5.9999999999999995E-4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2.9999999999999997E-4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2.0000000000000001E-4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0.44209999999999999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0.44379999999999997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0.13980000000000001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3.5499999999999997E-2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4.4000000000000003E-3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3.3E-3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2.2000000000000001E-3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1.6E-2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9.5999999999999992E-3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3.7000000000000002E-3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571.55589999999995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389.52510000000001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198.68020000000001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105.2984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37.1113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1.4596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-21.524799999999999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604.51599999999996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399.23439999999999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217.01009999999999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130.4331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68.926900000000003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38.477800000000002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20.234000000000002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0.66469999999999996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23.204000000000001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62.705500000000001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96.227500000000006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99.062600000000003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93.556299999999993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0.92349999999999999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0.86639999999999995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0.88360000000000005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0.88119999999999998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0.86809999999999998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0.80640000000000001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0.73480000000000001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1.1333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1.0466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1.0931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1.1894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1.1727000000000001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1.1143000000000001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1.0468999999999999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8.1199999999999994E-2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0.19520000000000001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0.36399999999999999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0.48430000000000001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0.55010000000000003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0.56379999999999997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0.54920000000000002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1.2200000000000001E-2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4.2500000000000003E-2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8.5099999999999995E-2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0.16589999999999999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0.27889999999999998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0.37559999999999999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0.44640000000000002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0.67859999999999998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0.2208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2.9999999999999997E-4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2.0000000000000001E-4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0.44990000000000002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0.42470000000000002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8.5000000000000006E-2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8.9999999999999998E-4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5.9999999999999995E-4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1.6299999999999999E-2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9.7000000000000003E-3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3.8999999999999998E-3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568.44939999999997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366.35730000000001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137.83170000000001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1.9109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-89.404499999999999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-113.1366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-118.0295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601.09870000000001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376.12279999999998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157.90629999999999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28.267099999999999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-59.088099999999997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-80.507999999999996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-83.965000000000003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2025-09-12T20:26:48Z</dcterms:modified>
</cp:coreProperties>
</file>